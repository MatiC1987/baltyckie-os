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c/Downloads/"/>
    </mc:Choice>
  </mc:AlternateContent>
  <xr:revisionPtr revIDLastSave="0" documentId="8_{9D47D4CE-DDB0-9449-8409-A5143379113B}" xr6:coauthVersionLast="47" xr6:coauthVersionMax="47" xr10:uidLastSave="{00000000-0000-0000-0000-000000000000}"/>
  <bookViews>
    <workbookView xWindow="31640" yWindow="5940" windowWidth="28240" windowHeight="17240" xr2:uid="{6EA3DA34-AF88-2D46-98CA-BE013C660DF3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5" i="1"/>
  <c r="K4" i="1"/>
  <c r="J5" i="1"/>
  <c r="J6" i="1"/>
  <c r="J7" i="1"/>
  <c r="J8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4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5" i="1"/>
  <c r="G6" i="1"/>
  <c r="G8" i="1"/>
  <c r="G9" i="1"/>
  <c r="G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4" i="1"/>
</calcChain>
</file>

<file path=xl/sharedStrings.xml><?xml version="1.0" encoding="utf-8"?>
<sst xmlns="http://schemas.openxmlformats.org/spreadsheetml/2006/main" count="11" uniqueCount="10">
  <si>
    <t>Saldo firmowe</t>
  </si>
  <si>
    <t>prognoza przychodow</t>
  </si>
  <si>
    <t>prognoza realizacja</t>
  </si>
  <si>
    <t>pozostalo do wynajecia</t>
  </si>
  <si>
    <t>prognoza koszty (apartamenty)</t>
  </si>
  <si>
    <t>realizacja koszty (apartamenty</t>
  </si>
  <si>
    <t>pozostalo kosztow</t>
  </si>
  <si>
    <t>prognoza koszty operacyjne</t>
  </si>
  <si>
    <t>realizacja koszty operacyjne</t>
  </si>
  <si>
    <t>SALDO FIRMOWE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</si>
</sst>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B754-926A-B046-969B-7E1E72983B61}">
  <dimension ref="A1:K62"/>
  <sheetViews>
    <sheetView tabSelected="1" topLeftCell="A4" workbookViewId="0">
      <selection activeCell="K62" sqref="A5:K62"/>
    </sheetView>
  </sheetViews>
  <sheetFormatPr baseColWidth="10" defaultRowHeight="16" x14ac:dyDescent="0.2"/>
  <cols>
    <col min="2" max="10" width="15.83203125" customWidth="1"/>
    <col min="11" max="11" width="51" customWidth="1"/>
    <col min="12" max="12" width="15.83203125" customWidth="1"/>
  </cols>
  <sheetData>
    <row r="1" spans="1:11" x14ac:dyDescent="0.2">
      <c r="A1" t="s">
        <v>0</v>
      </c>
      <c r="B1">
        <v>441261</v>
      </c>
    </row>
    <row r="3" spans="1:11" s="2" customFormat="1" ht="34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6</v>
      </c>
      <c r="K3" s="2" t="s">
        <v>9</v>
      </c>
    </row>
    <row r="4" spans="1:11" x14ac:dyDescent="0.2">
      <c r="A4" s="1">
        <v>46054</v>
      </c>
      <c r="B4">
        <v>180000</v>
      </c>
      <c r="C4">
        <v>152215.65000000002</v>
      </c>
      <c r="D4">
        <f>B4-C4</f>
        <v>27784.349999999977</v>
      </c>
      <c r="E4">
        <v>31915.239999999998</v>
      </c>
      <c r="F4">
        <v>30776.719999999998</v>
      </c>
      <c r="G4">
        <f>E4-F4</f>
        <v>1138.5200000000004</v>
      </c>
      <c r="H4">
        <v>103400.29999999999</v>
      </c>
      <c r="I4">
        <v>30776.719999999998</v>
      </c>
      <c r="J4">
        <f>H4-I4</f>
        <v>72623.579999999987</v>
      </c>
      <c r="K4">
        <f>B1+D4-G4-J4</f>
        <v>395283.25</v>
      </c>
    </row>
    <row r="5" spans="1:11" x14ac:dyDescent="0.2">
      <c r="A5" s="1">
        <v>46082</v>
      </c>
      <c r="B5">
        <v>130000</v>
      </c>
      <c r="C5">
        <v>120045.49</v>
      </c>
      <c r="D5">
        <f t="shared" ref="D5:D62" si="0">B5-C5</f>
        <v>9954.5099999999948</v>
      </c>
      <c r="E5">
        <v>88444.800000000003</v>
      </c>
      <c r="F5">
        <v>69817.59</v>
      </c>
      <c r="G5">
        <f t="shared" ref="G5:G62" si="1">E5-F5</f>
        <v>18627.210000000006</v>
      </c>
      <c r="H5">
        <v>127900.1</v>
      </c>
      <c r="I5">
        <v>69817.59</v>
      </c>
      <c r="J5">
        <f t="shared" ref="J5:J62" si="2">H5-I5</f>
        <v>58082.510000000009</v>
      </c>
      <c r="K5">
        <f>K4+D5-G5-J5</f>
        <v>328528.03999999998</v>
      </c>
    </row>
    <row r="6" spans="1:11" x14ac:dyDescent="0.2">
      <c r="A6" s="1">
        <v>46113</v>
      </c>
      <c r="B6">
        <v>200000</v>
      </c>
      <c r="C6">
        <v>199688.49</v>
      </c>
      <c r="D6">
        <f t="shared" si="0"/>
        <v>311.51000000000931</v>
      </c>
      <c r="E6">
        <v>41003.409999999996</v>
      </c>
      <c r="F6">
        <v>32616.71</v>
      </c>
      <c r="G6">
        <f t="shared" si="1"/>
        <v>8386.6999999999971</v>
      </c>
      <c r="H6">
        <v>112278.34999999999</v>
      </c>
      <c r="I6">
        <v>32616.71</v>
      </c>
      <c r="J6">
        <f t="shared" si="2"/>
        <v>79661.639999999985</v>
      </c>
      <c r="K6">
        <f t="shared" ref="K6:K62" si="3">K5+D6-G6-J6</f>
        <v>240791.21</v>
      </c>
    </row>
    <row r="7" spans="1:11" x14ac:dyDescent="0.2">
      <c r="A7" s="1">
        <v>46143</v>
      </c>
      <c r="B7">
        <v>300000</v>
      </c>
      <c r="C7">
        <v>294492.2</v>
      </c>
      <c r="D7">
        <f t="shared" si="0"/>
        <v>5507.7999999999884</v>
      </c>
      <c r="E7">
        <v>55121.320000000007</v>
      </c>
      <c r="F7">
        <v>61715.13</v>
      </c>
      <c r="G7">
        <v>0</v>
      </c>
      <c r="H7">
        <v>140339.28999999998</v>
      </c>
      <c r="I7">
        <v>61715.13</v>
      </c>
      <c r="J7">
        <f t="shared" si="2"/>
        <v>78624.159999999974</v>
      </c>
      <c r="K7">
        <f t="shared" si="3"/>
        <v>167674.85</v>
      </c>
    </row>
    <row r="8" spans="1:11" x14ac:dyDescent="0.2">
      <c r="A8" s="1">
        <v>46174</v>
      </c>
      <c r="B8">
        <v>425000</v>
      </c>
      <c r="C8">
        <v>200000</v>
      </c>
      <c r="D8">
        <f t="shared" si="0"/>
        <v>225000</v>
      </c>
      <c r="E8">
        <v>27949.19</v>
      </c>
      <c r="F8">
        <v>26113.73</v>
      </c>
      <c r="G8">
        <f t="shared" si="1"/>
        <v>1835.4599999999991</v>
      </c>
      <c r="H8">
        <v>126861.61333333334</v>
      </c>
      <c r="I8">
        <v>26113.73</v>
      </c>
      <c r="J8">
        <f t="shared" si="2"/>
        <v>100747.88333333335</v>
      </c>
      <c r="K8">
        <f t="shared" si="3"/>
        <v>290091.5066666666</v>
      </c>
    </row>
    <row r="9" spans="1:11" x14ac:dyDescent="0.2">
      <c r="A9" s="1">
        <v>46204</v>
      </c>
      <c r="B9">
        <v>800000</v>
      </c>
      <c r="C9">
        <v>300000</v>
      </c>
      <c r="D9">
        <f t="shared" si="0"/>
        <v>500000</v>
      </c>
      <c r="E9">
        <v>195219.46</v>
      </c>
      <c r="F9">
        <v>193757.98</v>
      </c>
      <c r="G9">
        <f t="shared" si="1"/>
        <v>1461.4799999999814</v>
      </c>
      <c r="H9">
        <v>151990.21333333332</v>
      </c>
      <c r="I9">
        <v>193757.98</v>
      </c>
      <c r="J9">
        <v>0</v>
      </c>
      <c r="K9">
        <f t="shared" si="3"/>
        <v>788630.02666666661</v>
      </c>
    </row>
    <row r="10" spans="1:11" x14ac:dyDescent="0.2">
      <c r="A10" s="1">
        <v>46235</v>
      </c>
      <c r="B10">
        <v>766314.77</v>
      </c>
      <c r="C10">
        <v>350000</v>
      </c>
      <c r="D10">
        <f t="shared" si="0"/>
        <v>416314.77</v>
      </c>
      <c r="E10">
        <v>477146.625</v>
      </c>
      <c r="F10">
        <v>488447.09</v>
      </c>
      <c r="G10">
        <v>0</v>
      </c>
      <c r="H10">
        <v>210407.45333333331</v>
      </c>
      <c r="I10">
        <v>488447.09</v>
      </c>
      <c r="J10">
        <v>0</v>
      </c>
      <c r="K10">
        <f t="shared" si="3"/>
        <v>1204944.7966666666</v>
      </c>
    </row>
    <row r="11" spans="1:11" x14ac:dyDescent="0.2">
      <c r="A11" s="1">
        <v>46266</v>
      </c>
      <c r="B11">
        <v>300000</v>
      </c>
      <c r="C11">
        <v>50000</v>
      </c>
      <c r="D11">
        <f t="shared" si="0"/>
        <v>250000</v>
      </c>
      <c r="E11">
        <v>331822.80500000005</v>
      </c>
      <c r="F11">
        <v>362991.73</v>
      </c>
      <c r="G11">
        <v>0</v>
      </c>
      <c r="H11">
        <v>239416.70333333331</v>
      </c>
      <c r="I11">
        <v>362991.73</v>
      </c>
      <c r="J11">
        <v>0</v>
      </c>
      <c r="K11">
        <f t="shared" si="3"/>
        <v>1454944.7966666666</v>
      </c>
    </row>
    <row r="12" spans="1:11" x14ac:dyDescent="0.2">
      <c r="A12" s="1">
        <v>46296</v>
      </c>
      <c r="B12">
        <v>140000</v>
      </c>
      <c r="C12">
        <v>0</v>
      </c>
      <c r="D12">
        <f t="shared" si="0"/>
        <v>140000</v>
      </c>
      <c r="E12">
        <v>63419.99</v>
      </c>
      <c r="F12">
        <v>0</v>
      </c>
      <c r="G12">
        <f t="shared" si="1"/>
        <v>63419.99</v>
      </c>
      <c r="H12">
        <v>181034.77000000002</v>
      </c>
      <c r="I12">
        <v>0</v>
      </c>
      <c r="J12">
        <f t="shared" si="2"/>
        <v>181034.77000000002</v>
      </c>
      <c r="K12">
        <f t="shared" si="3"/>
        <v>1350490.0366666666</v>
      </c>
    </row>
    <row r="13" spans="1:11" x14ac:dyDescent="0.2">
      <c r="A13" s="1">
        <v>46327</v>
      </c>
      <c r="B13">
        <v>110000</v>
      </c>
      <c r="C13">
        <v>0</v>
      </c>
      <c r="D13">
        <f t="shared" si="0"/>
        <v>110000</v>
      </c>
      <c r="E13">
        <v>53267.200000000004</v>
      </c>
      <c r="F13">
        <v>0</v>
      </c>
      <c r="G13">
        <f t="shared" si="1"/>
        <v>53267.200000000004</v>
      </c>
      <c r="H13">
        <v>102505.72</v>
      </c>
      <c r="I13">
        <v>0</v>
      </c>
      <c r="J13">
        <f t="shared" si="2"/>
        <v>102505.72</v>
      </c>
      <c r="K13">
        <f t="shared" si="3"/>
        <v>1304717.1166666667</v>
      </c>
    </row>
    <row r="14" spans="1:11" x14ac:dyDescent="0.2">
      <c r="A14" s="1">
        <v>46357</v>
      </c>
      <c r="B14">
        <v>180000</v>
      </c>
      <c r="C14">
        <v>0</v>
      </c>
      <c r="D14">
        <f t="shared" si="0"/>
        <v>180000</v>
      </c>
      <c r="E14">
        <v>44069.98</v>
      </c>
      <c r="F14">
        <v>0</v>
      </c>
      <c r="G14">
        <f t="shared" si="1"/>
        <v>44069.98</v>
      </c>
      <c r="H14">
        <v>91540.4</v>
      </c>
      <c r="I14">
        <v>0</v>
      </c>
      <c r="J14">
        <f t="shared" si="2"/>
        <v>91540.4</v>
      </c>
      <c r="K14">
        <f t="shared" si="3"/>
        <v>1349106.7366666668</v>
      </c>
    </row>
    <row r="15" spans="1:11" x14ac:dyDescent="0.2">
      <c r="A15" s="1">
        <v>46388</v>
      </c>
      <c r="B15">
        <v>160000</v>
      </c>
      <c r="C15">
        <v>0</v>
      </c>
      <c r="D15">
        <f t="shared" si="0"/>
        <v>160000</v>
      </c>
      <c r="E15">
        <v>31915.239999999998</v>
      </c>
      <c r="F15">
        <v>0</v>
      </c>
      <c r="G15">
        <f t="shared" si="1"/>
        <v>31915.239999999998</v>
      </c>
      <c r="H15">
        <v>103400.29999999999</v>
      </c>
      <c r="I15">
        <v>0</v>
      </c>
      <c r="J15">
        <f t="shared" si="2"/>
        <v>103400.29999999999</v>
      </c>
      <c r="K15">
        <f t="shared" si="3"/>
        <v>1373791.1966666668</v>
      </c>
    </row>
    <row r="16" spans="1:11" x14ac:dyDescent="0.2">
      <c r="A16" s="1">
        <v>46419</v>
      </c>
      <c r="B16">
        <v>180000</v>
      </c>
      <c r="C16">
        <v>0</v>
      </c>
      <c r="D16">
        <f t="shared" si="0"/>
        <v>180000</v>
      </c>
      <c r="E16">
        <v>88444.800000000003</v>
      </c>
      <c r="F16">
        <v>0</v>
      </c>
      <c r="G16">
        <f t="shared" si="1"/>
        <v>88444.800000000003</v>
      </c>
      <c r="H16">
        <v>127900.1</v>
      </c>
      <c r="I16">
        <v>0</v>
      </c>
      <c r="J16">
        <f t="shared" si="2"/>
        <v>127900.1</v>
      </c>
      <c r="K16">
        <f t="shared" si="3"/>
        <v>1337446.2966666666</v>
      </c>
    </row>
    <row r="17" spans="1:11" x14ac:dyDescent="0.2">
      <c r="A17" s="1">
        <v>46447</v>
      </c>
      <c r="B17">
        <v>130000</v>
      </c>
      <c r="C17">
        <v>0</v>
      </c>
      <c r="D17">
        <f t="shared" si="0"/>
        <v>130000</v>
      </c>
      <c r="E17">
        <v>41003.409999999996</v>
      </c>
      <c r="F17">
        <v>0</v>
      </c>
      <c r="G17">
        <f t="shared" si="1"/>
        <v>41003.409999999996</v>
      </c>
      <c r="H17">
        <v>112278.34999999999</v>
      </c>
      <c r="I17">
        <v>0</v>
      </c>
      <c r="J17">
        <f t="shared" si="2"/>
        <v>112278.34999999999</v>
      </c>
      <c r="K17">
        <f t="shared" si="3"/>
        <v>1314164.5366666666</v>
      </c>
    </row>
    <row r="18" spans="1:11" x14ac:dyDescent="0.2">
      <c r="A18" s="1">
        <v>46478</v>
      </c>
      <c r="B18">
        <v>200000</v>
      </c>
      <c r="C18">
        <v>0</v>
      </c>
      <c r="D18">
        <f t="shared" si="0"/>
        <v>200000</v>
      </c>
      <c r="E18">
        <v>55121.320000000007</v>
      </c>
      <c r="F18">
        <v>0</v>
      </c>
      <c r="G18">
        <f t="shared" si="1"/>
        <v>55121.320000000007</v>
      </c>
      <c r="H18">
        <v>140339.28999999998</v>
      </c>
      <c r="I18">
        <v>0</v>
      </c>
      <c r="J18">
        <f t="shared" si="2"/>
        <v>140339.28999999998</v>
      </c>
      <c r="K18">
        <f t="shared" si="3"/>
        <v>1318703.9266666665</v>
      </c>
    </row>
    <row r="19" spans="1:11" x14ac:dyDescent="0.2">
      <c r="A19" s="1">
        <v>46508</v>
      </c>
      <c r="B19">
        <v>300000</v>
      </c>
      <c r="C19">
        <v>0</v>
      </c>
      <c r="D19">
        <f t="shared" si="0"/>
        <v>300000</v>
      </c>
      <c r="E19">
        <v>27949.19</v>
      </c>
      <c r="F19">
        <v>0</v>
      </c>
      <c r="G19">
        <f t="shared" si="1"/>
        <v>27949.19</v>
      </c>
      <c r="H19">
        <v>126861.61333333334</v>
      </c>
      <c r="I19">
        <v>0</v>
      </c>
      <c r="J19">
        <f t="shared" si="2"/>
        <v>126861.61333333334</v>
      </c>
      <c r="K19">
        <f t="shared" si="3"/>
        <v>1463893.1233333333</v>
      </c>
    </row>
    <row r="20" spans="1:11" x14ac:dyDescent="0.2">
      <c r="A20" s="1">
        <v>46539</v>
      </c>
      <c r="B20">
        <v>425000</v>
      </c>
      <c r="C20">
        <v>0</v>
      </c>
      <c r="D20">
        <f t="shared" si="0"/>
        <v>425000</v>
      </c>
      <c r="E20">
        <v>195219.46</v>
      </c>
      <c r="F20">
        <v>0</v>
      </c>
      <c r="G20">
        <f t="shared" si="1"/>
        <v>195219.46</v>
      </c>
      <c r="H20">
        <v>151990.21333333332</v>
      </c>
      <c r="I20">
        <v>0</v>
      </c>
      <c r="J20">
        <f t="shared" si="2"/>
        <v>151990.21333333332</v>
      </c>
      <c r="K20">
        <f t="shared" si="3"/>
        <v>1541683.45</v>
      </c>
    </row>
    <row r="21" spans="1:11" x14ac:dyDescent="0.2">
      <c r="A21" s="1">
        <v>46569</v>
      </c>
      <c r="B21">
        <v>800000</v>
      </c>
      <c r="C21">
        <v>0</v>
      </c>
      <c r="D21">
        <f t="shared" si="0"/>
        <v>800000</v>
      </c>
      <c r="E21">
        <v>477146.625</v>
      </c>
      <c r="F21">
        <v>0</v>
      </c>
      <c r="G21">
        <f t="shared" si="1"/>
        <v>477146.625</v>
      </c>
      <c r="H21">
        <v>210407.45333333331</v>
      </c>
      <c r="I21">
        <v>0</v>
      </c>
      <c r="J21">
        <f t="shared" si="2"/>
        <v>210407.45333333331</v>
      </c>
      <c r="K21">
        <f t="shared" si="3"/>
        <v>1654129.3716666668</v>
      </c>
    </row>
    <row r="22" spans="1:11" x14ac:dyDescent="0.2">
      <c r="A22" s="1">
        <v>46600</v>
      </c>
      <c r="B22">
        <v>766314.77</v>
      </c>
      <c r="C22">
        <v>0</v>
      </c>
      <c r="D22">
        <f t="shared" si="0"/>
        <v>766314.77</v>
      </c>
      <c r="E22">
        <v>331822.80500000005</v>
      </c>
      <c r="F22">
        <v>0</v>
      </c>
      <c r="G22">
        <f t="shared" si="1"/>
        <v>331822.80500000005</v>
      </c>
      <c r="H22">
        <v>239416.70333333331</v>
      </c>
      <c r="I22">
        <v>0</v>
      </c>
      <c r="J22">
        <f t="shared" si="2"/>
        <v>239416.70333333331</v>
      </c>
      <c r="K22">
        <f t="shared" si="3"/>
        <v>1849204.6333333331</v>
      </c>
    </row>
    <row r="23" spans="1:11" x14ac:dyDescent="0.2">
      <c r="A23" s="1">
        <v>46631</v>
      </c>
      <c r="B23">
        <v>300000</v>
      </c>
      <c r="C23">
        <v>0</v>
      </c>
      <c r="D23">
        <f t="shared" si="0"/>
        <v>300000</v>
      </c>
      <c r="E23">
        <v>63419.99</v>
      </c>
      <c r="F23">
        <v>0</v>
      </c>
      <c r="G23">
        <f t="shared" si="1"/>
        <v>63419.99</v>
      </c>
      <c r="H23">
        <v>181034.77000000002</v>
      </c>
      <c r="I23">
        <v>0</v>
      </c>
      <c r="J23">
        <f t="shared" si="2"/>
        <v>181034.77000000002</v>
      </c>
      <c r="K23">
        <f t="shared" si="3"/>
        <v>1904749.8733333328</v>
      </c>
    </row>
    <row r="24" spans="1:11" x14ac:dyDescent="0.2">
      <c r="A24" s="1">
        <v>46661</v>
      </c>
      <c r="B24">
        <v>140000</v>
      </c>
      <c r="C24">
        <v>0</v>
      </c>
      <c r="D24">
        <f t="shared" si="0"/>
        <v>140000</v>
      </c>
      <c r="E24">
        <v>53267.200000000004</v>
      </c>
      <c r="F24">
        <v>0</v>
      </c>
      <c r="G24">
        <f t="shared" si="1"/>
        <v>53267.200000000004</v>
      </c>
      <c r="H24">
        <v>102505.72</v>
      </c>
      <c r="I24">
        <v>0</v>
      </c>
      <c r="J24">
        <f t="shared" si="2"/>
        <v>102505.72</v>
      </c>
      <c r="K24">
        <f t="shared" si="3"/>
        <v>1888976.9533333329</v>
      </c>
    </row>
    <row r="25" spans="1:11" x14ac:dyDescent="0.2">
      <c r="A25" s="1">
        <v>46692</v>
      </c>
      <c r="B25">
        <v>110000</v>
      </c>
      <c r="C25">
        <v>0</v>
      </c>
      <c r="D25">
        <f t="shared" si="0"/>
        <v>110000</v>
      </c>
      <c r="E25">
        <v>44069.98</v>
      </c>
      <c r="F25">
        <v>0</v>
      </c>
      <c r="G25">
        <f t="shared" si="1"/>
        <v>44069.98</v>
      </c>
      <c r="H25">
        <v>91540.4</v>
      </c>
      <c r="I25">
        <v>0</v>
      </c>
      <c r="J25">
        <f t="shared" si="2"/>
        <v>91540.4</v>
      </c>
      <c r="K25">
        <f t="shared" si="3"/>
        <v>1863366.573333333</v>
      </c>
    </row>
    <row r="26" spans="1:11" x14ac:dyDescent="0.2">
      <c r="A26" s="1">
        <v>46722</v>
      </c>
      <c r="B26">
        <v>180000</v>
      </c>
      <c r="C26">
        <v>0</v>
      </c>
      <c r="D26">
        <f t="shared" si="0"/>
        <v>180000</v>
      </c>
      <c r="E26">
        <v>58218.720000000001</v>
      </c>
      <c r="F26">
        <v>0</v>
      </c>
      <c r="G26">
        <f t="shared" si="1"/>
        <v>58218.720000000001</v>
      </c>
      <c r="H26">
        <v>105650</v>
      </c>
      <c r="I26">
        <v>0</v>
      </c>
      <c r="J26">
        <f t="shared" si="2"/>
        <v>105650</v>
      </c>
      <c r="K26">
        <f t="shared" si="3"/>
        <v>1879497.853333333</v>
      </c>
    </row>
    <row r="27" spans="1:11" x14ac:dyDescent="0.2">
      <c r="A27" s="1">
        <v>46753</v>
      </c>
      <c r="B27">
        <v>160000</v>
      </c>
      <c r="C27">
        <v>0</v>
      </c>
      <c r="D27">
        <f t="shared" si="0"/>
        <v>160000</v>
      </c>
      <c r="E27">
        <v>31915.239999999998</v>
      </c>
      <c r="F27">
        <v>0</v>
      </c>
      <c r="G27">
        <f t="shared" si="1"/>
        <v>31915.239999999998</v>
      </c>
      <c r="H27">
        <v>103400.29999999999</v>
      </c>
      <c r="I27">
        <v>0</v>
      </c>
      <c r="J27">
        <f t="shared" si="2"/>
        <v>103400.29999999999</v>
      </c>
      <c r="K27">
        <f t="shared" si="3"/>
        <v>1904182.313333333</v>
      </c>
    </row>
    <row r="28" spans="1:11" x14ac:dyDescent="0.2">
      <c r="A28" s="1">
        <v>46784</v>
      </c>
      <c r="B28">
        <v>180000</v>
      </c>
      <c r="C28">
        <v>0</v>
      </c>
      <c r="D28">
        <f t="shared" si="0"/>
        <v>180000</v>
      </c>
      <c r="E28">
        <v>88444.800000000003</v>
      </c>
      <c r="F28">
        <v>0</v>
      </c>
      <c r="G28">
        <f t="shared" si="1"/>
        <v>88444.800000000003</v>
      </c>
      <c r="H28">
        <v>127900.1</v>
      </c>
      <c r="I28">
        <v>0</v>
      </c>
      <c r="J28">
        <f t="shared" si="2"/>
        <v>127900.1</v>
      </c>
      <c r="K28">
        <f t="shared" si="3"/>
        <v>1867837.4133333329</v>
      </c>
    </row>
    <row r="29" spans="1:11" x14ac:dyDescent="0.2">
      <c r="A29" s="1">
        <v>46813</v>
      </c>
      <c r="B29">
        <v>130000</v>
      </c>
      <c r="C29">
        <v>0</v>
      </c>
      <c r="D29">
        <f t="shared" si="0"/>
        <v>130000</v>
      </c>
      <c r="E29">
        <v>41003.409999999996</v>
      </c>
      <c r="F29">
        <v>0</v>
      </c>
      <c r="G29">
        <f t="shared" si="1"/>
        <v>41003.409999999996</v>
      </c>
      <c r="H29">
        <v>112278.34999999999</v>
      </c>
      <c r="I29">
        <v>0</v>
      </c>
      <c r="J29">
        <f t="shared" si="2"/>
        <v>112278.34999999999</v>
      </c>
      <c r="K29">
        <f t="shared" si="3"/>
        <v>1844555.6533333329</v>
      </c>
    </row>
    <row r="30" spans="1:11" x14ac:dyDescent="0.2">
      <c r="A30" s="1">
        <v>46844</v>
      </c>
      <c r="B30">
        <v>200000</v>
      </c>
      <c r="C30">
        <v>0</v>
      </c>
      <c r="D30">
        <f t="shared" si="0"/>
        <v>200000</v>
      </c>
      <c r="E30">
        <v>55121.320000000007</v>
      </c>
      <c r="F30">
        <v>0</v>
      </c>
      <c r="G30">
        <f t="shared" si="1"/>
        <v>55121.320000000007</v>
      </c>
      <c r="H30">
        <v>140339.28999999998</v>
      </c>
      <c r="I30">
        <v>0</v>
      </c>
      <c r="J30">
        <f t="shared" si="2"/>
        <v>140339.28999999998</v>
      </c>
      <c r="K30">
        <f t="shared" si="3"/>
        <v>1849095.0433333328</v>
      </c>
    </row>
    <row r="31" spans="1:11" x14ac:dyDescent="0.2">
      <c r="A31" s="1">
        <v>46874</v>
      </c>
      <c r="B31">
        <v>300000</v>
      </c>
      <c r="C31">
        <v>0</v>
      </c>
      <c r="D31">
        <f t="shared" si="0"/>
        <v>300000</v>
      </c>
      <c r="E31">
        <v>27949.19</v>
      </c>
      <c r="F31">
        <v>0</v>
      </c>
      <c r="G31">
        <f t="shared" si="1"/>
        <v>27949.19</v>
      </c>
      <c r="H31">
        <v>126861.61333333334</v>
      </c>
      <c r="I31">
        <v>0</v>
      </c>
      <c r="J31">
        <f t="shared" si="2"/>
        <v>126861.61333333334</v>
      </c>
      <c r="K31">
        <f t="shared" si="3"/>
        <v>1994284.2399999998</v>
      </c>
    </row>
    <row r="32" spans="1:11" x14ac:dyDescent="0.2">
      <c r="A32" s="1">
        <v>46905</v>
      </c>
      <c r="B32">
        <v>425000</v>
      </c>
      <c r="C32">
        <v>0</v>
      </c>
      <c r="D32">
        <f t="shared" si="0"/>
        <v>425000</v>
      </c>
      <c r="E32">
        <v>195219.46</v>
      </c>
      <c r="F32">
        <v>0</v>
      </c>
      <c r="G32">
        <f t="shared" si="1"/>
        <v>195219.46</v>
      </c>
      <c r="H32">
        <v>151990.21333333332</v>
      </c>
      <c r="I32">
        <v>0</v>
      </c>
      <c r="J32">
        <f t="shared" si="2"/>
        <v>151990.21333333332</v>
      </c>
      <c r="K32">
        <f t="shared" si="3"/>
        <v>2072074.5666666664</v>
      </c>
    </row>
    <row r="33" spans="1:11" x14ac:dyDescent="0.2">
      <c r="A33" s="1">
        <v>46935</v>
      </c>
      <c r="B33">
        <v>800000</v>
      </c>
      <c r="C33">
        <v>0</v>
      </c>
      <c r="D33">
        <f t="shared" si="0"/>
        <v>800000</v>
      </c>
      <c r="E33">
        <v>477146.625</v>
      </c>
      <c r="F33">
        <v>0</v>
      </c>
      <c r="G33">
        <f t="shared" si="1"/>
        <v>477146.625</v>
      </c>
      <c r="H33">
        <v>210407.45333333331</v>
      </c>
      <c r="I33">
        <v>0</v>
      </c>
      <c r="J33">
        <f t="shared" si="2"/>
        <v>210407.45333333331</v>
      </c>
      <c r="K33">
        <f t="shared" si="3"/>
        <v>2184520.4883333333</v>
      </c>
    </row>
    <row r="34" spans="1:11" x14ac:dyDescent="0.2">
      <c r="A34" s="1">
        <v>46966</v>
      </c>
      <c r="B34">
        <v>766314.77</v>
      </c>
      <c r="C34">
        <v>0</v>
      </c>
      <c r="D34">
        <f t="shared" si="0"/>
        <v>766314.77</v>
      </c>
      <c r="E34">
        <v>331822.80500000005</v>
      </c>
      <c r="F34">
        <v>0</v>
      </c>
      <c r="G34">
        <f t="shared" si="1"/>
        <v>331822.80500000005</v>
      </c>
      <c r="H34">
        <v>239416.70333333331</v>
      </c>
      <c r="I34">
        <v>0</v>
      </c>
      <c r="J34">
        <f t="shared" si="2"/>
        <v>239416.70333333331</v>
      </c>
      <c r="K34">
        <f t="shared" si="3"/>
        <v>2379595.75</v>
      </c>
    </row>
    <row r="35" spans="1:11" x14ac:dyDescent="0.2">
      <c r="A35" s="1">
        <v>46997</v>
      </c>
      <c r="B35">
        <v>300000</v>
      </c>
      <c r="C35">
        <v>0</v>
      </c>
      <c r="D35">
        <f t="shared" si="0"/>
        <v>300000</v>
      </c>
      <c r="E35">
        <v>63419.99</v>
      </c>
      <c r="F35">
        <v>0</v>
      </c>
      <c r="G35">
        <f t="shared" si="1"/>
        <v>63419.99</v>
      </c>
      <c r="H35">
        <v>181034.77000000002</v>
      </c>
      <c r="I35">
        <v>0</v>
      </c>
      <c r="J35">
        <f t="shared" si="2"/>
        <v>181034.77000000002</v>
      </c>
      <c r="K35">
        <f t="shared" si="3"/>
        <v>2435140.9899999998</v>
      </c>
    </row>
    <row r="36" spans="1:11" x14ac:dyDescent="0.2">
      <c r="A36" s="1">
        <v>47027</v>
      </c>
      <c r="B36">
        <v>140000</v>
      </c>
      <c r="C36">
        <v>0</v>
      </c>
      <c r="D36">
        <f t="shared" si="0"/>
        <v>140000</v>
      </c>
      <c r="E36">
        <v>53267.200000000004</v>
      </c>
      <c r="F36">
        <v>0</v>
      </c>
      <c r="G36">
        <f t="shared" si="1"/>
        <v>53267.200000000004</v>
      </c>
      <c r="H36">
        <v>102505.72</v>
      </c>
      <c r="I36">
        <v>0</v>
      </c>
      <c r="J36">
        <f t="shared" si="2"/>
        <v>102505.72</v>
      </c>
      <c r="K36">
        <f t="shared" si="3"/>
        <v>2419368.0699999994</v>
      </c>
    </row>
    <row r="37" spans="1:11" x14ac:dyDescent="0.2">
      <c r="A37" s="1">
        <v>47058</v>
      </c>
      <c r="B37">
        <v>110000</v>
      </c>
      <c r="C37">
        <v>0</v>
      </c>
      <c r="D37">
        <f t="shared" si="0"/>
        <v>110000</v>
      </c>
      <c r="E37">
        <v>44069.98</v>
      </c>
      <c r="F37">
        <v>0</v>
      </c>
      <c r="G37">
        <f t="shared" si="1"/>
        <v>44069.98</v>
      </c>
      <c r="H37">
        <v>91540.4</v>
      </c>
      <c r="I37">
        <v>0</v>
      </c>
      <c r="J37">
        <f t="shared" si="2"/>
        <v>91540.4</v>
      </c>
      <c r="K37">
        <f t="shared" si="3"/>
        <v>2393757.6899999995</v>
      </c>
    </row>
    <row r="38" spans="1:11" x14ac:dyDescent="0.2">
      <c r="A38" s="1">
        <v>47088</v>
      </c>
      <c r="B38">
        <v>180000</v>
      </c>
      <c r="C38">
        <v>0</v>
      </c>
      <c r="D38">
        <f t="shared" si="0"/>
        <v>180000</v>
      </c>
      <c r="E38">
        <v>58218.720000000001</v>
      </c>
      <c r="F38">
        <v>0</v>
      </c>
      <c r="G38">
        <f t="shared" si="1"/>
        <v>58218.720000000001</v>
      </c>
      <c r="H38">
        <v>105650</v>
      </c>
      <c r="I38">
        <v>0</v>
      </c>
      <c r="J38">
        <f t="shared" si="2"/>
        <v>105650</v>
      </c>
      <c r="K38">
        <f t="shared" si="3"/>
        <v>2409888.9699999993</v>
      </c>
    </row>
    <row r="39" spans="1:11" x14ac:dyDescent="0.2">
      <c r="A39" s="1">
        <v>47119</v>
      </c>
      <c r="B39">
        <v>160000</v>
      </c>
      <c r="C39">
        <v>0</v>
      </c>
      <c r="D39">
        <f t="shared" si="0"/>
        <v>160000</v>
      </c>
      <c r="E39">
        <v>31915.239999999998</v>
      </c>
      <c r="F39">
        <v>0</v>
      </c>
      <c r="G39">
        <f t="shared" si="1"/>
        <v>31915.239999999998</v>
      </c>
      <c r="H39">
        <v>103400.29999999999</v>
      </c>
      <c r="I39">
        <v>0</v>
      </c>
      <c r="J39">
        <f t="shared" si="2"/>
        <v>103400.29999999999</v>
      </c>
      <c r="K39">
        <f t="shared" si="3"/>
        <v>2434573.4299999992</v>
      </c>
    </row>
    <row r="40" spans="1:11" x14ac:dyDescent="0.2">
      <c r="A40" s="1">
        <v>47150</v>
      </c>
      <c r="B40">
        <v>180000</v>
      </c>
      <c r="C40">
        <v>0</v>
      </c>
      <c r="D40">
        <f t="shared" si="0"/>
        <v>180000</v>
      </c>
      <c r="E40">
        <v>88444.800000000003</v>
      </c>
      <c r="F40">
        <v>0</v>
      </c>
      <c r="G40">
        <f t="shared" si="1"/>
        <v>88444.800000000003</v>
      </c>
      <c r="H40">
        <v>127900.1</v>
      </c>
      <c r="I40">
        <v>0</v>
      </c>
      <c r="J40">
        <f t="shared" si="2"/>
        <v>127900.1</v>
      </c>
      <c r="K40">
        <f t="shared" si="3"/>
        <v>2398228.5299999993</v>
      </c>
    </row>
    <row r="41" spans="1:11" x14ac:dyDescent="0.2">
      <c r="A41" s="1">
        <v>47178</v>
      </c>
      <c r="B41">
        <v>130000</v>
      </c>
      <c r="C41">
        <v>0</v>
      </c>
      <c r="D41">
        <f t="shared" si="0"/>
        <v>130000</v>
      </c>
      <c r="E41">
        <v>41003.409999999996</v>
      </c>
      <c r="F41">
        <v>0</v>
      </c>
      <c r="G41">
        <f t="shared" si="1"/>
        <v>41003.409999999996</v>
      </c>
      <c r="H41">
        <v>112278.34999999999</v>
      </c>
      <c r="I41">
        <v>0</v>
      </c>
      <c r="J41">
        <f t="shared" si="2"/>
        <v>112278.34999999999</v>
      </c>
      <c r="K41">
        <f t="shared" si="3"/>
        <v>2374946.7699999991</v>
      </c>
    </row>
    <row r="42" spans="1:11" x14ac:dyDescent="0.2">
      <c r="A42" s="1">
        <v>47209</v>
      </c>
      <c r="B42">
        <v>200000</v>
      </c>
      <c r="C42">
        <v>0</v>
      </c>
      <c r="D42">
        <f t="shared" si="0"/>
        <v>200000</v>
      </c>
      <c r="E42">
        <v>55121.320000000007</v>
      </c>
      <c r="F42">
        <v>0</v>
      </c>
      <c r="G42">
        <f t="shared" si="1"/>
        <v>55121.320000000007</v>
      </c>
      <c r="H42">
        <v>140339.28999999998</v>
      </c>
      <c r="I42">
        <v>0</v>
      </c>
      <c r="J42">
        <f t="shared" si="2"/>
        <v>140339.28999999998</v>
      </c>
      <c r="K42">
        <f t="shared" si="3"/>
        <v>2379486.1599999992</v>
      </c>
    </row>
    <row r="43" spans="1:11" x14ac:dyDescent="0.2">
      <c r="A43" s="1">
        <v>47239</v>
      </c>
      <c r="B43">
        <v>300000</v>
      </c>
      <c r="C43">
        <v>0</v>
      </c>
      <c r="D43">
        <f t="shared" si="0"/>
        <v>300000</v>
      </c>
      <c r="E43">
        <v>27949.19</v>
      </c>
      <c r="F43">
        <v>0</v>
      </c>
      <c r="G43">
        <f t="shared" si="1"/>
        <v>27949.19</v>
      </c>
      <c r="H43">
        <v>126861.61333333334</v>
      </c>
      <c r="I43">
        <v>0</v>
      </c>
      <c r="J43">
        <f t="shared" si="2"/>
        <v>126861.61333333334</v>
      </c>
      <c r="K43">
        <f t="shared" si="3"/>
        <v>2524675.356666666</v>
      </c>
    </row>
    <row r="44" spans="1:11" x14ac:dyDescent="0.2">
      <c r="A44" s="1">
        <v>47270</v>
      </c>
      <c r="B44">
        <v>425000</v>
      </c>
      <c r="C44">
        <v>0</v>
      </c>
      <c r="D44">
        <f t="shared" si="0"/>
        <v>425000</v>
      </c>
      <c r="E44">
        <v>195219.46</v>
      </c>
      <c r="F44">
        <v>0</v>
      </c>
      <c r="G44">
        <f t="shared" si="1"/>
        <v>195219.46</v>
      </c>
      <c r="H44">
        <v>151990.21333333332</v>
      </c>
      <c r="I44">
        <v>0</v>
      </c>
      <c r="J44">
        <f t="shared" si="2"/>
        <v>151990.21333333332</v>
      </c>
      <c r="K44">
        <f t="shared" si="3"/>
        <v>2602465.6833333327</v>
      </c>
    </row>
    <row r="45" spans="1:11" x14ac:dyDescent="0.2">
      <c r="A45" s="1">
        <v>47300</v>
      </c>
      <c r="B45">
        <v>800000</v>
      </c>
      <c r="C45">
        <v>0</v>
      </c>
      <c r="D45">
        <f t="shared" si="0"/>
        <v>800000</v>
      </c>
      <c r="E45">
        <v>477146.625</v>
      </c>
      <c r="F45">
        <v>0</v>
      </c>
      <c r="G45">
        <f t="shared" si="1"/>
        <v>477146.625</v>
      </c>
      <c r="H45">
        <v>210407.45333333331</v>
      </c>
      <c r="I45">
        <v>0</v>
      </c>
      <c r="J45">
        <f t="shared" si="2"/>
        <v>210407.45333333331</v>
      </c>
      <c r="K45">
        <f t="shared" si="3"/>
        <v>2714911.6049999995</v>
      </c>
    </row>
    <row r="46" spans="1:11" x14ac:dyDescent="0.2">
      <c r="A46" s="1">
        <v>47331</v>
      </c>
      <c r="B46">
        <v>766314.77</v>
      </c>
      <c r="C46">
        <v>0</v>
      </c>
      <c r="D46">
        <f t="shared" si="0"/>
        <v>766314.77</v>
      </c>
      <c r="E46">
        <v>331822.80500000005</v>
      </c>
      <c r="F46">
        <v>0</v>
      </c>
      <c r="G46">
        <f t="shared" si="1"/>
        <v>331822.80500000005</v>
      </c>
      <c r="H46">
        <v>239416.70333333331</v>
      </c>
      <c r="I46">
        <v>0</v>
      </c>
      <c r="J46">
        <f t="shared" si="2"/>
        <v>239416.70333333331</v>
      </c>
      <c r="K46">
        <f t="shared" si="3"/>
        <v>2909986.8666666662</v>
      </c>
    </row>
    <row r="47" spans="1:11" x14ac:dyDescent="0.2">
      <c r="A47" s="1">
        <v>47362</v>
      </c>
      <c r="B47">
        <v>300000</v>
      </c>
      <c r="C47">
        <v>0</v>
      </c>
      <c r="D47">
        <f t="shared" si="0"/>
        <v>300000</v>
      </c>
      <c r="E47">
        <v>63419.99</v>
      </c>
      <c r="F47">
        <v>0</v>
      </c>
      <c r="G47">
        <f t="shared" si="1"/>
        <v>63419.99</v>
      </c>
      <c r="H47">
        <v>181034.77000000002</v>
      </c>
      <c r="I47">
        <v>0</v>
      </c>
      <c r="J47">
        <f t="shared" si="2"/>
        <v>181034.77000000002</v>
      </c>
      <c r="K47">
        <f t="shared" si="3"/>
        <v>2965532.106666666</v>
      </c>
    </row>
    <row r="48" spans="1:11" x14ac:dyDescent="0.2">
      <c r="A48" s="1">
        <v>47392</v>
      </c>
      <c r="B48">
        <v>140000</v>
      </c>
      <c r="C48">
        <v>0</v>
      </c>
      <c r="D48">
        <f t="shared" si="0"/>
        <v>140000</v>
      </c>
      <c r="E48">
        <v>53267.200000000004</v>
      </c>
      <c r="F48">
        <v>0</v>
      </c>
      <c r="G48">
        <f t="shared" si="1"/>
        <v>53267.200000000004</v>
      </c>
      <c r="H48">
        <v>102505.72</v>
      </c>
      <c r="I48">
        <v>0</v>
      </c>
      <c r="J48">
        <f t="shared" si="2"/>
        <v>102505.72</v>
      </c>
      <c r="K48">
        <f t="shared" si="3"/>
        <v>2949759.1866666656</v>
      </c>
    </row>
    <row r="49" spans="1:11" x14ac:dyDescent="0.2">
      <c r="A49" s="1">
        <v>47423</v>
      </c>
      <c r="B49">
        <v>110000</v>
      </c>
      <c r="C49">
        <v>0</v>
      </c>
      <c r="D49">
        <f t="shared" si="0"/>
        <v>110000</v>
      </c>
      <c r="E49">
        <v>44069.98</v>
      </c>
      <c r="F49">
        <v>0</v>
      </c>
      <c r="G49">
        <f t="shared" si="1"/>
        <v>44069.98</v>
      </c>
      <c r="H49">
        <v>91540.4</v>
      </c>
      <c r="I49">
        <v>0</v>
      </c>
      <c r="J49">
        <f t="shared" si="2"/>
        <v>91540.4</v>
      </c>
      <c r="K49">
        <f t="shared" si="3"/>
        <v>2924148.8066666657</v>
      </c>
    </row>
    <row r="50" spans="1:11" x14ac:dyDescent="0.2">
      <c r="A50" s="1">
        <v>47453</v>
      </c>
      <c r="B50">
        <v>180000</v>
      </c>
      <c r="C50">
        <v>0</v>
      </c>
      <c r="D50">
        <f t="shared" si="0"/>
        <v>180000</v>
      </c>
      <c r="E50">
        <v>58218.720000000001</v>
      </c>
      <c r="F50">
        <v>0</v>
      </c>
      <c r="G50">
        <f t="shared" si="1"/>
        <v>58218.720000000001</v>
      </c>
      <c r="H50">
        <v>105650</v>
      </c>
      <c r="I50">
        <v>0</v>
      </c>
      <c r="J50">
        <f t="shared" si="2"/>
        <v>105650</v>
      </c>
      <c r="K50">
        <f t="shared" si="3"/>
        <v>2940280.0866666655</v>
      </c>
    </row>
    <row r="51" spans="1:11" x14ac:dyDescent="0.2">
      <c r="A51" s="1">
        <v>47484</v>
      </c>
      <c r="B51">
        <v>160000</v>
      </c>
      <c r="C51">
        <v>0</v>
      </c>
      <c r="D51">
        <f t="shared" si="0"/>
        <v>160000</v>
      </c>
      <c r="E51">
        <v>31915.239999999998</v>
      </c>
      <c r="F51">
        <v>0</v>
      </c>
      <c r="G51">
        <f t="shared" si="1"/>
        <v>31915.239999999998</v>
      </c>
      <c r="H51">
        <v>103400.29999999999</v>
      </c>
      <c r="I51">
        <v>0</v>
      </c>
      <c r="J51">
        <f t="shared" si="2"/>
        <v>103400.29999999999</v>
      </c>
      <c r="K51">
        <f t="shared" si="3"/>
        <v>2964964.5466666655</v>
      </c>
    </row>
    <row r="52" spans="1:11" x14ac:dyDescent="0.2">
      <c r="A52" s="1">
        <v>47515</v>
      </c>
      <c r="B52">
        <v>180000</v>
      </c>
      <c r="C52">
        <v>0</v>
      </c>
      <c r="D52">
        <f t="shared" si="0"/>
        <v>180000</v>
      </c>
      <c r="E52">
        <v>88444.800000000003</v>
      </c>
      <c r="F52">
        <v>0</v>
      </c>
      <c r="G52">
        <f t="shared" si="1"/>
        <v>88444.800000000003</v>
      </c>
      <c r="H52">
        <v>127900.1</v>
      </c>
      <c r="I52">
        <v>0</v>
      </c>
      <c r="J52">
        <f t="shared" si="2"/>
        <v>127900.1</v>
      </c>
      <c r="K52">
        <f t="shared" si="3"/>
        <v>2928619.6466666656</v>
      </c>
    </row>
    <row r="53" spans="1:11" x14ac:dyDescent="0.2">
      <c r="A53" s="1">
        <v>47543</v>
      </c>
      <c r="B53">
        <v>130000</v>
      </c>
      <c r="C53">
        <v>0</v>
      </c>
      <c r="D53">
        <f t="shared" si="0"/>
        <v>130000</v>
      </c>
      <c r="E53">
        <v>41003.409999999996</v>
      </c>
      <c r="F53">
        <v>0</v>
      </c>
      <c r="G53">
        <f t="shared" si="1"/>
        <v>41003.409999999996</v>
      </c>
      <c r="H53">
        <v>112278.34999999999</v>
      </c>
      <c r="I53">
        <v>0</v>
      </c>
      <c r="J53">
        <f t="shared" si="2"/>
        <v>112278.34999999999</v>
      </c>
      <c r="K53">
        <f t="shared" si="3"/>
        <v>2905337.8866666653</v>
      </c>
    </row>
    <row r="54" spans="1:11" x14ac:dyDescent="0.2">
      <c r="A54" s="1">
        <v>47574</v>
      </c>
      <c r="B54">
        <v>200000</v>
      </c>
      <c r="C54">
        <v>0</v>
      </c>
      <c r="D54">
        <f t="shared" si="0"/>
        <v>200000</v>
      </c>
      <c r="E54">
        <v>55121.320000000007</v>
      </c>
      <c r="F54">
        <v>0</v>
      </c>
      <c r="G54">
        <f t="shared" si="1"/>
        <v>55121.320000000007</v>
      </c>
      <c r="H54">
        <v>140339.28999999998</v>
      </c>
      <c r="I54">
        <v>0</v>
      </c>
      <c r="J54">
        <f t="shared" si="2"/>
        <v>140339.28999999998</v>
      </c>
      <c r="K54">
        <f t="shared" si="3"/>
        <v>2909877.2766666654</v>
      </c>
    </row>
    <row r="55" spans="1:11" x14ac:dyDescent="0.2">
      <c r="A55" s="1">
        <v>47604</v>
      </c>
      <c r="B55">
        <v>300000</v>
      </c>
      <c r="C55">
        <v>0</v>
      </c>
      <c r="D55">
        <f t="shared" si="0"/>
        <v>300000</v>
      </c>
      <c r="E55">
        <v>27949.19</v>
      </c>
      <c r="F55">
        <v>0</v>
      </c>
      <c r="G55">
        <f t="shared" si="1"/>
        <v>27949.19</v>
      </c>
      <c r="H55">
        <v>126861.61333333334</v>
      </c>
      <c r="I55">
        <v>0</v>
      </c>
      <c r="J55">
        <f t="shared" si="2"/>
        <v>126861.61333333334</v>
      </c>
      <c r="K55">
        <f t="shared" si="3"/>
        <v>3055066.4733333322</v>
      </c>
    </row>
    <row r="56" spans="1:11" x14ac:dyDescent="0.2">
      <c r="A56" s="1">
        <v>47635</v>
      </c>
      <c r="B56">
        <v>425000</v>
      </c>
      <c r="C56">
        <v>0</v>
      </c>
      <c r="D56">
        <f t="shared" si="0"/>
        <v>425000</v>
      </c>
      <c r="E56">
        <v>195219.46</v>
      </c>
      <c r="F56">
        <v>0</v>
      </c>
      <c r="G56">
        <f t="shared" si="1"/>
        <v>195219.46</v>
      </c>
      <c r="H56">
        <v>151990.21333333332</v>
      </c>
      <c r="I56">
        <v>0</v>
      </c>
      <c r="J56">
        <f t="shared" si="2"/>
        <v>151990.21333333332</v>
      </c>
      <c r="K56">
        <f t="shared" si="3"/>
        <v>3132856.7999999989</v>
      </c>
    </row>
    <row r="57" spans="1:11" x14ac:dyDescent="0.2">
      <c r="A57" s="1">
        <v>47665</v>
      </c>
      <c r="B57">
        <v>800000</v>
      </c>
      <c r="C57">
        <v>0</v>
      </c>
      <c r="D57">
        <f t="shared" si="0"/>
        <v>800000</v>
      </c>
      <c r="E57">
        <v>477146.625</v>
      </c>
      <c r="F57">
        <v>0</v>
      </c>
      <c r="G57">
        <f t="shared" si="1"/>
        <v>477146.625</v>
      </c>
      <c r="H57">
        <v>210407.45333333331</v>
      </c>
      <c r="I57">
        <v>0</v>
      </c>
      <c r="J57">
        <f t="shared" si="2"/>
        <v>210407.45333333331</v>
      </c>
      <c r="K57">
        <f t="shared" si="3"/>
        <v>3245302.7216666657</v>
      </c>
    </row>
    <row r="58" spans="1:11" x14ac:dyDescent="0.2">
      <c r="A58" s="1">
        <v>47696</v>
      </c>
      <c r="B58">
        <v>766314.77</v>
      </c>
      <c r="C58">
        <v>0</v>
      </c>
      <c r="D58">
        <f t="shared" si="0"/>
        <v>766314.77</v>
      </c>
      <c r="E58">
        <v>331822.80500000005</v>
      </c>
      <c r="F58">
        <v>0</v>
      </c>
      <c r="G58">
        <f t="shared" si="1"/>
        <v>331822.80500000005</v>
      </c>
      <c r="H58">
        <v>239416.70333333331</v>
      </c>
      <c r="I58">
        <v>0</v>
      </c>
      <c r="J58">
        <f t="shared" si="2"/>
        <v>239416.70333333331</v>
      </c>
      <c r="K58">
        <f t="shared" si="3"/>
        <v>3440377.9833333325</v>
      </c>
    </row>
    <row r="59" spans="1:11" x14ac:dyDescent="0.2">
      <c r="A59" s="1">
        <v>47727</v>
      </c>
      <c r="B59">
        <v>300000</v>
      </c>
      <c r="C59">
        <v>0</v>
      </c>
      <c r="D59">
        <f t="shared" si="0"/>
        <v>300000</v>
      </c>
      <c r="E59">
        <v>63419.99</v>
      </c>
      <c r="F59">
        <v>0</v>
      </c>
      <c r="G59">
        <f t="shared" si="1"/>
        <v>63419.99</v>
      </c>
      <c r="H59">
        <v>181034.77000000002</v>
      </c>
      <c r="I59">
        <v>0</v>
      </c>
      <c r="J59">
        <f t="shared" si="2"/>
        <v>181034.77000000002</v>
      </c>
      <c r="K59">
        <f t="shared" si="3"/>
        <v>3495923.2233333322</v>
      </c>
    </row>
    <row r="60" spans="1:11" x14ac:dyDescent="0.2">
      <c r="A60" s="1">
        <v>47757</v>
      </c>
      <c r="B60">
        <v>140000</v>
      </c>
      <c r="C60">
        <v>0</v>
      </c>
      <c r="D60">
        <f t="shared" si="0"/>
        <v>140000</v>
      </c>
      <c r="E60">
        <v>53267.200000000004</v>
      </c>
      <c r="F60">
        <v>0</v>
      </c>
      <c r="G60">
        <f t="shared" si="1"/>
        <v>53267.200000000004</v>
      </c>
      <c r="H60">
        <v>102505.72</v>
      </c>
      <c r="I60">
        <v>0</v>
      </c>
      <c r="J60">
        <f t="shared" si="2"/>
        <v>102505.72</v>
      </c>
      <c r="K60">
        <f t="shared" si="3"/>
        <v>3480150.3033333318</v>
      </c>
    </row>
    <row r="61" spans="1:11" x14ac:dyDescent="0.2">
      <c r="A61" s="1">
        <v>47788</v>
      </c>
      <c r="B61">
        <v>110000</v>
      </c>
      <c r="C61">
        <v>0</v>
      </c>
      <c r="D61">
        <f t="shared" si="0"/>
        <v>110000</v>
      </c>
      <c r="E61">
        <v>44069.98</v>
      </c>
      <c r="F61">
        <v>0</v>
      </c>
      <c r="G61">
        <f t="shared" si="1"/>
        <v>44069.98</v>
      </c>
      <c r="H61">
        <v>91540.4</v>
      </c>
      <c r="I61">
        <v>0</v>
      </c>
      <c r="J61">
        <f t="shared" si="2"/>
        <v>91540.4</v>
      </c>
      <c r="K61">
        <f t="shared" si="3"/>
        <v>3454539.9233333319</v>
      </c>
    </row>
    <row r="62" spans="1:11" x14ac:dyDescent="0.2">
      <c r="A62" s="1">
        <v>47818</v>
      </c>
      <c r="B62">
        <v>180000</v>
      </c>
      <c r="C62">
        <v>0</v>
      </c>
      <c r="D62">
        <f t="shared" si="0"/>
        <v>180000</v>
      </c>
      <c r="E62">
        <v>58218.720000000001</v>
      </c>
      <c r="F62">
        <v>0</v>
      </c>
      <c r="G62">
        <f t="shared" si="1"/>
        <v>58218.720000000001</v>
      </c>
      <c r="H62">
        <v>105650</v>
      </c>
      <c r="I62">
        <v>0</v>
      </c>
      <c r="J62">
        <f t="shared" si="2"/>
        <v>105650</v>
      </c>
      <c r="K62">
        <f t="shared" si="3"/>
        <v>3470671.2033333317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2026-02-25T22:26:23Z</dcterms:created>
  <dcterms:modified xsi:type="dcterms:W3CDTF">2026-02-25T22:36:06Z</dcterms:modified>
</cp:coreProperties>
</file>