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ic/Downloads/"/>
    </mc:Choice>
  </mc:AlternateContent>
  <xr:revisionPtr revIDLastSave="0" documentId="8_{88D49A9F-0B21-A747-BCC0-F04DAB12CC5F}" xr6:coauthVersionLast="47" xr6:coauthVersionMax="47" xr10:uidLastSave="{00000000-0000-0000-0000-000000000000}"/>
  <bookViews>
    <workbookView xWindow="37480" yWindow="5960" windowWidth="27840" windowHeight="16740" xr2:uid="{5A1A81B6-85F9-9040-874F-F7EE53407EE7}"/>
  </bookViews>
  <sheets>
    <sheet name="Apartamenty" sheetId="1" r:id="rId1"/>
  </sheets>
  <externalReferences>
    <externalReference r:id="rId2"/>
    <externalReference r:id="rId3"/>
  </externalReferences>
  <definedNames>
    <definedName name="ColumnTitle1">#REF!</definedName>
    <definedName name="HighlightDate">#REF!</definedName>
    <definedName name="lstMetrics">OFFSET(#REF!,0,0,COUNTA(#REF!))</definedName>
    <definedName name="lstYears">OFFSET(#REF!,0,1,1,COUNTA(#REF!)-1)</definedName>
    <definedName name="Łączne_wydatki_miesięczne">#REF!</definedName>
    <definedName name="Łączny_przychód_miesięczny">#REF!</definedName>
    <definedName name="NetIncome">#REF!</definedName>
    <definedName name="PŁATNOŚĆ_cykliczność">#REF!</definedName>
    <definedName name="SelectedYear">#REF!</definedName>
    <definedName name="Title1">#REF!</definedName>
    <definedName name="Tytuł_kolumny_region1..D4.1">#REF!</definedName>
    <definedName name="US_NAVY">#REF!</definedName>
    <definedName name="wart_wyróżnienia">IFERROR(IF(#REF!="tak", TRUE, FALSE),FALSE)</definedName>
    <definedName name="Years">[2]Calculations!$I$6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Y121" i="1" l="1"/>
  <c r="AAB121" i="1" s="1"/>
  <c r="ZX121" i="1"/>
  <c r="AAA121" i="1" s="1"/>
  <c r="ZD121" i="1"/>
  <c r="ZC121" i="1"/>
  <c r="ZA121" i="1"/>
  <c r="YZ121" i="1"/>
  <c r="YX121" i="1"/>
  <c r="YW121" i="1"/>
  <c r="YU121" i="1"/>
  <c r="YT121" i="1"/>
  <c r="ZF121" i="1" s="1"/>
  <c r="YO121" i="1"/>
  <c r="YN121" i="1"/>
  <c r="YL121" i="1"/>
  <c r="YK121" i="1"/>
  <c r="YI121" i="1"/>
  <c r="YH121" i="1"/>
  <c r="YF121" i="1"/>
  <c r="YE121" i="1"/>
  <c r="YQ121" i="1" s="1"/>
  <c r="XZ121" i="1"/>
  <c r="XY121" i="1"/>
  <c r="XW121" i="1"/>
  <c r="XV121" i="1"/>
  <c r="XT121" i="1"/>
  <c r="XS121" i="1"/>
  <c r="XQ121" i="1"/>
  <c r="XP121" i="1"/>
  <c r="YB121" i="1" s="1"/>
  <c r="VR121" i="1"/>
  <c r="VQ121" i="1"/>
  <c r="VO121" i="1"/>
  <c r="VN121" i="1"/>
  <c r="VL121" i="1"/>
  <c r="VK121" i="1"/>
  <c r="VI121" i="1"/>
  <c r="VH121" i="1"/>
  <c r="VT121" i="1" s="1"/>
  <c r="UN121" i="1"/>
  <c r="UM121" i="1"/>
  <c r="UK121" i="1"/>
  <c r="UJ121" i="1"/>
  <c r="UH121" i="1"/>
  <c r="UG121" i="1"/>
  <c r="UE121" i="1"/>
  <c r="UD121" i="1"/>
  <c r="UP121" i="1" s="1"/>
  <c r="TY121" i="1"/>
  <c r="TX121" i="1"/>
  <c r="TV121" i="1"/>
  <c r="TU121" i="1"/>
  <c r="TS121" i="1"/>
  <c r="TR121" i="1"/>
  <c r="TP121" i="1"/>
  <c r="TO121" i="1"/>
  <c r="UA121" i="1" s="1"/>
  <c r="TJ121" i="1"/>
  <c r="TI121" i="1"/>
  <c r="TG121" i="1"/>
  <c r="TF121" i="1"/>
  <c r="TD121" i="1"/>
  <c r="TC121" i="1"/>
  <c r="TA121" i="1"/>
  <c r="SZ121" i="1"/>
  <c r="TL121" i="1" s="1"/>
  <c r="SU121" i="1"/>
  <c r="ST121" i="1"/>
  <c r="SR121" i="1"/>
  <c r="SQ121" i="1"/>
  <c r="SO121" i="1"/>
  <c r="SN121" i="1"/>
  <c r="SL121" i="1"/>
  <c r="SK121" i="1"/>
  <c r="SW121" i="1" s="1"/>
  <c r="QM121" i="1"/>
  <c r="QL121" i="1"/>
  <c r="QJ121" i="1"/>
  <c r="QI121" i="1"/>
  <c r="QG121" i="1"/>
  <c r="QF121" i="1"/>
  <c r="QD121" i="1"/>
  <c r="QC121" i="1"/>
  <c r="QO121" i="1" s="1"/>
  <c r="PX121" i="1"/>
  <c r="PW121" i="1"/>
  <c r="PU121" i="1"/>
  <c r="PT121" i="1"/>
  <c r="PR121" i="1"/>
  <c r="PQ121" i="1"/>
  <c r="PO121" i="1"/>
  <c r="PN121" i="1"/>
  <c r="PZ121" i="1" s="1"/>
  <c r="PI121" i="1"/>
  <c r="PH121" i="1"/>
  <c r="PF121" i="1"/>
  <c r="PE121" i="1"/>
  <c r="PC121" i="1"/>
  <c r="PB121" i="1"/>
  <c r="OZ121" i="1"/>
  <c r="OY121" i="1"/>
  <c r="PK121" i="1" s="1"/>
  <c r="OT121" i="1"/>
  <c r="OS121" i="1"/>
  <c r="OQ121" i="1"/>
  <c r="OP121" i="1"/>
  <c r="ON121" i="1"/>
  <c r="OM121" i="1"/>
  <c r="OK121" i="1"/>
  <c r="OJ121" i="1"/>
  <c r="OV121" i="1" s="1"/>
  <c r="OE121" i="1"/>
  <c r="OD121" i="1"/>
  <c r="OB121" i="1"/>
  <c r="OA121" i="1"/>
  <c r="NY121" i="1"/>
  <c r="NX121" i="1"/>
  <c r="NV121" i="1"/>
  <c r="NP121" i="1"/>
  <c r="NO121" i="1"/>
  <c r="NM121" i="1"/>
  <c r="NL121" i="1"/>
  <c r="NJ121" i="1"/>
  <c r="NI121" i="1"/>
  <c r="NG121" i="1"/>
  <c r="NF121" i="1"/>
  <c r="NR121" i="1" s="1"/>
  <c r="NA121" i="1"/>
  <c r="MZ121" i="1"/>
  <c r="MX121" i="1"/>
  <c r="MW121" i="1"/>
  <c r="MU121" i="1"/>
  <c r="MT121" i="1"/>
  <c r="MR121" i="1"/>
  <c r="MQ121" i="1"/>
  <c r="NC121" i="1" s="1"/>
  <c r="ML121" i="1"/>
  <c r="MK121" i="1"/>
  <c r="MI121" i="1"/>
  <c r="MH121" i="1"/>
  <c r="MF121" i="1"/>
  <c r="ME121" i="1"/>
  <c r="MC121" i="1"/>
  <c r="LW121" i="1"/>
  <c r="LV121" i="1"/>
  <c r="LT121" i="1"/>
  <c r="LS121" i="1"/>
  <c r="LQ121" i="1"/>
  <c r="LP121" i="1"/>
  <c r="LN121" i="1"/>
  <c r="LM121" i="1"/>
  <c r="LY121" i="1" s="1"/>
  <c r="KS121" i="1"/>
  <c r="KR121" i="1"/>
  <c r="KP121" i="1"/>
  <c r="KO121" i="1"/>
  <c r="KM121" i="1"/>
  <c r="KL121" i="1"/>
  <c r="KJ121" i="1"/>
  <c r="KI121" i="1"/>
  <c r="KU121" i="1" s="1"/>
  <c r="IZ121" i="1"/>
  <c r="IY121" i="1"/>
  <c r="IW121" i="1"/>
  <c r="IV121" i="1"/>
  <c r="IT121" i="1"/>
  <c r="IS121" i="1"/>
  <c r="IQ121" i="1"/>
  <c r="IP121" i="1"/>
  <c r="JB121" i="1" s="1"/>
  <c r="IK121" i="1"/>
  <c r="IJ121" i="1"/>
  <c r="IH121" i="1"/>
  <c r="IG121" i="1"/>
  <c r="IE121" i="1"/>
  <c r="ID121" i="1"/>
  <c r="IB121" i="1"/>
  <c r="HV121" i="1"/>
  <c r="HU121" i="1"/>
  <c r="HS121" i="1"/>
  <c r="HR121" i="1"/>
  <c r="HP121" i="1"/>
  <c r="HO121" i="1"/>
  <c r="HM121" i="1"/>
  <c r="HL121" i="1"/>
  <c r="HX121" i="1" s="1"/>
  <c r="HG121" i="1"/>
  <c r="HF121" i="1"/>
  <c r="HD121" i="1"/>
  <c r="HC121" i="1"/>
  <c r="HA121" i="1"/>
  <c r="GZ121" i="1"/>
  <c r="GX121" i="1"/>
  <c r="GW121" i="1"/>
  <c r="HI121" i="1" s="1"/>
  <c r="GR121" i="1"/>
  <c r="GQ121" i="1"/>
  <c r="GO121" i="1"/>
  <c r="GN121" i="1"/>
  <c r="GL121" i="1"/>
  <c r="GK121" i="1"/>
  <c r="GI121" i="1"/>
  <c r="GH121" i="1"/>
  <c r="GT121" i="1" s="1"/>
  <c r="GC121" i="1"/>
  <c r="GB121" i="1"/>
  <c r="FZ121" i="1"/>
  <c r="FY121" i="1"/>
  <c r="FW121" i="1"/>
  <c r="FV121" i="1"/>
  <c r="FT121" i="1"/>
  <c r="FS121" i="1"/>
  <c r="GE121" i="1" s="1"/>
  <c r="FN121" i="1"/>
  <c r="FM121" i="1"/>
  <c r="FK121" i="1"/>
  <c r="FJ121" i="1"/>
  <c r="FH121" i="1"/>
  <c r="FG121" i="1"/>
  <c r="FE121" i="1"/>
  <c r="FD121" i="1"/>
  <c r="FP121" i="1" s="1"/>
  <c r="EY121" i="1"/>
  <c r="EX121" i="1"/>
  <c r="EV121" i="1"/>
  <c r="EU121" i="1"/>
  <c r="ES121" i="1"/>
  <c r="ER121" i="1"/>
  <c r="EP121" i="1"/>
  <c r="EO121" i="1"/>
  <c r="FA121" i="1" s="1"/>
  <c r="EJ121" i="1"/>
  <c r="EI121" i="1"/>
  <c r="EG121" i="1"/>
  <c r="EF121" i="1"/>
  <c r="ED121" i="1"/>
  <c r="EC121" i="1"/>
  <c r="EA121" i="1"/>
  <c r="DZ121" i="1"/>
  <c r="EL121" i="1" s="1"/>
  <c r="DU121" i="1"/>
  <c r="DT121" i="1"/>
  <c r="DR121" i="1"/>
  <c r="DQ121" i="1"/>
  <c r="DO121" i="1"/>
  <c r="DN121" i="1"/>
  <c r="DL121" i="1"/>
  <c r="DK121" i="1"/>
  <c r="DW121" i="1" s="1"/>
  <c r="DF121" i="1"/>
  <c r="DE121" i="1"/>
  <c r="DC121" i="1"/>
  <c r="DB121" i="1"/>
  <c r="CZ121" i="1"/>
  <c r="CY121" i="1"/>
  <c r="CW121" i="1"/>
  <c r="CV121" i="1"/>
  <c r="DH121" i="1" s="1"/>
  <c r="CQ121" i="1"/>
  <c r="CP121" i="1"/>
  <c r="CN121" i="1"/>
  <c r="CK121" i="1"/>
  <c r="CJ121" i="1"/>
  <c r="CH121" i="1"/>
  <c r="CG121" i="1"/>
  <c r="BM121" i="1"/>
  <c r="BL121" i="1"/>
  <c r="BJ121" i="1"/>
  <c r="BI121" i="1"/>
  <c r="BG121" i="1"/>
  <c r="BF121" i="1"/>
  <c r="BD121" i="1"/>
  <c r="BC121" i="1"/>
  <c r="BO121" i="1" s="1"/>
  <c r="AX121" i="1"/>
  <c r="AW121" i="1"/>
  <c r="AU121" i="1"/>
  <c r="AT121" i="1"/>
  <c r="AR121" i="1"/>
  <c r="AQ121" i="1"/>
  <c r="AO121" i="1"/>
  <c r="AN121" i="1"/>
  <c r="AZ121" i="1" s="1"/>
  <c r="T121" i="1"/>
  <c r="S121" i="1"/>
  <c r="Q121" i="1"/>
  <c r="P121" i="1"/>
  <c r="N121" i="1"/>
  <c r="M121" i="1"/>
  <c r="K121" i="1"/>
  <c r="J121" i="1"/>
  <c r="H121" i="1"/>
  <c r="AAB120" i="1"/>
  <c r="AAA120" i="1"/>
  <c r="AAC120" i="1" s="1"/>
  <c r="ZZ120" i="1"/>
  <c r="ZW120" i="1"/>
  <c r="ZG120" i="1"/>
  <c r="AAE120" i="1" s="1"/>
  <c r="ZF120" i="1"/>
  <c r="AAD120" i="1" s="1"/>
  <c r="ZE120" i="1"/>
  <c r="ZB120" i="1"/>
  <c r="YY120" i="1"/>
  <c r="YV120" i="1"/>
  <c r="YR120" i="1"/>
  <c r="YQ120" i="1"/>
  <c r="YS120" i="1" s="1"/>
  <c r="YP120" i="1"/>
  <c r="YM120" i="1"/>
  <c r="YJ120" i="1"/>
  <c r="YG120" i="1"/>
  <c r="YC120" i="1"/>
  <c r="YB120" i="1"/>
  <c r="YD120" i="1" s="1"/>
  <c r="YA120" i="1"/>
  <c r="XX120" i="1"/>
  <c r="XU120" i="1"/>
  <c r="XR120" i="1"/>
  <c r="VU120" i="1"/>
  <c r="VT120" i="1"/>
  <c r="VV120" i="1" s="1"/>
  <c r="VS120" i="1"/>
  <c r="VP120" i="1"/>
  <c r="VM120" i="1"/>
  <c r="VJ120" i="1"/>
  <c r="UQ120" i="1"/>
  <c r="UP120" i="1"/>
  <c r="UR120" i="1" s="1"/>
  <c r="UO120" i="1"/>
  <c r="UL120" i="1"/>
  <c r="UI120" i="1"/>
  <c r="UF120" i="1"/>
  <c r="UB120" i="1"/>
  <c r="UA120" i="1"/>
  <c r="UC120" i="1" s="1"/>
  <c r="TZ120" i="1"/>
  <c r="TW120" i="1"/>
  <c r="TT120" i="1"/>
  <c r="TQ120" i="1"/>
  <c r="TM120" i="1"/>
  <c r="TL120" i="1"/>
  <c r="TN120" i="1" s="1"/>
  <c r="TK120" i="1"/>
  <c r="TH120" i="1"/>
  <c r="TE120" i="1"/>
  <c r="TB120" i="1"/>
  <c r="SX120" i="1"/>
  <c r="SW120" i="1"/>
  <c r="SY120" i="1" s="1"/>
  <c r="SV120" i="1"/>
  <c r="SS120" i="1"/>
  <c r="SP120" i="1"/>
  <c r="SM120" i="1"/>
  <c r="SJ120" i="1"/>
  <c r="QP120" i="1"/>
  <c r="QO120" i="1"/>
  <c r="QQ120" i="1" s="1"/>
  <c r="QN120" i="1"/>
  <c r="QK120" i="1"/>
  <c r="QH120" i="1"/>
  <c r="QE120" i="1"/>
  <c r="QA120" i="1"/>
  <c r="PZ120" i="1"/>
  <c r="QB120" i="1" s="1"/>
  <c r="PY120" i="1"/>
  <c r="PV120" i="1"/>
  <c r="PS120" i="1"/>
  <c r="PP120" i="1"/>
  <c r="PL120" i="1"/>
  <c r="PK120" i="1"/>
  <c r="PM120" i="1" s="1"/>
  <c r="PJ120" i="1"/>
  <c r="PG120" i="1"/>
  <c r="PD120" i="1"/>
  <c r="PA120" i="1"/>
  <c r="OW120" i="1"/>
  <c r="OV120" i="1"/>
  <c r="OX120" i="1" s="1"/>
  <c r="OU120" i="1"/>
  <c r="OR120" i="1"/>
  <c r="OO120" i="1"/>
  <c r="OL120" i="1"/>
  <c r="OH120" i="1"/>
  <c r="OG120" i="1"/>
  <c r="OI120" i="1" s="1"/>
  <c r="OF120" i="1"/>
  <c r="OC120" i="1"/>
  <c r="NZ120" i="1"/>
  <c r="NW120" i="1"/>
  <c r="NS120" i="1"/>
  <c r="NR120" i="1"/>
  <c r="NT120" i="1" s="1"/>
  <c r="NQ120" i="1"/>
  <c r="NN120" i="1"/>
  <c r="NK120" i="1"/>
  <c r="NH120" i="1"/>
  <c r="ND120" i="1"/>
  <c r="NC120" i="1"/>
  <c r="NE120" i="1" s="1"/>
  <c r="NB120" i="1"/>
  <c r="MY120" i="1"/>
  <c r="MV120" i="1"/>
  <c r="MS120" i="1"/>
  <c r="MO120" i="1"/>
  <c r="MN120" i="1"/>
  <c r="MP120" i="1" s="1"/>
  <c r="MM120" i="1"/>
  <c r="MJ120" i="1"/>
  <c r="MG120" i="1"/>
  <c r="MD120" i="1"/>
  <c r="LZ120" i="1"/>
  <c r="LY120" i="1"/>
  <c r="MA120" i="1" s="1"/>
  <c r="LX120" i="1"/>
  <c r="LU120" i="1"/>
  <c r="LR120" i="1"/>
  <c r="LO120" i="1"/>
  <c r="KV120" i="1"/>
  <c r="KU120" i="1"/>
  <c r="KW120" i="1" s="1"/>
  <c r="KT120" i="1"/>
  <c r="KQ120" i="1"/>
  <c r="KN120" i="1"/>
  <c r="KK120" i="1"/>
  <c r="KH120" i="1"/>
  <c r="JC120" i="1"/>
  <c r="JB120" i="1"/>
  <c r="JD120" i="1" s="1"/>
  <c r="JA120" i="1"/>
  <c r="IX120" i="1"/>
  <c r="IU120" i="1"/>
  <c r="IR120" i="1"/>
  <c r="IN120" i="1"/>
  <c r="IM120" i="1"/>
  <c r="IO120" i="1" s="1"/>
  <c r="IL120" i="1"/>
  <c r="II120" i="1"/>
  <c r="IF120" i="1"/>
  <c r="IC120" i="1"/>
  <c r="HY120" i="1"/>
  <c r="HX120" i="1"/>
  <c r="HZ120" i="1" s="1"/>
  <c r="HW120" i="1"/>
  <c r="HT120" i="1"/>
  <c r="HQ120" i="1"/>
  <c r="HN120" i="1"/>
  <c r="HJ120" i="1"/>
  <c r="HI120" i="1"/>
  <c r="HK120" i="1" s="1"/>
  <c r="HH120" i="1"/>
  <c r="HE120" i="1"/>
  <c r="HB120" i="1"/>
  <c r="GY120" i="1"/>
  <c r="GU120" i="1"/>
  <c r="GT120" i="1"/>
  <c r="GV120" i="1" s="1"/>
  <c r="GS120" i="1"/>
  <c r="GP120" i="1"/>
  <c r="GM120" i="1"/>
  <c r="GJ120" i="1"/>
  <c r="GF120" i="1"/>
  <c r="GE120" i="1"/>
  <c r="GG120" i="1" s="1"/>
  <c r="GD120" i="1"/>
  <c r="GA120" i="1"/>
  <c r="FX120" i="1"/>
  <c r="FU120" i="1"/>
  <c r="FQ120" i="1"/>
  <c r="FP120" i="1"/>
  <c r="FR120" i="1" s="1"/>
  <c r="FO120" i="1"/>
  <c r="FL120" i="1"/>
  <c r="FI120" i="1"/>
  <c r="FF120" i="1"/>
  <c r="FB120" i="1"/>
  <c r="FA120" i="1"/>
  <c r="FC120" i="1" s="1"/>
  <c r="EZ120" i="1"/>
  <c r="EW120" i="1"/>
  <c r="ET120" i="1"/>
  <c r="EQ120" i="1"/>
  <c r="EM120" i="1"/>
  <c r="EL120" i="1"/>
  <c r="EN120" i="1" s="1"/>
  <c r="EK120" i="1"/>
  <c r="EH120" i="1"/>
  <c r="EE120" i="1"/>
  <c r="EB120" i="1"/>
  <c r="DX120" i="1"/>
  <c r="DW120" i="1"/>
  <c r="DY120" i="1" s="1"/>
  <c r="DV120" i="1"/>
  <c r="DS120" i="1"/>
  <c r="DP120" i="1"/>
  <c r="DM120" i="1"/>
  <c r="DI120" i="1"/>
  <c r="DH120" i="1"/>
  <c r="DJ120" i="1" s="1"/>
  <c r="DG120" i="1"/>
  <c r="DD120" i="1"/>
  <c r="DA120" i="1"/>
  <c r="CX120" i="1"/>
  <c r="CT120" i="1"/>
  <c r="CS120" i="1"/>
  <c r="CU120" i="1" s="1"/>
  <c r="CR120" i="1"/>
  <c r="CO120" i="1"/>
  <c r="CL120" i="1"/>
  <c r="CI120" i="1"/>
  <c r="CF120" i="1"/>
  <c r="BP120" i="1"/>
  <c r="BO120" i="1"/>
  <c r="BQ120" i="1" s="1"/>
  <c r="BN120" i="1"/>
  <c r="BK120" i="1"/>
  <c r="BH120" i="1"/>
  <c r="BE120" i="1"/>
  <c r="BA120" i="1"/>
  <c r="AZ120" i="1"/>
  <c r="BB120" i="1" s="1"/>
  <c r="AY120" i="1"/>
  <c r="AV120" i="1"/>
  <c r="AS120" i="1"/>
  <c r="AP120" i="1"/>
  <c r="AM120" i="1"/>
  <c r="W120" i="1"/>
  <c r="V120" i="1"/>
  <c r="X120" i="1" s="1"/>
  <c r="U120" i="1"/>
  <c r="R120" i="1"/>
  <c r="O120" i="1"/>
  <c r="L120" i="1"/>
  <c r="I120" i="1"/>
  <c r="AAB119" i="1"/>
  <c r="AAA119" i="1"/>
  <c r="AAC119" i="1" s="1"/>
  <c r="ZZ119" i="1"/>
  <c r="ZW119" i="1"/>
  <c r="ZG119" i="1"/>
  <c r="AAE119" i="1" s="1"/>
  <c r="ZF119" i="1"/>
  <c r="AAD119" i="1" s="1"/>
  <c r="ZE119" i="1"/>
  <c r="ZB119" i="1"/>
  <c r="YY119" i="1"/>
  <c r="YV119" i="1"/>
  <c r="YR119" i="1"/>
  <c r="YQ119" i="1"/>
  <c r="YS119" i="1" s="1"/>
  <c r="YP119" i="1"/>
  <c r="YM119" i="1"/>
  <c r="YJ119" i="1"/>
  <c r="YG119" i="1"/>
  <c r="YC119" i="1"/>
  <c r="YB119" i="1"/>
  <c r="YD119" i="1" s="1"/>
  <c r="YA119" i="1"/>
  <c r="XX119" i="1"/>
  <c r="XU119" i="1"/>
  <c r="XR119" i="1"/>
  <c r="VU119" i="1"/>
  <c r="VT119" i="1"/>
  <c r="VV119" i="1" s="1"/>
  <c r="VS119" i="1"/>
  <c r="VP119" i="1"/>
  <c r="VM119" i="1"/>
  <c r="VJ119" i="1"/>
  <c r="UQ119" i="1"/>
  <c r="UP119" i="1"/>
  <c r="UR119" i="1" s="1"/>
  <c r="UO119" i="1"/>
  <c r="UL119" i="1"/>
  <c r="UI119" i="1"/>
  <c r="UF119" i="1"/>
  <c r="UB119" i="1"/>
  <c r="UA119" i="1"/>
  <c r="UC119" i="1" s="1"/>
  <c r="TZ119" i="1"/>
  <c r="TW119" i="1"/>
  <c r="TT119" i="1"/>
  <c r="TQ119" i="1"/>
  <c r="TM119" i="1"/>
  <c r="TL119" i="1"/>
  <c r="TN119" i="1" s="1"/>
  <c r="TK119" i="1"/>
  <c r="TH119" i="1"/>
  <c r="TE119" i="1"/>
  <c r="TB119" i="1"/>
  <c r="SX119" i="1"/>
  <c r="SW119" i="1"/>
  <c r="SY119" i="1" s="1"/>
  <c r="SV119" i="1"/>
  <c r="SS119" i="1"/>
  <c r="SP119" i="1"/>
  <c r="SM119" i="1"/>
  <c r="SJ119" i="1"/>
  <c r="QP119" i="1"/>
  <c r="QO119" i="1"/>
  <c r="QQ119" i="1" s="1"/>
  <c r="QN119" i="1"/>
  <c r="QK119" i="1"/>
  <c r="QH119" i="1"/>
  <c r="QE119" i="1"/>
  <c r="QA119" i="1"/>
  <c r="PZ119" i="1"/>
  <c r="QB119" i="1" s="1"/>
  <c r="PY119" i="1"/>
  <c r="PV119" i="1"/>
  <c r="PS119" i="1"/>
  <c r="PP119" i="1"/>
  <c r="PL119" i="1"/>
  <c r="PK119" i="1"/>
  <c r="PM119" i="1" s="1"/>
  <c r="PJ119" i="1"/>
  <c r="PG119" i="1"/>
  <c r="PD119" i="1"/>
  <c r="PA119" i="1"/>
  <c r="OW119" i="1"/>
  <c r="OV119" i="1"/>
  <c r="OX119" i="1" s="1"/>
  <c r="OU119" i="1"/>
  <c r="OR119" i="1"/>
  <c r="OO119" i="1"/>
  <c r="OL119" i="1"/>
  <c r="OH119" i="1"/>
  <c r="OG119" i="1"/>
  <c r="OI119" i="1" s="1"/>
  <c r="OF119" i="1"/>
  <c r="OC119" i="1"/>
  <c r="NZ119" i="1"/>
  <c r="NW119" i="1"/>
  <c r="NS119" i="1"/>
  <c r="NR119" i="1"/>
  <c r="NT119" i="1" s="1"/>
  <c r="NQ119" i="1"/>
  <c r="NN119" i="1"/>
  <c r="NK119" i="1"/>
  <c r="NH119" i="1"/>
  <c r="ND119" i="1"/>
  <c r="NC119" i="1"/>
  <c r="NE119" i="1" s="1"/>
  <c r="NB119" i="1"/>
  <c r="MY119" i="1"/>
  <c r="MV119" i="1"/>
  <c r="MS119" i="1"/>
  <c r="MO119" i="1"/>
  <c r="MN119" i="1"/>
  <c r="MP119" i="1" s="1"/>
  <c r="MM119" i="1"/>
  <c r="MJ119" i="1"/>
  <c r="MG119" i="1"/>
  <c r="MD119" i="1"/>
  <c r="LZ119" i="1"/>
  <c r="LY119" i="1"/>
  <c r="MA119" i="1" s="1"/>
  <c r="LX119" i="1"/>
  <c r="LU119" i="1"/>
  <c r="LR119" i="1"/>
  <c r="LO119" i="1"/>
  <c r="KV119" i="1"/>
  <c r="KU119" i="1"/>
  <c r="KW119" i="1" s="1"/>
  <c r="KT119" i="1"/>
  <c r="KQ119" i="1"/>
  <c r="KN119" i="1"/>
  <c r="KK119" i="1"/>
  <c r="KH119" i="1"/>
  <c r="JC119" i="1"/>
  <c r="JB119" i="1"/>
  <c r="JD119" i="1" s="1"/>
  <c r="JA119" i="1"/>
  <c r="IX119" i="1"/>
  <c r="IU119" i="1"/>
  <c r="IR119" i="1"/>
  <c r="IN119" i="1"/>
  <c r="IM119" i="1"/>
  <c r="IO119" i="1" s="1"/>
  <c r="IL119" i="1"/>
  <c r="II119" i="1"/>
  <c r="IF119" i="1"/>
  <c r="IC119" i="1"/>
  <c r="HY119" i="1"/>
  <c r="HX119" i="1"/>
  <c r="HZ119" i="1" s="1"/>
  <c r="HW119" i="1"/>
  <c r="HT119" i="1"/>
  <c r="HQ119" i="1"/>
  <c r="HN119" i="1"/>
  <c r="HJ119" i="1"/>
  <c r="HI119" i="1"/>
  <c r="HK119" i="1" s="1"/>
  <c r="HH119" i="1"/>
  <c r="HE119" i="1"/>
  <c r="HB119" i="1"/>
  <c r="GY119" i="1"/>
  <c r="GU119" i="1"/>
  <c r="GT119" i="1"/>
  <c r="GV119" i="1" s="1"/>
  <c r="GS119" i="1"/>
  <c r="GP119" i="1"/>
  <c r="GM119" i="1"/>
  <c r="GJ119" i="1"/>
  <c r="GF119" i="1"/>
  <c r="GE119" i="1"/>
  <c r="GG119" i="1" s="1"/>
  <c r="GD119" i="1"/>
  <c r="GA119" i="1"/>
  <c r="FX119" i="1"/>
  <c r="FU119" i="1"/>
  <c r="FR119" i="1"/>
  <c r="FQ119" i="1"/>
  <c r="FP119" i="1"/>
  <c r="FO119" i="1"/>
  <c r="FL119" i="1"/>
  <c r="FI119" i="1"/>
  <c r="FF119" i="1"/>
  <c r="FB119" i="1"/>
  <c r="FA119" i="1"/>
  <c r="FC119" i="1" s="1"/>
  <c r="EZ119" i="1"/>
  <c r="EW119" i="1"/>
  <c r="ET119" i="1"/>
  <c r="EQ119" i="1"/>
  <c r="EM119" i="1"/>
  <c r="EL119" i="1"/>
  <c r="EN119" i="1" s="1"/>
  <c r="EK119" i="1"/>
  <c r="EH119" i="1"/>
  <c r="EE119" i="1"/>
  <c r="EB119" i="1"/>
  <c r="DX119" i="1"/>
  <c r="DW119" i="1"/>
  <c r="DY119" i="1" s="1"/>
  <c r="DV119" i="1"/>
  <c r="DS119" i="1"/>
  <c r="DP119" i="1"/>
  <c r="DM119" i="1"/>
  <c r="DI119" i="1"/>
  <c r="DH119" i="1"/>
  <c r="DJ119" i="1" s="1"/>
  <c r="DG119" i="1"/>
  <c r="DD119" i="1"/>
  <c r="DA119" i="1"/>
  <c r="CX119" i="1"/>
  <c r="CT119" i="1"/>
  <c r="CS119" i="1"/>
  <c r="CU119" i="1" s="1"/>
  <c r="CR119" i="1"/>
  <c r="CO119" i="1"/>
  <c r="CL119" i="1"/>
  <c r="CI119" i="1"/>
  <c r="CF119" i="1"/>
  <c r="BP119" i="1"/>
  <c r="BO119" i="1"/>
  <c r="BQ119" i="1" s="1"/>
  <c r="BN119" i="1"/>
  <c r="BK119" i="1"/>
  <c r="BH119" i="1"/>
  <c r="BE119" i="1"/>
  <c r="BA119" i="1"/>
  <c r="AZ119" i="1"/>
  <c r="BB119" i="1" s="1"/>
  <c r="AY119" i="1"/>
  <c r="AV119" i="1"/>
  <c r="AS119" i="1"/>
  <c r="AP119" i="1"/>
  <c r="AM119" i="1"/>
  <c r="W119" i="1"/>
  <c r="V119" i="1"/>
  <c r="X119" i="1" s="1"/>
  <c r="U119" i="1"/>
  <c r="R119" i="1"/>
  <c r="O119" i="1"/>
  <c r="L119" i="1"/>
  <c r="I119" i="1"/>
  <c r="AAB118" i="1"/>
  <c r="AAA118" i="1"/>
  <c r="AAC118" i="1" s="1"/>
  <c r="ZZ118" i="1"/>
  <c r="ZW118" i="1"/>
  <c r="ZG118" i="1"/>
  <c r="AAE118" i="1" s="1"/>
  <c r="ZF118" i="1"/>
  <c r="AAD118" i="1" s="1"/>
  <c r="ZE118" i="1"/>
  <c r="ZB118" i="1"/>
  <c r="YY118" i="1"/>
  <c r="YV118" i="1"/>
  <c r="YR118" i="1"/>
  <c r="YQ118" i="1"/>
  <c r="YS118" i="1" s="1"/>
  <c r="YP118" i="1"/>
  <c r="YM118" i="1"/>
  <c r="YJ118" i="1"/>
  <c r="YG118" i="1"/>
  <c r="YC118" i="1"/>
  <c r="YB118" i="1"/>
  <c r="YD118" i="1" s="1"/>
  <c r="YA118" i="1"/>
  <c r="XX118" i="1"/>
  <c r="XU118" i="1"/>
  <c r="XR118" i="1"/>
  <c r="VU118" i="1"/>
  <c r="VT118" i="1"/>
  <c r="VV118" i="1" s="1"/>
  <c r="VS118" i="1"/>
  <c r="VP118" i="1"/>
  <c r="VM118" i="1"/>
  <c r="VJ118" i="1"/>
  <c r="UQ118" i="1"/>
  <c r="UP118" i="1"/>
  <c r="UR118" i="1" s="1"/>
  <c r="UO118" i="1"/>
  <c r="UL118" i="1"/>
  <c r="UI118" i="1"/>
  <c r="UF118" i="1"/>
  <c r="UB118" i="1"/>
  <c r="UA118" i="1"/>
  <c r="UC118" i="1" s="1"/>
  <c r="TZ118" i="1"/>
  <c r="TW118" i="1"/>
  <c r="TT118" i="1"/>
  <c r="TQ118" i="1"/>
  <c r="TM118" i="1"/>
  <c r="TL118" i="1"/>
  <c r="TN118" i="1" s="1"/>
  <c r="TK118" i="1"/>
  <c r="TH118" i="1"/>
  <c r="TE118" i="1"/>
  <c r="TB118" i="1"/>
  <c r="SX118" i="1"/>
  <c r="SW118" i="1"/>
  <c r="SY118" i="1" s="1"/>
  <c r="SV118" i="1"/>
  <c r="SS118" i="1"/>
  <c r="SP118" i="1"/>
  <c r="SM118" i="1"/>
  <c r="SJ118" i="1"/>
  <c r="QP118" i="1"/>
  <c r="QO118" i="1"/>
  <c r="QQ118" i="1" s="1"/>
  <c r="QN118" i="1"/>
  <c r="QK118" i="1"/>
  <c r="QH118" i="1"/>
  <c r="QE118" i="1"/>
  <c r="QA118" i="1"/>
  <c r="PZ118" i="1"/>
  <c r="QB118" i="1" s="1"/>
  <c r="PY118" i="1"/>
  <c r="PV118" i="1"/>
  <c r="PS118" i="1"/>
  <c r="PP118" i="1"/>
  <c r="PL118" i="1"/>
  <c r="PK118" i="1"/>
  <c r="PM118" i="1" s="1"/>
  <c r="PJ118" i="1"/>
  <c r="PG118" i="1"/>
  <c r="PD118" i="1"/>
  <c r="PA118" i="1"/>
  <c r="OW118" i="1"/>
  <c r="OV118" i="1"/>
  <c r="OX118" i="1" s="1"/>
  <c r="OU118" i="1"/>
  <c r="OR118" i="1"/>
  <c r="OO118" i="1"/>
  <c r="OL118" i="1"/>
  <c r="OH118" i="1"/>
  <c r="OG118" i="1"/>
  <c r="OI118" i="1" s="1"/>
  <c r="OF118" i="1"/>
  <c r="OC118" i="1"/>
  <c r="NZ118" i="1"/>
  <c r="NW118" i="1"/>
  <c r="NS118" i="1"/>
  <c r="NR118" i="1"/>
  <c r="NT118" i="1" s="1"/>
  <c r="NQ118" i="1"/>
  <c r="NN118" i="1"/>
  <c r="NK118" i="1"/>
  <c r="NH118" i="1"/>
  <c r="ND118" i="1"/>
  <c r="NC118" i="1"/>
  <c r="NE118" i="1" s="1"/>
  <c r="NB118" i="1"/>
  <c r="MY118" i="1"/>
  <c r="MV118" i="1"/>
  <c r="MS118" i="1"/>
  <c r="MO118" i="1"/>
  <c r="MN118" i="1"/>
  <c r="MP118" i="1" s="1"/>
  <c r="MM118" i="1"/>
  <c r="MJ118" i="1"/>
  <c r="MG118" i="1"/>
  <c r="MD118" i="1"/>
  <c r="LZ118" i="1"/>
  <c r="LY118" i="1"/>
  <c r="MA118" i="1" s="1"/>
  <c r="LX118" i="1"/>
  <c r="LU118" i="1"/>
  <c r="LR118" i="1"/>
  <c r="LO118" i="1"/>
  <c r="KV118" i="1"/>
  <c r="KU118" i="1"/>
  <c r="KW118" i="1" s="1"/>
  <c r="KT118" i="1"/>
  <c r="KQ118" i="1"/>
  <c r="KN118" i="1"/>
  <c r="KK118" i="1"/>
  <c r="KH118" i="1"/>
  <c r="JC118" i="1"/>
  <c r="JB118" i="1"/>
  <c r="JD118" i="1" s="1"/>
  <c r="JA118" i="1"/>
  <c r="IX118" i="1"/>
  <c r="IU118" i="1"/>
  <c r="IR118" i="1"/>
  <c r="IN118" i="1"/>
  <c r="IM118" i="1"/>
  <c r="IO118" i="1" s="1"/>
  <c r="IL118" i="1"/>
  <c r="II118" i="1"/>
  <c r="IF118" i="1"/>
  <c r="IC118" i="1"/>
  <c r="HY118" i="1"/>
  <c r="HX118" i="1"/>
  <c r="HZ118" i="1" s="1"/>
  <c r="HW118" i="1"/>
  <c r="HT118" i="1"/>
  <c r="HQ118" i="1"/>
  <c r="HN118" i="1"/>
  <c r="HJ118" i="1"/>
  <c r="HI118" i="1"/>
  <c r="HK118" i="1" s="1"/>
  <c r="HH118" i="1"/>
  <c r="HE118" i="1"/>
  <c r="HB118" i="1"/>
  <c r="GY118" i="1"/>
  <c r="GU118" i="1"/>
  <c r="GT118" i="1"/>
  <c r="GV118" i="1" s="1"/>
  <c r="GS118" i="1"/>
  <c r="GP118" i="1"/>
  <c r="GM118" i="1"/>
  <c r="GJ118" i="1"/>
  <c r="GF118" i="1"/>
  <c r="GE118" i="1"/>
  <c r="GG118" i="1" s="1"/>
  <c r="GD118" i="1"/>
  <c r="GA118" i="1"/>
  <c r="FX118" i="1"/>
  <c r="FU118" i="1"/>
  <c r="FQ118" i="1"/>
  <c r="FP118" i="1"/>
  <c r="FR118" i="1" s="1"/>
  <c r="FO118" i="1"/>
  <c r="FL118" i="1"/>
  <c r="FI118" i="1"/>
  <c r="FF118" i="1"/>
  <c r="FB118" i="1"/>
  <c r="FA118" i="1"/>
  <c r="FC118" i="1" s="1"/>
  <c r="EZ118" i="1"/>
  <c r="EW118" i="1"/>
  <c r="ET118" i="1"/>
  <c r="EQ118" i="1"/>
  <c r="EM118" i="1"/>
  <c r="EL118" i="1"/>
  <c r="EN118" i="1" s="1"/>
  <c r="EK118" i="1"/>
  <c r="EH118" i="1"/>
  <c r="EE118" i="1"/>
  <c r="EB118" i="1"/>
  <c r="DX118" i="1"/>
  <c r="DW118" i="1"/>
  <c r="DY118" i="1" s="1"/>
  <c r="DV118" i="1"/>
  <c r="DS118" i="1"/>
  <c r="DP118" i="1"/>
  <c r="DM118" i="1"/>
  <c r="DI118" i="1"/>
  <c r="DH118" i="1"/>
  <c r="DJ118" i="1" s="1"/>
  <c r="DG118" i="1"/>
  <c r="DD118" i="1"/>
  <c r="DA118" i="1"/>
  <c r="CX118" i="1"/>
  <c r="CT118" i="1"/>
  <c r="CS118" i="1"/>
  <c r="CU118" i="1" s="1"/>
  <c r="CR118" i="1"/>
  <c r="CO118" i="1"/>
  <c r="CL118" i="1"/>
  <c r="CI118" i="1"/>
  <c r="CF118" i="1"/>
  <c r="BP118" i="1"/>
  <c r="BO118" i="1"/>
  <c r="BQ118" i="1" s="1"/>
  <c r="BN118" i="1"/>
  <c r="BK118" i="1"/>
  <c r="BH118" i="1"/>
  <c r="BE118" i="1"/>
  <c r="BA118" i="1"/>
  <c r="AZ118" i="1"/>
  <c r="BB118" i="1" s="1"/>
  <c r="AY118" i="1"/>
  <c r="AV118" i="1"/>
  <c r="AS118" i="1"/>
  <c r="AP118" i="1"/>
  <c r="AM118" i="1"/>
  <c r="W118" i="1"/>
  <c r="V118" i="1"/>
  <c r="X118" i="1" s="1"/>
  <c r="U118" i="1"/>
  <c r="R118" i="1"/>
  <c r="O118" i="1"/>
  <c r="L118" i="1"/>
  <c r="I118" i="1"/>
  <c r="AAB117" i="1"/>
  <c r="AAA117" i="1"/>
  <c r="AAC117" i="1" s="1"/>
  <c r="ZZ117" i="1"/>
  <c r="ZW117" i="1"/>
  <c r="ZG117" i="1"/>
  <c r="AAE117" i="1" s="1"/>
  <c r="ZF117" i="1"/>
  <c r="AAD117" i="1" s="1"/>
  <c r="ZE117" i="1"/>
  <c r="ZB117" i="1"/>
  <c r="YY117" i="1"/>
  <c r="YV117" i="1"/>
  <c r="YR117" i="1"/>
  <c r="YQ117" i="1"/>
  <c r="YS117" i="1" s="1"/>
  <c r="YP117" i="1"/>
  <c r="YM117" i="1"/>
  <c r="YJ117" i="1"/>
  <c r="YG117" i="1"/>
  <c r="YC117" i="1"/>
  <c r="YB117" i="1"/>
  <c r="YD117" i="1" s="1"/>
  <c r="YA117" i="1"/>
  <c r="XX117" i="1"/>
  <c r="XU117" i="1"/>
  <c r="XR117" i="1"/>
  <c r="VU117" i="1"/>
  <c r="VT117" i="1"/>
  <c r="VV117" i="1" s="1"/>
  <c r="VS117" i="1"/>
  <c r="VP117" i="1"/>
  <c r="VM117" i="1"/>
  <c r="VJ117" i="1"/>
  <c r="UQ117" i="1"/>
  <c r="UP117" i="1"/>
  <c r="UR117" i="1" s="1"/>
  <c r="UO117" i="1"/>
  <c r="UL117" i="1"/>
  <c r="UI117" i="1"/>
  <c r="UF117" i="1"/>
  <c r="UB117" i="1"/>
  <c r="UA117" i="1"/>
  <c r="UC117" i="1" s="1"/>
  <c r="TZ117" i="1"/>
  <c r="TW117" i="1"/>
  <c r="TT117" i="1"/>
  <c r="TQ117" i="1"/>
  <c r="TM117" i="1"/>
  <c r="TL117" i="1"/>
  <c r="TN117" i="1" s="1"/>
  <c r="TK117" i="1"/>
  <c r="TH117" i="1"/>
  <c r="TE117" i="1"/>
  <c r="TB117" i="1"/>
  <c r="SY117" i="1"/>
  <c r="SX117" i="1"/>
  <c r="SW117" i="1"/>
  <c r="SV117" i="1"/>
  <c r="SS117" i="1"/>
  <c r="SP117" i="1"/>
  <c r="SM117" i="1"/>
  <c r="SJ117" i="1"/>
  <c r="QP117" i="1"/>
  <c r="QO117" i="1"/>
  <c r="QQ117" i="1" s="1"/>
  <c r="QN117" i="1"/>
  <c r="QK117" i="1"/>
  <c r="QH117" i="1"/>
  <c r="QE117" i="1"/>
  <c r="QA117" i="1"/>
  <c r="PZ117" i="1"/>
  <c r="QB117" i="1" s="1"/>
  <c r="PY117" i="1"/>
  <c r="PV117" i="1"/>
  <c r="PS117" i="1"/>
  <c r="PP117" i="1"/>
  <c r="PL117" i="1"/>
  <c r="PK117" i="1"/>
  <c r="PM117" i="1" s="1"/>
  <c r="PJ117" i="1"/>
  <c r="PG117" i="1"/>
  <c r="PD117" i="1"/>
  <c r="PA117" i="1"/>
  <c r="OW117" i="1"/>
  <c r="OV117" i="1"/>
  <c r="OX117" i="1" s="1"/>
  <c r="OU117" i="1"/>
  <c r="OR117" i="1"/>
  <c r="OO117" i="1"/>
  <c r="OL117" i="1"/>
  <c r="OH117" i="1"/>
  <c r="OG117" i="1"/>
  <c r="OI117" i="1" s="1"/>
  <c r="OF117" i="1"/>
  <c r="OC117" i="1"/>
  <c r="NZ117" i="1"/>
  <c r="NW117" i="1"/>
  <c r="NS117" i="1"/>
  <c r="NR117" i="1"/>
  <c r="NT117" i="1" s="1"/>
  <c r="NQ117" i="1"/>
  <c r="NN117" i="1"/>
  <c r="NK117" i="1"/>
  <c r="NH117" i="1"/>
  <c r="ND117" i="1"/>
  <c r="NC117" i="1"/>
  <c r="NE117" i="1" s="1"/>
  <c r="NB117" i="1"/>
  <c r="MY117" i="1"/>
  <c r="MV117" i="1"/>
  <c r="MS117" i="1"/>
  <c r="MO117" i="1"/>
  <c r="MN117" i="1"/>
  <c r="MP117" i="1" s="1"/>
  <c r="MM117" i="1"/>
  <c r="MJ117" i="1"/>
  <c r="MG117" i="1"/>
  <c r="MD117" i="1"/>
  <c r="LZ117" i="1"/>
  <c r="LY117" i="1"/>
  <c r="MA117" i="1" s="1"/>
  <c r="LX117" i="1"/>
  <c r="LU117" i="1"/>
  <c r="LR117" i="1"/>
  <c r="LO117" i="1"/>
  <c r="KV117" i="1"/>
  <c r="KU117" i="1"/>
  <c r="KW117" i="1" s="1"/>
  <c r="KT117" i="1"/>
  <c r="KQ117" i="1"/>
  <c r="KN117" i="1"/>
  <c r="KK117" i="1"/>
  <c r="KH117" i="1"/>
  <c r="JD117" i="1"/>
  <c r="JC117" i="1"/>
  <c r="JB117" i="1"/>
  <c r="JA117" i="1"/>
  <c r="IX117" i="1"/>
  <c r="IU117" i="1"/>
  <c r="IR117" i="1"/>
  <c r="IN117" i="1"/>
  <c r="IM117" i="1"/>
  <c r="IO117" i="1" s="1"/>
  <c r="IL117" i="1"/>
  <c r="II117" i="1"/>
  <c r="IF117" i="1"/>
  <c r="IC117" i="1"/>
  <c r="HZ117" i="1"/>
  <c r="HY117" i="1"/>
  <c r="HX117" i="1"/>
  <c r="HW117" i="1"/>
  <c r="HT117" i="1"/>
  <c r="HQ117" i="1"/>
  <c r="HN117" i="1"/>
  <c r="HJ117" i="1"/>
  <c r="HI117" i="1"/>
  <c r="HK117" i="1" s="1"/>
  <c r="HH117" i="1"/>
  <c r="HE117" i="1"/>
  <c r="HB117" i="1"/>
  <c r="GY117" i="1"/>
  <c r="GU117" i="1"/>
  <c r="GT117" i="1"/>
  <c r="GV117" i="1" s="1"/>
  <c r="GS117" i="1"/>
  <c r="GP117" i="1"/>
  <c r="GM117" i="1"/>
  <c r="GJ117" i="1"/>
  <c r="GF117" i="1"/>
  <c r="GE117" i="1"/>
  <c r="GG117" i="1" s="1"/>
  <c r="GD117" i="1"/>
  <c r="GA117" i="1"/>
  <c r="FX117" i="1"/>
  <c r="FU117" i="1"/>
  <c r="FQ117" i="1"/>
  <c r="FP117" i="1"/>
  <c r="FR117" i="1" s="1"/>
  <c r="FO117" i="1"/>
  <c r="FL117" i="1"/>
  <c r="FI117" i="1"/>
  <c r="FF117" i="1"/>
  <c r="FB117" i="1"/>
  <c r="FA117" i="1"/>
  <c r="FC117" i="1" s="1"/>
  <c r="EZ117" i="1"/>
  <c r="EW117" i="1"/>
  <c r="ET117" i="1"/>
  <c r="EQ117" i="1"/>
  <c r="EM117" i="1"/>
  <c r="EL117" i="1"/>
  <c r="EN117" i="1" s="1"/>
  <c r="EK117" i="1"/>
  <c r="EH117" i="1"/>
  <c r="EE117" i="1"/>
  <c r="EB117" i="1"/>
  <c r="DX117" i="1"/>
  <c r="DW117" i="1"/>
  <c r="DY117" i="1" s="1"/>
  <c r="DV117" i="1"/>
  <c r="DS117" i="1"/>
  <c r="DP117" i="1"/>
  <c r="DM117" i="1"/>
  <c r="DI117" i="1"/>
  <c r="DH117" i="1"/>
  <c r="DJ117" i="1" s="1"/>
  <c r="DG117" i="1"/>
  <c r="DD117" i="1"/>
  <c r="DA117" i="1"/>
  <c r="CX117" i="1"/>
  <c r="CT117" i="1"/>
  <c r="CS117" i="1"/>
  <c r="CU117" i="1" s="1"/>
  <c r="CR117" i="1"/>
  <c r="CO117" i="1"/>
  <c r="CL117" i="1"/>
  <c r="CI117" i="1"/>
  <c r="CF117" i="1"/>
  <c r="BP117" i="1"/>
  <c r="BO117" i="1"/>
  <c r="BQ117" i="1" s="1"/>
  <c r="BN117" i="1"/>
  <c r="BK117" i="1"/>
  <c r="BH117" i="1"/>
  <c r="BE117" i="1"/>
  <c r="BA117" i="1"/>
  <c r="AZ117" i="1"/>
  <c r="BB117" i="1" s="1"/>
  <c r="AY117" i="1"/>
  <c r="AV117" i="1"/>
  <c r="AS117" i="1"/>
  <c r="AP117" i="1"/>
  <c r="AM117" i="1"/>
  <c r="W117" i="1"/>
  <c r="V117" i="1"/>
  <c r="X117" i="1" s="1"/>
  <c r="U117" i="1"/>
  <c r="R117" i="1"/>
  <c r="O117" i="1"/>
  <c r="L117" i="1"/>
  <c r="I117" i="1"/>
  <c r="AAB116" i="1"/>
  <c r="AAA116" i="1"/>
  <c r="AAC116" i="1" s="1"/>
  <c r="ZZ116" i="1"/>
  <c r="ZW116" i="1"/>
  <c r="ZG116" i="1"/>
  <c r="AAE116" i="1" s="1"/>
  <c r="ZF116" i="1"/>
  <c r="ZE116" i="1"/>
  <c r="ZB116" i="1"/>
  <c r="YY116" i="1"/>
  <c r="YV116" i="1"/>
  <c r="YR116" i="1"/>
  <c r="YQ116" i="1"/>
  <c r="YS116" i="1" s="1"/>
  <c r="YP116" i="1"/>
  <c r="YM116" i="1"/>
  <c r="YJ116" i="1"/>
  <c r="YG116" i="1"/>
  <c r="YC116" i="1"/>
  <c r="YB116" i="1"/>
  <c r="YD116" i="1" s="1"/>
  <c r="YA116" i="1"/>
  <c r="XX116" i="1"/>
  <c r="XU116" i="1"/>
  <c r="XR116" i="1"/>
  <c r="VU116" i="1"/>
  <c r="VT116" i="1"/>
  <c r="VV116" i="1" s="1"/>
  <c r="VS116" i="1"/>
  <c r="VP116" i="1"/>
  <c r="VM116" i="1"/>
  <c r="VJ116" i="1"/>
  <c r="UQ116" i="1"/>
  <c r="UP116" i="1"/>
  <c r="UR116" i="1" s="1"/>
  <c r="UO116" i="1"/>
  <c r="UL116" i="1"/>
  <c r="UI116" i="1"/>
  <c r="UF116" i="1"/>
  <c r="UB116" i="1"/>
  <c r="UA116" i="1"/>
  <c r="UC116" i="1" s="1"/>
  <c r="TZ116" i="1"/>
  <c r="TW116" i="1"/>
  <c r="TT116" i="1"/>
  <c r="TQ116" i="1"/>
  <c r="TM116" i="1"/>
  <c r="TL116" i="1"/>
  <c r="TN116" i="1" s="1"/>
  <c r="TK116" i="1"/>
  <c r="TH116" i="1"/>
  <c r="TE116" i="1"/>
  <c r="TB116" i="1"/>
  <c r="SX116" i="1"/>
  <c r="SW116" i="1"/>
  <c r="SY116" i="1" s="1"/>
  <c r="SV116" i="1"/>
  <c r="SS116" i="1"/>
  <c r="SP116" i="1"/>
  <c r="SM116" i="1"/>
  <c r="SJ116" i="1"/>
  <c r="QP116" i="1"/>
  <c r="QO116" i="1"/>
  <c r="QQ116" i="1" s="1"/>
  <c r="QN116" i="1"/>
  <c r="QK116" i="1"/>
  <c r="QH116" i="1"/>
  <c r="QE116" i="1"/>
  <c r="QA116" i="1"/>
  <c r="PZ116" i="1"/>
  <c r="QB116" i="1" s="1"/>
  <c r="PY116" i="1"/>
  <c r="PV116" i="1"/>
  <c r="PS116" i="1"/>
  <c r="PP116" i="1"/>
  <c r="PL116" i="1"/>
  <c r="PK116" i="1"/>
  <c r="PM116" i="1" s="1"/>
  <c r="PJ116" i="1"/>
  <c r="PG116" i="1"/>
  <c r="PD116" i="1"/>
  <c r="PA116" i="1"/>
  <c r="OW116" i="1"/>
  <c r="OV116" i="1"/>
  <c r="OX116" i="1" s="1"/>
  <c r="OU116" i="1"/>
  <c r="OR116" i="1"/>
  <c r="OO116" i="1"/>
  <c r="OL116" i="1"/>
  <c r="OI116" i="1"/>
  <c r="OH116" i="1"/>
  <c r="OG116" i="1"/>
  <c r="OF116" i="1"/>
  <c r="OC116" i="1"/>
  <c r="NZ116" i="1"/>
  <c r="NW116" i="1"/>
  <c r="NS116" i="1"/>
  <c r="NR116" i="1"/>
  <c r="NT116" i="1" s="1"/>
  <c r="NQ116" i="1"/>
  <c r="NN116" i="1"/>
  <c r="NK116" i="1"/>
  <c r="NH116" i="1"/>
  <c r="ND116" i="1"/>
  <c r="NC116" i="1"/>
  <c r="NE116" i="1" s="1"/>
  <c r="NB116" i="1"/>
  <c r="MY116" i="1"/>
  <c r="MV116" i="1"/>
  <c r="MS116" i="1"/>
  <c r="MO116" i="1"/>
  <c r="MN116" i="1"/>
  <c r="MP116" i="1" s="1"/>
  <c r="MM116" i="1"/>
  <c r="MJ116" i="1"/>
  <c r="MG116" i="1"/>
  <c r="MD116" i="1"/>
  <c r="LZ116" i="1"/>
  <c r="LY116" i="1"/>
  <c r="MA116" i="1" s="1"/>
  <c r="LX116" i="1"/>
  <c r="LU116" i="1"/>
  <c r="LR116" i="1"/>
  <c r="LO116" i="1"/>
  <c r="KV116" i="1"/>
  <c r="KU116" i="1"/>
  <c r="KW116" i="1" s="1"/>
  <c r="KT116" i="1"/>
  <c r="KQ116" i="1"/>
  <c r="KN116" i="1"/>
  <c r="KK116" i="1"/>
  <c r="KH116" i="1"/>
  <c r="JC116" i="1"/>
  <c r="JB116" i="1"/>
  <c r="JD116" i="1" s="1"/>
  <c r="JA116" i="1"/>
  <c r="IX116" i="1"/>
  <c r="IU116" i="1"/>
  <c r="IR116" i="1"/>
  <c r="IN116" i="1"/>
  <c r="IL116" i="1"/>
  <c r="II116" i="1"/>
  <c r="IF116" i="1"/>
  <c r="IA116" i="1"/>
  <c r="HY116" i="1"/>
  <c r="HX116" i="1"/>
  <c r="HZ116" i="1" s="1"/>
  <c r="HW116" i="1"/>
  <c r="HT116" i="1"/>
  <c r="HQ116" i="1"/>
  <c r="HN116" i="1"/>
  <c r="HJ116" i="1"/>
  <c r="HI116" i="1"/>
  <c r="HK116" i="1" s="1"/>
  <c r="HH116" i="1"/>
  <c r="HE116" i="1"/>
  <c r="HB116" i="1"/>
  <c r="GY116" i="1"/>
  <c r="GU116" i="1"/>
  <c r="GT116" i="1"/>
  <c r="GV116" i="1" s="1"/>
  <c r="GS116" i="1"/>
  <c r="GP116" i="1"/>
  <c r="GM116" i="1"/>
  <c r="GJ116" i="1"/>
  <c r="GF116" i="1"/>
  <c r="GE116" i="1"/>
  <c r="GG116" i="1" s="1"/>
  <c r="GD116" i="1"/>
  <c r="GA116" i="1"/>
  <c r="FX116" i="1"/>
  <c r="FU116" i="1"/>
  <c r="FQ116" i="1"/>
  <c r="FP116" i="1"/>
  <c r="FR116" i="1" s="1"/>
  <c r="FO116" i="1"/>
  <c r="FL116" i="1"/>
  <c r="FI116" i="1"/>
  <c r="FF116" i="1"/>
  <c r="FB116" i="1"/>
  <c r="FA116" i="1"/>
  <c r="FC116" i="1" s="1"/>
  <c r="EZ116" i="1"/>
  <c r="EW116" i="1"/>
  <c r="ET116" i="1"/>
  <c r="EQ116" i="1"/>
  <c r="EM116" i="1"/>
  <c r="EL116" i="1"/>
  <c r="EN116" i="1" s="1"/>
  <c r="EK116" i="1"/>
  <c r="EH116" i="1"/>
  <c r="EE116" i="1"/>
  <c r="EB116" i="1"/>
  <c r="DX116" i="1"/>
  <c r="DW116" i="1"/>
  <c r="DY116" i="1" s="1"/>
  <c r="DV116" i="1"/>
  <c r="DS116" i="1"/>
  <c r="DP116" i="1"/>
  <c r="DM116" i="1"/>
  <c r="DI116" i="1"/>
  <c r="DH116" i="1"/>
  <c r="DJ116" i="1" s="1"/>
  <c r="DG116" i="1"/>
  <c r="DD116" i="1"/>
  <c r="DA116" i="1"/>
  <c r="CX116" i="1"/>
  <c r="CT116" i="1"/>
  <c r="CR116" i="1"/>
  <c r="CM116" i="1"/>
  <c r="CL116" i="1"/>
  <c r="CI116" i="1"/>
  <c r="CF116" i="1"/>
  <c r="BP116" i="1"/>
  <c r="BO116" i="1"/>
  <c r="BQ116" i="1" s="1"/>
  <c r="BN116" i="1"/>
  <c r="BK116" i="1"/>
  <c r="BH116" i="1"/>
  <c r="BE116" i="1"/>
  <c r="BA116" i="1"/>
  <c r="AZ116" i="1"/>
  <c r="BB116" i="1" s="1"/>
  <c r="AY116" i="1"/>
  <c r="AV116" i="1"/>
  <c r="AS116" i="1"/>
  <c r="AP116" i="1"/>
  <c r="AM116" i="1"/>
  <c r="W116" i="1"/>
  <c r="U116" i="1"/>
  <c r="R116" i="1"/>
  <c r="O116" i="1"/>
  <c r="L116" i="1"/>
  <c r="G116" i="1"/>
  <c r="AAB115" i="1"/>
  <c r="AAA115" i="1"/>
  <c r="AAC115" i="1" s="1"/>
  <c r="ZZ115" i="1"/>
  <c r="ZW115" i="1"/>
  <c r="ZG115" i="1"/>
  <c r="AAE115" i="1" s="1"/>
  <c r="ZF115" i="1"/>
  <c r="ZE115" i="1"/>
  <c r="ZB115" i="1"/>
  <c r="YY115" i="1"/>
  <c r="YV115" i="1"/>
  <c r="YR115" i="1"/>
  <c r="YQ115" i="1"/>
  <c r="YS115" i="1" s="1"/>
  <c r="YP115" i="1"/>
  <c r="YM115" i="1"/>
  <c r="YJ115" i="1"/>
  <c r="YG115" i="1"/>
  <c r="YC115" i="1"/>
  <c r="YB115" i="1"/>
  <c r="YD115" i="1" s="1"/>
  <c r="YA115" i="1"/>
  <c r="XX115" i="1"/>
  <c r="XU115" i="1"/>
  <c r="XR115" i="1"/>
  <c r="VU115" i="1"/>
  <c r="VT115" i="1"/>
  <c r="VV115" i="1" s="1"/>
  <c r="VS115" i="1"/>
  <c r="VP115" i="1"/>
  <c r="VM115" i="1"/>
  <c r="VJ115" i="1"/>
  <c r="UQ115" i="1"/>
  <c r="UP115" i="1"/>
  <c r="UR115" i="1" s="1"/>
  <c r="UO115" i="1"/>
  <c r="UL115" i="1"/>
  <c r="UI115" i="1"/>
  <c r="UF115" i="1"/>
  <c r="UB115" i="1"/>
  <c r="UA115" i="1"/>
  <c r="UC115" i="1" s="1"/>
  <c r="TZ115" i="1"/>
  <c r="TW115" i="1"/>
  <c r="TT115" i="1"/>
  <c r="TQ115" i="1"/>
  <c r="TM115" i="1"/>
  <c r="TL115" i="1"/>
  <c r="TN115" i="1" s="1"/>
  <c r="TK115" i="1"/>
  <c r="TH115" i="1"/>
  <c r="TE115" i="1"/>
  <c r="TB115" i="1"/>
  <c r="SX115" i="1"/>
  <c r="SW115" i="1"/>
  <c r="SY115" i="1" s="1"/>
  <c r="SV115" i="1"/>
  <c r="SS115" i="1"/>
  <c r="SP115" i="1"/>
  <c r="SM115" i="1"/>
  <c r="SJ115" i="1"/>
  <c r="QP115" i="1"/>
  <c r="QO115" i="1"/>
  <c r="QQ115" i="1" s="1"/>
  <c r="QN115" i="1"/>
  <c r="QK115" i="1"/>
  <c r="QH115" i="1"/>
  <c r="QE115" i="1"/>
  <c r="QA115" i="1"/>
  <c r="PZ115" i="1"/>
  <c r="QB115" i="1" s="1"/>
  <c r="PY115" i="1"/>
  <c r="PV115" i="1"/>
  <c r="PS115" i="1"/>
  <c r="PP115" i="1"/>
  <c r="PL115" i="1"/>
  <c r="PK115" i="1"/>
  <c r="PM115" i="1" s="1"/>
  <c r="PJ115" i="1"/>
  <c r="PG115" i="1"/>
  <c r="PD115" i="1"/>
  <c r="PA115" i="1"/>
  <c r="OW115" i="1"/>
  <c r="OV115" i="1"/>
  <c r="OX115" i="1" s="1"/>
  <c r="OU115" i="1"/>
  <c r="OR115" i="1"/>
  <c r="OO115" i="1"/>
  <c r="OL115" i="1"/>
  <c r="OH115" i="1"/>
  <c r="OF115" i="1"/>
  <c r="OC115" i="1"/>
  <c r="NZ115" i="1"/>
  <c r="NU115" i="1"/>
  <c r="NS115" i="1"/>
  <c r="NR115" i="1"/>
  <c r="NT115" i="1" s="1"/>
  <c r="NQ115" i="1"/>
  <c r="NN115" i="1"/>
  <c r="NK115" i="1"/>
  <c r="NH115" i="1"/>
  <c r="ND115" i="1"/>
  <c r="NC115" i="1"/>
  <c r="NE115" i="1" s="1"/>
  <c r="NB115" i="1"/>
  <c r="MY115" i="1"/>
  <c r="MV115" i="1"/>
  <c r="MS115" i="1"/>
  <c r="MO115" i="1"/>
  <c r="MM115" i="1"/>
  <c r="MJ115" i="1"/>
  <c r="MG115" i="1"/>
  <c r="MB115" i="1"/>
  <c r="LZ115" i="1"/>
  <c r="LY115" i="1"/>
  <c r="MA115" i="1" s="1"/>
  <c r="LX115" i="1"/>
  <c r="LU115" i="1"/>
  <c r="LR115" i="1"/>
  <c r="LO115" i="1"/>
  <c r="KV115" i="1"/>
  <c r="KU115" i="1"/>
  <c r="KW115" i="1" s="1"/>
  <c r="KT115" i="1"/>
  <c r="KQ115" i="1"/>
  <c r="KN115" i="1"/>
  <c r="KK115" i="1"/>
  <c r="KH115" i="1"/>
  <c r="JC115" i="1"/>
  <c r="JB115" i="1"/>
  <c r="JD115" i="1" s="1"/>
  <c r="JA115" i="1"/>
  <c r="IX115" i="1"/>
  <c r="IU115" i="1"/>
  <c r="IR115" i="1"/>
  <c r="IN115" i="1"/>
  <c r="IM115" i="1"/>
  <c r="IO115" i="1" s="1"/>
  <c r="IL115" i="1"/>
  <c r="II115" i="1"/>
  <c r="IF115" i="1"/>
  <c r="IC115" i="1"/>
  <c r="HY115" i="1"/>
  <c r="HX115" i="1"/>
  <c r="HZ115" i="1" s="1"/>
  <c r="HW115" i="1"/>
  <c r="HT115" i="1"/>
  <c r="HQ115" i="1"/>
  <c r="HN115" i="1"/>
  <c r="HJ115" i="1"/>
  <c r="HI115" i="1"/>
  <c r="HK115" i="1" s="1"/>
  <c r="HH115" i="1"/>
  <c r="HE115" i="1"/>
  <c r="HB115" i="1"/>
  <c r="GY115" i="1"/>
  <c r="GU115" i="1"/>
  <c r="GT115" i="1"/>
  <c r="GV115" i="1" s="1"/>
  <c r="GS115" i="1"/>
  <c r="GP115" i="1"/>
  <c r="GM115" i="1"/>
  <c r="GJ115" i="1"/>
  <c r="GF115" i="1"/>
  <c r="GE115" i="1"/>
  <c r="GG115" i="1" s="1"/>
  <c r="GD115" i="1"/>
  <c r="GA115" i="1"/>
  <c r="FX115" i="1"/>
  <c r="FU115" i="1"/>
  <c r="FQ115" i="1"/>
  <c r="FP115" i="1"/>
  <c r="FR115" i="1" s="1"/>
  <c r="FO115" i="1"/>
  <c r="FL115" i="1"/>
  <c r="FI115" i="1"/>
  <c r="FF115" i="1"/>
  <c r="FB115" i="1"/>
  <c r="FA115" i="1"/>
  <c r="FC115" i="1" s="1"/>
  <c r="EZ115" i="1"/>
  <c r="EW115" i="1"/>
  <c r="ET115" i="1"/>
  <c r="EQ115" i="1"/>
  <c r="EM115" i="1"/>
  <c r="EL115" i="1"/>
  <c r="EN115" i="1" s="1"/>
  <c r="EK115" i="1"/>
  <c r="EH115" i="1"/>
  <c r="EE115" i="1"/>
  <c r="EB115" i="1"/>
  <c r="DX115" i="1"/>
  <c r="DW115" i="1"/>
  <c r="DY115" i="1" s="1"/>
  <c r="DV115" i="1"/>
  <c r="DS115" i="1"/>
  <c r="DP115" i="1"/>
  <c r="DM115" i="1"/>
  <c r="DI115" i="1"/>
  <c r="DH115" i="1"/>
  <c r="DJ115" i="1" s="1"/>
  <c r="DG115" i="1"/>
  <c r="DD115" i="1"/>
  <c r="DA115" i="1"/>
  <c r="CX115" i="1"/>
  <c r="CT115" i="1"/>
  <c r="CS115" i="1"/>
  <c r="CU115" i="1" s="1"/>
  <c r="CR115" i="1"/>
  <c r="CO115" i="1"/>
  <c r="CL115" i="1"/>
  <c r="CI115" i="1"/>
  <c r="CF115" i="1"/>
  <c r="BP115" i="1"/>
  <c r="BO115" i="1"/>
  <c r="BQ115" i="1" s="1"/>
  <c r="BN115" i="1"/>
  <c r="BK115" i="1"/>
  <c r="BH115" i="1"/>
  <c r="BE115" i="1"/>
  <c r="BA115" i="1"/>
  <c r="AZ115" i="1"/>
  <c r="BB115" i="1" s="1"/>
  <c r="AY115" i="1"/>
  <c r="AV115" i="1"/>
  <c r="AS115" i="1"/>
  <c r="AP115" i="1"/>
  <c r="AM115" i="1"/>
  <c r="W115" i="1"/>
  <c r="U115" i="1"/>
  <c r="R115" i="1"/>
  <c r="O115" i="1"/>
  <c r="L115" i="1"/>
  <c r="G115" i="1"/>
  <c r="AAB114" i="1"/>
  <c r="AAA114" i="1"/>
  <c r="AAC114" i="1" s="1"/>
  <c r="ZZ114" i="1"/>
  <c r="ZW114" i="1"/>
  <c r="ZG114" i="1"/>
  <c r="AAE114" i="1" s="1"/>
  <c r="ZF114" i="1"/>
  <c r="ZE114" i="1"/>
  <c r="ZB114" i="1"/>
  <c r="YY114" i="1"/>
  <c r="YV114" i="1"/>
  <c r="YR114" i="1"/>
  <c r="YQ114" i="1"/>
  <c r="YS114" i="1" s="1"/>
  <c r="YP114" i="1"/>
  <c r="YM114" i="1"/>
  <c r="YJ114" i="1"/>
  <c r="YG114" i="1"/>
  <c r="YC114" i="1"/>
  <c r="YB114" i="1"/>
  <c r="YD114" i="1" s="1"/>
  <c r="YA114" i="1"/>
  <c r="XX114" i="1"/>
  <c r="XU114" i="1"/>
  <c r="XR114" i="1"/>
  <c r="VU114" i="1"/>
  <c r="VT114" i="1"/>
  <c r="VV114" i="1" s="1"/>
  <c r="VS114" i="1"/>
  <c r="VP114" i="1"/>
  <c r="VM114" i="1"/>
  <c r="VJ114" i="1"/>
  <c r="UQ114" i="1"/>
  <c r="UP114" i="1"/>
  <c r="UR114" i="1" s="1"/>
  <c r="UO114" i="1"/>
  <c r="UL114" i="1"/>
  <c r="UI114" i="1"/>
  <c r="UF114" i="1"/>
  <c r="UB114" i="1"/>
  <c r="UA114" i="1"/>
  <c r="UC114" i="1" s="1"/>
  <c r="TZ114" i="1"/>
  <c r="TW114" i="1"/>
  <c r="TT114" i="1"/>
  <c r="TQ114" i="1"/>
  <c r="TM114" i="1"/>
  <c r="TL114" i="1"/>
  <c r="TN114" i="1" s="1"/>
  <c r="TK114" i="1"/>
  <c r="TH114" i="1"/>
  <c r="TE114" i="1"/>
  <c r="TB114" i="1"/>
  <c r="SX114" i="1"/>
  <c r="SW114" i="1"/>
  <c r="SY114" i="1" s="1"/>
  <c r="SV114" i="1"/>
  <c r="SS114" i="1"/>
  <c r="SP114" i="1"/>
  <c r="SM114" i="1"/>
  <c r="SJ114" i="1"/>
  <c r="QP114" i="1"/>
  <c r="QO114" i="1"/>
  <c r="QQ114" i="1" s="1"/>
  <c r="QN114" i="1"/>
  <c r="QK114" i="1"/>
  <c r="QH114" i="1"/>
  <c r="QE114" i="1"/>
  <c r="QA114" i="1"/>
  <c r="PZ114" i="1"/>
  <c r="QB114" i="1" s="1"/>
  <c r="PY114" i="1"/>
  <c r="PV114" i="1"/>
  <c r="PS114" i="1"/>
  <c r="PP114" i="1"/>
  <c r="PL114" i="1"/>
  <c r="PK114" i="1"/>
  <c r="PM114" i="1" s="1"/>
  <c r="PJ114" i="1"/>
  <c r="PG114" i="1"/>
  <c r="PD114" i="1"/>
  <c r="PA114" i="1"/>
  <c r="OW114" i="1"/>
  <c r="OV114" i="1"/>
  <c r="OX114" i="1" s="1"/>
  <c r="OU114" i="1"/>
  <c r="OR114" i="1"/>
  <c r="OO114" i="1"/>
  <c r="OL114" i="1"/>
  <c r="OH114" i="1"/>
  <c r="OF114" i="1"/>
  <c r="OC114" i="1"/>
  <c r="NZ114" i="1"/>
  <c r="NU114" i="1"/>
  <c r="NS114" i="1"/>
  <c r="NR114" i="1"/>
  <c r="NT114" i="1" s="1"/>
  <c r="NQ114" i="1"/>
  <c r="NN114" i="1"/>
  <c r="NK114" i="1"/>
  <c r="NH114" i="1"/>
  <c r="ND114" i="1"/>
  <c r="NC114" i="1"/>
  <c r="NE114" i="1" s="1"/>
  <c r="NB114" i="1"/>
  <c r="MY114" i="1"/>
  <c r="MV114" i="1"/>
  <c r="MS114" i="1"/>
  <c r="MO114" i="1"/>
  <c r="MM114" i="1"/>
  <c r="MJ114" i="1"/>
  <c r="MG114" i="1"/>
  <c r="MB114" i="1"/>
  <c r="LZ114" i="1"/>
  <c r="LY114" i="1"/>
  <c r="MA114" i="1" s="1"/>
  <c r="LX114" i="1"/>
  <c r="LU114" i="1"/>
  <c r="LR114" i="1"/>
  <c r="LO114" i="1"/>
  <c r="KV114" i="1"/>
  <c r="KU114" i="1"/>
  <c r="KW114" i="1" s="1"/>
  <c r="KT114" i="1"/>
  <c r="KQ114" i="1"/>
  <c r="KN114" i="1"/>
  <c r="KK114" i="1"/>
  <c r="KH114" i="1"/>
  <c r="JC114" i="1"/>
  <c r="JB114" i="1"/>
  <c r="JD114" i="1" s="1"/>
  <c r="JA114" i="1"/>
  <c r="IX114" i="1"/>
  <c r="IU114" i="1"/>
  <c r="IR114" i="1"/>
  <c r="IN114" i="1"/>
  <c r="IM114" i="1"/>
  <c r="IO114" i="1" s="1"/>
  <c r="IL114" i="1"/>
  <c r="II114" i="1"/>
  <c r="IF114" i="1"/>
  <c r="IC114" i="1"/>
  <c r="HY114" i="1"/>
  <c r="HX114" i="1"/>
  <c r="HZ114" i="1" s="1"/>
  <c r="HW114" i="1"/>
  <c r="HT114" i="1"/>
  <c r="HQ114" i="1"/>
  <c r="HN114" i="1"/>
  <c r="HJ114" i="1"/>
  <c r="HI114" i="1"/>
  <c r="HK114" i="1" s="1"/>
  <c r="HH114" i="1"/>
  <c r="HE114" i="1"/>
  <c r="HB114" i="1"/>
  <c r="GY114" i="1"/>
  <c r="GU114" i="1"/>
  <c r="GT114" i="1"/>
  <c r="GV114" i="1" s="1"/>
  <c r="GS114" i="1"/>
  <c r="GP114" i="1"/>
  <c r="GM114" i="1"/>
  <c r="GJ114" i="1"/>
  <c r="GF114" i="1"/>
  <c r="GE114" i="1"/>
  <c r="GG114" i="1" s="1"/>
  <c r="GD114" i="1"/>
  <c r="GA114" i="1"/>
  <c r="FX114" i="1"/>
  <c r="FU114" i="1"/>
  <c r="FQ114" i="1"/>
  <c r="FP114" i="1"/>
  <c r="FR114" i="1" s="1"/>
  <c r="FO114" i="1"/>
  <c r="FL114" i="1"/>
  <c r="FI114" i="1"/>
  <c r="FF114" i="1"/>
  <c r="FB114" i="1"/>
  <c r="FA114" i="1"/>
  <c r="FC114" i="1" s="1"/>
  <c r="EZ114" i="1"/>
  <c r="EW114" i="1"/>
  <c r="ET114" i="1"/>
  <c r="EQ114" i="1"/>
  <c r="EM114" i="1"/>
  <c r="EL114" i="1"/>
  <c r="EN114" i="1" s="1"/>
  <c r="EK114" i="1"/>
  <c r="EH114" i="1"/>
  <c r="EE114" i="1"/>
  <c r="EB114" i="1"/>
  <c r="DX114" i="1"/>
  <c r="DW114" i="1"/>
  <c r="DY114" i="1" s="1"/>
  <c r="DV114" i="1"/>
  <c r="DS114" i="1"/>
  <c r="DP114" i="1"/>
  <c r="DM114" i="1"/>
  <c r="DI114" i="1"/>
  <c r="DH114" i="1"/>
  <c r="DJ114" i="1" s="1"/>
  <c r="DG114" i="1"/>
  <c r="DD114" i="1"/>
  <c r="DA114" i="1"/>
  <c r="CX114" i="1"/>
  <c r="CU114" i="1"/>
  <c r="CT114" i="1"/>
  <c r="CS114" i="1"/>
  <c r="CR114" i="1"/>
  <c r="CO114" i="1"/>
  <c r="CL114" i="1"/>
  <c r="CI114" i="1"/>
  <c r="CF114" i="1"/>
  <c r="BP114" i="1"/>
  <c r="BO114" i="1"/>
  <c r="BQ114" i="1" s="1"/>
  <c r="BN114" i="1"/>
  <c r="BK114" i="1"/>
  <c r="BH114" i="1"/>
  <c r="BE114" i="1"/>
  <c r="BA114" i="1"/>
  <c r="AZ114" i="1"/>
  <c r="BB114" i="1" s="1"/>
  <c r="AY114" i="1"/>
  <c r="AV114" i="1"/>
  <c r="AS114" i="1"/>
  <c r="AP114" i="1"/>
  <c r="AM114" i="1"/>
  <c r="W114" i="1"/>
  <c r="V114" i="1"/>
  <c r="X114" i="1" s="1"/>
  <c r="U114" i="1"/>
  <c r="R114" i="1"/>
  <c r="O114" i="1"/>
  <c r="L114" i="1"/>
  <c r="I114" i="1"/>
  <c r="AAB113" i="1"/>
  <c r="AAA113" i="1"/>
  <c r="AAC113" i="1" s="1"/>
  <c r="ZZ113" i="1"/>
  <c r="ZW113" i="1"/>
  <c r="ZG113" i="1"/>
  <c r="AAE113" i="1" s="1"/>
  <c r="ZF113" i="1"/>
  <c r="AAD113" i="1" s="1"/>
  <c r="ZE113" i="1"/>
  <c r="ZB113" i="1"/>
  <c r="YY113" i="1"/>
  <c r="YV113" i="1"/>
  <c r="YR113" i="1"/>
  <c r="YQ113" i="1"/>
  <c r="YS113" i="1" s="1"/>
  <c r="YP113" i="1"/>
  <c r="YM113" i="1"/>
  <c r="YJ113" i="1"/>
  <c r="YG113" i="1"/>
  <c r="YC113" i="1"/>
  <c r="YB113" i="1"/>
  <c r="YD113" i="1" s="1"/>
  <c r="YA113" i="1"/>
  <c r="XX113" i="1"/>
  <c r="XU113" i="1"/>
  <c r="XR113" i="1"/>
  <c r="VU113" i="1"/>
  <c r="VT113" i="1"/>
  <c r="VV113" i="1" s="1"/>
  <c r="VS113" i="1"/>
  <c r="VP113" i="1"/>
  <c r="VM113" i="1"/>
  <c r="VJ113" i="1"/>
  <c r="UQ113" i="1"/>
  <c r="UP113" i="1"/>
  <c r="UR113" i="1" s="1"/>
  <c r="UO113" i="1"/>
  <c r="UL113" i="1"/>
  <c r="UI113" i="1"/>
  <c r="UF113" i="1"/>
  <c r="UB113" i="1"/>
  <c r="UA113" i="1"/>
  <c r="UC113" i="1" s="1"/>
  <c r="TZ113" i="1"/>
  <c r="TW113" i="1"/>
  <c r="TT113" i="1"/>
  <c r="TQ113" i="1"/>
  <c r="TM113" i="1"/>
  <c r="TL113" i="1"/>
  <c r="TN113" i="1" s="1"/>
  <c r="TK113" i="1"/>
  <c r="TH113" i="1"/>
  <c r="TE113" i="1"/>
  <c r="TB113" i="1"/>
  <c r="SX113" i="1"/>
  <c r="SW113" i="1"/>
  <c r="SY113" i="1" s="1"/>
  <c r="SV113" i="1"/>
  <c r="SS113" i="1"/>
  <c r="SP113" i="1"/>
  <c r="SM113" i="1"/>
  <c r="SJ113" i="1"/>
  <c r="QP113" i="1"/>
  <c r="QO113" i="1"/>
  <c r="QQ113" i="1" s="1"/>
  <c r="QN113" i="1"/>
  <c r="QK113" i="1"/>
  <c r="QH113" i="1"/>
  <c r="QE113" i="1"/>
  <c r="QA113" i="1"/>
  <c r="PZ113" i="1"/>
  <c r="QB113" i="1" s="1"/>
  <c r="PY113" i="1"/>
  <c r="PV113" i="1"/>
  <c r="PS113" i="1"/>
  <c r="PP113" i="1"/>
  <c r="PL113" i="1"/>
  <c r="PK113" i="1"/>
  <c r="PM113" i="1" s="1"/>
  <c r="PJ113" i="1"/>
  <c r="PG113" i="1"/>
  <c r="PD113" i="1"/>
  <c r="PA113" i="1"/>
  <c r="OW113" i="1"/>
  <c r="OV113" i="1"/>
  <c r="OX113" i="1" s="1"/>
  <c r="OU113" i="1"/>
  <c r="OR113" i="1"/>
  <c r="OO113" i="1"/>
  <c r="OL113" i="1"/>
  <c r="OH113" i="1"/>
  <c r="OG113" i="1"/>
  <c r="OI113" i="1" s="1"/>
  <c r="OF113" i="1"/>
  <c r="OC113" i="1"/>
  <c r="NZ113" i="1"/>
  <c r="NW113" i="1"/>
  <c r="NS113" i="1"/>
  <c r="NR113" i="1"/>
  <c r="NT113" i="1" s="1"/>
  <c r="NQ113" i="1"/>
  <c r="NN113" i="1"/>
  <c r="NK113" i="1"/>
  <c r="NH113" i="1"/>
  <c r="ND113" i="1"/>
  <c r="NC113" i="1"/>
  <c r="NE113" i="1" s="1"/>
  <c r="NB113" i="1"/>
  <c r="MY113" i="1"/>
  <c r="MV113" i="1"/>
  <c r="MS113" i="1"/>
  <c r="MO113" i="1"/>
  <c r="MN113" i="1"/>
  <c r="MP113" i="1" s="1"/>
  <c r="MM113" i="1"/>
  <c r="MJ113" i="1"/>
  <c r="MG113" i="1"/>
  <c r="MD113" i="1"/>
  <c r="LZ113" i="1"/>
  <c r="LY113" i="1"/>
  <c r="MA113" i="1" s="1"/>
  <c r="LX113" i="1"/>
  <c r="LU113" i="1"/>
  <c r="LR113" i="1"/>
  <c r="LO113" i="1"/>
  <c r="KV113" i="1"/>
  <c r="KU113" i="1"/>
  <c r="KW113" i="1" s="1"/>
  <c r="KT113" i="1"/>
  <c r="KQ113" i="1"/>
  <c r="KN113" i="1"/>
  <c r="KK113" i="1"/>
  <c r="KH113" i="1"/>
  <c r="JC113" i="1"/>
  <c r="JB113" i="1"/>
  <c r="JD113" i="1" s="1"/>
  <c r="JA113" i="1"/>
  <c r="IX113" i="1"/>
  <c r="IU113" i="1"/>
  <c r="IR113" i="1"/>
  <c r="IN113" i="1"/>
  <c r="IM113" i="1"/>
  <c r="IO113" i="1" s="1"/>
  <c r="IL113" i="1"/>
  <c r="II113" i="1"/>
  <c r="IF113" i="1"/>
  <c r="IC113" i="1"/>
  <c r="HY113" i="1"/>
  <c r="HX113" i="1"/>
  <c r="HZ113" i="1" s="1"/>
  <c r="HW113" i="1"/>
  <c r="HT113" i="1"/>
  <c r="HQ113" i="1"/>
  <c r="HN113" i="1"/>
  <c r="HJ113" i="1"/>
  <c r="HI113" i="1"/>
  <c r="HK113" i="1" s="1"/>
  <c r="HH113" i="1"/>
  <c r="HE113" i="1"/>
  <c r="HB113" i="1"/>
  <c r="GY113" i="1"/>
  <c r="GU113" i="1"/>
  <c r="GT113" i="1"/>
  <c r="GV113" i="1" s="1"/>
  <c r="GS113" i="1"/>
  <c r="GP113" i="1"/>
  <c r="GM113" i="1"/>
  <c r="GJ113" i="1"/>
  <c r="GF113" i="1"/>
  <c r="GE113" i="1"/>
  <c r="GG113" i="1" s="1"/>
  <c r="GD113" i="1"/>
  <c r="GA113" i="1"/>
  <c r="FX113" i="1"/>
  <c r="FU113" i="1"/>
  <c r="FQ113" i="1"/>
  <c r="FP113" i="1"/>
  <c r="FR113" i="1" s="1"/>
  <c r="FO113" i="1"/>
  <c r="FL113" i="1"/>
  <c r="FI113" i="1"/>
  <c r="FF113" i="1"/>
  <c r="FB113" i="1"/>
  <c r="FA113" i="1"/>
  <c r="FC113" i="1" s="1"/>
  <c r="EZ113" i="1"/>
  <c r="EW113" i="1"/>
  <c r="ET113" i="1"/>
  <c r="EQ113" i="1"/>
  <c r="EM113" i="1"/>
  <c r="EL113" i="1"/>
  <c r="EN113" i="1" s="1"/>
  <c r="EK113" i="1"/>
  <c r="EH113" i="1"/>
  <c r="EE113" i="1"/>
  <c r="EB113" i="1"/>
  <c r="DX113" i="1"/>
  <c r="DW113" i="1"/>
  <c r="DY113" i="1" s="1"/>
  <c r="DV113" i="1"/>
  <c r="DS113" i="1"/>
  <c r="DP113" i="1"/>
  <c r="DM113" i="1"/>
  <c r="DI113" i="1"/>
  <c r="DH113" i="1"/>
  <c r="DJ113" i="1" s="1"/>
  <c r="DG113" i="1"/>
  <c r="DD113" i="1"/>
  <c r="DA113" i="1"/>
  <c r="CX113" i="1"/>
  <c r="CT113" i="1"/>
  <c r="CS113" i="1"/>
  <c r="CU113" i="1" s="1"/>
  <c r="CR113" i="1"/>
  <c r="CO113" i="1"/>
  <c r="CL113" i="1"/>
  <c r="CI113" i="1"/>
  <c r="CF113" i="1"/>
  <c r="BP113" i="1"/>
  <c r="BO113" i="1"/>
  <c r="BQ113" i="1" s="1"/>
  <c r="BN113" i="1"/>
  <c r="BK113" i="1"/>
  <c r="BH113" i="1"/>
  <c r="BE113" i="1"/>
  <c r="BA113" i="1"/>
  <c r="AZ113" i="1"/>
  <c r="BB113" i="1" s="1"/>
  <c r="AY113" i="1"/>
  <c r="AV113" i="1"/>
  <c r="AS113" i="1"/>
  <c r="AP113" i="1"/>
  <c r="AM113" i="1"/>
  <c r="W113" i="1"/>
  <c r="V113" i="1"/>
  <c r="X113" i="1" s="1"/>
  <c r="U113" i="1"/>
  <c r="R113" i="1"/>
  <c r="O113" i="1"/>
  <c r="L113" i="1"/>
  <c r="I113" i="1"/>
  <c r="AAB112" i="1"/>
  <c r="AAA112" i="1"/>
  <c r="AAC112" i="1" s="1"/>
  <c r="ZZ112" i="1"/>
  <c r="ZW112" i="1"/>
  <c r="ZG112" i="1"/>
  <c r="AAE112" i="1" s="1"/>
  <c r="ZF112" i="1"/>
  <c r="AAD112" i="1" s="1"/>
  <c r="ZE112" i="1"/>
  <c r="ZB112" i="1"/>
  <c r="YY112" i="1"/>
  <c r="YV112" i="1"/>
  <c r="YR112" i="1"/>
  <c r="YQ112" i="1"/>
  <c r="YS112" i="1" s="1"/>
  <c r="YP112" i="1"/>
  <c r="YM112" i="1"/>
  <c r="YJ112" i="1"/>
  <c r="YG112" i="1"/>
  <c r="YC112" i="1"/>
  <c r="YB112" i="1"/>
  <c r="YD112" i="1" s="1"/>
  <c r="YA112" i="1"/>
  <c r="XX112" i="1"/>
  <c r="XU112" i="1"/>
  <c r="XR112" i="1"/>
  <c r="VU112" i="1"/>
  <c r="VT112" i="1"/>
  <c r="VV112" i="1" s="1"/>
  <c r="VS112" i="1"/>
  <c r="VP112" i="1"/>
  <c r="VM112" i="1"/>
  <c r="VJ112" i="1"/>
  <c r="UQ112" i="1"/>
  <c r="UP112" i="1"/>
  <c r="UR112" i="1" s="1"/>
  <c r="UO112" i="1"/>
  <c r="UL112" i="1"/>
  <c r="UI112" i="1"/>
  <c r="UF112" i="1"/>
  <c r="UB112" i="1"/>
  <c r="UA112" i="1"/>
  <c r="UC112" i="1" s="1"/>
  <c r="TZ112" i="1"/>
  <c r="TW112" i="1"/>
  <c r="TT112" i="1"/>
  <c r="TQ112" i="1"/>
  <c r="TM112" i="1"/>
  <c r="TL112" i="1"/>
  <c r="TN112" i="1" s="1"/>
  <c r="TK112" i="1"/>
  <c r="TH112" i="1"/>
  <c r="TE112" i="1"/>
  <c r="TB112" i="1"/>
  <c r="SX112" i="1"/>
  <c r="SW112" i="1"/>
  <c r="SY112" i="1" s="1"/>
  <c r="SV112" i="1"/>
  <c r="SS112" i="1"/>
  <c r="SP112" i="1"/>
  <c r="SM112" i="1"/>
  <c r="SJ112" i="1"/>
  <c r="QP112" i="1"/>
  <c r="QO112" i="1"/>
  <c r="QQ112" i="1" s="1"/>
  <c r="QN112" i="1"/>
  <c r="QK112" i="1"/>
  <c r="QH112" i="1"/>
  <c r="QE112" i="1"/>
  <c r="QA112" i="1"/>
  <c r="PZ112" i="1"/>
  <c r="QB112" i="1" s="1"/>
  <c r="PY112" i="1"/>
  <c r="PV112" i="1"/>
  <c r="PS112" i="1"/>
  <c r="PP112" i="1"/>
  <c r="PL112" i="1"/>
  <c r="PK112" i="1"/>
  <c r="PM112" i="1" s="1"/>
  <c r="PJ112" i="1"/>
  <c r="PG112" i="1"/>
  <c r="PD112" i="1"/>
  <c r="PA112" i="1"/>
  <c r="OW112" i="1"/>
  <c r="OV112" i="1"/>
  <c r="OX112" i="1" s="1"/>
  <c r="OU112" i="1"/>
  <c r="OR112" i="1"/>
  <c r="OO112" i="1"/>
  <c r="OL112" i="1"/>
  <c r="OH112" i="1"/>
  <c r="OG112" i="1"/>
  <c r="OI112" i="1" s="1"/>
  <c r="OF112" i="1"/>
  <c r="OC112" i="1"/>
  <c r="NZ112" i="1"/>
  <c r="NW112" i="1"/>
  <c r="NS112" i="1"/>
  <c r="NR112" i="1"/>
  <c r="NT112" i="1" s="1"/>
  <c r="NQ112" i="1"/>
  <c r="NN112" i="1"/>
  <c r="NK112" i="1"/>
  <c r="NH112" i="1"/>
  <c r="ND112" i="1"/>
  <c r="NC112" i="1"/>
  <c r="NE112" i="1" s="1"/>
  <c r="NB112" i="1"/>
  <c r="MY112" i="1"/>
  <c r="MV112" i="1"/>
  <c r="MS112" i="1"/>
  <c r="MO112" i="1"/>
  <c r="MN112" i="1"/>
  <c r="MP112" i="1" s="1"/>
  <c r="MM112" i="1"/>
  <c r="MJ112" i="1"/>
  <c r="MG112" i="1"/>
  <c r="MD112" i="1"/>
  <c r="LZ112" i="1"/>
  <c r="LY112" i="1"/>
  <c r="MA112" i="1" s="1"/>
  <c r="LX112" i="1"/>
  <c r="LU112" i="1"/>
  <c r="LR112" i="1"/>
  <c r="LO112" i="1"/>
  <c r="KV112" i="1"/>
  <c r="KU112" i="1"/>
  <c r="KW112" i="1" s="1"/>
  <c r="KT112" i="1"/>
  <c r="KQ112" i="1"/>
  <c r="KN112" i="1"/>
  <c r="KK112" i="1"/>
  <c r="KH112" i="1"/>
  <c r="JC112" i="1"/>
  <c r="JB112" i="1"/>
  <c r="JD112" i="1" s="1"/>
  <c r="JA112" i="1"/>
  <c r="IX112" i="1"/>
  <c r="IU112" i="1"/>
  <c r="IR112" i="1"/>
  <c r="IN112" i="1"/>
  <c r="IM112" i="1"/>
  <c r="IO112" i="1" s="1"/>
  <c r="IL112" i="1"/>
  <c r="II112" i="1"/>
  <c r="IF112" i="1"/>
  <c r="IC112" i="1"/>
  <c r="HY112" i="1"/>
  <c r="HX112" i="1"/>
  <c r="HZ112" i="1" s="1"/>
  <c r="HW112" i="1"/>
  <c r="HT112" i="1"/>
  <c r="HQ112" i="1"/>
  <c r="HN112" i="1"/>
  <c r="HJ112" i="1"/>
  <c r="HI112" i="1"/>
  <c r="HK112" i="1" s="1"/>
  <c r="HH112" i="1"/>
  <c r="HE112" i="1"/>
  <c r="HB112" i="1"/>
  <c r="GY112" i="1"/>
  <c r="GU112" i="1"/>
  <c r="GT112" i="1"/>
  <c r="GV112" i="1" s="1"/>
  <c r="GS112" i="1"/>
  <c r="GP112" i="1"/>
  <c r="GM112" i="1"/>
  <c r="GJ112" i="1"/>
  <c r="GF112" i="1"/>
  <c r="GE112" i="1"/>
  <c r="GG112" i="1" s="1"/>
  <c r="GD112" i="1"/>
  <c r="GA112" i="1"/>
  <c r="FX112" i="1"/>
  <c r="FU112" i="1"/>
  <c r="FQ112" i="1"/>
  <c r="FP112" i="1"/>
  <c r="FR112" i="1" s="1"/>
  <c r="FO112" i="1"/>
  <c r="FL112" i="1"/>
  <c r="FI112" i="1"/>
  <c r="FF112" i="1"/>
  <c r="FB112" i="1"/>
  <c r="FA112" i="1"/>
  <c r="FC112" i="1" s="1"/>
  <c r="EZ112" i="1"/>
  <c r="EW112" i="1"/>
  <c r="ET112" i="1"/>
  <c r="EQ112" i="1"/>
  <c r="EM112" i="1"/>
  <c r="EL112" i="1"/>
  <c r="EN112" i="1" s="1"/>
  <c r="EK112" i="1"/>
  <c r="EH112" i="1"/>
  <c r="EE112" i="1"/>
  <c r="EB112" i="1"/>
  <c r="DX112" i="1"/>
  <c r="DW112" i="1"/>
  <c r="DY112" i="1" s="1"/>
  <c r="DV112" i="1"/>
  <c r="DS112" i="1"/>
  <c r="DP112" i="1"/>
  <c r="DM112" i="1"/>
  <c r="DI112" i="1"/>
  <c r="DH112" i="1"/>
  <c r="DJ112" i="1" s="1"/>
  <c r="DG112" i="1"/>
  <c r="DD112" i="1"/>
  <c r="DA112" i="1"/>
  <c r="CX112" i="1"/>
  <c r="CT112" i="1"/>
  <c r="CS112" i="1"/>
  <c r="CU112" i="1" s="1"/>
  <c r="CR112" i="1"/>
  <c r="CO112" i="1"/>
  <c r="CL112" i="1"/>
  <c r="CI112" i="1"/>
  <c r="CF112" i="1"/>
  <c r="BP112" i="1"/>
  <c r="BO112" i="1"/>
  <c r="BQ112" i="1" s="1"/>
  <c r="BN112" i="1"/>
  <c r="BK112" i="1"/>
  <c r="BH112" i="1"/>
  <c r="BE112" i="1"/>
  <c r="BA112" i="1"/>
  <c r="AZ112" i="1"/>
  <c r="BB112" i="1" s="1"/>
  <c r="AY112" i="1"/>
  <c r="AV112" i="1"/>
  <c r="AS112" i="1"/>
  <c r="AP112" i="1"/>
  <c r="AM112" i="1"/>
  <c r="W112" i="1"/>
  <c r="V112" i="1"/>
  <c r="X112" i="1" s="1"/>
  <c r="U112" i="1"/>
  <c r="R112" i="1"/>
  <c r="O112" i="1"/>
  <c r="L112" i="1"/>
  <c r="I112" i="1"/>
  <c r="AAB111" i="1"/>
  <c r="AAA111" i="1"/>
  <c r="AAC111" i="1" s="1"/>
  <c r="ZZ111" i="1"/>
  <c r="ZW111" i="1"/>
  <c r="ZG111" i="1"/>
  <c r="AAE111" i="1" s="1"/>
  <c r="ZF111" i="1"/>
  <c r="AAD111" i="1" s="1"/>
  <c r="ZE111" i="1"/>
  <c r="ZB111" i="1"/>
  <c r="YY111" i="1"/>
  <c r="YV111" i="1"/>
  <c r="YR111" i="1"/>
  <c r="YQ111" i="1"/>
  <c r="YS111" i="1" s="1"/>
  <c r="YP111" i="1"/>
  <c r="YM111" i="1"/>
  <c r="YJ111" i="1"/>
  <c r="YG111" i="1"/>
  <c r="YC111" i="1"/>
  <c r="YB111" i="1"/>
  <c r="YD111" i="1" s="1"/>
  <c r="YA111" i="1"/>
  <c r="XX111" i="1"/>
  <c r="XU111" i="1"/>
  <c r="XR111" i="1"/>
  <c r="VU111" i="1"/>
  <c r="VT111" i="1"/>
  <c r="VV111" i="1" s="1"/>
  <c r="VS111" i="1"/>
  <c r="VP111" i="1"/>
  <c r="VM111" i="1"/>
  <c r="VJ111" i="1"/>
  <c r="UQ111" i="1"/>
  <c r="UP111" i="1"/>
  <c r="UR111" i="1" s="1"/>
  <c r="UO111" i="1"/>
  <c r="UL111" i="1"/>
  <c r="UI111" i="1"/>
  <c r="UF111" i="1"/>
  <c r="UB111" i="1"/>
  <c r="UA111" i="1"/>
  <c r="UC111" i="1" s="1"/>
  <c r="TZ111" i="1"/>
  <c r="TW111" i="1"/>
  <c r="TT111" i="1"/>
  <c r="TQ111" i="1"/>
  <c r="TM111" i="1"/>
  <c r="TN111" i="1" s="1"/>
  <c r="TL111" i="1"/>
  <c r="TK111" i="1"/>
  <c r="TH111" i="1"/>
  <c r="TE111" i="1"/>
  <c r="TB111" i="1"/>
  <c r="SX111" i="1"/>
  <c r="SW111" i="1"/>
  <c r="SY111" i="1" s="1"/>
  <c r="SV111" i="1"/>
  <c r="SS111" i="1"/>
  <c r="SP111" i="1"/>
  <c r="SM111" i="1"/>
  <c r="SJ111" i="1"/>
  <c r="QP111" i="1"/>
  <c r="QO111" i="1"/>
  <c r="QQ111" i="1" s="1"/>
  <c r="QN111" i="1"/>
  <c r="QK111" i="1"/>
  <c r="QH111" i="1"/>
  <c r="QE111" i="1"/>
  <c r="QA111" i="1"/>
  <c r="PZ111" i="1"/>
  <c r="QB111" i="1" s="1"/>
  <c r="PY111" i="1"/>
  <c r="PV111" i="1"/>
  <c r="PS111" i="1"/>
  <c r="PP111" i="1"/>
  <c r="PL111" i="1"/>
  <c r="PK111" i="1"/>
  <c r="PM111" i="1" s="1"/>
  <c r="PJ111" i="1"/>
  <c r="PG111" i="1"/>
  <c r="PD111" i="1"/>
  <c r="PA111" i="1"/>
  <c r="OW111" i="1"/>
  <c r="OV111" i="1"/>
  <c r="OX111" i="1" s="1"/>
  <c r="OU111" i="1"/>
  <c r="OR111" i="1"/>
  <c r="OO111" i="1"/>
  <c r="OL111" i="1"/>
  <c r="OH111" i="1"/>
  <c r="OG111" i="1"/>
  <c r="OI111" i="1" s="1"/>
  <c r="OF111" i="1"/>
  <c r="OC111" i="1"/>
  <c r="NZ111" i="1"/>
  <c r="NW111" i="1"/>
  <c r="NS111" i="1"/>
  <c r="NR111" i="1"/>
  <c r="NT111" i="1" s="1"/>
  <c r="NQ111" i="1"/>
  <c r="NN111" i="1"/>
  <c r="NK111" i="1"/>
  <c r="NH111" i="1"/>
  <c r="ND111" i="1"/>
  <c r="NC111" i="1"/>
  <c r="NE111" i="1" s="1"/>
  <c r="NB111" i="1"/>
  <c r="MY111" i="1"/>
  <c r="MV111" i="1"/>
  <c r="MS111" i="1"/>
  <c r="MO111" i="1"/>
  <c r="MN111" i="1"/>
  <c r="MP111" i="1" s="1"/>
  <c r="MM111" i="1"/>
  <c r="MJ111" i="1"/>
  <c r="MG111" i="1"/>
  <c r="MD111" i="1"/>
  <c r="LZ111" i="1"/>
  <c r="LY111" i="1"/>
  <c r="MA111" i="1" s="1"/>
  <c r="LX111" i="1"/>
  <c r="LU111" i="1"/>
  <c r="LR111" i="1"/>
  <c r="LO111" i="1"/>
  <c r="KV111" i="1"/>
  <c r="KU111" i="1"/>
  <c r="KW111" i="1" s="1"/>
  <c r="KT111" i="1"/>
  <c r="KQ111" i="1"/>
  <c r="KN111" i="1"/>
  <c r="KK111" i="1"/>
  <c r="KH111" i="1"/>
  <c r="JC111" i="1"/>
  <c r="JB111" i="1"/>
  <c r="JD111" i="1" s="1"/>
  <c r="JA111" i="1"/>
  <c r="IX111" i="1"/>
  <c r="IU111" i="1"/>
  <c r="IR111" i="1"/>
  <c r="IN111" i="1"/>
  <c r="IM111" i="1"/>
  <c r="IO111" i="1" s="1"/>
  <c r="IL111" i="1"/>
  <c r="II111" i="1"/>
  <c r="IF111" i="1"/>
  <c r="IC111" i="1"/>
  <c r="HY111" i="1"/>
  <c r="HX111" i="1"/>
  <c r="HZ111" i="1" s="1"/>
  <c r="HW111" i="1"/>
  <c r="HT111" i="1"/>
  <c r="HQ111" i="1"/>
  <c r="HN111" i="1"/>
  <c r="HJ111" i="1"/>
  <c r="HI111" i="1"/>
  <c r="HK111" i="1" s="1"/>
  <c r="HH111" i="1"/>
  <c r="HE111" i="1"/>
  <c r="HB111" i="1"/>
  <c r="GY111" i="1"/>
  <c r="GU111" i="1"/>
  <c r="GT111" i="1"/>
  <c r="GV111" i="1" s="1"/>
  <c r="GS111" i="1"/>
  <c r="GP111" i="1"/>
  <c r="GM111" i="1"/>
  <c r="GJ111" i="1"/>
  <c r="GF111" i="1"/>
  <c r="GE111" i="1"/>
  <c r="GG111" i="1" s="1"/>
  <c r="GD111" i="1"/>
  <c r="GA111" i="1"/>
  <c r="FX111" i="1"/>
  <c r="FU111" i="1"/>
  <c r="FQ111" i="1"/>
  <c r="FP111" i="1"/>
  <c r="FR111" i="1" s="1"/>
  <c r="FO111" i="1"/>
  <c r="FL111" i="1"/>
  <c r="FI111" i="1"/>
  <c r="FF111" i="1"/>
  <c r="FB111" i="1"/>
  <c r="FA111" i="1"/>
  <c r="FC111" i="1" s="1"/>
  <c r="EZ111" i="1"/>
  <c r="EW111" i="1"/>
  <c r="ET111" i="1"/>
  <c r="EQ111" i="1"/>
  <c r="EM111" i="1"/>
  <c r="EL111" i="1"/>
  <c r="EN111" i="1" s="1"/>
  <c r="EK111" i="1"/>
  <c r="EH111" i="1"/>
  <c r="EE111" i="1"/>
  <c r="EB111" i="1"/>
  <c r="DX111" i="1"/>
  <c r="DW111" i="1"/>
  <c r="DY111" i="1" s="1"/>
  <c r="DV111" i="1"/>
  <c r="DS111" i="1"/>
  <c r="DP111" i="1"/>
  <c r="DM111" i="1"/>
  <c r="DI111" i="1"/>
  <c r="DH111" i="1"/>
  <c r="DJ111" i="1" s="1"/>
  <c r="DG111" i="1"/>
  <c r="DD111" i="1"/>
  <c r="DA111" i="1"/>
  <c r="CX111" i="1"/>
  <c r="CT111" i="1"/>
  <c r="CS111" i="1"/>
  <c r="CU111" i="1" s="1"/>
  <c r="CR111" i="1"/>
  <c r="CO111" i="1"/>
  <c r="CL111" i="1"/>
  <c r="CI111" i="1"/>
  <c r="CF111" i="1"/>
  <c r="BP111" i="1"/>
  <c r="BO111" i="1"/>
  <c r="BQ111" i="1" s="1"/>
  <c r="BN111" i="1"/>
  <c r="BK111" i="1"/>
  <c r="BH111" i="1"/>
  <c r="BE111" i="1"/>
  <c r="BA111" i="1"/>
  <c r="AZ111" i="1"/>
  <c r="BB111" i="1" s="1"/>
  <c r="AY111" i="1"/>
  <c r="AV111" i="1"/>
  <c r="AS111" i="1"/>
  <c r="AP111" i="1"/>
  <c r="AM111" i="1"/>
  <c r="W111" i="1"/>
  <c r="V111" i="1"/>
  <c r="X111" i="1" s="1"/>
  <c r="U111" i="1"/>
  <c r="R111" i="1"/>
  <c r="O111" i="1"/>
  <c r="L111" i="1"/>
  <c r="I111" i="1"/>
  <c r="AAB110" i="1"/>
  <c r="AAA110" i="1"/>
  <c r="AAC110" i="1" s="1"/>
  <c r="ZZ110" i="1"/>
  <c r="ZW110" i="1"/>
  <c r="ZG110" i="1"/>
  <c r="AAE110" i="1" s="1"/>
  <c r="ZF110" i="1"/>
  <c r="AAD110" i="1" s="1"/>
  <c r="ZE110" i="1"/>
  <c r="ZB110" i="1"/>
  <c r="YY110" i="1"/>
  <c r="YV110" i="1"/>
  <c r="YR110" i="1"/>
  <c r="YQ110" i="1"/>
  <c r="YS110" i="1" s="1"/>
  <c r="YP110" i="1"/>
  <c r="YM110" i="1"/>
  <c r="YJ110" i="1"/>
  <c r="YG110" i="1"/>
  <c r="YC110" i="1"/>
  <c r="YB110" i="1"/>
  <c r="YD110" i="1" s="1"/>
  <c r="YA110" i="1"/>
  <c r="XX110" i="1"/>
  <c r="XU110" i="1"/>
  <c r="XR110" i="1"/>
  <c r="VU110" i="1"/>
  <c r="VT110" i="1"/>
  <c r="VV110" i="1" s="1"/>
  <c r="VS110" i="1"/>
  <c r="VP110" i="1"/>
  <c r="VM110" i="1"/>
  <c r="VJ110" i="1"/>
  <c r="UQ110" i="1"/>
  <c r="UP110" i="1"/>
  <c r="UR110" i="1" s="1"/>
  <c r="UO110" i="1"/>
  <c r="UL110" i="1"/>
  <c r="UI110" i="1"/>
  <c r="UF110" i="1"/>
  <c r="UB110" i="1"/>
  <c r="UA110" i="1"/>
  <c r="UC110" i="1" s="1"/>
  <c r="TZ110" i="1"/>
  <c r="TW110" i="1"/>
  <c r="TT110" i="1"/>
  <c r="TQ110" i="1"/>
  <c r="TM110" i="1"/>
  <c r="TL110" i="1"/>
  <c r="TN110" i="1" s="1"/>
  <c r="TK110" i="1"/>
  <c r="TH110" i="1"/>
  <c r="TE110" i="1"/>
  <c r="TB110" i="1"/>
  <c r="SX110" i="1"/>
  <c r="SW110" i="1"/>
  <c r="SY110" i="1" s="1"/>
  <c r="SV110" i="1"/>
  <c r="SS110" i="1"/>
  <c r="SP110" i="1"/>
  <c r="SM110" i="1"/>
  <c r="SJ110" i="1"/>
  <c r="QP110" i="1"/>
  <c r="QO110" i="1"/>
  <c r="QQ110" i="1" s="1"/>
  <c r="QN110" i="1"/>
  <c r="QK110" i="1"/>
  <c r="QH110" i="1"/>
  <c r="QE110" i="1"/>
  <c r="QA110" i="1"/>
  <c r="PZ110" i="1"/>
  <c r="QB110" i="1" s="1"/>
  <c r="PY110" i="1"/>
  <c r="PV110" i="1"/>
  <c r="PS110" i="1"/>
  <c r="PP110" i="1"/>
  <c r="PL110" i="1"/>
  <c r="PK110" i="1"/>
  <c r="PM110" i="1" s="1"/>
  <c r="PJ110" i="1"/>
  <c r="PG110" i="1"/>
  <c r="PD110" i="1"/>
  <c r="PA110" i="1"/>
  <c r="OW110" i="1"/>
  <c r="OV110" i="1"/>
  <c r="OX110" i="1" s="1"/>
  <c r="OU110" i="1"/>
  <c r="OR110" i="1"/>
  <c r="OO110" i="1"/>
  <c r="OL110" i="1"/>
  <c r="OH110" i="1"/>
  <c r="OG110" i="1"/>
  <c r="OI110" i="1" s="1"/>
  <c r="OF110" i="1"/>
  <c r="OC110" i="1"/>
  <c r="NZ110" i="1"/>
  <c r="NW110" i="1"/>
  <c r="NS110" i="1"/>
  <c r="NR110" i="1"/>
  <c r="NT110" i="1" s="1"/>
  <c r="NQ110" i="1"/>
  <c r="NN110" i="1"/>
  <c r="NK110" i="1"/>
  <c r="NH110" i="1"/>
  <c r="ND110" i="1"/>
  <c r="NC110" i="1"/>
  <c r="NE110" i="1" s="1"/>
  <c r="NB110" i="1"/>
  <c r="MY110" i="1"/>
  <c r="MV110" i="1"/>
  <c r="MS110" i="1"/>
  <c r="MO110" i="1"/>
  <c r="MN110" i="1"/>
  <c r="MP110" i="1" s="1"/>
  <c r="MM110" i="1"/>
  <c r="MJ110" i="1"/>
  <c r="MG110" i="1"/>
  <c r="MD110" i="1"/>
  <c r="LZ110" i="1"/>
  <c r="LY110" i="1"/>
  <c r="MA110" i="1" s="1"/>
  <c r="LX110" i="1"/>
  <c r="LU110" i="1"/>
  <c r="LR110" i="1"/>
  <c r="LO110" i="1"/>
  <c r="KV110" i="1"/>
  <c r="KU110" i="1"/>
  <c r="KW110" i="1" s="1"/>
  <c r="KT110" i="1"/>
  <c r="KQ110" i="1"/>
  <c r="KN110" i="1"/>
  <c r="KK110" i="1"/>
  <c r="KH110" i="1"/>
  <c r="JC110" i="1"/>
  <c r="JB110" i="1"/>
  <c r="JD110" i="1" s="1"/>
  <c r="JA110" i="1"/>
  <c r="IX110" i="1"/>
  <c r="IU110" i="1"/>
  <c r="IR110" i="1"/>
  <c r="IN110" i="1"/>
  <c r="IM110" i="1"/>
  <c r="IO110" i="1" s="1"/>
  <c r="IL110" i="1"/>
  <c r="II110" i="1"/>
  <c r="IF110" i="1"/>
  <c r="IC110" i="1"/>
  <c r="HY110" i="1"/>
  <c r="HX110" i="1"/>
  <c r="HZ110" i="1" s="1"/>
  <c r="HW110" i="1"/>
  <c r="HT110" i="1"/>
  <c r="HQ110" i="1"/>
  <c r="HN110" i="1"/>
  <c r="HJ110" i="1"/>
  <c r="HI110" i="1"/>
  <c r="HK110" i="1" s="1"/>
  <c r="HH110" i="1"/>
  <c r="HE110" i="1"/>
  <c r="HB110" i="1"/>
  <c r="GY110" i="1"/>
  <c r="GU110" i="1"/>
  <c r="GT110" i="1"/>
  <c r="GV110" i="1" s="1"/>
  <c r="GS110" i="1"/>
  <c r="GP110" i="1"/>
  <c r="GM110" i="1"/>
  <c r="GJ110" i="1"/>
  <c r="GF110" i="1"/>
  <c r="GE110" i="1"/>
  <c r="GG110" i="1" s="1"/>
  <c r="GD110" i="1"/>
  <c r="GA110" i="1"/>
  <c r="FX110" i="1"/>
  <c r="FU110" i="1"/>
  <c r="FQ110" i="1"/>
  <c r="FP110" i="1"/>
  <c r="FR110" i="1" s="1"/>
  <c r="FO110" i="1"/>
  <c r="FL110" i="1"/>
  <c r="FI110" i="1"/>
  <c r="FF110" i="1"/>
  <c r="FB110" i="1"/>
  <c r="FA110" i="1"/>
  <c r="FC110" i="1" s="1"/>
  <c r="EZ110" i="1"/>
  <c r="EW110" i="1"/>
  <c r="ET110" i="1"/>
  <c r="EQ110" i="1"/>
  <c r="EM110" i="1"/>
  <c r="EL110" i="1"/>
  <c r="EN110" i="1" s="1"/>
  <c r="EK110" i="1"/>
  <c r="EH110" i="1"/>
  <c r="EE110" i="1"/>
  <c r="EB110" i="1"/>
  <c r="DX110" i="1"/>
  <c r="DW110" i="1"/>
  <c r="DY110" i="1" s="1"/>
  <c r="DV110" i="1"/>
  <c r="DS110" i="1"/>
  <c r="DP110" i="1"/>
  <c r="DM110" i="1"/>
  <c r="DI110" i="1"/>
  <c r="DH110" i="1"/>
  <c r="DJ110" i="1" s="1"/>
  <c r="DG110" i="1"/>
  <c r="DD110" i="1"/>
  <c r="DA110" i="1"/>
  <c r="CX110" i="1"/>
  <c r="CT110" i="1"/>
  <c r="CS110" i="1"/>
  <c r="CU110" i="1" s="1"/>
  <c r="CR110" i="1"/>
  <c r="CO110" i="1"/>
  <c r="CL110" i="1"/>
  <c r="CI110" i="1"/>
  <c r="CF110" i="1"/>
  <c r="BP110" i="1"/>
  <c r="BO110" i="1"/>
  <c r="BQ110" i="1" s="1"/>
  <c r="BN110" i="1"/>
  <c r="BK110" i="1"/>
  <c r="BH110" i="1"/>
  <c r="BE110" i="1"/>
  <c r="BA110" i="1"/>
  <c r="AZ110" i="1"/>
  <c r="BB110" i="1" s="1"/>
  <c r="AY110" i="1"/>
  <c r="AV110" i="1"/>
  <c r="AS110" i="1"/>
  <c r="AP110" i="1"/>
  <c r="AM110" i="1"/>
  <c r="W110" i="1"/>
  <c r="V110" i="1"/>
  <c r="X110" i="1" s="1"/>
  <c r="U110" i="1"/>
  <c r="R110" i="1"/>
  <c r="O110" i="1"/>
  <c r="L110" i="1"/>
  <c r="I110" i="1"/>
  <c r="AAB109" i="1"/>
  <c r="AAA109" i="1"/>
  <c r="AAC109" i="1" s="1"/>
  <c r="AAC121" i="1" s="1"/>
  <c r="ZZ109" i="1"/>
  <c r="ZZ121" i="1" s="1"/>
  <c r="ZW109" i="1"/>
  <c r="ZW121" i="1" s="1"/>
  <c r="ZG109" i="1"/>
  <c r="ZF109" i="1"/>
  <c r="AAD109" i="1" s="1"/>
  <c r="ZE109" i="1"/>
  <c r="ZE121" i="1" s="1"/>
  <c r="ZB109" i="1"/>
  <c r="ZB121" i="1" s="1"/>
  <c r="YY109" i="1"/>
  <c r="YY121" i="1" s="1"/>
  <c r="YV109" i="1"/>
  <c r="YV121" i="1" s="1"/>
  <c r="YR109" i="1"/>
  <c r="YR121" i="1" s="1"/>
  <c r="YQ109" i="1"/>
  <c r="YS109" i="1" s="1"/>
  <c r="YS121" i="1" s="1"/>
  <c r="YP109" i="1"/>
  <c r="YP121" i="1" s="1"/>
  <c r="YM109" i="1"/>
  <c r="YM121" i="1" s="1"/>
  <c r="YJ109" i="1"/>
  <c r="YJ121" i="1" s="1"/>
  <c r="YG109" i="1"/>
  <c r="YG121" i="1" s="1"/>
  <c r="YC109" i="1"/>
  <c r="YC121" i="1" s="1"/>
  <c r="YB109" i="1"/>
  <c r="YD109" i="1" s="1"/>
  <c r="YD121" i="1" s="1"/>
  <c r="YA109" i="1"/>
  <c r="YA121" i="1" s="1"/>
  <c r="XX109" i="1"/>
  <c r="XX121" i="1" s="1"/>
  <c r="XU109" i="1"/>
  <c r="XU121" i="1" s="1"/>
  <c r="XR109" i="1"/>
  <c r="XR121" i="1" s="1"/>
  <c r="VU109" i="1"/>
  <c r="VU121" i="1" s="1"/>
  <c r="VT109" i="1"/>
  <c r="VV109" i="1" s="1"/>
  <c r="VV121" i="1" s="1"/>
  <c r="VS109" i="1"/>
  <c r="VS121" i="1" s="1"/>
  <c r="VP109" i="1"/>
  <c r="VP121" i="1" s="1"/>
  <c r="VM109" i="1"/>
  <c r="VM121" i="1" s="1"/>
  <c r="VJ109" i="1"/>
  <c r="VJ121" i="1" s="1"/>
  <c r="UQ109" i="1"/>
  <c r="UQ121" i="1" s="1"/>
  <c r="UP109" i="1"/>
  <c r="UR109" i="1" s="1"/>
  <c r="UR121" i="1" s="1"/>
  <c r="UO109" i="1"/>
  <c r="UO121" i="1" s="1"/>
  <c r="UL109" i="1"/>
  <c r="UL121" i="1" s="1"/>
  <c r="UI109" i="1"/>
  <c r="UI121" i="1" s="1"/>
  <c r="UF109" i="1"/>
  <c r="UF121" i="1" s="1"/>
  <c r="UB109" i="1"/>
  <c r="UB121" i="1" s="1"/>
  <c r="UA109" i="1"/>
  <c r="UC109" i="1" s="1"/>
  <c r="UC121" i="1" s="1"/>
  <c r="TZ109" i="1"/>
  <c r="TZ121" i="1" s="1"/>
  <c r="TW109" i="1"/>
  <c r="TW121" i="1" s="1"/>
  <c r="TT109" i="1"/>
  <c r="TT121" i="1" s="1"/>
  <c r="TQ109" i="1"/>
  <c r="TQ121" i="1" s="1"/>
  <c r="TM109" i="1"/>
  <c r="TM121" i="1" s="1"/>
  <c r="TL109" i="1"/>
  <c r="TN109" i="1" s="1"/>
  <c r="TN121" i="1" s="1"/>
  <c r="TK109" i="1"/>
  <c r="TK121" i="1" s="1"/>
  <c r="TH109" i="1"/>
  <c r="TH121" i="1" s="1"/>
  <c r="TE109" i="1"/>
  <c r="TE121" i="1" s="1"/>
  <c r="TB109" i="1"/>
  <c r="TB121" i="1" s="1"/>
  <c r="SX109" i="1"/>
  <c r="SX121" i="1" s="1"/>
  <c r="SW109" i="1"/>
  <c r="SY109" i="1" s="1"/>
  <c r="SY121" i="1" s="1"/>
  <c r="SV109" i="1"/>
  <c r="SV121" i="1" s="1"/>
  <c r="SS109" i="1"/>
  <c r="SS121" i="1" s="1"/>
  <c r="SP109" i="1"/>
  <c r="SP121" i="1" s="1"/>
  <c r="SM109" i="1"/>
  <c r="SM121" i="1" s="1"/>
  <c r="SJ109" i="1"/>
  <c r="SJ121" i="1" s="1"/>
  <c r="QP109" i="1"/>
  <c r="QP121" i="1" s="1"/>
  <c r="QO109" i="1"/>
  <c r="QQ109" i="1" s="1"/>
  <c r="QQ121" i="1" s="1"/>
  <c r="QN109" i="1"/>
  <c r="QN121" i="1" s="1"/>
  <c r="QK109" i="1"/>
  <c r="QK121" i="1" s="1"/>
  <c r="QH109" i="1"/>
  <c r="QH121" i="1" s="1"/>
  <c r="QE109" i="1"/>
  <c r="QE121" i="1" s="1"/>
  <c r="QA109" i="1"/>
  <c r="QA121" i="1" s="1"/>
  <c r="PZ109" i="1"/>
  <c r="QB109" i="1" s="1"/>
  <c r="QB121" i="1" s="1"/>
  <c r="PY109" i="1"/>
  <c r="PY121" i="1" s="1"/>
  <c r="PV109" i="1"/>
  <c r="PV121" i="1" s="1"/>
  <c r="PS109" i="1"/>
  <c r="PS121" i="1" s="1"/>
  <c r="PP109" i="1"/>
  <c r="PP121" i="1" s="1"/>
  <c r="PL109" i="1"/>
  <c r="PL121" i="1" s="1"/>
  <c r="PK109" i="1"/>
  <c r="PM109" i="1" s="1"/>
  <c r="PM121" i="1" s="1"/>
  <c r="PJ109" i="1"/>
  <c r="PJ121" i="1" s="1"/>
  <c r="PG109" i="1"/>
  <c r="PG121" i="1" s="1"/>
  <c r="PD109" i="1"/>
  <c r="PD121" i="1" s="1"/>
  <c r="PA109" i="1"/>
  <c r="PA121" i="1" s="1"/>
  <c r="OW109" i="1"/>
  <c r="OW121" i="1" s="1"/>
  <c r="OV109" i="1"/>
  <c r="OX109" i="1" s="1"/>
  <c r="OX121" i="1" s="1"/>
  <c r="OU109" i="1"/>
  <c r="OU121" i="1" s="1"/>
  <c r="OR109" i="1"/>
  <c r="OR121" i="1" s="1"/>
  <c r="OO109" i="1"/>
  <c r="OO121" i="1" s="1"/>
  <c r="OL109" i="1"/>
  <c r="OL121" i="1" s="1"/>
  <c r="OH109" i="1"/>
  <c r="OH121" i="1" s="1"/>
  <c r="OG109" i="1"/>
  <c r="OI109" i="1" s="1"/>
  <c r="OF109" i="1"/>
  <c r="OF121" i="1" s="1"/>
  <c r="OC109" i="1"/>
  <c r="OC121" i="1" s="1"/>
  <c r="NZ109" i="1"/>
  <c r="NZ121" i="1" s="1"/>
  <c r="NW109" i="1"/>
  <c r="NS109" i="1"/>
  <c r="NS121" i="1" s="1"/>
  <c r="NR109" i="1"/>
  <c r="NT109" i="1" s="1"/>
  <c r="NT121" i="1" s="1"/>
  <c r="NQ109" i="1"/>
  <c r="NQ121" i="1" s="1"/>
  <c r="NN109" i="1"/>
  <c r="NN121" i="1" s="1"/>
  <c r="NK109" i="1"/>
  <c r="NK121" i="1" s="1"/>
  <c r="NH109" i="1"/>
  <c r="NH121" i="1" s="1"/>
  <c r="ND109" i="1"/>
  <c r="ND121" i="1" s="1"/>
  <c r="NC109" i="1"/>
  <c r="NE109" i="1" s="1"/>
  <c r="NE121" i="1" s="1"/>
  <c r="NB109" i="1"/>
  <c r="NB121" i="1" s="1"/>
  <c r="MY109" i="1"/>
  <c r="MY121" i="1" s="1"/>
  <c r="MV109" i="1"/>
  <c r="MV121" i="1" s="1"/>
  <c r="MS109" i="1"/>
  <c r="MS121" i="1" s="1"/>
  <c r="MO109" i="1"/>
  <c r="MO121" i="1" s="1"/>
  <c r="MN109" i="1"/>
  <c r="MP109" i="1" s="1"/>
  <c r="MM109" i="1"/>
  <c r="MM121" i="1" s="1"/>
  <c r="MJ109" i="1"/>
  <c r="MJ121" i="1" s="1"/>
  <c r="MG109" i="1"/>
  <c r="MG121" i="1" s="1"/>
  <c r="MD109" i="1"/>
  <c r="LZ109" i="1"/>
  <c r="LZ121" i="1" s="1"/>
  <c r="LY109" i="1"/>
  <c r="MA109" i="1" s="1"/>
  <c r="MA121" i="1" s="1"/>
  <c r="LX109" i="1"/>
  <c r="LX121" i="1" s="1"/>
  <c r="LU109" i="1"/>
  <c r="LU121" i="1" s="1"/>
  <c r="LR109" i="1"/>
  <c r="LR121" i="1" s="1"/>
  <c r="LO109" i="1"/>
  <c r="LO121" i="1" s="1"/>
  <c r="KV109" i="1"/>
  <c r="KV121" i="1" s="1"/>
  <c r="KU109" i="1"/>
  <c r="KW109" i="1" s="1"/>
  <c r="KW121" i="1" s="1"/>
  <c r="KT109" i="1"/>
  <c r="KT121" i="1" s="1"/>
  <c r="KQ109" i="1"/>
  <c r="KQ121" i="1" s="1"/>
  <c r="KN109" i="1"/>
  <c r="KN121" i="1" s="1"/>
  <c r="KK109" i="1"/>
  <c r="KK121" i="1" s="1"/>
  <c r="KH109" i="1"/>
  <c r="KH121" i="1" s="1"/>
  <c r="JC109" i="1"/>
  <c r="JC121" i="1" s="1"/>
  <c r="JB109" i="1"/>
  <c r="JD109" i="1" s="1"/>
  <c r="JD121" i="1" s="1"/>
  <c r="JA109" i="1"/>
  <c r="JA121" i="1" s="1"/>
  <c r="IX109" i="1"/>
  <c r="IX121" i="1" s="1"/>
  <c r="IU109" i="1"/>
  <c r="IU121" i="1" s="1"/>
  <c r="IR109" i="1"/>
  <c r="IR121" i="1" s="1"/>
  <c r="IN109" i="1"/>
  <c r="IN121" i="1" s="1"/>
  <c r="IM109" i="1"/>
  <c r="IO109" i="1" s="1"/>
  <c r="IL109" i="1"/>
  <c r="IL121" i="1" s="1"/>
  <c r="II109" i="1"/>
  <c r="II121" i="1" s="1"/>
  <c r="IF109" i="1"/>
  <c r="IF121" i="1" s="1"/>
  <c r="IC109" i="1"/>
  <c r="HZ109" i="1"/>
  <c r="HZ121" i="1" s="1"/>
  <c r="HY109" i="1"/>
  <c r="HY121" i="1" s="1"/>
  <c r="HX109" i="1"/>
  <c r="HW109" i="1"/>
  <c r="HW121" i="1" s="1"/>
  <c r="HT109" i="1"/>
  <c r="HT121" i="1" s="1"/>
  <c r="HQ109" i="1"/>
  <c r="HQ121" i="1" s="1"/>
  <c r="HN109" i="1"/>
  <c r="HN121" i="1" s="1"/>
  <c r="HJ109" i="1"/>
  <c r="HJ121" i="1" s="1"/>
  <c r="HI109" i="1"/>
  <c r="HK109" i="1" s="1"/>
  <c r="HK121" i="1" s="1"/>
  <c r="HH109" i="1"/>
  <c r="HH121" i="1" s="1"/>
  <c r="HE109" i="1"/>
  <c r="HE121" i="1" s="1"/>
  <c r="HB109" i="1"/>
  <c r="HB121" i="1" s="1"/>
  <c r="GY109" i="1"/>
  <c r="GY121" i="1" s="1"/>
  <c r="GU109" i="1"/>
  <c r="GU121" i="1" s="1"/>
  <c r="GT109" i="1"/>
  <c r="GV109" i="1" s="1"/>
  <c r="GV121" i="1" s="1"/>
  <c r="GS109" i="1"/>
  <c r="GS121" i="1" s="1"/>
  <c r="GP109" i="1"/>
  <c r="GP121" i="1" s="1"/>
  <c r="GM109" i="1"/>
  <c r="GM121" i="1" s="1"/>
  <c r="GJ109" i="1"/>
  <c r="GJ121" i="1" s="1"/>
  <c r="GF109" i="1"/>
  <c r="GF121" i="1" s="1"/>
  <c r="GE109" i="1"/>
  <c r="GG109" i="1" s="1"/>
  <c r="GG121" i="1" s="1"/>
  <c r="GD109" i="1"/>
  <c r="GD121" i="1" s="1"/>
  <c r="GA109" i="1"/>
  <c r="GA121" i="1" s="1"/>
  <c r="FX109" i="1"/>
  <c r="FX121" i="1" s="1"/>
  <c r="FU109" i="1"/>
  <c r="FU121" i="1" s="1"/>
  <c r="FQ109" i="1"/>
  <c r="FQ121" i="1" s="1"/>
  <c r="FP109" i="1"/>
  <c r="FR109" i="1" s="1"/>
  <c r="FR121" i="1" s="1"/>
  <c r="FO109" i="1"/>
  <c r="FO121" i="1" s="1"/>
  <c r="FL109" i="1"/>
  <c r="FL121" i="1" s="1"/>
  <c r="FI109" i="1"/>
  <c r="FI121" i="1" s="1"/>
  <c r="FF109" i="1"/>
  <c r="FF121" i="1" s="1"/>
  <c r="FB109" i="1"/>
  <c r="FB121" i="1" s="1"/>
  <c r="FA109" i="1"/>
  <c r="FC109" i="1" s="1"/>
  <c r="FC121" i="1" s="1"/>
  <c r="EZ109" i="1"/>
  <c r="EZ121" i="1" s="1"/>
  <c r="EW109" i="1"/>
  <c r="EW121" i="1" s="1"/>
  <c r="ET109" i="1"/>
  <c r="ET121" i="1" s="1"/>
  <c r="EQ109" i="1"/>
  <c r="EQ121" i="1" s="1"/>
  <c r="EM109" i="1"/>
  <c r="EM121" i="1" s="1"/>
  <c r="EL109" i="1"/>
  <c r="EN109" i="1" s="1"/>
  <c r="EN121" i="1" s="1"/>
  <c r="EK109" i="1"/>
  <c r="EK121" i="1" s="1"/>
  <c r="EH109" i="1"/>
  <c r="EH121" i="1" s="1"/>
  <c r="EE109" i="1"/>
  <c r="EE121" i="1" s="1"/>
  <c r="EB109" i="1"/>
  <c r="EB121" i="1" s="1"/>
  <c r="DX109" i="1"/>
  <c r="DX121" i="1" s="1"/>
  <c r="DW109" i="1"/>
  <c r="DY109" i="1" s="1"/>
  <c r="DY121" i="1" s="1"/>
  <c r="DV109" i="1"/>
  <c r="DV121" i="1" s="1"/>
  <c r="DS109" i="1"/>
  <c r="DS121" i="1" s="1"/>
  <c r="DP109" i="1"/>
  <c r="DP121" i="1" s="1"/>
  <c r="DM109" i="1"/>
  <c r="DM121" i="1" s="1"/>
  <c r="DI109" i="1"/>
  <c r="DI121" i="1" s="1"/>
  <c r="DH109" i="1"/>
  <c r="DJ109" i="1" s="1"/>
  <c r="DJ121" i="1" s="1"/>
  <c r="DG109" i="1"/>
  <c r="DG121" i="1" s="1"/>
  <c r="DD109" i="1"/>
  <c r="DD121" i="1" s="1"/>
  <c r="DA109" i="1"/>
  <c r="DA121" i="1" s="1"/>
  <c r="CX109" i="1"/>
  <c r="CX121" i="1" s="1"/>
  <c r="CT109" i="1"/>
  <c r="CT121" i="1" s="1"/>
  <c r="CS109" i="1"/>
  <c r="CU109" i="1" s="1"/>
  <c r="CR109" i="1"/>
  <c r="CR121" i="1" s="1"/>
  <c r="CO109" i="1"/>
  <c r="CL109" i="1"/>
  <c r="CL121" i="1" s="1"/>
  <c r="CI109" i="1"/>
  <c r="CI121" i="1" s="1"/>
  <c r="CF109" i="1"/>
  <c r="CF121" i="1" s="1"/>
  <c r="BP109" i="1"/>
  <c r="BP121" i="1" s="1"/>
  <c r="BO109" i="1"/>
  <c r="BQ109" i="1" s="1"/>
  <c r="BQ121" i="1" s="1"/>
  <c r="BN109" i="1"/>
  <c r="BN121" i="1" s="1"/>
  <c r="BK109" i="1"/>
  <c r="BK121" i="1" s="1"/>
  <c r="BH109" i="1"/>
  <c r="BH121" i="1" s="1"/>
  <c r="BE109" i="1"/>
  <c r="BE121" i="1" s="1"/>
  <c r="BA109" i="1"/>
  <c r="BA121" i="1" s="1"/>
  <c r="AZ109" i="1"/>
  <c r="BB109" i="1" s="1"/>
  <c r="BB121" i="1" s="1"/>
  <c r="AY109" i="1"/>
  <c r="AY121" i="1" s="1"/>
  <c r="AV109" i="1"/>
  <c r="AV121" i="1" s="1"/>
  <c r="AS109" i="1"/>
  <c r="AS121" i="1" s="1"/>
  <c r="AP109" i="1"/>
  <c r="AP121" i="1" s="1"/>
  <c r="AM109" i="1"/>
  <c r="AM121" i="1" s="1"/>
  <c r="W109" i="1"/>
  <c r="W121" i="1" s="1"/>
  <c r="V109" i="1"/>
  <c r="U109" i="1"/>
  <c r="U121" i="1" s="1"/>
  <c r="R109" i="1"/>
  <c r="R121" i="1" s="1"/>
  <c r="O109" i="1"/>
  <c r="O121" i="1" s="1"/>
  <c r="L109" i="1"/>
  <c r="L121" i="1" s="1"/>
  <c r="I109" i="1"/>
  <c r="ZY108" i="1"/>
  <c r="AAB108" i="1" s="1"/>
  <c r="ZX108" i="1"/>
  <c r="AAA108" i="1" s="1"/>
  <c r="ZD108" i="1"/>
  <c r="ZC108" i="1"/>
  <c r="ZA108" i="1"/>
  <c r="YZ108" i="1"/>
  <c r="YX108" i="1"/>
  <c r="YW108" i="1"/>
  <c r="YU108" i="1"/>
  <c r="YT108" i="1"/>
  <c r="ZF108" i="1" s="1"/>
  <c r="YO108" i="1"/>
  <c r="YN108" i="1"/>
  <c r="YL108" i="1"/>
  <c r="YK108" i="1"/>
  <c r="YI108" i="1"/>
  <c r="YH108" i="1"/>
  <c r="YF108" i="1"/>
  <c r="YE108" i="1"/>
  <c r="YQ108" i="1" s="1"/>
  <c r="XZ108" i="1"/>
  <c r="XY108" i="1"/>
  <c r="XW108" i="1"/>
  <c r="XV108" i="1"/>
  <c r="XT108" i="1"/>
  <c r="XS108" i="1"/>
  <c r="XQ108" i="1"/>
  <c r="XP108" i="1"/>
  <c r="YB108" i="1" s="1"/>
  <c r="VR108" i="1"/>
  <c r="VQ108" i="1"/>
  <c r="VO108" i="1"/>
  <c r="VN108" i="1"/>
  <c r="VL108" i="1"/>
  <c r="VK108" i="1"/>
  <c r="VI108" i="1"/>
  <c r="VH108" i="1"/>
  <c r="VT108" i="1" s="1"/>
  <c r="UN108" i="1"/>
  <c r="UM108" i="1"/>
  <c r="UK108" i="1"/>
  <c r="UJ108" i="1"/>
  <c r="UH108" i="1"/>
  <c r="UG108" i="1"/>
  <c r="UE108" i="1"/>
  <c r="UD108" i="1"/>
  <c r="UP108" i="1" s="1"/>
  <c r="TY108" i="1"/>
  <c r="TX108" i="1"/>
  <c r="TV108" i="1"/>
  <c r="TU108" i="1"/>
  <c r="TS108" i="1"/>
  <c r="TR108" i="1"/>
  <c r="TP108" i="1"/>
  <c r="TO108" i="1"/>
  <c r="UA108" i="1" s="1"/>
  <c r="TJ108" i="1"/>
  <c r="TI108" i="1"/>
  <c r="TG108" i="1"/>
  <c r="TF108" i="1"/>
  <c r="TD108" i="1"/>
  <c r="TC108" i="1"/>
  <c r="TA108" i="1"/>
  <c r="SZ108" i="1"/>
  <c r="TL108" i="1" s="1"/>
  <c r="SU108" i="1"/>
  <c r="ST108" i="1"/>
  <c r="SR108" i="1"/>
  <c r="SQ108" i="1"/>
  <c r="SO108" i="1"/>
  <c r="SN108" i="1"/>
  <c r="SL108" i="1"/>
  <c r="SK108" i="1"/>
  <c r="SW108" i="1" s="1"/>
  <c r="QM108" i="1"/>
  <c r="QL108" i="1"/>
  <c r="QJ108" i="1"/>
  <c r="QI108" i="1"/>
  <c r="QG108" i="1"/>
  <c r="QF108" i="1"/>
  <c r="QD108" i="1"/>
  <c r="QC108" i="1"/>
  <c r="QO108" i="1" s="1"/>
  <c r="PX108" i="1"/>
  <c r="PW108" i="1"/>
  <c r="PU108" i="1"/>
  <c r="PT108" i="1"/>
  <c r="PR108" i="1"/>
  <c r="PQ108" i="1"/>
  <c r="PO108" i="1"/>
  <c r="PN108" i="1"/>
  <c r="PZ108" i="1" s="1"/>
  <c r="PI108" i="1"/>
  <c r="PH108" i="1"/>
  <c r="PF108" i="1"/>
  <c r="PE108" i="1"/>
  <c r="PC108" i="1"/>
  <c r="PB108" i="1"/>
  <c r="OZ108" i="1"/>
  <c r="OY108" i="1"/>
  <c r="PK108" i="1" s="1"/>
  <c r="OT108" i="1"/>
  <c r="OS108" i="1"/>
  <c r="OQ108" i="1"/>
  <c r="OP108" i="1"/>
  <c r="ON108" i="1"/>
  <c r="OM108" i="1"/>
  <c r="OK108" i="1"/>
  <c r="OJ108" i="1"/>
  <c r="OV108" i="1" s="1"/>
  <c r="OE108" i="1"/>
  <c r="OD108" i="1"/>
  <c r="OB108" i="1"/>
  <c r="OA108" i="1"/>
  <c r="NY108" i="1"/>
  <c r="NX108" i="1"/>
  <c r="NV108" i="1"/>
  <c r="NP108" i="1"/>
  <c r="NO108" i="1"/>
  <c r="NM108" i="1"/>
  <c r="NL108" i="1"/>
  <c r="NJ108" i="1"/>
  <c r="NI108" i="1"/>
  <c r="NG108" i="1"/>
  <c r="NF108" i="1"/>
  <c r="NR108" i="1" s="1"/>
  <c r="NA108" i="1"/>
  <c r="MZ108" i="1"/>
  <c r="MX108" i="1"/>
  <c r="MW108" i="1"/>
  <c r="MU108" i="1"/>
  <c r="MT108" i="1"/>
  <c r="MR108" i="1"/>
  <c r="MQ108" i="1"/>
  <c r="NC108" i="1" s="1"/>
  <c r="ML108" i="1"/>
  <c r="MK108" i="1"/>
  <c r="MI108" i="1"/>
  <c r="MH108" i="1"/>
  <c r="MF108" i="1"/>
  <c r="ME108" i="1"/>
  <c r="MC108" i="1"/>
  <c r="LW108" i="1"/>
  <c r="LV108" i="1"/>
  <c r="LT108" i="1"/>
  <c r="LS108" i="1"/>
  <c r="LQ108" i="1"/>
  <c r="LP108" i="1"/>
  <c r="LN108" i="1"/>
  <c r="LM108" i="1"/>
  <c r="LY108" i="1" s="1"/>
  <c r="KS108" i="1"/>
  <c r="KR108" i="1"/>
  <c r="KP108" i="1"/>
  <c r="KO108" i="1"/>
  <c r="KM108" i="1"/>
  <c r="KL108" i="1"/>
  <c r="KJ108" i="1"/>
  <c r="KI108" i="1"/>
  <c r="KU108" i="1" s="1"/>
  <c r="IZ108" i="1"/>
  <c r="IY108" i="1"/>
  <c r="IW108" i="1"/>
  <c r="IV108" i="1"/>
  <c r="IT108" i="1"/>
  <c r="IS108" i="1"/>
  <c r="IQ108" i="1"/>
  <c r="IP108" i="1"/>
  <c r="JB108" i="1" s="1"/>
  <c r="IK108" i="1"/>
  <c r="IJ108" i="1"/>
  <c r="IH108" i="1"/>
  <c r="IG108" i="1"/>
  <c r="IE108" i="1"/>
  <c r="ID108" i="1"/>
  <c r="IB108" i="1"/>
  <c r="HV108" i="1"/>
  <c r="HU108" i="1"/>
  <c r="HS108" i="1"/>
  <c r="HR108" i="1"/>
  <c r="HP108" i="1"/>
  <c r="HO108" i="1"/>
  <c r="HM108" i="1"/>
  <c r="HL108" i="1"/>
  <c r="HX108" i="1" s="1"/>
  <c r="HG108" i="1"/>
  <c r="HF108" i="1"/>
  <c r="HD108" i="1"/>
  <c r="HC108" i="1"/>
  <c r="HA108" i="1"/>
  <c r="GZ108" i="1"/>
  <c r="GX108" i="1"/>
  <c r="GW108" i="1"/>
  <c r="HI108" i="1" s="1"/>
  <c r="GR108" i="1"/>
  <c r="GQ108" i="1"/>
  <c r="GO108" i="1"/>
  <c r="GN108" i="1"/>
  <c r="GL108" i="1"/>
  <c r="GK108" i="1"/>
  <c r="GI108" i="1"/>
  <c r="GH108" i="1"/>
  <c r="GT108" i="1" s="1"/>
  <c r="GC108" i="1"/>
  <c r="GB108" i="1"/>
  <c r="FZ108" i="1"/>
  <c r="FY108" i="1"/>
  <c r="FW108" i="1"/>
  <c r="FV108" i="1"/>
  <c r="FT108" i="1"/>
  <c r="FS108" i="1"/>
  <c r="GE108" i="1" s="1"/>
  <c r="FN108" i="1"/>
  <c r="FM108" i="1"/>
  <c r="FK108" i="1"/>
  <c r="FJ108" i="1"/>
  <c r="FH108" i="1"/>
  <c r="FG108" i="1"/>
  <c r="FE108" i="1"/>
  <c r="FD108" i="1"/>
  <c r="FP108" i="1" s="1"/>
  <c r="EY108" i="1"/>
  <c r="EX108" i="1"/>
  <c r="EV108" i="1"/>
  <c r="EU108" i="1"/>
  <c r="ES108" i="1"/>
  <c r="ER108" i="1"/>
  <c r="EP108" i="1"/>
  <c r="EO108" i="1"/>
  <c r="FA108" i="1" s="1"/>
  <c r="EJ108" i="1"/>
  <c r="EI108" i="1"/>
  <c r="EG108" i="1"/>
  <c r="EF108" i="1"/>
  <c r="ED108" i="1"/>
  <c r="EC108" i="1"/>
  <c r="EA108" i="1"/>
  <c r="DZ108" i="1"/>
  <c r="EL108" i="1" s="1"/>
  <c r="DU108" i="1"/>
  <c r="DT108" i="1"/>
  <c r="DR108" i="1"/>
  <c r="DQ108" i="1"/>
  <c r="DO108" i="1"/>
  <c r="DN108" i="1"/>
  <c r="DL108" i="1"/>
  <c r="DK108" i="1"/>
  <c r="DW108" i="1" s="1"/>
  <c r="DF108" i="1"/>
  <c r="DE108" i="1"/>
  <c r="DC108" i="1"/>
  <c r="DB108" i="1"/>
  <c r="CZ108" i="1"/>
  <c r="CY108" i="1"/>
  <c r="CW108" i="1"/>
  <c r="CV108" i="1"/>
  <c r="DH108" i="1" s="1"/>
  <c r="CQ108" i="1"/>
  <c r="CP108" i="1"/>
  <c r="CN108" i="1"/>
  <c r="CK108" i="1"/>
  <c r="CJ108" i="1"/>
  <c r="CH108" i="1"/>
  <c r="CG108" i="1"/>
  <c r="BM108" i="1"/>
  <c r="BL108" i="1"/>
  <c r="BJ108" i="1"/>
  <c r="BI108" i="1"/>
  <c r="BG108" i="1"/>
  <c r="BF108" i="1"/>
  <c r="BD108" i="1"/>
  <c r="BC108" i="1"/>
  <c r="BO108" i="1" s="1"/>
  <c r="AX108" i="1"/>
  <c r="AW108" i="1"/>
  <c r="AU108" i="1"/>
  <c r="AT108" i="1"/>
  <c r="AR108" i="1"/>
  <c r="AQ108" i="1"/>
  <c r="AO108" i="1"/>
  <c r="AN108" i="1"/>
  <c r="AZ108" i="1" s="1"/>
  <c r="T108" i="1"/>
  <c r="S108" i="1"/>
  <c r="Q108" i="1"/>
  <c r="P108" i="1"/>
  <c r="N108" i="1"/>
  <c r="M108" i="1"/>
  <c r="K108" i="1"/>
  <c r="J108" i="1"/>
  <c r="H108" i="1"/>
  <c r="AAB107" i="1"/>
  <c r="AAA107" i="1"/>
  <c r="AAC107" i="1" s="1"/>
  <c r="ZZ107" i="1"/>
  <c r="ZW107" i="1"/>
  <c r="ZG107" i="1"/>
  <c r="AAE107" i="1" s="1"/>
  <c r="ZF107" i="1"/>
  <c r="AAD107" i="1" s="1"/>
  <c r="ZE107" i="1"/>
  <c r="ZB107" i="1"/>
  <c r="YY107" i="1"/>
  <c r="YV107" i="1"/>
  <c r="YR107" i="1"/>
  <c r="YQ107" i="1"/>
  <c r="YS107" i="1" s="1"/>
  <c r="YP107" i="1"/>
  <c r="YM107" i="1"/>
  <c r="YJ107" i="1"/>
  <c r="YG107" i="1"/>
  <c r="YC107" i="1"/>
  <c r="YB107" i="1"/>
  <c r="YD107" i="1" s="1"/>
  <c r="YA107" i="1"/>
  <c r="XX107" i="1"/>
  <c r="XU107" i="1"/>
  <c r="XR107" i="1"/>
  <c r="VU107" i="1"/>
  <c r="VT107" i="1"/>
  <c r="VV107" i="1" s="1"/>
  <c r="VS107" i="1"/>
  <c r="VP107" i="1"/>
  <c r="VM107" i="1"/>
  <c r="VJ107" i="1"/>
  <c r="UQ107" i="1"/>
  <c r="UP107" i="1"/>
  <c r="UR107" i="1" s="1"/>
  <c r="UO107" i="1"/>
  <c r="UL107" i="1"/>
  <c r="UI107" i="1"/>
  <c r="UF107" i="1"/>
  <c r="UB107" i="1"/>
  <c r="UA107" i="1"/>
  <c r="UC107" i="1" s="1"/>
  <c r="TZ107" i="1"/>
  <c r="TW107" i="1"/>
  <c r="TT107" i="1"/>
  <c r="TQ107" i="1"/>
  <c r="TM107" i="1"/>
  <c r="TL107" i="1"/>
  <c r="TN107" i="1" s="1"/>
  <c r="TK107" i="1"/>
  <c r="TH107" i="1"/>
  <c r="TE107" i="1"/>
  <c r="TB107" i="1"/>
  <c r="SX107" i="1"/>
  <c r="SW107" i="1"/>
  <c r="SY107" i="1" s="1"/>
  <c r="SV107" i="1"/>
  <c r="SS107" i="1"/>
  <c r="SP107" i="1"/>
  <c r="SM107" i="1"/>
  <c r="SJ107" i="1"/>
  <c r="QP107" i="1"/>
  <c r="QO107" i="1"/>
  <c r="QQ107" i="1" s="1"/>
  <c r="QN107" i="1"/>
  <c r="QK107" i="1"/>
  <c r="QH107" i="1"/>
  <c r="QE107" i="1"/>
  <c r="QA107" i="1"/>
  <c r="PZ107" i="1"/>
  <c r="QB107" i="1" s="1"/>
  <c r="PY107" i="1"/>
  <c r="PV107" i="1"/>
  <c r="PS107" i="1"/>
  <c r="PP107" i="1"/>
  <c r="PL107" i="1"/>
  <c r="PK107" i="1"/>
  <c r="PM107" i="1" s="1"/>
  <c r="PJ107" i="1"/>
  <c r="PG107" i="1"/>
  <c r="PD107" i="1"/>
  <c r="PA107" i="1"/>
  <c r="OW107" i="1"/>
  <c r="OV107" i="1"/>
  <c r="OX107" i="1" s="1"/>
  <c r="OU107" i="1"/>
  <c r="OR107" i="1"/>
  <c r="OO107" i="1"/>
  <c r="OL107" i="1"/>
  <c r="OH107" i="1"/>
  <c r="OG107" i="1"/>
  <c r="OI107" i="1" s="1"/>
  <c r="OF107" i="1"/>
  <c r="OC107" i="1"/>
  <c r="NZ107" i="1"/>
  <c r="NW107" i="1"/>
  <c r="NS107" i="1"/>
  <c r="NR107" i="1"/>
  <c r="NT107" i="1" s="1"/>
  <c r="NQ107" i="1"/>
  <c r="NN107" i="1"/>
  <c r="NK107" i="1"/>
  <c r="NH107" i="1"/>
  <c r="ND107" i="1"/>
  <c r="NC107" i="1"/>
  <c r="NE107" i="1" s="1"/>
  <c r="NB107" i="1"/>
  <c r="MY107" i="1"/>
  <c r="MV107" i="1"/>
  <c r="MS107" i="1"/>
  <c r="MO107" i="1"/>
  <c r="MN107" i="1"/>
  <c r="MP107" i="1" s="1"/>
  <c r="MM107" i="1"/>
  <c r="MJ107" i="1"/>
  <c r="MG107" i="1"/>
  <c r="MD107" i="1"/>
  <c r="LZ107" i="1"/>
  <c r="LY107" i="1"/>
  <c r="MA107" i="1" s="1"/>
  <c r="LX107" i="1"/>
  <c r="LU107" i="1"/>
  <c r="LR107" i="1"/>
  <c r="LO107" i="1"/>
  <c r="KV107" i="1"/>
  <c r="KU107" i="1"/>
  <c r="KW107" i="1" s="1"/>
  <c r="KT107" i="1"/>
  <c r="KQ107" i="1"/>
  <c r="KN107" i="1"/>
  <c r="KK107" i="1"/>
  <c r="KH107" i="1"/>
  <c r="JC107" i="1"/>
  <c r="JB107" i="1"/>
  <c r="JD107" i="1" s="1"/>
  <c r="JA107" i="1"/>
  <c r="IX107" i="1"/>
  <c r="IU107" i="1"/>
  <c r="IR107" i="1"/>
  <c r="IN107" i="1"/>
  <c r="IM107" i="1"/>
  <c r="IO107" i="1" s="1"/>
  <c r="IL107" i="1"/>
  <c r="II107" i="1"/>
  <c r="IF107" i="1"/>
  <c r="IC107" i="1"/>
  <c r="HY107" i="1"/>
  <c r="HX107" i="1"/>
  <c r="HZ107" i="1" s="1"/>
  <c r="HW107" i="1"/>
  <c r="HT107" i="1"/>
  <c r="HQ107" i="1"/>
  <c r="HN107" i="1"/>
  <c r="HJ107" i="1"/>
  <c r="HI107" i="1"/>
  <c r="HK107" i="1" s="1"/>
  <c r="HH107" i="1"/>
  <c r="HE107" i="1"/>
  <c r="HB107" i="1"/>
  <c r="GY107" i="1"/>
  <c r="GU107" i="1"/>
  <c r="GT107" i="1"/>
  <c r="GV107" i="1" s="1"/>
  <c r="GS107" i="1"/>
  <c r="GP107" i="1"/>
  <c r="GM107" i="1"/>
  <c r="GJ107" i="1"/>
  <c r="GF107" i="1"/>
  <c r="GE107" i="1"/>
  <c r="GG107" i="1" s="1"/>
  <c r="GD107" i="1"/>
  <c r="GA107" i="1"/>
  <c r="FX107" i="1"/>
  <c r="FU107" i="1"/>
  <c r="FQ107" i="1"/>
  <c r="FP107" i="1"/>
  <c r="FR107" i="1" s="1"/>
  <c r="FO107" i="1"/>
  <c r="FL107" i="1"/>
  <c r="FI107" i="1"/>
  <c r="FF107" i="1"/>
  <c r="FB107" i="1"/>
  <c r="FA107" i="1"/>
  <c r="FC107" i="1" s="1"/>
  <c r="EZ107" i="1"/>
  <c r="EW107" i="1"/>
  <c r="ET107" i="1"/>
  <c r="EQ107" i="1"/>
  <c r="EM107" i="1"/>
  <c r="EL107" i="1"/>
  <c r="EN107" i="1" s="1"/>
  <c r="EK107" i="1"/>
  <c r="EH107" i="1"/>
  <c r="EE107" i="1"/>
  <c r="EB107" i="1"/>
  <c r="DX107" i="1"/>
  <c r="DW107" i="1"/>
  <c r="DY107" i="1" s="1"/>
  <c r="DV107" i="1"/>
  <c r="DS107" i="1"/>
  <c r="DP107" i="1"/>
  <c r="DM107" i="1"/>
  <c r="DI107" i="1"/>
  <c r="DH107" i="1"/>
  <c r="DJ107" i="1" s="1"/>
  <c r="DG107" i="1"/>
  <c r="DD107" i="1"/>
  <c r="DA107" i="1"/>
  <c r="CX107" i="1"/>
  <c r="CT107" i="1"/>
  <c r="CS107" i="1"/>
  <c r="CU107" i="1" s="1"/>
  <c r="CR107" i="1"/>
  <c r="CO107" i="1"/>
  <c r="CL107" i="1"/>
  <c r="CI107" i="1"/>
  <c r="CF107" i="1"/>
  <c r="BP107" i="1"/>
  <c r="BO107" i="1"/>
  <c r="BQ107" i="1" s="1"/>
  <c r="BN107" i="1"/>
  <c r="BK107" i="1"/>
  <c r="BH107" i="1"/>
  <c r="BE107" i="1"/>
  <c r="BA107" i="1"/>
  <c r="AZ107" i="1"/>
  <c r="BB107" i="1" s="1"/>
  <c r="AY107" i="1"/>
  <c r="AV107" i="1"/>
  <c r="AS107" i="1"/>
  <c r="AP107" i="1"/>
  <c r="AM107" i="1"/>
  <c r="W107" i="1"/>
  <c r="V107" i="1"/>
  <c r="X107" i="1" s="1"/>
  <c r="U107" i="1"/>
  <c r="R107" i="1"/>
  <c r="O107" i="1"/>
  <c r="L107" i="1"/>
  <c r="I107" i="1"/>
  <c r="AAB106" i="1"/>
  <c r="AAA106" i="1"/>
  <c r="AAC106" i="1" s="1"/>
  <c r="ZZ106" i="1"/>
  <c r="ZW106" i="1"/>
  <c r="ZG106" i="1"/>
  <c r="AAE106" i="1" s="1"/>
  <c r="ZF106" i="1"/>
  <c r="AAD106" i="1" s="1"/>
  <c r="ZE106" i="1"/>
  <c r="ZB106" i="1"/>
  <c r="YY106" i="1"/>
  <c r="YV106" i="1"/>
  <c r="YR106" i="1"/>
  <c r="YQ106" i="1"/>
  <c r="YS106" i="1" s="1"/>
  <c r="YP106" i="1"/>
  <c r="YM106" i="1"/>
  <c r="YJ106" i="1"/>
  <c r="YG106" i="1"/>
  <c r="YC106" i="1"/>
  <c r="YB106" i="1"/>
  <c r="YD106" i="1" s="1"/>
  <c r="YA106" i="1"/>
  <c r="XX106" i="1"/>
  <c r="XU106" i="1"/>
  <c r="XR106" i="1"/>
  <c r="VU106" i="1"/>
  <c r="VT106" i="1"/>
  <c r="VV106" i="1" s="1"/>
  <c r="VS106" i="1"/>
  <c r="VP106" i="1"/>
  <c r="VM106" i="1"/>
  <c r="VJ106" i="1"/>
  <c r="UQ106" i="1"/>
  <c r="UP106" i="1"/>
  <c r="UR106" i="1" s="1"/>
  <c r="UO106" i="1"/>
  <c r="UL106" i="1"/>
  <c r="UI106" i="1"/>
  <c r="UF106" i="1"/>
  <c r="UB106" i="1"/>
  <c r="UA106" i="1"/>
  <c r="UC106" i="1" s="1"/>
  <c r="TZ106" i="1"/>
  <c r="TW106" i="1"/>
  <c r="TT106" i="1"/>
  <c r="TQ106" i="1"/>
  <c r="TM106" i="1"/>
  <c r="TL106" i="1"/>
  <c r="TN106" i="1" s="1"/>
  <c r="TK106" i="1"/>
  <c r="TH106" i="1"/>
  <c r="TE106" i="1"/>
  <c r="TB106" i="1"/>
  <c r="SX106" i="1"/>
  <c r="SW106" i="1"/>
  <c r="SY106" i="1" s="1"/>
  <c r="SV106" i="1"/>
  <c r="SS106" i="1"/>
  <c r="SP106" i="1"/>
  <c r="SM106" i="1"/>
  <c r="SJ106" i="1"/>
  <c r="QP106" i="1"/>
  <c r="QO106" i="1"/>
  <c r="QQ106" i="1" s="1"/>
  <c r="QN106" i="1"/>
  <c r="QK106" i="1"/>
  <c r="QH106" i="1"/>
  <c r="QE106" i="1"/>
  <c r="QA106" i="1"/>
  <c r="PZ106" i="1"/>
  <c r="QB106" i="1" s="1"/>
  <c r="PY106" i="1"/>
  <c r="PV106" i="1"/>
  <c r="PS106" i="1"/>
  <c r="PP106" i="1"/>
  <c r="PL106" i="1"/>
  <c r="PK106" i="1"/>
  <c r="PM106" i="1" s="1"/>
  <c r="PJ106" i="1"/>
  <c r="PG106" i="1"/>
  <c r="PD106" i="1"/>
  <c r="PA106" i="1"/>
  <c r="OW106" i="1"/>
  <c r="OV106" i="1"/>
  <c r="OX106" i="1" s="1"/>
  <c r="OU106" i="1"/>
  <c r="OR106" i="1"/>
  <c r="OO106" i="1"/>
  <c r="OL106" i="1"/>
  <c r="OH106" i="1"/>
  <c r="OG106" i="1"/>
  <c r="OI106" i="1" s="1"/>
  <c r="OF106" i="1"/>
  <c r="OC106" i="1"/>
  <c r="NZ106" i="1"/>
  <c r="NW106" i="1"/>
  <c r="NS106" i="1"/>
  <c r="NR106" i="1"/>
  <c r="NT106" i="1" s="1"/>
  <c r="NQ106" i="1"/>
  <c r="NN106" i="1"/>
  <c r="NK106" i="1"/>
  <c r="NH106" i="1"/>
  <c r="ND106" i="1"/>
  <c r="NC106" i="1"/>
  <c r="NE106" i="1" s="1"/>
  <c r="NB106" i="1"/>
  <c r="MY106" i="1"/>
  <c r="MV106" i="1"/>
  <c r="MS106" i="1"/>
  <c r="MO106" i="1"/>
  <c r="MN106" i="1"/>
  <c r="MP106" i="1" s="1"/>
  <c r="MM106" i="1"/>
  <c r="MJ106" i="1"/>
  <c r="MG106" i="1"/>
  <c r="MD106" i="1"/>
  <c r="LZ106" i="1"/>
  <c r="LY106" i="1"/>
  <c r="MA106" i="1" s="1"/>
  <c r="LX106" i="1"/>
  <c r="LU106" i="1"/>
  <c r="LR106" i="1"/>
  <c r="LO106" i="1"/>
  <c r="KV106" i="1"/>
  <c r="KU106" i="1"/>
  <c r="KW106" i="1" s="1"/>
  <c r="KT106" i="1"/>
  <c r="KQ106" i="1"/>
  <c r="KN106" i="1"/>
  <c r="KK106" i="1"/>
  <c r="KH106" i="1"/>
  <c r="JC106" i="1"/>
  <c r="JB106" i="1"/>
  <c r="JD106" i="1" s="1"/>
  <c r="JA106" i="1"/>
  <c r="IX106" i="1"/>
  <c r="IU106" i="1"/>
  <c r="IR106" i="1"/>
  <c r="IN106" i="1"/>
  <c r="IO106" i="1" s="1"/>
  <c r="IM106" i="1"/>
  <c r="IL106" i="1"/>
  <c r="II106" i="1"/>
  <c r="IF106" i="1"/>
  <c r="IC106" i="1"/>
  <c r="HY106" i="1"/>
  <c r="HX106" i="1"/>
  <c r="HZ106" i="1" s="1"/>
  <c r="HW106" i="1"/>
  <c r="HT106" i="1"/>
  <c r="HQ106" i="1"/>
  <c r="HN106" i="1"/>
  <c r="HK106" i="1"/>
  <c r="HJ106" i="1"/>
  <c r="HI106" i="1"/>
  <c r="HH106" i="1"/>
  <c r="HE106" i="1"/>
  <c r="HB106" i="1"/>
  <c r="GY106" i="1"/>
  <c r="GU106" i="1"/>
  <c r="GT106" i="1"/>
  <c r="GV106" i="1" s="1"/>
  <c r="GS106" i="1"/>
  <c r="GP106" i="1"/>
  <c r="GM106" i="1"/>
  <c r="GJ106" i="1"/>
  <c r="GF106" i="1"/>
  <c r="GE106" i="1"/>
  <c r="GG106" i="1" s="1"/>
  <c r="GD106" i="1"/>
  <c r="GA106" i="1"/>
  <c r="FX106" i="1"/>
  <c r="FU106" i="1"/>
  <c r="FQ106" i="1"/>
  <c r="FP106" i="1"/>
  <c r="FR106" i="1" s="1"/>
  <c r="FO106" i="1"/>
  <c r="FL106" i="1"/>
  <c r="FI106" i="1"/>
  <c r="FF106" i="1"/>
  <c r="FB106" i="1"/>
  <c r="FA106" i="1"/>
  <c r="FC106" i="1" s="1"/>
  <c r="EZ106" i="1"/>
  <c r="EW106" i="1"/>
  <c r="ET106" i="1"/>
  <c r="EQ106" i="1"/>
  <c r="EM106" i="1"/>
  <c r="EL106" i="1"/>
  <c r="EN106" i="1" s="1"/>
  <c r="EK106" i="1"/>
  <c r="EH106" i="1"/>
  <c r="EE106" i="1"/>
  <c r="EB106" i="1"/>
  <c r="DX106" i="1"/>
  <c r="DW106" i="1"/>
  <c r="DY106" i="1" s="1"/>
  <c r="DV106" i="1"/>
  <c r="DS106" i="1"/>
  <c r="DP106" i="1"/>
  <c r="DM106" i="1"/>
  <c r="DI106" i="1"/>
  <c r="DH106" i="1"/>
  <c r="DJ106" i="1" s="1"/>
  <c r="DG106" i="1"/>
  <c r="DD106" i="1"/>
  <c r="DA106" i="1"/>
  <c r="CX106" i="1"/>
  <c r="CT106" i="1"/>
  <c r="CS106" i="1"/>
  <c r="CU106" i="1" s="1"/>
  <c r="CR106" i="1"/>
  <c r="CO106" i="1"/>
  <c r="CL106" i="1"/>
  <c r="CI106" i="1"/>
  <c r="CF106" i="1"/>
  <c r="BP106" i="1"/>
  <c r="BO106" i="1"/>
  <c r="BQ106" i="1" s="1"/>
  <c r="BN106" i="1"/>
  <c r="BK106" i="1"/>
  <c r="BH106" i="1"/>
  <c r="BE106" i="1"/>
  <c r="BA106" i="1"/>
  <c r="AZ106" i="1"/>
  <c r="BB106" i="1" s="1"/>
  <c r="AY106" i="1"/>
  <c r="AV106" i="1"/>
  <c r="AS106" i="1"/>
  <c r="AP106" i="1"/>
  <c r="AM106" i="1"/>
  <c r="W106" i="1"/>
  <c r="V106" i="1"/>
  <c r="X106" i="1" s="1"/>
  <c r="U106" i="1"/>
  <c r="R106" i="1"/>
  <c r="O106" i="1"/>
  <c r="L106" i="1"/>
  <c r="I106" i="1"/>
  <c r="AAB105" i="1"/>
  <c r="AAA105" i="1"/>
  <c r="AAC105" i="1" s="1"/>
  <c r="ZZ105" i="1"/>
  <c r="ZW105" i="1"/>
  <c r="ZG105" i="1"/>
  <c r="AAE105" i="1" s="1"/>
  <c r="ZF105" i="1"/>
  <c r="AAD105" i="1" s="1"/>
  <c r="ZE105" i="1"/>
  <c r="ZB105" i="1"/>
  <c r="YY105" i="1"/>
  <c r="YV105" i="1"/>
  <c r="YS105" i="1"/>
  <c r="YR105" i="1"/>
  <c r="YQ105" i="1"/>
  <c r="YP105" i="1"/>
  <c r="YM105" i="1"/>
  <c r="YJ105" i="1"/>
  <c r="YG105" i="1"/>
  <c r="YC105" i="1"/>
  <c r="YB105" i="1"/>
  <c r="YD105" i="1" s="1"/>
  <c r="YA105" i="1"/>
  <c r="XX105" i="1"/>
  <c r="XU105" i="1"/>
  <c r="XR105" i="1"/>
  <c r="VU105" i="1"/>
  <c r="VT105" i="1"/>
  <c r="VV105" i="1" s="1"/>
  <c r="VS105" i="1"/>
  <c r="VP105" i="1"/>
  <c r="VM105" i="1"/>
  <c r="VJ105" i="1"/>
  <c r="UQ105" i="1"/>
  <c r="UP105" i="1"/>
  <c r="UR105" i="1" s="1"/>
  <c r="UO105" i="1"/>
  <c r="UL105" i="1"/>
  <c r="UI105" i="1"/>
  <c r="UF105" i="1"/>
  <c r="UB105" i="1"/>
  <c r="UA105" i="1"/>
  <c r="UC105" i="1" s="1"/>
  <c r="TZ105" i="1"/>
  <c r="TW105" i="1"/>
  <c r="TT105" i="1"/>
  <c r="TQ105" i="1"/>
  <c r="TM105" i="1"/>
  <c r="TL105" i="1"/>
  <c r="TN105" i="1" s="1"/>
  <c r="TK105" i="1"/>
  <c r="TH105" i="1"/>
  <c r="TE105" i="1"/>
  <c r="TB105" i="1"/>
  <c r="SX105" i="1"/>
  <c r="SW105" i="1"/>
  <c r="SY105" i="1" s="1"/>
  <c r="SV105" i="1"/>
  <c r="SS105" i="1"/>
  <c r="SP105" i="1"/>
  <c r="SM105" i="1"/>
  <c r="SJ105" i="1"/>
  <c r="QP105" i="1"/>
  <c r="QO105" i="1"/>
  <c r="QQ105" i="1" s="1"/>
  <c r="QN105" i="1"/>
  <c r="QK105" i="1"/>
  <c r="QH105" i="1"/>
  <c r="QE105" i="1"/>
  <c r="QA105" i="1"/>
  <c r="PZ105" i="1"/>
  <c r="QB105" i="1" s="1"/>
  <c r="PY105" i="1"/>
  <c r="PV105" i="1"/>
  <c r="PS105" i="1"/>
  <c r="PP105" i="1"/>
  <c r="PL105" i="1"/>
  <c r="PK105" i="1"/>
  <c r="PM105" i="1" s="1"/>
  <c r="PJ105" i="1"/>
  <c r="PG105" i="1"/>
  <c r="PD105" i="1"/>
  <c r="PA105" i="1"/>
  <c r="OW105" i="1"/>
  <c r="OV105" i="1"/>
  <c r="OX105" i="1" s="1"/>
  <c r="OU105" i="1"/>
  <c r="OR105" i="1"/>
  <c r="OO105" i="1"/>
  <c r="OL105" i="1"/>
  <c r="OH105" i="1"/>
  <c r="OG105" i="1"/>
  <c r="OI105" i="1" s="1"/>
  <c r="OF105" i="1"/>
  <c r="OC105" i="1"/>
  <c r="NZ105" i="1"/>
  <c r="NW105" i="1"/>
  <c r="NS105" i="1"/>
  <c r="NR105" i="1"/>
  <c r="NT105" i="1" s="1"/>
  <c r="NQ105" i="1"/>
  <c r="NN105" i="1"/>
  <c r="NK105" i="1"/>
  <c r="NH105" i="1"/>
  <c r="ND105" i="1"/>
  <c r="NC105" i="1"/>
  <c r="NE105" i="1" s="1"/>
  <c r="NB105" i="1"/>
  <c r="MY105" i="1"/>
  <c r="MV105" i="1"/>
  <c r="MS105" i="1"/>
  <c r="MO105" i="1"/>
  <c r="MN105" i="1"/>
  <c r="MP105" i="1" s="1"/>
  <c r="MM105" i="1"/>
  <c r="MJ105" i="1"/>
  <c r="MG105" i="1"/>
  <c r="MD105" i="1"/>
  <c r="LZ105" i="1"/>
  <c r="LY105" i="1"/>
  <c r="MA105" i="1" s="1"/>
  <c r="LX105" i="1"/>
  <c r="LU105" i="1"/>
  <c r="LR105" i="1"/>
  <c r="LO105" i="1"/>
  <c r="KV105" i="1"/>
  <c r="KU105" i="1"/>
  <c r="KW105" i="1" s="1"/>
  <c r="KT105" i="1"/>
  <c r="KQ105" i="1"/>
  <c r="KN105" i="1"/>
  <c r="KK105" i="1"/>
  <c r="KH105" i="1"/>
  <c r="JC105" i="1"/>
  <c r="JB105" i="1"/>
  <c r="JD105" i="1" s="1"/>
  <c r="JA105" i="1"/>
  <c r="IX105" i="1"/>
  <c r="IU105" i="1"/>
  <c r="IR105" i="1"/>
  <c r="IN105" i="1"/>
  <c r="IM105" i="1"/>
  <c r="IO105" i="1" s="1"/>
  <c r="IL105" i="1"/>
  <c r="II105" i="1"/>
  <c r="IF105" i="1"/>
  <c r="IC105" i="1"/>
  <c r="HY105" i="1"/>
  <c r="HX105" i="1"/>
  <c r="HZ105" i="1" s="1"/>
  <c r="HW105" i="1"/>
  <c r="HT105" i="1"/>
  <c r="HQ105" i="1"/>
  <c r="HN105" i="1"/>
  <c r="HJ105" i="1"/>
  <c r="HI105" i="1"/>
  <c r="HK105" i="1" s="1"/>
  <c r="HH105" i="1"/>
  <c r="HE105" i="1"/>
  <c r="HB105" i="1"/>
  <c r="GY105" i="1"/>
  <c r="GU105" i="1"/>
  <c r="GT105" i="1"/>
  <c r="GV105" i="1" s="1"/>
  <c r="GS105" i="1"/>
  <c r="GP105" i="1"/>
  <c r="GM105" i="1"/>
  <c r="GJ105" i="1"/>
  <c r="GF105" i="1"/>
  <c r="GE105" i="1"/>
  <c r="GG105" i="1" s="1"/>
  <c r="GD105" i="1"/>
  <c r="GA105" i="1"/>
  <c r="FX105" i="1"/>
  <c r="FU105" i="1"/>
  <c r="FQ105" i="1"/>
  <c r="FP105" i="1"/>
  <c r="FR105" i="1" s="1"/>
  <c r="FO105" i="1"/>
  <c r="FL105" i="1"/>
  <c r="FI105" i="1"/>
  <c r="FF105" i="1"/>
  <c r="FB105" i="1"/>
  <c r="FA105" i="1"/>
  <c r="FC105" i="1" s="1"/>
  <c r="EZ105" i="1"/>
  <c r="EW105" i="1"/>
  <c r="ET105" i="1"/>
  <c r="EQ105" i="1"/>
  <c r="EM105" i="1"/>
  <c r="EL105" i="1"/>
  <c r="EN105" i="1" s="1"/>
  <c r="EK105" i="1"/>
  <c r="EH105" i="1"/>
  <c r="EE105" i="1"/>
  <c r="EB105" i="1"/>
  <c r="DX105" i="1"/>
  <c r="DW105" i="1"/>
  <c r="DY105" i="1" s="1"/>
  <c r="DV105" i="1"/>
  <c r="DS105" i="1"/>
  <c r="DP105" i="1"/>
  <c r="DM105" i="1"/>
  <c r="DI105" i="1"/>
  <c r="DH105" i="1"/>
  <c r="DJ105" i="1" s="1"/>
  <c r="DG105" i="1"/>
  <c r="DD105" i="1"/>
  <c r="DA105" i="1"/>
  <c r="CX105" i="1"/>
  <c r="CT105" i="1"/>
  <c r="CS105" i="1"/>
  <c r="CU105" i="1" s="1"/>
  <c r="CR105" i="1"/>
  <c r="CO105" i="1"/>
  <c r="CL105" i="1"/>
  <c r="CI105" i="1"/>
  <c r="CF105" i="1"/>
  <c r="BP105" i="1"/>
  <c r="BO105" i="1"/>
  <c r="BQ105" i="1" s="1"/>
  <c r="BN105" i="1"/>
  <c r="BK105" i="1"/>
  <c r="BH105" i="1"/>
  <c r="BE105" i="1"/>
  <c r="BA105" i="1"/>
  <c r="AZ105" i="1"/>
  <c r="BB105" i="1" s="1"/>
  <c r="AY105" i="1"/>
  <c r="AV105" i="1"/>
  <c r="AS105" i="1"/>
  <c r="AP105" i="1"/>
  <c r="AM105" i="1"/>
  <c r="W105" i="1"/>
  <c r="V105" i="1"/>
  <c r="X105" i="1" s="1"/>
  <c r="U105" i="1"/>
  <c r="R105" i="1"/>
  <c r="O105" i="1"/>
  <c r="L105" i="1"/>
  <c r="I105" i="1"/>
  <c r="AAB104" i="1"/>
  <c r="AAA104" i="1"/>
  <c r="AAC104" i="1" s="1"/>
  <c r="ZZ104" i="1"/>
  <c r="ZW104" i="1"/>
  <c r="ZG104" i="1"/>
  <c r="AAE104" i="1" s="1"/>
  <c r="ZF104" i="1"/>
  <c r="AAD104" i="1" s="1"/>
  <c r="ZE104" i="1"/>
  <c r="ZB104" i="1"/>
  <c r="YY104" i="1"/>
  <c r="YV104" i="1"/>
  <c r="YR104" i="1"/>
  <c r="YQ104" i="1"/>
  <c r="YS104" i="1" s="1"/>
  <c r="YP104" i="1"/>
  <c r="YM104" i="1"/>
  <c r="YJ104" i="1"/>
  <c r="YG104" i="1"/>
  <c r="YC104" i="1"/>
  <c r="YB104" i="1"/>
  <c r="YD104" i="1" s="1"/>
  <c r="YA104" i="1"/>
  <c r="XX104" i="1"/>
  <c r="XU104" i="1"/>
  <c r="XR104" i="1"/>
  <c r="VU104" i="1"/>
  <c r="VT104" i="1"/>
  <c r="VV104" i="1" s="1"/>
  <c r="VS104" i="1"/>
  <c r="VP104" i="1"/>
  <c r="VM104" i="1"/>
  <c r="VJ104" i="1"/>
  <c r="UQ104" i="1"/>
  <c r="UP104" i="1"/>
  <c r="UR104" i="1" s="1"/>
  <c r="UO104" i="1"/>
  <c r="UL104" i="1"/>
  <c r="UI104" i="1"/>
  <c r="UF104" i="1"/>
  <c r="UB104" i="1"/>
  <c r="UA104" i="1"/>
  <c r="UC104" i="1" s="1"/>
  <c r="TZ104" i="1"/>
  <c r="TW104" i="1"/>
  <c r="TT104" i="1"/>
  <c r="TQ104" i="1"/>
  <c r="TM104" i="1"/>
  <c r="TL104" i="1"/>
  <c r="TN104" i="1" s="1"/>
  <c r="TK104" i="1"/>
  <c r="TH104" i="1"/>
  <c r="TE104" i="1"/>
  <c r="TB104" i="1"/>
  <c r="SX104" i="1"/>
  <c r="SW104" i="1"/>
  <c r="SY104" i="1" s="1"/>
  <c r="SV104" i="1"/>
  <c r="SS104" i="1"/>
  <c r="SP104" i="1"/>
  <c r="SM104" i="1"/>
  <c r="SJ104" i="1"/>
  <c r="QP104" i="1"/>
  <c r="QO104" i="1"/>
  <c r="QQ104" i="1" s="1"/>
  <c r="QN104" i="1"/>
  <c r="QK104" i="1"/>
  <c r="QH104" i="1"/>
  <c r="QE104" i="1"/>
  <c r="QA104" i="1"/>
  <c r="PZ104" i="1"/>
  <c r="QB104" i="1" s="1"/>
  <c r="PY104" i="1"/>
  <c r="PV104" i="1"/>
  <c r="PS104" i="1"/>
  <c r="PP104" i="1"/>
  <c r="PL104" i="1"/>
  <c r="PK104" i="1"/>
  <c r="PM104" i="1" s="1"/>
  <c r="PJ104" i="1"/>
  <c r="PG104" i="1"/>
  <c r="PD104" i="1"/>
  <c r="PA104" i="1"/>
  <c r="OW104" i="1"/>
  <c r="OV104" i="1"/>
  <c r="OX104" i="1" s="1"/>
  <c r="OU104" i="1"/>
  <c r="OR104" i="1"/>
  <c r="OO104" i="1"/>
  <c r="OL104" i="1"/>
  <c r="OH104" i="1"/>
  <c r="OG104" i="1"/>
  <c r="OI104" i="1" s="1"/>
  <c r="OF104" i="1"/>
  <c r="OC104" i="1"/>
  <c r="NZ104" i="1"/>
  <c r="NW104" i="1"/>
  <c r="NS104" i="1"/>
  <c r="NR104" i="1"/>
  <c r="NT104" i="1" s="1"/>
  <c r="NQ104" i="1"/>
  <c r="NN104" i="1"/>
  <c r="NK104" i="1"/>
  <c r="NH104" i="1"/>
  <c r="ND104" i="1"/>
  <c r="NC104" i="1"/>
  <c r="NE104" i="1" s="1"/>
  <c r="NB104" i="1"/>
  <c r="MY104" i="1"/>
  <c r="MV104" i="1"/>
  <c r="MS104" i="1"/>
  <c r="MO104" i="1"/>
  <c r="MN104" i="1"/>
  <c r="MP104" i="1" s="1"/>
  <c r="MM104" i="1"/>
  <c r="MJ104" i="1"/>
  <c r="MG104" i="1"/>
  <c r="MD104" i="1"/>
  <c r="LZ104" i="1"/>
  <c r="LY104" i="1"/>
  <c r="MA104" i="1" s="1"/>
  <c r="LX104" i="1"/>
  <c r="LU104" i="1"/>
  <c r="LR104" i="1"/>
  <c r="LO104" i="1"/>
  <c r="KV104" i="1"/>
  <c r="KU104" i="1"/>
  <c r="KW104" i="1" s="1"/>
  <c r="KT104" i="1"/>
  <c r="KQ104" i="1"/>
  <c r="KN104" i="1"/>
  <c r="KK104" i="1"/>
  <c r="KH104" i="1"/>
  <c r="JC104" i="1"/>
  <c r="JB104" i="1"/>
  <c r="JD104" i="1" s="1"/>
  <c r="JA104" i="1"/>
  <c r="IX104" i="1"/>
  <c r="IU104" i="1"/>
  <c r="IR104" i="1"/>
  <c r="IN104" i="1"/>
  <c r="IM104" i="1"/>
  <c r="IO104" i="1" s="1"/>
  <c r="IL104" i="1"/>
  <c r="II104" i="1"/>
  <c r="IF104" i="1"/>
  <c r="IC104" i="1"/>
  <c r="HY104" i="1"/>
  <c r="HX104" i="1"/>
  <c r="HZ104" i="1" s="1"/>
  <c r="HW104" i="1"/>
  <c r="HT104" i="1"/>
  <c r="HQ104" i="1"/>
  <c r="HN104" i="1"/>
  <c r="HJ104" i="1"/>
  <c r="HI104" i="1"/>
  <c r="HK104" i="1" s="1"/>
  <c r="HH104" i="1"/>
  <c r="HE104" i="1"/>
  <c r="HB104" i="1"/>
  <c r="GY104" i="1"/>
  <c r="GU104" i="1"/>
  <c r="GT104" i="1"/>
  <c r="GV104" i="1" s="1"/>
  <c r="GS104" i="1"/>
  <c r="GP104" i="1"/>
  <c r="GM104" i="1"/>
  <c r="GJ104" i="1"/>
  <c r="GF104" i="1"/>
  <c r="GE104" i="1"/>
  <c r="GG104" i="1" s="1"/>
  <c r="GD104" i="1"/>
  <c r="GA104" i="1"/>
  <c r="FX104" i="1"/>
  <c r="FU104" i="1"/>
  <c r="FQ104" i="1"/>
  <c r="FP104" i="1"/>
  <c r="FR104" i="1" s="1"/>
  <c r="FO104" i="1"/>
  <c r="FL104" i="1"/>
  <c r="FI104" i="1"/>
  <c r="FF104" i="1"/>
  <c r="FB104" i="1"/>
  <c r="FA104" i="1"/>
  <c r="FC104" i="1" s="1"/>
  <c r="EZ104" i="1"/>
  <c r="EW104" i="1"/>
  <c r="ET104" i="1"/>
  <c r="EQ104" i="1"/>
  <c r="EM104" i="1"/>
  <c r="EL104" i="1"/>
  <c r="EN104" i="1" s="1"/>
  <c r="EK104" i="1"/>
  <c r="EH104" i="1"/>
  <c r="EE104" i="1"/>
  <c r="EB104" i="1"/>
  <c r="DX104" i="1"/>
  <c r="DW104" i="1"/>
  <c r="DY104" i="1" s="1"/>
  <c r="DV104" i="1"/>
  <c r="DS104" i="1"/>
  <c r="DP104" i="1"/>
  <c r="DM104" i="1"/>
  <c r="DI104" i="1"/>
  <c r="DH104" i="1"/>
  <c r="DJ104" i="1" s="1"/>
  <c r="DG104" i="1"/>
  <c r="DD104" i="1"/>
  <c r="DA104" i="1"/>
  <c r="CX104" i="1"/>
  <c r="CT104" i="1"/>
  <c r="CS104" i="1"/>
  <c r="CU104" i="1" s="1"/>
  <c r="CR104" i="1"/>
  <c r="CO104" i="1"/>
  <c r="CL104" i="1"/>
  <c r="CI104" i="1"/>
  <c r="CF104" i="1"/>
  <c r="BP104" i="1"/>
  <c r="BO104" i="1"/>
  <c r="BQ104" i="1" s="1"/>
  <c r="BN104" i="1"/>
  <c r="BK104" i="1"/>
  <c r="BH104" i="1"/>
  <c r="BE104" i="1"/>
  <c r="BA104" i="1"/>
  <c r="AZ104" i="1"/>
  <c r="BB104" i="1" s="1"/>
  <c r="AY104" i="1"/>
  <c r="AV104" i="1"/>
  <c r="AS104" i="1"/>
  <c r="AP104" i="1"/>
  <c r="AM104" i="1"/>
  <c r="W104" i="1"/>
  <c r="V104" i="1"/>
  <c r="X104" i="1" s="1"/>
  <c r="U104" i="1"/>
  <c r="R104" i="1"/>
  <c r="O104" i="1"/>
  <c r="L104" i="1"/>
  <c r="I104" i="1"/>
  <c r="AAB103" i="1"/>
  <c r="AAA103" i="1"/>
  <c r="AAC103" i="1" s="1"/>
  <c r="ZZ103" i="1"/>
  <c r="ZW103" i="1"/>
  <c r="ZG103" i="1"/>
  <c r="AAE103" i="1" s="1"/>
  <c r="ZF103" i="1"/>
  <c r="ZE103" i="1"/>
  <c r="ZB103" i="1"/>
  <c r="YY103" i="1"/>
  <c r="YV103" i="1"/>
  <c r="YR103" i="1"/>
  <c r="YQ103" i="1"/>
  <c r="YS103" i="1" s="1"/>
  <c r="YP103" i="1"/>
  <c r="YM103" i="1"/>
  <c r="YJ103" i="1"/>
  <c r="YG103" i="1"/>
  <c r="YC103" i="1"/>
  <c r="YB103" i="1"/>
  <c r="YD103" i="1" s="1"/>
  <c r="YA103" i="1"/>
  <c r="XX103" i="1"/>
  <c r="XU103" i="1"/>
  <c r="XR103" i="1"/>
  <c r="VU103" i="1"/>
  <c r="VT103" i="1"/>
  <c r="VV103" i="1" s="1"/>
  <c r="VS103" i="1"/>
  <c r="VP103" i="1"/>
  <c r="VM103" i="1"/>
  <c r="VJ103" i="1"/>
  <c r="UQ103" i="1"/>
  <c r="UP103" i="1"/>
  <c r="UR103" i="1" s="1"/>
  <c r="UO103" i="1"/>
  <c r="UL103" i="1"/>
  <c r="UI103" i="1"/>
  <c r="UF103" i="1"/>
  <c r="UB103" i="1"/>
  <c r="UA103" i="1"/>
  <c r="UC103" i="1" s="1"/>
  <c r="TZ103" i="1"/>
  <c r="TW103" i="1"/>
  <c r="TT103" i="1"/>
  <c r="TQ103" i="1"/>
  <c r="TM103" i="1"/>
  <c r="TL103" i="1"/>
  <c r="TN103" i="1" s="1"/>
  <c r="TK103" i="1"/>
  <c r="TH103" i="1"/>
  <c r="TE103" i="1"/>
  <c r="TB103" i="1"/>
  <c r="SX103" i="1"/>
  <c r="SW103" i="1"/>
  <c r="SY103" i="1" s="1"/>
  <c r="SV103" i="1"/>
  <c r="SS103" i="1"/>
  <c r="SP103" i="1"/>
  <c r="SM103" i="1"/>
  <c r="SJ103" i="1"/>
  <c r="QP103" i="1"/>
  <c r="QO103" i="1"/>
  <c r="QQ103" i="1" s="1"/>
  <c r="QN103" i="1"/>
  <c r="QK103" i="1"/>
  <c r="QH103" i="1"/>
  <c r="QE103" i="1"/>
  <c r="QA103" i="1"/>
  <c r="PZ103" i="1"/>
  <c r="QB103" i="1" s="1"/>
  <c r="PY103" i="1"/>
  <c r="PV103" i="1"/>
  <c r="PS103" i="1"/>
  <c r="PP103" i="1"/>
  <c r="PL103" i="1"/>
  <c r="PK103" i="1"/>
  <c r="PM103" i="1" s="1"/>
  <c r="PJ103" i="1"/>
  <c r="PG103" i="1"/>
  <c r="PD103" i="1"/>
  <c r="PA103" i="1"/>
  <c r="OW103" i="1"/>
  <c r="OV103" i="1"/>
  <c r="OX103" i="1" s="1"/>
  <c r="OU103" i="1"/>
  <c r="OR103" i="1"/>
  <c r="OO103" i="1"/>
  <c r="OL103" i="1"/>
  <c r="OH103" i="1"/>
  <c r="OG103" i="1"/>
  <c r="OI103" i="1" s="1"/>
  <c r="OF103" i="1"/>
  <c r="OC103" i="1"/>
  <c r="NZ103" i="1"/>
  <c r="NW103" i="1"/>
  <c r="NS103" i="1"/>
  <c r="NR103" i="1"/>
  <c r="NT103" i="1" s="1"/>
  <c r="NQ103" i="1"/>
  <c r="NN103" i="1"/>
  <c r="NK103" i="1"/>
  <c r="NH103" i="1"/>
  <c r="ND103" i="1"/>
  <c r="NC103" i="1"/>
  <c r="NE103" i="1" s="1"/>
  <c r="NB103" i="1"/>
  <c r="MY103" i="1"/>
  <c r="MV103" i="1"/>
  <c r="MS103" i="1"/>
  <c r="MO103" i="1"/>
  <c r="MN103" i="1"/>
  <c r="MP103" i="1" s="1"/>
  <c r="MM103" i="1"/>
  <c r="MJ103" i="1"/>
  <c r="MG103" i="1"/>
  <c r="MD103" i="1"/>
  <c r="MA103" i="1"/>
  <c r="LZ103" i="1"/>
  <c r="LY103" i="1"/>
  <c r="LX103" i="1"/>
  <c r="LU103" i="1"/>
  <c r="LR103" i="1"/>
  <c r="LO103" i="1"/>
  <c r="KV103" i="1"/>
  <c r="KU103" i="1"/>
  <c r="KW103" i="1" s="1"/>
  <c r="KT103" i="1"/>
  <c r="KQ103" i="1"/>
  <c r="KN103" i="1"/>
  <c r="KK103" i="1"/>
  <c r="KH103" i="1"/>
  <c r="JC103" i="1"/>
  <c r="JB103" i="1"/>
  <c r="JD103" i="1" s="1"/>
  <c r="JA103" i="1"/>
  <c r="IX103" i="1"/>
  <c r="IU103" i="1"/>
  <c r="IR103" i="1"/>
  <c r="IN103" i="1"/>
  <c r="IL103" i="1"/>
  <c r="II103" i="1"/>
  <c r="IF103" i="1"/>
  <c r="IA103" i="1"/>
  <c r="HY103" i="1"/>
  <c r="HX103" i="1"/>
  <c r="HZ103" i="1" s="1"/>
  <c r="HW103" i="1"/>
  <c r="HT103" i="1"/>
  <c r="HQ103" i="1"/>
  <c r="HN103" i="1"/>
  <c r="HJ103" i="1"/>
  <c r="HI103" i="1"/>
  <c r="HK103" i="1" s="1"/>
  <c r="HH103" i="1"/>
  <c r="HE103" i="1"/>
  <c r="HB103" i="1"/>
  <c r="GY103" i="1"/>
  <c r="GU103" i="1"/>
  <c r="GT103" i="1"/>
  <c r="GV103" i="1" s="1"/>
  <c r="GS103" i="1"/>
  <c r="GP103" i="1"/>
  <c r="GM103" i="1"/>
  <c r="GJ103" i="1"/>
  <c r="GF103" i="1"/>
  <c r="GE103" i="1"/>
  <c r="GG103" i="1" s="1"/>
  <c r="GD103" i="1"/>
  <c r="GA103" i="1"/>
  <c r="FX103" i="1"/>
  <c r="FU103" i="1"/>
  <c r="FQ103" i="1"/>
  <c r="FP103" i="1"/>
  <c r="FR103" i="1" s="1"/>
  <c r="FO103" i="1"/>
  <c r="FL103" i="1"/>
  <c r="FI103" i="1"/>
  <c r="FF103" i="1"/>
  <c r="FB103" i="1"/>
  <c r="FA103" i="1"/>
  <c r="FC103" i="1" s="1"/>
  <c r="EZ103" i="1"/>
  <c r="EW103" i="1"/>
  <c r="ET103" i="1"/>
  <c r="EQ103" i="1"/>
  <c r="EM103" i="1"/>
  <c r="EL103" i="1"/>
  <c r="EN103" i="1" s="1"/>
  <c r="EK103" i="1"/>
  <c r="EH103" i="1"/>
  <c r="EE103" i="1"/>
  <c r="EB103" i="1"/>
  <c r="DX103" i="1"/>
  <c r="DW103" i="1"/>
  <c r="DY103" i="1" s="1"/>
  <c r="DV103" i="1"/>
  <c r="DS103" i="1"/>
  <c r="DP103" i="1"/>
  <c r="DM103" i="1"/>
  <c r="DI103" i="1"/>
  <c r="DH103" i="1"/>
  <c r="DJ103" i="1" s="1"/>
  <c r="DG103" i="1"/>
  <c r="DD103" i="1"/>
  <c r="DA103" i="1"/>
  <c r="CX103" i="1"/>
  <c r="CT103" i="1"/>
  <c r="CR103" i="1"/>
  <c r="CM103" i="1"/>
  <c r="CL103" i="1"/>
  <c r="CI103" i="1"/>
  <c r="CF103" i="1"/>
  <c r="BP103" i="1"/>
  <c r="BO103" i="1"/>
  <c r="BQ103" i="1" s="1"/>
  <c r="BN103" i="1"/>
  <c r="BK103" i="1"/>
  <c r="BH103" i="1"/>
  <c r="BE103" i="1"/>
  <c r="BA103" i="1"/>
  <c r="AZ103" i="1"/>
  <c r="BB103" i="1" s="1"/>
  <c r="AY103" i="1"/>
  <c r="AV103" i="1"/>
  <c r="AS103" i="1"/>
  <c r="AP103" i="1"/>
  <c r="AM103" i="1"/>
  <c r="W103" i="1"/>
  <c r="U103" i="1"/>
  <c r="R103" i="1"/>
  <c r="O103" i="1"/>
  <c r="L103" i="1"/>
  <c r="G103" i="1"/>
  <c r="AAB102" i="1"/>
  <c r="AAA102" i="1"/>
  <c r="AAC102" i="1" s="1"/>
  <c r="ZZ102" i="1"/>
  <c r="ZW102" i="1"/>
  <c r="ZG102" i="1"/>
  <c r="AAE102" i="1" s="1"/>
  <c r="ZF102" i="1"/>
  <c r="ZE102" i="1"/>
  <c r="ZB102" i="1"/>
  <c r="YY102" i="1"/>
  <c r="YV102" i="1"/>
  <c r="YR102" i="1"/>
  <c r="YQ102" i="1"/>
  <c r="YS102" i="1" s="1"/>
  <c r="YP102" i="1"/>
  <c r="YM102" i="1"/>
  <c r="YJ102" i="1"/>
  <c r="YG102" i="1"/>
  <c r="YC102" i="1"/>
  <c r="YB102" i="1"/>
  <c r="YD102" i="1" s="1"/>
  <c r="YA102" i="1"/>
  <c r="XX102" i="1"/>
  <c r="XU102" i="1"/>
  <c r="XR102" i="1"/>
  <c r="VU102" i="1"/>
  <c r="VT102" i="1"/>
  <c r="VV102" i="1" s="1"/>
  <c r="VS102" i="1"/>
  <c r="VP102" i="1"/>
  <c r="VM102" i="1"/>
  <c r="VJ102" i="1"/>
  <c r="UQ102" i="1"/>
  <c r="UP102" i="1"/>
  <c r="UR102" i="1" s="1"/>
  <c r="UO102" i="1"/>
  <c r="UL102" i="1"/>
  <c r="UI102" i="1"/>
  <c r="UF102" i="1"/>
  <c r="UB102" i="1"/>
  <c r="UA102" i="1"/>
  <c r="UC102" i="1" s="1"/>
  <c r="TZ102" i="1"/>
  <c r="TW102" i="1"/>
  <c r="TT102" i="1"/>
  <c r="TQ102" i="1"/>
  <c r="TM102" i="1"/>
  <c r="TL102" i="1"/>
  <c r="TN102" i="1" s="1"/>
  <c r="TK102" i="1"/>
  <c r="TH102" i="1"/>
  <c r="TE102" i="1"/>
  <c r="TB102" i="1"/>
  <c r="SX102" i="1"/>
  <c r="SW102" i="1"/>
  <c r="SY102" i="1" s="1"/>
  <c r="SV102" i="1"/>
  <c r="SS102" i="1"/>
  <c r="SP102" i="1"/>
  <c r="SM102" i="1"/>
  <c r="SJ102" i="1"/>
  <c r="QP102" i="1"/>
  <c r="QO102" i="1"/>
  <c r="QQ102" i="1" s="1"/>
  <c r="QN102" i="1"/>
  <c r="QK102" i="1"/>
  <c r="QH102" i="1"/>
  <c r="QE102" i="1"/>
  <c r="QA102" i="1"/>
  <c r="PZ102" i="1"/>
  <c r="QB102" i="1" s="1"/>
  <c r="PY102" i="1"/>
  <c r="PV102" i="1"/>
  <c r="PS102" i="1"/>
  <c r="PP102" i="1"/>
  <c r="PL102" i="1"/>
  <c r="PK102" i="1"/>
  <c r="PM102" i="1" s="1"/>
  <c r="PJ102" i="1"/>
  <c r="PG102" i="1"/>
  <c r="PD102" i="1"/>
  <c r="PA102" i="1"/>
  <c r="OX102" i="1"/>
  <c r="OW102" i="1"/>
  <c r="OV102" i="1"/>
  <c r="OU102" i="1"/>
  <c r="OR102" i="1"/>
  <c r="OO102" i="1"/>
  <c r="OL102" i="1"/>
  <c r="OH102" i="1"/>
  <c r="OF102" i="1"/>
  <c r="OC102" i="1"/>
  <c r="NZ102" i="1"/>
  <c r="NU102" i="1"/>
  <c r="NS102" i="1"/>
  <c r="NR102" i="1"/>
  <c r="NT102" i="1" s="1"/>
  <c r="NQ102" i="1"/>
  <c r="NN102" i="1"/>
  <c r="NK102" i="1"/>
  <c r="NH102" i="1"/>
  <c r="ND102" i="1"/>
  <c r="NC102" i="1"/>
  <c r="NE102" i="1" s="1"/>
  <c r="NB102" i="1"/>
  <c r="MY102" i="1"/>
  <c r="MV102" i="1"/>
  <c r="MS102" i="1"/>
  <c r="MO102" i="1"/>
  <c r="MM102" i="1"/>
  <c r="MJ102" i="1"/>
  <c r="MG102" i="1"/>
  <c r="MB102" i="1"/>
  <c r="LZ102" i="1"/>
  <c r="LY102" i="1"/>
  <c r="MA102" i="1" s="1"/>
  <c r="LX102" i="1"/>
  <c r="LU102" i="1"/>
  <c r="LR102" i="1"/>
  <c r="LO102" i="1"/>
  <c r="KV102" i="1"/>
  <c r="KU102" i="1"/>
  <c r="KW102" i="1" s="1"/>
  <c r="KT102" i="1"/>
  <c r="KQ102" i="1"/>
  <c r="KN102" i="1"/>
  <c r="KK102" i="1"/>
  <c r="KH102" i="1"/>
  <c r="JC102" i="1"/>
  <c r="JB102" i="1"/>
  <c r="JD102" i="1" s="1"/>
  <c r="JA102" i="1"/>
  <c r="IX102" i="1"/>
  <c r="IU102" i="1"/>
  <c r="IR102" i="1"/>
  <c r="IN102" i="1"/>
  <c r="IM102" i="1"/>
  <c r="IO102" i="1" s="1"/>
  <c r="IL102" i="1"/>
  <c r="II102" i="1"/>
  <c r="IF102" i="1"/>
  <c r="IC102" i="1"/>
  <c r="HZ102" i="1"/>
  <c r="HY102" i="1"/>
  <c r="HX102" i="1"/>
  <c r="HW102" i="1"/>
  <c r="HT102" i="1"/>
  <c r="HQ102" i="1"/>
  <c r="HN102" i="1"/>
  <c r="HJ102" i="1"/>
  <c r="HI102" i="1"/>
  <c r="HK102" i="1" s="1"/>
  <c r="HH102" i="1"/>
  <c r="HE102" i="1"/>
  <c r="HB102" i="1"/>
  <c r="GY102" i="1"/>
  <c r="GU102" i="1"/>
  <c r="GT102" i="1"/>
  <c r="GV102" i="1" s="1"/>
  <c r="GS102" i="1"/>
  <c r="GP102" i="1"/>
  <c r="GM102" i="1"/>
  <c r="GJ102" i="1"/>
  <c r="GF102" i="1"/>
  <c r="GE102" i="1"/>
  <c r="GG102" i="1" s="1"/>
  <c r="GD102" i="1"/>
  <c r="GA102" i="1"/>
  <c r="FX102" i="1"/>
  <c r="FU102" i="1"/>
  <c r="FQ102" i="1"/>
  <c r="FP102" i="1"/>
  <c r="FR102" i="1" s="1"/>
  <c r="FO102" i="1"/>
  <c r="FL102" i="1"/>
  <c r="FI102" i="1"/>
  <c r="FF102" i="1"/>
  <c r="FB102" i="1"/>
  <c r="FA102" i="1"/>
  <c r="FC102" i="1" s="1"/>
  <c r="EZ102" i="1"/>
  <c r="EW102" i="1"/>
  <c r="ET102" i="1"/>
  <c r="EQ102" i="1"/>
  <c r="EM102" i="1"/>
  <c r="EL102" i="1"/>
  <c r="EN102" i="1" s="1"/>
  <c r="EK102" i="1"/>
  <c r="EH102" i="1"/>
  <c r="EE102" i="1"/>
  <c r="EB102" i="1"/>
  <c r="DX102" i="1"/>
  <c r="DW102" i="1"/>
  <c r="DY102" i="1" s="1"/>
  <c r="DV102" i="1"/>
  <c r="DS102" i="1"/>
  <c r="DP102" i="1"/>
  <c r="DM102" i="1"/>
  <c r="DI102" i="1"/>
  <c r="DH102" i="1"/>
  <c r="DJ102" i="1" s="1"/>
  <c r="DG102" i="1"/>
  <c r="DD102" i="1"/>
  <c r="DA102" i="1"/>
  <c r="CX102" i="1"/>
  <c r="CT102" i="1"/>
  <c r="CS102" i="1"/>
  <c r="CU102" i="1" s="1"/>
  <c r="CR102" i="1"/>
  <c r="CO102" i="1"/>
  <c r="CL102" i="1"/>
  <c r="CI102" i="1"/>
  <c r="CF102" i="1"/>
  <c r="BP102" i="1"/>
  <c r="BO102" i="1"/>
  <c r="BQ102" i="1" s="1"/>
  <c r="BN102" i="1"/>
  <c r="BK102" i="1"/>
  <c r="BH102" i="1"/>
  <c r="BE102" i="1"/>
  <c r="BA102" i="1"/>
  <c r="AZ102" i="1"/>
  <c r="BB102" i="1" s="1"/>
  <c r="AY102" i="1"/>
  <c r="AV102" i="1"/>
  <c r="AS102" i="1"/>
  <c r="AP102" i="1"/>
  <c r="AM102" i="1"/>
  <c r="W102" i="1"/>
  <c r="U102" i="1"/>
  <c r="R102" i="1"/>
  <c r="O102" i="1"/>
  <c r="L102" i="1"/>
  <c r="G102" i="1"/>
  <c r="AAB101" i="1"/>
  <c r="AAA101" i="1"/>
  <c r="AAC101" i="1" s="1"/>
  <c r="ZZ101" i="1"/>
  <c r="ZW101" i="1"/>
  <c r="ZG101" i="1"/>
  <c r="AAE101" i="1" s="1"/>
  <c r="ZF101" i="1"/>
  <c r="ZE101" i="1"/>
  <c r="ZB101" i="1"/>
  <c r="YY101" i="1"/>
  <c r="YV101" i="1"/>
  <c r="YR101" i="1"/>
  <c r="YQ101" i="1"/>
  <c r="YS101" i="1" s="1"/>
  <c r="YP101" i="1"/>
  <c r="YM101" i="1"/>
  <c r="YJ101" i="1"/>
  <c r="YG101" i="1"/>
  <c r="YC101" i="1"/>
  <c r="YB101" i="1"/>
  <c r="YD101" i="1" s="1"/>
  <c r="YA101" i="1"/>
  <c r="XX101" i="1"/>
  <c r="XU101" i="1"/>
  <c r="XR101" i="1"/>
  <c r="VU101" i="1"/>
  <c r="VT101" i="1"/>
  <c r="VV101" i="1" s="1"/>
  <c r="VS101" i="1"/>
  <c r="VP101" i="1"/>
  <c r="VM101" i="1"/>
  <c r="VJ101" i="1"/>
  <c r="UQ101" i="1"/>
  <c r="UP101" i="1"/>
  <c r="UR101" i="1" s="1"/>
  <c r="UO101" i="1"/>
  <c r="UL101" i="1"/>
  <c r="UI101" i="1"/>
  <c r="UF101" i="1"/>
  <c r="UB101" i="1"/>
  <c r="UA101" i="1"/>
  <c r="UC101" i="1" s="1"/>
  <c r="TZ101" i="1"/>
  <c r="TW101" i="1"/>
  <c r="TT101" i="1"/>
  <c r="TQ101" i="1"/>
  <c r="TM101" i="1"/>
  <c r="TL101" i="1"/>
  <c r="TN101" i="1" s="1"/>
  <c r="TK101" i="1"/>
  <c r="TH101" i="1"/>
  <c r="TE101" i="1"/>
  <c r="TB101" i="1"/>
  <c r="SX101" i="1"/>
  <c r="SW101" i="1"/>
  <c r="SY101" i="1" s="1"/>
  <c r="SV101" i="1"/>
  <c r="SS101" i="1"/>
  <c r="SP101" i="1"/>
  <c r="SM101" i="1"/>
  <c r="SJ101" i="1"/>
  <c r="QP101" i="1"/>
  <c r="QO101" i="1"/>
  <c r="QQ101" i="1" s="1"/>
  <c r="QN101" i="1"/>
  <c r="QK101" i="1"/>
  <c r="QH101" i="1"/>
  <c r="QE101" i="1"/>
  <c r="QA101" i="1"/>
  <c r="PZ101" i="1"/>
  <c r="QB101" i="1" s="1"/>
  <c r="PY101" i="1"/>
  <c r="PV101" i="1"/>
  <c r="PS101" i="1"/>
  <c r="PP101" i="1"/>
  <c r="PL101" i="1"/>
  <c r="PK101" i="1"/>
  <c r="PM101" i="1" s="1"/>
  <c r="PJ101" i="1"/>
  <c r="PG101" i="1"/>
  <c r="PD101" i="1"/>
  <c r="PA101" i="1"/>
  <c r="OW101" i="1"/>
  <c r="OV101" i="1"/>
  <c r="OX101" i="1" s="1"/>
  <c r="OU101" i="1"/>
  <c r="OR101" i="1"/>
  <c r="OO101" i="1"/>
  <c r="OL101" i="1"/>
  <c r="OH101" i="1"/>
  <c r="OF101" i="1"/>
  <c r="OC101" i="1"/>
  <c r="NZ101" i="1"/>
  <c r="NU101" i="1"/>
  <c r="NS101" i="1"/>
  <c r="NR101" i="1"/>
  <c r="NT101" i="1" s="1"/>
  <c r="NQ101" i="1"/>
  <c r="NN101" i="1"/>
  <c r="NK101" i="1"/>
  <c r="NH101" i="1"/>
  <c r="ND101" i="1"/>
  <c r="NC101" i="1"/>
  <c r="NE101" i="1" s="1"/>
  <c r="NB101" i="1"/>
  <c r="MY101" i="1"/>
  <c r="MV101" i="1"/>
  <c r="MS101" i="1"/>
  <c r="MO101" i="1"/>
  <c r="MM101" i="1"/>
  <c r="MJ101" i="1"/>
  <c r="MG101" i="1"/>
  <c r="MD101" i="1"/>
  <c r="MB101" i="1"/>
  <c r="LZ101" i="1"/>
  <c r="LY101" i="1"/>
  <c r="MA101" i="1" s="1"/>
  <c r="LX101" i="1"/>
  <c r="LU101" i="1"/>
  <c r="LR101" i="1"/>
  <c r="LO101" i="1"/>
  <c r="KV101" i="1"/>
  <c r="KU101" i="1"/>
  <c r="KW101" i="1" s="1"/>
  <c r="KT101" i="1"/>
  <c r="KQ101" i="1"/>
  <c r="KN101" i="1"/>
  <c r="KK101" i="1"/>
  <c r="KH101" i="1"/>
  <c r="JC101" i="1"/>
  <c r="JB101" i="1"/>
  <c r="JD101" i="1" s="1"/>
  <c r="JA101" i="1"/>
  <c r="IX101" i="1"/>
  <c r="IU101" i="1"/>
  <c r="IR101" i="1"/>
  <c r="IN101" i="1"/>
  <c r="IM101" i="1"/>
  <c r="IO101" i="1" s="1"/>
  <c r="IL101" i="1"/>
  <c r="II101" i="1"/>
  <c r="IF101" i="1"/>
  <c r="IC101" i="1"/>
  <c r="HY101" i="1"/>
  <c r="HX101" i="1"/>
  <c r="HZ101" i="1" s="1"/>
  <c r="HW101" i="1"/>
  <c r="HT101" i="1"/>
  <c r="HQ101" i="1"/>
  <c r="HN101" i="1"/>
  <c r="HJ101" i="1"/>
  <c r="HI101" i="1"/>
  <c r="HK101" i="1" s="1"/>
  <c r="HH101" i="1"/>
  <c r="HE101" i="1"/>
  <c r="HB101" i="1"/>
  <c r="GY101" i="1"/>
  <c r="GU101" i="1"/>
  <c r="GT101" i="1"/>
  <c r="GV101" i="1" s="1"/>
  <c r="GS101" i="1"/>
  <c r="GP101" i="1"/>
  <c r="GM101" i="1"/>
  <c r="GJ101" i="1"/>
  <c r="GF101" i="1"/>
  <c r="GE101" i="1"/>
  <c r="GG101" i="1" s="1"/>
  <c r="GD101" i="1"/>
  <c r="GA101" i="1"/>
  <c r="FX101" i="1"/>
  <c r="FU101" i="1"/>
  <c r="FQ101" i="1"/>
  <c r="FP101" i="1"/>
  <c r="FR101" i="1" s="1"/>
  <c r="FO101" i="1"/>
  <c r="FL101" i="1"/>
  <c r="FI101" i="1"/>
  <c r="FF101" i="1"/>
  <c r="FB101" i="1"/>
  <c r="FA101" i="1"/>
  <c r="FC101" i="1" s="1"/>
  <c r="EZ101" i="1"/>
  <c r="EW101" i="1"/>
  <c r="ET101" i="1"/>
  <c r="EQ101" i="1"/>
  <c r="EM101" i="1"/>
  <c r="EL101" i="1"/>
  <c r="EN101" i="1" s="1"/>
  <c r="EK101" i="1"/>
  <c r="EH101" i="1"/>
  <c r="EE101" i="1"/>
  <c r="EB101" i="1"/>
  <c r="DX101" i="1"/>
  <c r="DW101" i="1"/>
  <c r="DY101" i="1" s="1"/>
  <c r="DV101" i="1"/>
  <c r="DS101" i="1"/>
  <c r="DP101" i="1"/>
  <c r="DM101" i="1"/>
  <c r="DI101" i="1"/>
  <c r="DH101" i="1"/>
  <c r="DJ101" i="1" s="1"/>
  <c r="DG101" i="1"/>
  <c r="DD101" i="1"/>
  <c r="DA101" i="1"/>
  <c r="CX101" i="1"/>
  <c r="CT101" i="1"/>
  <c r="CS101" i="1"/>
  <c r="CU101" i="1" s="1"/>
  <c r="CR101" i="1"/>
  <c r="CO101" i="1"/>
  <c r="CL101" i="1"/>
  <c r="CI101" i="1"/>
  <c r="CF101" i="1"/>
  <c r="BP101" i="1"/>
  <c r="BO101" i="1"/>
  <c r="BQ101" i="1" s="1"/>
  <c r="BN101" i="1"/>
  <c r="BK101" i="1"/>
  <c r="BH101" i="1"/>
  <c r="BE101" i="1"/>
  <c r="BA101" i="1"/>
  <c r="AZ101" i="1"/>
  <c r="BB101" i="1" s="1"/>
  <c r="AY101" i="1"/>
  <c r="AV101" i="1"/>
  <c r="AS101" i="1"/>
  <c r="AP101" i="1"/>
  <c r="AM101" i="1"/>
  <c r="W101" i="1"/>
  <c r="V101" i="1"/>
  <c r="X101" i="1" s="1"/>
  <c r="U101" i="1"/>
  <c r="R101" i="1"/>
  <c r="O101" i="1"/>
  <c r="L101" i="1"/>
  <c r="I101" i="1"/>
  <c r="AAB100" i="1"/>
  <c r="AAA100" i="1"/>
  <c r="AAC100" i="1" s="1"/>
  <c r="ZZ100" i="1"/>
  <c r="ZW100" i="1"/>
  <c r="ZG100" i="1"/>
  <c r="AAE100" i="1" s="1"/>
  <c r="ZF100" i="1"/>
  <c r="AAD100" i="1" s="1"/>
  <c r="ZE100" i="1"/>
  <c r="ZB100" i="1"/>
  <c r="YY100" i="1"/>
  <c r="YV100" i="1"/>
  <c r="YR100" i="1"/>
  <c r="YQ100" i="1"/>
  <c r="YS100" i="1" s="1"/>
  <c r="YP100" i="1"/>
  <c r="YM100" i="1"/>
  <c r="YJ100" i="1"/>
  <c r="YG100" i="1"/>
  <c r="YC100" i="1"/>
  <c r="YB100" i="1"/>
  <c r="YD100" i="1" s="1"/>
  <c r="YA100" i="1"/>
  <c r="XX100" i="1"/>
  <c r="XU100" i="1"/>
  <c r="XR100" i="1"/>
  <c r="VU100" i="1"/>
  <c r="VT100" i="1"/>
  <c r="VV100" i="1" s="1"/>
  <c r="VS100" i="1"/>
  <c r="VP100" i="1"/>
  <c r="VM100" i="1"/>
  <c r="VJ100" i="1"/>
  <c r="UQ100" i="1"/>
  <c r="UP100" i="1"/>
  <c r="UR100" i="1" s="1"/>
  <c r="UO100" i="1"/>
  <c r="UL100" i="1"/>
  <c r="UI100" i="1"/>
  <c r="UF100" i="1"/>
  <c r="UB100" i="1"/>
  <c r="UA100" i="1"/>
  <c r="UC100" i="1" s="1"/>
  <c r="TZ100" i="1"/>
  <c r="TW100" i="1"/>
  <c r="TT100" i="1"/>
  <c r="TQ100" i="1"/>
  <c r="TM100" i="1"/>
  <c r="TL100" i="1"/>
  <c r="TN100" i="1" s="1"/>
  <c r="TK100" i="1"/>
  <c r="TH100" i="1"/>
  <c r="TE100" i="1"/>
  <c r="TB100" i="1"/>
  <c r="SX100" i="1"/>
  <c r="SW100" i="1"/>
  <c r="SY100" i="1" s="1"/>
  <c r="SV100" i="1"/>
  <c r="SS100" i="1"/>
  <c r="SP100" i="1"/>
  <c r="SM100" i="1"/>
  <c r="SJ100" i="1"/>
  <c r="QP100" i="1"/>
  <c r="QO100" i="1"/>
  <c r="QQ100" i="1" s="1"/>
  <c r="QN100" i="1"/>
  <c r="QK100" i="1"/>
  <c r="QH100" i="1"/>
  <c r="QE100" i="1"/>
  <c r="QA100" i="1"/>
  <c r="PZ100" i="1"/>
  <c r="QB100" i="1" s="1"/>
  <c r="PY100" i="1"/>
  <c r="PV100" i="1"/>
  <c r="PS100" i="1"/>
  <c r="PP100" i="1"/>
  <c r="PL100" i="1"/>
  <c r="PK100" i="1"/>
  <c r="PM100" i="1" s="1"/>
  <c r="PJ100" i="1"/>
  <c r="PG100" i="1"/>
  <c r="PD100" i="1"/>
  <c r="PA100" i="1"/>
  <c r="OW100" i="1"/>
  <c r="OV100" i="1"/>
  <c r="OX100" i="1" s="1"/>
  <c r="OU100" i="1"/>
  <c r="OR100" i="1"/>
  <c r="OO100" i="1"/>
  <c r="OL100" i="1"/>
  <c r="OH100" i="1"/>
  <c r="OG100" i="1"/>
  <c r="OI100" i="1" s="1"/>
  <c r="OF100" i="1"/>
  <c r="OC100" i="1"/>
  <c r="NZ100" i="1"/>
  <c r="NW100" i="1"/>
  <c r="NS100" i="1"/>
  <c r="NR100" i="1"/>
  <c r="NT100" i="1" s="1"/>
  <c r="NQ100" i="1"/>
  <c r="NN100" i="1"/>
  <c r="NK100" i="1"/>
  <c r="NH100" i="1"/>
  <c r="ND100" i="1"/>
  <c r="NC100" i="1"/>
  <c r="NE100" i="1" s="1"/>
  <c r="NB100" i="1"/>
  <c r="MY100" i="1"/>
  <c r="MV100" i="1"/>
  <c r="MS100" i="1"/>
  <c r="MO100" i="1"/>
  <c r="MN100" i="1"/>
  <c r="MP100" i="1" s="1"/>
  <c r="MM100" i="1"/>
  <c r="MJ100" i="1"/>
  <c r="MG100" i="1"/>
  <c r="MD100" i="1"/>
  <c r="LZ100" i="1"/>
  <c r="LY100" i="1"/>
  <c r="MA100" i="1" s="1"/>
  <c r="LX100" i="1"/>
  <c r="LU100" i="1"/>
  <c r="LR100" i="1"/>
  <c r="LO100" i="1"/>
  <c r="KV100" i="1"/>
  <c r="KU100" i="1"/>
  <c r="KW100" i="1" s="1"/>
  <c r="KT100" i="1"/>
  <c r="KQ100" i="1"/>
  <c r="KN100" i="1"/>
  <c r="KK100" i="1"/>
  <c r="KH100" i="1"/>
  <c r="JC100" i="1"/>
  <c r="JB100" i="1"/>
  <c r="JD100" i="1" s="1"/>
  <c r="JA100" i="1"/>
  <c r="IX100" i="1"/>
  <c r="IU100" i="1"/>
  <c r="IR100" i="1"/>
  <c r="IN100" i="1"/>
  <c r="IM100" i="1"/>
  <c r="IO100" i="1" s="1"/>
  <c r="IL100" i="1"/>
  <c r="II100" i="1"/>
  <c r="IF100" i="1"/>
  <c r="IC100" i="1"/>
  <c r="HY100" i="1"/>
  <c r="HX100" i="1"/>
  <c r="HZ100" i="1" s="1"/>
  <c r="HW100" i="1"/>
  <c r="HT100" i="1"/>
  <c r="HQ100" i="1"/>
  <c r="HN100" i="1"/>
  <c r="HJ100" i="1"/>
  <c r="HI100" i="1"/>
  <c r="HK100" i="1" s="1"/>
  <c r="HH100" i="1"/>
  <c r="HE100" i="1"/>
  <c r="HB100" i="1"/>
  <c r="GY100" i="1"/>
  <c r="GU100" i="1"/>
  <c r="GT100" i="1"/>
  <c r="GV100" i="1" s="1"/>
  <c r="GS100" i="1"/>
  <c r="GP100" i="1"/>
  <c r="GM100" i="1"/>
  <c r="GJ100" i="1"/>
  <c r="GF100" i="1"/>
  <c r="GE100" i="1"/>
  <c r="GG100" i="1" s="1"/>
  <c r="GD100" i="1"/>
  <c r="GA100" i="1"/>
  <c r="FX100" i="1"/>
  <c r="FU100" i="1"/>
  <c r="FQ100" i="1"/>
  <c r="FP100" i="1"/>
  <c r="FR100" i="1" s="1"/>
  <c r="FO100" i="1"/>
  <c r="FL100" i="1"/>
  <c r="FI100" i="1"/>
  <c r="FF100" i="1"/>
  <c r="FB100" i="1"/>
  <c r="FA100" i="1"/>
  <c r="FC100" i="1" s="1"/>
  <c r="EZ100" i="1"/>
  <c r="EW100" i="1"/>
  <c r="ET100" i="1"/>
  <c r="EQ100" i="1"/>
  <c r="EM100" i="1"/>
  <c r="EL100" i="1"/>
  <c r="EN100" i="1" s="1"/>
  <c r="EK100" i="1"/>
  <c r="EH100" i="1"/>
  <c r="EE100" i="1"/>
  <c r="EB100" i="1"/>
  <c r="DX100" i="1"/>
  <c r="DW100" i="1"/>
  <c r="DY100" i="1" s="1"/>
  <c r="DV100" i="1"/>
  <c r="DS100" i="1"/>
  <c r="DP100" i="1"/>
  <c r="DM100" i="1"/>
  <c r="DI100" i="1"/>
  <c r="DH100" i="1"/>
  <c r="DJ100" i="1" s="1"/>
  <c r="DG100" i="1"/>
  <c r="DD100" i="1"/>
  <c r="DA100" i="1"/>
  <c r="CX100" i="1"/>
  <c r="CT100" i="1"/>
  <c r="CS100" i="1"/>
  <c r="CU100" i="1" s="1"/>
  <c r="CR100" i="1"/>
  <c r="CO100" i="1"/>
  <c r="CL100" i="1"/>
  <c r="CI100" i="1"/>
  <c r="CF100" i="1"/>
  <c r="BP100" i="1"/>
  <c r="BO100" i="1"/>
  <c r="BQ100" i="1" s="1"/>
  <c r="BN100" i="1"/>
  <c r="BK100" i="1"/>
  <c r="BH100" i="1"/>
  <c r="BE100" i="1"/>
  <c r="BA100" i="1"/>
  <c r="AZ100" i="1"/>
  <c r="BB100" i="1" s="1"/>
  <c r="AY100" i="1"/>
  <c r="AV100" i="1"/>
  <c r="AS100" i="1"/>
  <c r="AP100" i="1"/>
  <c r="AM100" i="1"/>
  <c r="W100" i="1"/>
  <c r="V100" i="1"/>
  <c r="X100" i="1" s="1"/>
  <c r="U100" i="1"/>
  <c r="R100" i="1"/>
  <c r="O100" i="1"/>
  <c r="L100" i="1"/>
  <c r="I100" i="1"/>
  <c r="AAB99" i="1"/>
  <c r="AAA99" i="1"/>
  <c r="AAC99" i="1" s="1"/>
  <c r="ZZ99" i="1"/>
  <c r="ZW99" i="1"/>
  <c r="ZG99" i="1"/>
  <c r="AAE99" i="1" s="1"/>
  <c r="ZF99" i="1"/>
  <c r="AAD99" i="1" s="1"/>
  <c r="ZE99" i="1"/>
  <c r="ZB99" i="1"/>
  <c r="YY99" i="1"/>
  <c r="YV99" i="1"/>
  <c r="YR99" i="1"/>
  <c r="YQ99" i="1"/>
  <c r="YS99" i="1" s="1"/>
  <c r="YP99" i="1"/>
  <c r="YM99" i="1"/>
  <c r="YJ99" i="1"/>
  <c r="YG99" i="1"/>
  <c r="YC99" i="1"/>
  <c r="YB99" i="1"/>
  <c r="YD99" i="1" s="1"/>
  <c r="YA99" i="1"/>
  <c r="XX99" i="1"/>
  <c r="XU99" i="1"/>
  <c r="XR99" i="1"/>
  <c r="VU99" i="1"/>
  <c r="VT99" i="1"/>
  <c r="VV99" i="1" s="1"/>
  <c r="VS99" i="1"/>
  <c r="VP99" i="1"/>
  <c r="VM99" i="1"/>
  <c r="VJ99" i="1"/>
  <c r="UQ99" i="1"/>
  <c r="UP99" i="1"/>
  <c r="UR99" i="1" s="1"/>
  <c r="UO99" i="1"/>
  <c r="UL99" i="1"/>
  <c r="UI99" i="1"/>
  <c r="UF99" i="1"/>
  <c r="UB99" i="1"/>
  <c r="UA99" i="1"/>
  <c r="UC99" i="1" s="1"/>
  <c r="TZ99" i="1"/>
  <c r="TW99" i="1"/>
  <c r="TT99" i="1"/>
  <c r="TQ99" i="1"/>
  <c r="TM99" i="1"/>
  <c r="TL99" i="1"/>
  <c r="TN99" i="1" s="1"/>
  <c r="TK99" i="1"/>
  <c r="TH99" i="1"/>
  <c r="TE99" i="1"/>
  <c r="TB99" i="1"/>
  <c r="SX99" i="1"/>
  <c r="SW99" i="1"/>
  <c r="SY99" i="1" s="1"/>
  <c r="SV99" i="1"/>
  <c r="SS99" i="1"/>
  <c r="SP99" i="1"/>
  <c r="SM99" i="1"/>
  <c r="SJ99" i="1"/>
  <c r="QP99" i="1"/>
  <c r="QO99" i="1"/>
  <c r="QQ99" i="1" s="1"/>
  <c r="QN99" i="1"/>
  <c r="QK99" i="1"/>
  <c r="QH99" i="1"/>
  <c r="QE99" i="1"/>
  <c r="QA99" i="1"/>
  <c r="PZ99" i="1"/>
  <c r="QB99" i="1" s="1"/>
  <c r="PY99" i="1"/>
  <c r="PV99" i="1"/>
  <c r="PS99" i="1"/>
  <c r="PP99" i="1"/>
  <c r="PL99" i="1"/>
  <c r="PK99" i="1"/>
  <c r="PM99" i="1" s="1"/>
  <c r="PJ99" i="1"/>
  <c r="PG99" i="1"/>
  <c r="PD99" i="1"/>
  <c r="PA99" i="1"/>
  <c r="OW99" i="1"/>
  <c r="OV99" i="1"/>
  <c r="OX99" i="1" s="1"/>
  <c r="OU99" i="1"/>
  <c r="OR99" i="1"/>
  <c r="OO99" i="1"/>
  <c r="OL99" i="1"/>
  <c r="OH99" i="1"/>
  <c r="OG99" i="1"/>
  <c r="OI99" i="1" s="1"/>
  <c r="OF99" i="1"/>
  <c r="OC99" i="1"/>
  <c r="NZ99" i="1"/>
  <c r="NW99" i="1"/>
  <c r="NS99" i="1"/>
  <c r="NR99" i="1"/>
  <c r="NT99" i="1" s="1"/>
  <c r="NQ99" i="1"/>
  <c r="NN99" i="1"/>
  <c r="NK99" i="1"/>
  <c r="NH99" i="1"/>
  <c r="ND99" i="1"/>
  <c r="NC99" i="1"/>
  <c r="NE99" i="1" s="1"/>
  <c r="NB99" i="1"/>
  <c r="MY99" i="1"/>
  <c r="MV99" i="1"/>
  <c r="MS99" i="1"/>
  <c r="MO99" i="1"/>
  <c r="MN99" i="1"/>
  <c r="MP99" i="1" s="1"/>
  <c r="MM99" i="1"/>
  <c r="MJ99" i="1"/>
  <c r="MG99" i="1"/>
  <c r="MD99" i="1"/>
  <c r="LZ99" i="1"/>
  <c r="LY99" i="1"/>
  <c r="MA99" i="1" s="1"/>
  <c r="LX99" i="1"/>
  <c r="LU99" i="1"/>
  <c r="LR99" i="1"/>
  <c r="LO99" i="1"/>
  <c r="KV99" i="1"/>
  <c r="KU99" i="1"/>
  <c r="KW99" i="1" s="1"/>
  <c r="KT99" i="1"/>
  <c r="KQ99" i="1"/>
  <c r="KN99" i="1"/>
  <c r="KK99" i="1"/>
  <c r="KH99" i="1"/>
  <c r="JC99" i="1"/>
  <c r="JB99" i="1"/>
  <c r="JD99" i="1" s="1"/>
  <c r="JA99" i="1"/>
  <c r="IX99" i="1"/>
  <c r="IU99" i="1"/>
  <c r="IR99" i="1"/>
  <c r="IN99" i="1"/>
  <c r="IM99" i="1"/>
  <c r="IO99" i="1" s="1"/>
  <c r="IL99" i="1"/>
  <c r="II99" i="1"/>
  <c r="IF99" i="1"/>
  <c r="IC99" i="1"/>
  <c r="HY99" i="1"/>
  <c r="HX99" i="1"/>
  <c r="HZ99" i="1" s="1"/>
  <c r="HW99" i="1"/>
  <c r="HT99" i="1"/>
  <c r="HQ99" i="1"/>
  <c r="HN99" i="1"/>
  <c r="HJ99" i="1"/>
  <c r="HI99" i="1"/>
  <c r="HK99" i="1" s="1"/>
  <c r="HH99" i="1"/>
  <c r="HE99" i="1"/>
  <c r="HB99" i="1"/>
  <c r="GY99" i="1"/>
  <c r="GU99" i="1"/>
  <c r="GT99" i="1"/>
  <c r="GV99" i="1" s="1"/>
  <c r="GS99" i="1"/>
  <c r="GP99" i="1"/>
  <c r="GM99" i="1"/>
  <c r="GJ99" i="1"/>
  <c r="GF99" i="1"/>
  <c r="GE99" i="1"/>
  <c r="GG99" i="1" s="1"/>
  <c r="GD99" i="1"/>
  <c r="GA99" i="1"/>
  <c r="FX99" i="1"/>
  <c r="FU99" i="1"/>
  <c r="FQ99" i="1"/>
  <c r="FP99" i="1"/>
  <c r="FR99" i="1" s="1"/>
  <c r="FO99" i="1"/>
  <c r="FL99" i="1"/>
  <c r="FI99" i="1"/>
  <c r="FF99" i="1"/>
  <c r="FB99" i="1"/>
  <c r="FA99" i="1"/>
  <c r="FC99" i="1" s="1"/>
  <c r="EZ99" i="1"/>
  <c r="EW99" i="1"/>
  <c r="ET99" i="1"/>
  <c r="EQ99" i="1"/>
  <c r="EM99" i="1"/>
  <c r="EL99" i="1"/>
  <c r="EN99" i="1" s="1"/>
  <c r="EK99" i="1"/>
  <c r="EH99" i="1"/>
  <c r="EE99" i="1"/>
  <c r="EB99" i="1"/>
  <c r="DX99" i="1"/>
  <c r="DW99" i="1"/>
  <c r="DY99" i="1" s="1"/>
  <c r="DV99" i="1"/>
  <c r="DS99" i="1"/>
  <c r="DP99" i="1"/>
  <c r="DM99" i="1"/>
  <c r="DI99" i="1"/>
  <c r="DH99" i="1"/>
  <c r="DJ99" i="1" s="1"/>
  <c r="DG99" i="1"/>
  <c r="DD99" i="1"/>
  <c r="DA99" i="1"/>
  <c r="CX99" i="1"/>
  <c r="CT99" i="1"/>
  <c r="CS99" i="1"/>
  <c r="CU99" i="1" s="1"/>
  <c r="CR99" i="1"/>
  <c r="CO99" i="1"/>
  <c r="CL99" i="1"/>
  <c r="CI99" i="1"/>
  <c r="CF99" i="1"/>
  <c r="BP99" i="1"/>
  <c r="BO99" i="1"/>
  <c r="BQ99" i="1" s="1"/>
  <c r="BN99" i="1"/>
  <c r="BK99" i="1"/>
  <c r="BH99" i="1"/>
  <c r="BE99" i="1"/>
  <c r="BA99" i="1"/>
  <c r="AZ99" i="1"/>
  <c r="BB99" i="1" s="1"/>
  <c r="AY99" i="1"/>
  <c r="AV99" i="1"/>
  <c r="AS99" i="1"/>
  <c r="AP99" i="1"/>
  <c r="AM99" i="1"/>
  <c r="W99" i="1"/>
  <c r="V99" i="1"/>
  <c r="X99" i="1" s="1"/>
  <c r="U99" i="1"/>
  <c r="R99" i="1"/>
  <c r="O99" i="1"/>
  <c r="L99" i="1"/>
  <c r="I99" i="1"/>
  <c r="AAB98" i="1"/>
  <c r="AAA98" i="1"/>
  <c r="AAC98" i="1" s="1"/>
  <c r="ZZ98" i="1"/>
  <c r="ZW98" i="1"/>
  <c r="ZG98" i="1"/>
  <c r="AAE98" i="1" s="1"/>
  <c r="ZF98" i="1"/>
  <c r="AAD98" i="1" s="1"/>
  <c r="ZE98" i="1"/>
  <c r="ZB98" i="1"/>
  <c r="YY98" i="1"/>
  <c r="YV98" i="1"/>
  <c r="YR98" i="1"/>
  <c r="YQ98" i="1"/>
  <c r="YS98" i="1" s="1"/>
  <c r="YP98" i="1"/>
  <c r="YM98" i="1"/>
  <c r="YJ98" i="1"/>
  <c r="YG98" i="1"/>
  <c r="YC98" i="1"/>
  <c r="YB98" i="1"/>
  <c r="YD98" i="1" s="1"/>
  <c r="YA98" i="1"/>
  <c r="XX98" i="1"/>
  <c r="XU98" i="1"/>
  <c r="XR98" i="1"/>
  <c r="VU98" i="1"/>
  <c r="VT98" i="1"/>
  <c r="VV98" i="1" s="1"/>
  <c r="VS98" i="1"/>
  <c r="VP98" i="1"/>
  <c r="VM98" i="1"/>
  <c r="VJ98" i="1"/>
  <c r="UQ98" i="1"/>
  <c r="UP98" i="1"/>
  <c r="UR98" i="1" s="1"/>
  <c r="UO98" i="1"/>
  <c r="UL98" i="1"/>
  <c r="UI98" i="1"/>
  <c r="UF98" i="1"/>
  <c r="UB98" i="1"/>
  <c r="UA98" i="1"/>
  <c r="UC98" i="1" s="1"/>
  <c r="TZ98" i="1"/>
  <c r="TW98" i="1"/>
  <c r="TT98" i="1"/>
  <c r="TQ98" i="1"/>
  <c r="TM98" i="1"/>
  <c r="TL98" i="1"/>
  <c r="TN98" i="1" s="1"/>
  <c r="TK98" i="1"/>
  <c r="TH98" i="1"/>
  <c r="TE98" i="1"/>
  <c r="TB98" i="1"/>
  <c r="SX98" i="1"/>
  <c r="SW98" i="1"/>
  <c r="SY98" i="1" s="1"/>
  <c r="SV98" i="1"/>
  <c r="SS98" i="1"/>
  <c r="SP98" i="1"/>
  <c r="SM98" i="1"/>
  <c r="SJ98" i="1"/>
  <c r="QP98" i="1"/>
  <c r="QO98" i="1"/>
  <c r="QQ98" i="1" s="1"/>
  <c r="QN98" i="1"/>
  <c r="QK98" i="1"/>
  <c r="QH98" i="1"/>
  <c r="QE98" i="1"/>
  <c r="QA98" i="1"/>
  <c r="PZ98" i="1"/>
  <c r="QB98" i="1" s="1"/>
  <c r="PY98" i="1"/>
  <c r="PV98" i="1"/>
  <c r="PS98" i="1"/>
  <c r="PP98" i="1"/>
  <c r="PL98" i="1"/>
  <c r="PK98" i="1"/>
  <c r="PM98" i="1" s="1"/>
  <c r="PJ98" i="1"/>
  <c r="PG98" i="1"/>
  <c r="PD98" i="1"/>
  <c r="PA98" i="1"/>
  <c r="OW98" i="1"/>
  <c r="OV98" i="1"/>
  <c r="OX98" i="1" s="1"/>
  <c r="OU98" i="1"/>
  <c r="OR98" i="1"/>
  <c r="OO98" i="1"/>
  <c r="OL98" i="1"/>
  <c r="OH98" i="1"/>
  <c r="OG98" i="1"/>
  <c r="OI98" i="1" s="1"/>
  <c r="OF98" i="1"/>
  <c r="OC98" i="1"/>
  <c r="NZ98" i="1"/>
  <c r="NW98" i="1"/>
  <c r="NS98" i="1"/>
  <c r="NR98" i="1"/>
  <c r="NT98" i="1" s="1"/>
  <c r="NQ98" i="1"/>
  <c r="NN98" i="1"/>
  <c r="NK98" i="1"/>
  <c r="NH98" i="1"/>
  <c r="ND98" i="1"/>
  <c r="NC98" i="1"/>
  <c r="NE98" i="1" s="1"/>
  <c r="NB98" i="1"/>
  <c r="MY98" i="1"/>
  <c r="MV98" i="1"/>
  <c r="MS98" i="1"/>
  <c r="MO98" i="1"/>
  <c r="MN98" i="1"/>
  <c r="MP98" i="1" s="1"/>
  <c r="MM98" i="1"/>
  <c r="MJ98" i="1"/>
  <c r="MG98" i="1"/>
  <c r="MD98" i="1"/>
  <c r="LZ98" i="1"/>
  <c r="LY98" i="1"/>
  <c r="MA98" i="1" s="1"/>
  <c r="LX98" i="1"/>
  <c r="LU98" i="1"/>
  <c r="LR98" i="1"/>
  <c r="LO98" i="1"/>
  <c r="KV98" i="1"/>
  <c r="KU98" i="1"/>
  <c r="KW98" i="1" s="1"/>
  <c r="KT98" i="1"/>
  <c r="KQ98" i="1"/>
  <c r="KN98" i="1"/>
  <c r="KK98" i="1"/>
  <c r="KH98" i="1"/>
  <c r="JC98" i="1"/>
  <c r="JB98" i="1"/>
  <c r="JD98" i="1" s="1"/>
  <c r="JA98" i="1"/>
  <c r="IX98" i="1"/>
  <c r="IU98" i="1"/>
  <c r="IR98" i="1"/>
  <c r="IN98" i="1"/>
  <c r="IM98" i="1"/>
  <c r="IO98" i="1" s="1"/>
  <c r="IL98" i="1"/>
  <c r="II98" i="1"/>
  <c r="IF98" i="1"/>
  <c r="IC98" i="1"/>
  <c r="HY98" i="1"/>
  <c r="HX98" i="1"/>
  <c r="HZ98" i="1" s="1"/>
  <c r="HW98" i="1"/>
  <c r="HT98" i="1"/>
  <c r="HQ98" i="1"/>
  <c r="HN98" i="1"/>
  <c r="HJ98" i="1"/>
  <c r="HI98" i="1"/>
  <c r="HK98" i="1" s="1"/>
  <c r="HH98" i="1"/>
  <c r="HE98" i="1"/>
  <c r="HB98" i="1"/>
  <c r="GY98" i="1"/>
  <c r="GU98" i="1"/>
  <c r="GT98" i="1"/>
  <c r="GV98" i="1" s="1"/>
  <c r="GS98" i="1"/>
  <c r="GP98" i="1"/>
  <c r="GM98" i="1"/>
  <c r="GJ98" i="1"/>
  <c r="GF98" i="1"/>
  <c r="GE98" i="1"/>
  <c r="GG98" i="1" s="1"/>
  <c r="GD98" i="1"/>
  <c r="GA98" i="1"/>
  <c r="FX98" i="1"/>
  <c r="FU98" i="1"/>
  <c r="FQ98" i="1"/>
  <c r="FP98" i="1"/>
  <c r="FR98" i="1" s="1"/>
  <c r="FO98" i="1"/>
  <c r="FL98" i="1"/>
  <c r="FI98" i="1"/>
  <c r="FF98" i="1"/>
  <c r="FB98" i="1"/>
  <c r="FA98" i="1"/>
  <c r="FC98" i="1" s="1"/>
  <c r="EZ98" i="1"/>
  <c r="EW98" i="1"/>
  <c r="ET98" i="1"/>
  <c r="EQ98" i="1"/>
  <c r="EM98" i="1"/>
  <c r="EL98" i="1"/>
  <c r="EN98" i="1" s="1"/>
  <c r="EK98" i="1"/>
  <c r="EH98" i="1"/>
  <c r="EE98" i="1"/>
  <c r="EB98" i="1"/>
  <c r="DX98" i="1"/>
  <c r="DW98" i="1"/>
  <c r="DY98" i="1" s="1"/>
  <c r="DV98" i="1"/>
  <c r="DS98" i="1"/>
  <c r="DP98" i="1"/>
  <c r="DM98" i="1"/>
  <c r="DI98" i="1"/>
  <c r="DH98" i="1"/>
  <c r="DJ98" i="1" s="1"/>
  <c r="DG98" i="1"/>
  <c r="DD98" i="1"/>
  <c r="DA98" i="1"/>
  <c r="CX98" i="1"/>
  <c r="CT98" i="1"/>
  <c r="CS98" i="1"/>
  <c r="CU98" i="1" s="1"/>
  <c r="CR98" i="1"/>
  <c r="CO98" i="1"/>
  <c r="CL98" i="1"/>
  <c r="CI98" i="1"/>
  <c r="CF98" i="1"/>
  <c r="BP98" i="1"/>
  <c r="BO98" i="1"/>
  <c r="BQ98" i="1" s="1"/>
  <c r="BN98" i="1"/>
  <c r="BK98" i="1"/>
  <c r="BH98" i="1"/>
  <c r="BE98" i="1"/>
  <c r="BA98" i="1"/>
  <c r="AZ98" i="1"/>
  <c r="BB98" i="1" s="1"/>
  <c r="AY98" i="1"/>
  <c r="AV98" i="1"/>
  <c r="AS98" i="1"/>
  <c r="AP98" i="1"/>
  <c r="AM98" i="1"/>
  <c r="W98" i="1"/>
  <c r="V98" i="1"/>
  <c r="X98" i="1" s="1"/>
  <c r="U98" i="1"/>
  <c r="R98" i="1"/>
  <c r="O98" i="1"/>
  <c r="L98" i="1"/>
  <c r="I98" i="1"/>
  <c r="AAB97" i="1"/>
  <c r="AAA97" i="1"/>
  <c r="AAC97" i="1" s="1"/>
  <c r="ZZ97" i="1"/>
  <c r="ZW97" i="1"/>
  <c r="ZG97" i="1"/>
  <c r="AAE97" i="1" s="1"/>
  <c r="ZF97" i="1"/>
  <c r="AAD97" i="1" s="1"/>
  <c r="ZE97" i="1"/>
  <c r="ZB97" i="1"/>
  <c r="YY97" i="1"/>
  <c r="YV97" i="1"/>
  <c r="YR97" i="1"/>
  <c r="YQ97" i="1"/>
  <c r="YS97" i="1" s="1"/>
  <c r="YP97" i="1"/>
  <c r="YM97" i="1"/>
  <c r="YJ97" i="1"/>
  <c r="YG97" i="1"/>
  <c r="YC97" i="1"/>
  <c r="YB97" i="1"/>
  <c r="YD97" i="1" s="1"/>
  <c r="YA97" i="1"/>
  <c r="XX97" i="1"/>
  <c r="XU97" i="1"/>
  <c r="XR97" i="1"/>
  <c r="VU97" i="1"/>
  <c r="VT97" i="1"/>
  <c r="VV97" i="1" s="1"/>
  <c r="VS97" i="1"/>
  <c r="VP97" i="1"/>
  <c r="VM97" i="1"/>
  <c r="VJ97" i="1"/>
  <c r="UQ97" i="1"/>
  <c r="UP97" i="1"/>
  <c r="UR97" i="1" s="1"/>
  <c r="UO97" i="1"/>
  <c r="UL97" i="1"/>
  <c r="UI97" i="1"/>
  <c r="UF97" i="1"/>
  <c r="UB97" i="1"/>
  <c r="UA97" i="1"/>
  <c r="UC97" i="1" s="1"/>
  <c r="TZ97" i="1"/>
  <c r="TW97" i="1"/>
  <c r="TT97" i="1"/>
  <c r="TQ97" i="1"/>
  <c r="TM97" i="1"/>
  <c r="TL97" i="1"/>
  <c r="TN97" i="1" s="1"/>
  <c r="TK97" i="1"/>
  <c r="TH97" i="1"/>
  <c r="TE97" i="1"/>
  <c r="TB97" i="1"/>
  <c r="SX97" i="1"/>
  <c r="SW97" i="1"/>
  <c r="SY97" i="1" s="1"/>
  <c r="SV97" i="1"/>
  <c r="SS97" i="1"/>
  <c r="SP97" i="1"/>
  <c r="SM97" i="1"/>
  <c r="SJ97" i="1"/>
  <c r="QP97" i="1"/>
  <c r="QO97" i="1"/>
  <c r="QQ97" i="1" s="1"/>
  <c r="QN97" i="1"/>
  <c r="QK97" i="1"/>
  <c r="QH97" i="1"/>
  <c r="QE97" i="1"/>
  <c r="QA97" i="1"/>
  <c r="PZ97" i="1"/>
  <c r="QB97" i="1" s="1"/>
  <c r="PY97" i="1"/>
  <c r="PV97" i="1"/>
  <c r="PS97" i="1"/>
  <c r="PP97" i="1"/>
  <c r="PL97" i="1"/>
  <c r="PK97" i="1"/>
  <c r="PM97" i="1" s="1"/>
  <c r="PJ97" i="1"/>
  <c r="PG97" i="1"/>
  <c r="PD97" i="1"/>
  <c r="PA97" i="1"/>
  <c r="OW97" i="1"/>
  <c r="OV97" i="1"/>
  <c r="OX97" i="1" s="1"/>
  <c r="OU97" i="1"/>
  <c r="OR97" i="1"/>
  <c r="OO97" i="1"/>
  <c r="OL97" i="1"/>
  <c r="OH97" i="1"/>
  <c r="OG97" i="1"/>
  <c r="OI97" i="1" s="1"/>
  <c r="OF97" i="1"/>
  <c r="OC97" i="1"/>
  <c r="NZ97" i="1"/>
  <c r="NW97" i="1"/>
  <c r="NS97" i="1"/>
  <c r="NR97" i="1"/>
  <c r="NT97" i="1" s="1"/>
  <c r="NQ97" i="1"/>
  <c r="NN97" i="1"/>
  <c r="NK97" i="1"/>
  <c r="NH97" i="1"/>
  <c r="ND97" i="1"/>
  <c r="NC97" i="1"/>
  <c r="NE97" i="1" s="1"/>
  <c r="NB97" i="1"/>
  <c r="MY97" i="1"/>
  <c r="MV97" i="1"/>
  <c r="MS97" i="1"/>
  <c r="MO97" i="1"/>
  <c r="MN97" i="1"/>
  <c r="MP97" i="1" s="1"/>
  <c r="MM97" i="1"/>
  <c r="MJ97" i="1"/>
  <c r="MG97" i="1"/>
  <c r="MD97" i="1"/>
  <c r="LZ97" i="1"/>
  <c r="LY97" i="1"/>
  <c r="MA97" i="1" s="1"/>
  <c r="LX97" i="1"/>
  <c r="LU97" i="1"/>
  <c r="LR97" i="1"/>
  <c r="LO97" i="1"/>
  <c r="KV97" i="1"/>
  <c r="KU97" i="1"/>
  <c r="KW97" i="1" s="1"/>
  <c r="KT97" i="1"/>
  <c r="KQ97" i="1"/>
  <c r="KN97" i="1"/>
  <c r="KK97" i="1"/>
  <c r="KH97" i="1"/>
  <c r="JC97" i="1"/>
  <c r="JB97" i="1"/>
  <c r="JD97" i="1" s="1"/>
  <c r="JA97" i="1"/>
  <c r="IX97" i="1"/>
  <c r="IU97" i="1"/>
  <c r="IR97" i="1"/>
  <c r="IN97" i="1"/>
  <c r="IM97" i="1"/>
  <c r="IO97" i="1" s="1"/>
  <c r="IL97" i="1"/>
  <c r="II97" i="1"/>
  <c r="IF97" i="1"/>
  <c r="IC97" i="1"/>
  <c r="HY97" i="1"/>
  <c r="HX97" i="1"/>
  <c r="HZ97" i="1" s="1"/>
  <c r="HW97" i="1"/>
  <c r="HT97" i="1"/>
  <c r="HQ97" i="1"/>
  <c r="HN97" i="1"/>
  <c r="HJ97" i="1"/>
  <c r="HI97" i="1"/>
  <c r="HK97" i="1" s="1"/>
  <c r="HH97" i="1"/>
  <c r="HE97" i="1"/>
  <c r="HB97" i="1"/>
  <c r="GY97" i="1"/>
  <c r="GU97" i="1"/>
  <c r="GT97" i="1"/>
  <c r="GV97" i="1" s="1"/>
  <c r="GS97" i="1"/>
  <c r="GP97" i="1"/>
  <c r="GM97" i="1"/>
  <c r="GJ97" i="1"/>
  <c r="GF97" i="1"/>
  <c r="GE97" i="1"/>
  <c r="GG97" i="1" s="1"/>
  <c r="GD97" i="1"/>
  <c r="GA97" i="1"/>
  <c r="FX97" i="1"/>
  <c r="FU97" i="1"/>
  <c r="FQ97" i="1"/>
  <c r="FP97" i="1"/>
  <c r="FR97" i="1" s="1"/>
  <c r="FO97" i="1"/>
  <c r="FL97" i="1"/>
  <c r="FI97" i="1"/>
  <c r="FF97" i="1"/>
  <c r="FB97" i="1"/>
  <c r="FA97" i="1"/>
  <c r="FC97" i="1" s="1"/>
  <c r="EZ97" i="1"/>
  <c r="EW97" i="1"/>
  <c r="ET97" i="1"/>
  <c r="EQ97" i="1"/>
  <c r="EM97" i="1"/>
  <c r="EL97" i="1"/>
  <c r="EN97" i="1" s="1"/>
  <c r="EK97" i="1"/>
  <c r="EH97" i="1"/>
  <c r="EE97" i="1"/>
  <c r="EB97" i="1"/>
  <c r="DX97" i="1"/>
  <c r="DW97" i="1"/>
  <c r="DY97" i="1" s="1"/>
  <c r="DV97" i="1"/>
  <c r="DS97" i="1"/>
  <c r="DP97" i="1"/>
  <c r="DM97" i="1"/>
  <c r="DI97" i="1"/>
  <c r="DH97" i="1"/>
  <c r="DJ97" i="1" s="1"/>
  <c r="DG97" i="1"/>
  <c r="DD97" i="1"/>
  <c r="DA97" i="1"/>
  <c r="CX97" i="1"/>
  <c r="CT97" i="1"/>
  <c r="CS97" i="1"/>
  <c r="CU97" i="1" s="1"/>
  <c r="CR97" i="1"/>
  <c r="CO97" i="1"/>
  <c r="CL97" i="1"/>
  <c r="CI97" i="1"/>
  <c r="CF97" i="1"/>
  <c r="BP97" i="1"/>
  <c r="BO97" i="1"/>
  <c r="BQ97" i="1" s="1"/>
  <c r="BN97" i="1"/>
  <c r="BK97" i="1"/>
  <c r="BH97" i="1"/>
  <c r="BE97" i="1"/>
  <c r="BA97" i="1"/>
  <c r="AZ97" i="1"/>
  <c r="BB97" i="1" s="1"/>
  <c r="AY97" i="1"/>
  <c r="AV97" i="1"/>
  <c r="AS97" i="1"/>
  <c r="AP97" i="1"/>
  <c r="AM97" i="1"/>
  <c r="W97" i="1"/>
  <c r="V97" i="1"/>
  <c r="X97" i="1" s="1"/>
  <c r="U97" i="1"/>
  <c r="R97" i="1"/>
  <c r="O97" i="1"/>
  <c r="L97" i="1"/>
  <c r="I97" i="1"/>
  <c r="AAB96" i="1"/>
  <c r="AAA96" i="1"/>
  <c r="AAC96" i="1" s="1"/>
  <c r="AAC108" i="1" s="1"/>
  <c r="ZZ96" i="1"/>
  <c r="ZZ108" i="1" s="1"/>
  <c r="ZW96" i="1"/>
  <c r="ZW108" i="1" s="1"/>
  <c r="ZG96" i="1"/>
  <c r="ZF96" i="1"/>
  <c r="AAD96" i="1" s="1"/>
  <c r="ZE96" i="1"/>
  <c r="ZE108" i="1" s="1"/>
  <c r="ZB96" i="1"/>
  <c r="ZB108" i="1" s="1"/>
  <c r="YY96" i="1"/>
  <c r="YY108" i="1" s="1"/>
  <c r="YV96" i="1"/>
  <c r="YV108" i="1" s="1"/>
  <c r="YR96" i="1"/>
  <c r="YR108" i="1" s="1"/>
  <c r="YQ96" i="1"/>
  <c r="YS96" i="1" s="1"/>
  <c r="YS108" i="1" s="1"/>
  <c r="YP96" i="1"/>
  <c r="YP108" i="1" s="1"/>
  <c r="YM96" i="1"/>
  <c r="YM108" i="1" s="1"/>
  <c r="YJ96" i="1"/>
  <c r="YJ108" i="1" s="1"/>
  <c r="YG96" i="1"/>
  <c r="YG108" i="1" s="1"/>
  <c r="YC96" i="1"/>
  <c r="YC108" i="1" s="1"/>
  <c r="YB96" i="1"/>
  <c r="YD96" i="1" s="1"/>
  <c r="YD108" i="1" s="1"/>
  <c r="YA96" i="1"/>
  <c r="YA108" i="1" s="1"/>
  <c r="XX96" i="1"/>
  <c r="XX108" i="1" s="1"/>
  <c r="XU96" i="1"/>
  <c r="XU108" i="1" s="1"/>
  <c r="XR96" i="1"/>
  <c r="XR108" i="1" s="1"/>
  <c r="VU96" i="1"/>
  <c r="VU108" i="1" s="1"/>
  <c r="VT96" i="1"/>
  <c r="VV96" i="1" s="1"/>
  <c r="VV108" i="1" s="1"/>
  <c r="VS96" i="1"/>
  <c r="VS108" i="1" s="1"/>
  <c r="VP96" i="1"/>
  <c r="VP108" i="1" s="1"/>
  <c r="VM96" i="1"/>
  <c r="VM108" i="1" s="1"/>
  <c r="VJ96" i="1"/>
  <c r="VJ108" i="1" s="1"/>
  <c r="UQ96" i="1"/>
  <c r="UQ108" i="1" s="1"/>
  <c r="UP96" i="1"/>
  <c r="UR96" i="1" s="1"/>
  <c r="UR108" i="1" s="1"/>
  <c r="UO96" i="1"/>
  <c r="UO108" i="1" s="1"/>
  <c r="UL96" i="1"/>
  <c r="UL108" i="1" s="1"/>
  <c r="UI96" i="1"/>
  <c r="UI108" i="1" s="1"/>
  <c r="UF96" i="1"/>
  <c r="UF108" i="1" s="1"/>
  <c r="UB96" i="1"/>
  <c r="UB108" i="1" s="1"/>
  <c r="UA96" i="1"/>
  <c r="UC96" i="1" s="1"/>
  <c r="UC108" i="1" s="1"/>
  <c r="TZ96" i="1"/>
  <c r="TZ108" i="1" s="1"/>
  <c r="TW96" i="1"/>
  <c r="TW108" i="1" s="1"/>
  <c r="TT96" i="1"/>
  <c r="TT108" i="1" s="1"/>
  <c r="TQ96" i="1"/>
  <c r="TQ108" i="1" s="1"/>
  <c r="TM96" i="1"/>
  <c r="TM108" i="1" s="1"/>
  <c r="TL96" i="1"/>
  <c r="TN96" i="1" s="1"/>
  <c r="TN108" i="1" s="1"/>
  <c r="TK96" i="1"/>
  <c r="TK108" i="1" s="1"/>
  <c r="TH96" i="1"/>
  <c r="TH108" i="1" s="1"/>
  <c r="TE96" i="1"/>
  <c r="TE108" i="1" s="1"/>
  <c r="TB96" i="1"/>
  <c r="TB108" i="1" s="1"/>
  <c r="SX96" i="1"/>
  <c r="SX108" i="1" s="1"/>
  <c r="SW96" i="1"/>
  <c r="SY96" i="1" s="1"/>
  <c r="SY108" i="1" s="1"/>
  <c r="SV96" i="1"/>
  <c r="SV108" i="1" s="1"/>
  <c r="SS96" i="1"/>
  <c r="SS108" i="1" s="1"/>
  <c r="SP96" i="1"/>
  <c r="SP108" i="1" s="1"/>
  <c r="SM96" i="1"/>
  <c r="SM108" i="1" s="1"/>
  <c r="SJ96" i="1"/>
  <c r="SJ108" i="1" s="1"/>
  <c r="QP96" i="1"/>
  <c r="QP108" i="1" s="1"/>
  <c r="QO96" i="1"/>
  <c r="QQ96" i="1" s="1"/>
  <c r="QQ108" i="1" s="1"/>
  <c r="QN96" i="1"/>
  <c r="QN108" i="1" s="1"/>
  <c r="QK96" i="1"/>
  <c r="QK108" i="1" s="1"/>
  <c r="QH96" i="1"/>
  <c r="QH108" i="1" s="1"/>
  <c r="QE96" i="1"/>
  <c r="QE108" i="1" s="1"/>
  <c r="QA96" i="1"/>
  <c r="QA108" i="1" s="1"/>
  <c r="PZ96" i="1"/>
  <c r="QB96" i="1" s="1"/>
  <c r="QB108" i="1" s="1"/>
  <c r="PY96" i="1"/>
  <c r="PY108" i="1" s="1"/>
  <c r="PV96" i="1"/>
  <c r="PV108" i="1" s="1"/>
  <c r="PS96" i="1"/>
  <c r="PS108" i="1" s="1"/>
  <c r="PP96" i="1"/>
  <c r="PP108" i="1" s="1"/>
  <c r="PL96" i="1"/>
  <c r="PL108" i="1" s="1"/>
  <c r="PK96" i="1"/>
  <c r="PM96" i="1" s="1"/>
  <c r="PM108" i="1" s="1"/>
  <c r="PJ96" i="1"/>
  <c r="PJ108" i="1" s="1"/>
  <c r="PG96" i="1"/>
  <c r="PG108" i="1" s="1"/>
  <c r="PD96" i="1"/>
  <c r="PD108" i="1" s="1"/>
  <c r="PA96" i="1"/>
  <c r="PA108" i="1" s="1"/>
  <c r="OW96" i="1"/>
  <c r="OW108" i="1" s="1"/>
  <c r="OV96" i="1"/>
  <c r="OX96" i="1" s="1"/>
  <c r="OX108" i="1" s="1"/>
  <c r="OU96" i="1"/>
  <c r="OU108" i="1" s="1"/>
  <c r="OR96" i="1"/>
  <c r="OR108" i="1" s="1"/>
  <c r="OO96" i="1"/>
  <c r="OO108" i="1" s="1"/>
  <c r="OL96" i="1"/>
  <c r="OL108" i="1" s="1"/>
  <c r="OH96" i="1"/>
  <c r="OH108" i="1" s="1"/>
  <c r="OG96" i="1"/>
  <c r="OI96" i="1" s="1"/>
  <c r="OF96" i="1"/>
  <c r="OF108" i="1" s="1"/>
  <c r="OC96" i="1"/>
  <c r="OC108" i="1" s="1"/>
  <c r="NZ96" i="1"/>
  <c r="NZ108" i="1" s="1"/>
  <c r="NW96" i="1"/>
  <c r="NS96" i="1"/>
  <c r="NS108" i="1" s="1"/>
  <c r="NR96" i="1"/>
  <c r="NT96" i="1" s="1"/>
  <c r="NT108" i="1" s="1"/>
  <c r="NQ96" i="1"/>
  <c r="NQ108" i="1" s="1"/>
  <c r="NN96" i="1"/>
  <c r="NN108" i="1" s="1"/>
  <c r="NK96" i="1"/>
  <c r="NK108" i="1" s="1"/>
  <c r="NH96" i="1"/>
  <c r="NH108" i="1" s="1"/>
  <c r="ND96" i="1"/>
  <c r="ND108" i="1" s="1"/>
  <c r="NC96" i="1"/>
  <c r="NE96" i="1" s="1"/>
  <c r="NE108" i="1" s="1"/>
  <c r="NB96" i="1"/>
  <c r="NB108" i="1" s="1"/>
  <c r="MY96" i="1"/>
  <c r="MY108" i="1" s="1"/>
  <c r="MV96" i="1"/>
  <c r="MV108" i="1" s="1"/>
  <c r="MS96" i="1"/>
  <c r="MS108" i="1" s="1"/>
  <c r="MO96" i="1"/>
  <c r="MO108" i="1" s="1"/>
  <c r="MN96" i="1"/>
  <c r="MP96" i="1" s="1"/>
  <c r="MM96" i="1"/>
  <c r="MM108" i="1" s="1"/>
  <c r="MJ96" i="1"/>
  <c r="MJ108" i="1" s="1"/>
  <c r="MG96" i="1"/>
  <c r="MG108" i="1" s="1"/>
  <c r="MD96" i="1"/>
  <c r="LZ96" i="1"/>
  <c r="LZ108" i="1" s="1"/>
  <c r="LY96" i="1"/>
  <c r="MA96" i="1" s="1"/>
  <c r="MA108" i="1" s="1"/>
  <c r="LX96" i="1"/>
  <c r="LX108" i="1" s="1"/>
  <c r="LU96" i="1"/>
  <c r="LU108" i="1" s="1"/>
  <c r="LR96" i="1"/>
  <c r="LR108" i="1" s="1"/>
  <c r="LO96" i="1"/>
  <c r="LO108" i="1" s="1"/>
  <c r="KV96" i="1"/>
  <c r="KV108" i="1" s="1"/>
  <c r="KU96" i="1"/>
  <c r="KW96" i="1" s="1"/>
  <c r="KW108" i="1" s="1"/>
  <c r="KT96" i="1"/>
  <c r="KT108" i="1" s="1"/>
  <c r="KQ96" i="1"/>
  <c r="KQ108" i="1" s="1"/>
  <c r="KN96" i="1"/>
  <c r="KN108" i="1" s="1"/>
  <c r="KK96" i="1"/>
  <c r="KK108" i="1" s="1"/>
  <c r="KH96" i="1"/>
  <c r="KH108" i="1" s="1"/>
  <c r="JC96" i="1"/>
  <c r="JC108" i="1" s="1"/>
  <c r="JB96" i="1"/>
  <c r="JD96" i="1" s="1"/>
  <c r="JD108" i="1" s="1"/>
  <c r="JA96" i="1"/>
  <c r="JA108" i="1" s="1"/>
  <c r="IX96" i="1"/>
  <c r="IX108" i="1" s="1"/>
  <c r="IU96" i="1"/>
  <c r="IU108" i="1" s="1"/>
  <c r="IR96" i="1"/>
  <c r="IR108" i="1" s="1"/>
  <c r="IN96" i="1"/>
  <c r="IN108" i="1" s="1"/>
  <c r="IM96" i="1"/>
  <c r="IO96" i="1" s="1"/>
  <c r="IL96" i="1"/>
  <c r="IL108" i="1" s="1"/>
  <c r="II96" i="1"/>
  <c r="II108" i="1" s="1"/>
  <c r="IF96" i="1"/>
  <c r="IF108" i="1" s="1"/>
  <c r="IC96" i="1"/>
  <c r="HY96" i="1"/>
  <c r="HY108" i="1" s="1"/>
  <c r="HX96" i="1"/>
  <c r="HZ96" i="1" s="1"/>
  <c r="HZ108" i="1" s="1"/>
  <c r="HW96" i="1"/>
  <c r="HW108" i="1" s="1"/>
  <c r="HT96" i="1"/>
  <c r="HT108" i="1" s="1"/>
  <c r="HQ96" i="1"/>
  <c r="HQ108" i="1" s="1"/>
  <c r="HN96" i="1"/>
  <c r="HN108" i="1" s="1"/>
  <c r="HJ96" i="1"/>
  <c r="HJ108" i="1" s="1"/>
  <c r="HI96" i="1"/>
  <c r="HK96" i="1" s="1"/>
  <c r="HK108" i="1" s="1"/>
  <c r="HH96" i="1"/>
  <c r="HH108" i="1" s="1"/>
  <c r="HE96" i="1"/>
  <c r="HE108" i="1" s="1"/>
  <c r="HB96" i="1"/>
  <c r="HB108" i="1" s="1"/>
  <c r="GY96" i="1"/>
  <c r="GY108" i="1" s="1"/>
  <c r="GU96" i="1"/>
  <c r="GU108" i="1" s="1"/>
  <c r="GT96" i="1"/>
  <c r="GV96" i="1" s="1"/>
  <c r="GV108" i="1" s="1"/>
  <c r="GS96" i="1"/>
  <c r="GS108" i="1" s="1"/>
  <c r="GP96" i="1"/>
  <c r="GP108" i="1" s="1"/>
  <c r="GM96" i="1"/>
  <c r="GM108" i="1" s="1"/>
  <c r="GJ96" i="1"/>
  <c r="GJ108" i="1" s="1"/>
  <c r="GF96" i="1"/>
  <c r="GF108" i="1" s="1"/>
  <c r="GE96" i="1"/>
  <c r="GG96" i="1" s="1"/>
  <c r="GG108" i="1" s="1"/>
  <c r="GD96" i="1"/>
  <c r="GD108" i="1" s="1"/>
  <c r="GA96" i="1"/>
  <c r="GA108" i="1" s="1"/>
  <c r="FX96" i="1"/>
  <c r="FX108" i="1" s="1"/>
  <c r="FU96" i="1"/>
  <c r="FU108" i="1" s="1"/>
  <c r="FQ96" i="1"/>
  <c r="FQ108" i="1" s="1"/>
  <c r="FP96" i="1"/>
  <c r="FR96" i="1" s="1"/>
  <c r="FR108" i="1" s="1"/>
  <c r="FO96" i="1"/>
  <c r="FO108" i="1" s="1"/>
  <c r="FL96" i="1"/>
  <c r="FL108" i="1" s="1"/>
  <c r="FI96" i="1"/>
  <c r="FI108" i="1" s="1"/>
  <c r="FF96" i="1"/>
  <c r="FF108" i="1" s="1"/>
  <c r="FB96" i="1"/>
  <c r="FB108" i="1" s="1"/>
  <c r="FA96" i="1"/>
  <c r="FC96" i="1" s="1"/>
  <c r="FC108" i="1" s="1"/>
  <c r="EZ96" i="1"/>
  <c r="EZ108" i="1" s="1"/>
  <c r="EW96" i="1"/>
  <c r="EW108" i="1" s="1"/>
  <c r="ET96" i="1"/>
  <c r="ET108" i="1" s="1"/>
  <c r="EQ96" i="1"/>
  <c r="EQ108" i="1" s="1"/>
  <c r="EM96" i="1"/>
  <c r="EM108" i="1" s="1"/>
  <c r="EL96" i="1"/>
  <c r="EN96" i="1" s="1"/>
  <c r="EN108" i="1" s="1"/>
  <c r="EK96" i="1"/>
  <c r="EK108" i="1" s="1"/>
  <c r="EH96" i="1"/>
  <c r="EH108" i="1" s="1"/>
  <c r="EE96" i="1"/>
  <c r="EE108" i="1" s="1"/>
  <c r="EB96" i="1"/>
  <c r="EB108" i="1" s="1"/>
  <c r="DX96" i="1"/>
  <c r="DX108" i="1" s="1"/>
  <c r="DW96" i="1"/>
  <c r="DY96" i="1" s="1"/>
  <c r="DY108" i="1" s="1"/>
  <c r="DV96" i="1"/>
  <c r="DV108" i="1" s="1"/>
  <c r="DS96" i="1"/>
  <c r="DS108" i="1" s="1"/>
  <c r="DP96" i="1"/>
  <c r="DP108" i="1" s="1"/>
  <c r="DM96" i="1"/>
  <c r="DM108" i="1" s="1"/>
  <c r="DI96" i="1"/>
  <c r="DI108" i="1" s="1"/>
  <c r="DH96" i="1"/>
  <c r="DJ96" i="1" s="1"/>
  <c r="DJ108" i="1" s="1"/>
  <c r="DG96" i="1"/>
  <c r="DG108" i="1" s="1"/>
  <c r="DD96" i="1"/>
  <c r="DD108" i="1" s="1"/>
  <c r="DA96" i="1"/>
  <c r="DA108" i="1" s="1"/>
  <c r="CX96" i="1"/>
  <c r="CX108" i="1" s="1"/>
  <c r="CT96" i="1"/>
  <c r="CT108" i="1" s="1"/>
  <c r="CS96" i="1"/>
  <c r="CU96" i="1" s="1"/>
  <c r="CR96" i="1"/>
  <c r="CR108" i="1" s="1"/>
  <c r="CO96" i="1"/>
  <c r="CL96" i="1"/>
  <c r="CL108" i="1" s="1"/>
  <c r="CI96" i="1"/>
  <c r="CI108" i="1" s="1"/>
  <c r="CF96" i="1"/>
  <c r="CF108" i="1" s="1"/>
  <c r="BP96" i="1"/>
  <c r="BP108" i="1" s="1"/>
  <c r="BO96" i="1"/>
  <c r="BQ96" i="1" s="1"/>
  <c r="BQ108" i="1" s="1"/>
  <c r="BN96" i="1"/>
  <c r="BN108" i="1" s="1"/>
  <c r="BK96" i="1"/>
  <c r="BK108" i="1" s="1"/>
  <c r="BH96" i="1"/>
  <c r="BH108" i="1" s="1"/>
  <c r="BE96" i="1"/>
  <c r="BE108" i="1" s="1"/>
  <c r="BA96" i="1"/>
  <c r="BA108" i="1" s="1"/>
  <c r="AZ96" i="1"/>
  <c r="BB96" i="1" s="1"/>
  <c r="BB108" i="1" s="1"/>
  <c r="AY96" i="1"/>
  <c r="AY108" i="1" s="1"/>
  <c r="AV96" i="1"/>
  <c r="AV108" i="1" s="1"/>
  <c r="AS96" i="1"/>
  <c r="AS108" i="1" s="1"/>
  <c r="AP96" i="1"/>
  <c r="AP108" i="1" s="1"/>
  <c r="AM96" i="1"/>
  <c r="AM108" i="1" s="1"/>
  <c r="W96" i="1"/>
  <c r="W108" i="1" s="1"/>
  <c r="V96" i="1"/>
  <c r="U96" i="1"/>
  <c r="U108" i="1" s="1"/>
  <c r="R96" i="1"/>
  <c r="R108" i="1" s="1"/>
  <c r="O96" i="1"/>
  <c r="O108" i="1" s="1"/>
  <c r="L96" i="1"/>
  <c r="L108" i="1" s="1"/>
  <c r="I96" i="1"/>
  <c r="ZY95" i="1"/>
  <c r="AAB95" i="1" s="1"/>
  <c r="ZX95" i="1"/>
  <c r="AAA95" i="1" s="1"/>
  <c r="ZD95" i="1"/>
  <c r="ZC95" i="1"/>
  <c r="ZA95" i="1"/>
  <c r="YZ95" i="1"/>
  <c r="YX95" i="1"/>
  <c r="YW95" i="1"/>
  <c r="YU95" i="1"/>
  <c r="YT95" i="1"/>
  <c r="ZF95" i="1" s="1"/>
  <c r="YO95" i="1"/>
  <c r="YN95" i="1"/>
  <c r="YL95" i="1"/>
  <c r="YK95" i="1"/>
  <c r="YI95" i="1"/>
  <c r="YH95" i="1"/>
  <c r="YF95" i="1"/>
  <c r="YE95" i="1"/>
  <c r="YQ95" i="1" s="1"/>
  <c r="XZ95" i="1"/>
  <c r="XY95" i="1"/>
  <c r="XW95" i="1"/>
  <c r="XV95" i="1"/>
  <c r="XT95" i="1"/>
  <c r="XS95" i="1"/>
  <c r="XQ95" i="1"/>
  <c r="XP95" i="1"/>
  <c r="YB95" i="1" s="1"/>
  <c r="VR95" i="1"/>
  <c r="VQ95" i="1"/>
  <c r="VO95" i="1"/>
  <c r="VN95" i="1"/>
  <c r="VL95" i="1"/>
  <c r="VK95" i="1"/>
  <c r="VI95" i="1"/>
  <c r="VH95" i="1"/>
  <c r="VT95" i="1" s="1"/>
  <c r="UN95" i="1"/>
  <c r="UM95" i="1"/>
  <c r="UK95" i="1"/>
  <c r="UJ95" i="1"/>
  <c r="UH95" i="1"/>
  <c r="UG95" i="1"/>
  <c r="UE95" i="1"/>
  <c r="UD95" i="1"/>
  <c r="UP95" i="1" s="1"/>
  <c r="TY95" i="1"/>
  <c r="TX95" i="1"/>
  <c r="TV95" i="1"/>
  <c r="TU95" i="1"/>
  <c r="TS95" i="1"/>
  <c r="TR95" i="1"/>
  <c r="TP95" i="1"/>
  <c r="TO95" i="1"/>
  <c r="UA95" i="1" s="1"/>
  <c r="TJ95" i="1"/>
  <c r="TI95" i="1"/>
  <c r="TG95" i="1"/>
  <c r="TF95" i="1"/>
  <c r="TD95" i="1"/>
  <c r="TC95" i="1"/>
  <c r="TA95" i="1"/>
  <c r="SZ95" i="1"/>
  <c r="TL95" i="1" s="1"/>
  <c r="SU95" i="1"/>
  <c r="ST95" i="1"/>
  <c r="SR95" i="1"/>
  <c r="SQ95" i="1"/>
  <c r="SO95" i="1"/>
  <c r="SN95" i="1"/>
  <c r="SL95" i="1"/>
  <c r="SK95" i="1"/>
  <c r="SW95" i="1" s="1"/>
  <c r="QM95" i="1"/>
  <c r="QL95" i="1"/>
  <c r="QJ95" i="1"/>
  <c r="QI95" i="1"/>
  <c r="QG95" i="1"/>
  <c r="QF95" i="1"/>
  <c r="QD95" i="1"/>
  <c r="QC95" i="1"/>
  <c r="QO95" i="1" s="1"/>
  <c r="PX95" i="1"/>
  <c r="PW95" i="1"/>
  <c r="PU95" i="1"/>
  <c r="PT95" i="1"/>
  <c r="PR95" i="1"/>
  <c r="PQ95" i="1"/>
  <c r="PO95" i="1"/>
  <c r="PN95" i="1"/>
  <c r="PZ95" i="1" s="1"/>
  <c r="PI95" i="1"/>
  <c r="PH95" i="1"/>
  <c r="PF95" i="1"/>
  <c r="PE95" i="1"/>
  <c r="PC95" i="1"/>
  <c r="PB95" i="1"/>
  <c r="OZ95" i="1"/>
  <c r="OY95" i="1"/>
  <c r="PK95" i="1" s="1"/>
  <c r="OT95" i="1"/>
  <c r="OS95" i="1"/>
  <c r="OQ95" i="1"/>
  <c r="OP95" i="1"/>
  <c r="ON95" i="1"/>
  <c r="OM95" i="1"/>
  <c r="OK95" i="1"/>
  <c r="OJ95" i="1"/>
  <c r="OV95" i="1" s="1"/>
  <c r="OE95" i="1"/>
  <c r="OD95" i="1"/>
  <c r="OB95" i="1"/>
  <c r="OA95" i="1"/>
  <c r="NY95" i="1"/>
  <c r="NX95" i="1"/>
  <c r="NV95" i="1"/>
  <c r="NP95" i="1"/>
  <c r="NO95" i="1"/>
  <c r="NM95" i="1"/>
  <c r="NL95" i="1"/>
  <c r="NJ95" i="1"/>
  <c r="NI95" i="1"/>
  <c r="NG95" i="1"/>
  <c r="NF95" i="1"/>
  <c r="NR95" i="1" s="1"/>
  <c r="NA95" i="1"/>
  <c r="MZ95" i="1"/>
  <c r="MX95" i="1"/>
  <c r="MW95" i="1"/>
  <c r="MU95" i="1"/>
  <c r="MT95" i="1"/>
  <c r="MR95" i="1"/>
  <c r="MQ95" i="1"/>
  <c r="NC95" i="1" s="1"/>
  <c r="ML95" i="1"/>
  <c r="MK95" i="1"/>
  <c r="MI95" i="1"/>
  <c r="MH95" i="1"/>
  <c r="MF95" i="1"/>
  <c r="ME95" i="1"/>
  <c r="MC95" i="1"/>
  <c r="LW95" i="1"/>
  <c r="LV95" i="1"/>
  <c r="LT95" i="1"/>
  <c r="LS95" i="1"/>
  <c r="LQ95" i="1"/>
  <c r="LP95" i="1"/>
  <c r="LN95" i="1"/>
  <c r="LM95" i="1"/>
  <c r="LY95" i="1" s="1"/>
  <c r="KS95" i="1"/>
  <c r="KR95" i="1"/>
  <c r="KP95" i="1"/>
  <c r="KO95" i="1"/>
  <c r="KM95" i="1"/>
  <c r="KL95" i="1"/>
  <c r="KJ95" i="1"/>
  <c r="KI95" i="1"/>
  <c r="KU95" i="1" s="1"/>
  <c r="IZ95" i="1"/>
  <c r="IY95" i="1"/>
  <c r="IW95" i="1"/>
  <c r="IV95" i="1"/>
  <c r="IT95" i="1"/>
  <c r="IS95" i="1"/>
  <c r="IQ95" i="1"/>
  <c r="IP95" i="1"/>
  <c r="JB95" i="1" s="1"/>
  <c r="IK95" i="1"/>
  <c r="IJ95" i="1"/>
  <c r="IH95" i="1"/>
  <c r="IG95" i="1"/>
  <c r="IE95" i="1"/>
  <c r="ID95" i="1"/>
  <c r="IB95" i="1"/>
  <c r="HV95" i="1"/>
  <c r="HU95" i="1"/>
  <c r="HS95" i="1"/>
  <c r="HR95" i="1"/>
  <c r="HP95" i="1"/>
  <c r="HO95" i="1"/>
  <c r="HM95" i="1"/>
  <c r="HL95" i="1"/>
  <c r="HX95" i="1" s="1"/>
  <c r="HG95" i="1"/>
  <c r="HF95" i="1"/>
  <c r="HD95" i="1"/>
  <c r="HC95" i="1"/>
  <c r="HA95" i="1"/>
  <c r="GZ95" i="1"/>
  <c r="GX95" i="1"/>
  <c r="GW95" i="1"/>
  <c r="HI95" i="1" s="1"/>
  <c r="GR95" i="1"/>
  <c r="GQ95" i="1"/>
  <c r="GO95" i="1"/>
  <c r="GN95" i="1"/>
  <c r="GL95" i="1"/>
  <c r="GK95" i="1"/>
  <c r="GI95" i="1"/>
  <c r="GH95" i="1"/>
  <c r="GT95" i="1" s="1"/>
  <c r="GC95" i="1"/>
  <c r="GB95" i="1"/>
  <c r="FZ95" i="1"/>
  <c r="FY95" i="1"/>
  <c r="FW95" i="1"/>
  <c r="FV95" i="1"/>
  <c r="FT95" i="1"/>
  <c r="FS95" i="1"/>
  <c r="GE95" i="1" s="1"/>
  <c r="FN95" i="1"/>
  <c r="FM95" i="1"/>
  <c r="FK95" i="1"/>
  <c r="FJ95" i="1"/>
  <c r="FH95" i="1"/>
  <c r="FG95" i="1"/>
  <c r="FE95" i="1"/>
  <c r="FD95" i="1"/>
  <c r="FP95" i="1" s="1"/>
  <c r="EY95" i="1"/>
  <c r="EX95" i="1"/>
  <c r="EV95" i="1"/>
  <c r="EU95" i="1"/>
  <c r="ES95" i="1"/>
  <c r="ER95" i="1"/>
  <c r="EP95" i="1"/>
  <c r="EO95" i="1"/>
  <c r="FA95" i="1" s="1"/>
  <c r="EJ95" i="1"/>
  <c r="EI95" i="1"/>
  <c r="EG95" i="1"/>
  <c r="EF95" i="1"/>
  <c r="ED95" i="1"/>
  <c r="EC95" i="1"/>
  <c r="EA95" i="1"/>
  <c r="DZ95" i="1"/>
  <c r="EL95" i="1" s="1"/>
  <c r="DU95" i="1"/>
  <c r="DT95" i="1"/>
  <c r="DR95" i="1"/>
  <c r="DQ95" i="1"/>
  <c r="DO95" i="1"/>
  <c r="DN95" i="1"/>
  <c r="DL95" i="1"/>
  <c r="DK95" i="1"/>
  <c r="DW95" i="1" s="1"/>
  <c r="DF95" i="1"/>
  <c r="DE95" i="1"/>
  <c r="DC95" i="1"/>
  <c r="DB95" i="1"/>
  <c r="CZ95" i="1"/>
  <c r="CY95" i="1"/>
  <c r="CW95" i="1"/>
  <c r="CV95" i="1"/>
  <c r="DH95" i="1" s="1"/>
  <c r="CQ95" i="1"/>
  <c r="CP95" i="1"/>
  <c r="CN95" i="1"/>
  <c r="CK95" i="1"/>
  <c r="CJ95" i="1"/>
  <c r="CH95" i="1"/>
  <c r="CG95" i="1"/>
  <c r="BM95" i="1"/>
  <c r="BL95" i="1"/>
  <c r="BJ95" i="1"/>
  <c r="BI95" i="1"/>
  <c r="BG95" i="1"/>
  <c r="BF95" i="1"/>
  <c r="BD95" i="1"/>
  <c r="BC95" i="1"/>
  <c r="BO95" i="1" s="1"/>
  <c r="AX95" i="1"/>
  <c r="AW95" i="1"/>
  <c r="AU95" i="1"/>
  <c r="AT95" i="1"/>
  <c r="AR95" i="1"/>
  <c r="AQ95" i="1"/>
  <c r="AO95" i="1"/>
  <c r="AN95" i="1"/>
  <c r="AZ95" i="1" s="1"/>
  <c r="T95" i="1"/>
  <c r="S95" i="1"/>
  <c r="Q95" i="1"/>
  <c r="P95" i="1"/>
  <c r="N95" i="1"/>
  <c r="M95" i="1"/>
  <c r="K95" i="1"/>
  <c r="J95" i="1"/>
  <c r="H95" i="1"/>
  <c r="AAB94" i="1"/>
  <c r="AAA94" i="1"/>
  <c r="AAC94" i="1" s="1"/>
  <c r="ZZ94" i="1"/>
  <c r="ZW94" i="1"/>
  <c r="ZG94" i="1"/>
  <c r="AAE94" i="1" s="1"/>
  <c r="ZF94" i="1"/>
  <c r="AAD94" i="1" s="1"/>
  <c r="ZE94" i="1"/>
  <c r="ZB94" i="1"/>
  <c r="YY94" i="1"/>
  <c r="YV94" i="1"/>
  <c r="YR94" i="1"/>
  <c r="YQ94" i="1"/>
  <c r="YS94" i="1" s="1"/>
  <c r="YP94" i="1"/>
  <c r="YM94" i="1"/>
  <c r="YJ94" i="1"/>
  <c r="YG94" i="1"/>
  <c r="YC94" i="1"/>
  <c r="YB94" i="1"/>
  <c r="YD94" i="1" s="1"/>
  <c r="YA94" i="1"/>
  <c r="XX94" i="1"/>
  <c r="XU94" i="1"/>
  <c r="XR94" i="1"/>
  <c r="VU94" i="1"/>
  <c r="VT94" i="1"/>
  <c r="VV94" i="1" s="1"/>
  <c r="VS94" i="1"/>
  <c r="VP94" i="1"/>
  <c r="VM94" i="1"/>
  <c r="VJ94" i="1"/>
  <c r="UQ94" i="1"/>
  <c r="UP94" i="1"/>
  <c r="UR94" i="1" s="1"/>
  <c r="UO94" i="1"/>
  <c r="UL94" i="1"/>
  <c r="UI94" i="1"/>
  <c r="UF94" i="1"/>
  <c r="UB94" i="1"/>
  <c r="UA94" i="1"/>
  <c r="UC94" i="1" s="1"/>
  <c r="TZ94" i="1"/>
  <c r="TW94" i="1"/>
  <c r="TT94" i="1"/>
  <c r="TQ94" i="1"/>
  <c r="TM94" i="1"/>
  <c r="TL94" i="1"/>
  <c r="TN94" i="1" s="1"/>
  <c r="TK94" i="1"/>
  <c r="TH94" i="1"/>
  <c r="TE94" i="1"/>
  <c r="TB94" i="1"/>
  <c r="SX94" i="1"/>
  <c r="SW94" i="1"/>
  <c r="SY94" i="1" s="1"/>
  <c r="SV94" i="1"/>
  <c r="SS94" i="1"/>
  <c r="SP94" i="1"/>
  <c r="SM94" i="1"/>
  <c r="SJ94" i="1"/>
  <c r="QP94" i="1"/>
  <c r="QO94" i="1"/>
  <c r="QQ94" i="1" s="1"/>
  <c r="QN94" i="1"/>
  <c r="QK94" i="1"/>
  <c r="QH94" i="1"/>
  <c r="QE94" i="1"/>
  <c r="QA94" i="1"/>
  <c r="PZ94" i="1"/>
  <c r="QB94" i="1" s="1"/>
  <c r="PY94" i="1"/>
  <c r="PV94" i="1"/>
  <c r="PS94" i="1"/>
  <c r="PP94" i="1"/>
  <c r="PL94" i="1"/>
  <c r="PK94" i="1"/>
  <c r="PM94" i="1" s="1"/>
  <c r="PJ94" i="1"/>
  <c r="PG94" i="1"/>
  <c r="PD94" i="1"/>
  <c r="PA94" i="1"/>
  <c r="OW94" i="1"/>
  <c r="OV94" i="1"/>
  <c r="OX94" i="1" s="1"/>
  <c r="OU94" i="1"/>
  <c r="OR94" i="1"/>
  <c r="OO94" i="1"/>
  <c r="OL94" i="1"/>
  <c r="OH94" i="1"/>
  <c r="OG94" i="1"/>
  <c r="OI94" i="1" s="1"/>
  <c r="OF94" i="1"/>
  <c r="OC94" i="1"/>
  <c r="NZ94" i="1"/>
  <c r="NW94" i="1"/>
  <c r="NS94" i="1"/>
  <c r="NR94" i="1"/>
  <c r="NT94" i="1" s="1"/>
  <c r="NQ94" i="1"/>
  <c r="NN94" i="1"/>
  <c r="NK94" i="1"/>
  <c r="NH94" i="1"/>
  <c r="ND94" i="1"/>
  <c r="NC94" i="1"/>
  <c r="NE94" i="1" s="1"/>
  <c r="NB94" i="1"/>
  <c r="MY94" i="1"/>
  <c r="MV94" i="1"/>
  <c r="MS94" i="1"/>
  <c r="MO94" i="1"/>
  <c r="MN94" i="1"/>
  <c r="MP94" i="1" s="1"/>
  <c r="MM94" i="1"/>
  <c r="MJ94" i="1"/>
  <c r="MG94" i="1"/>
  <c r="MD94" i="1"/>
  <c r="LZ94" i="1"/>
  <c r="LY94" i="1"/>
  <c r="MA94" i="1" s="1"/>
  <c r="LX94" i="1"/>
  <c r="LU94" i="1"/>
  <c r="LR94" i="1"/>
  <c r="LO94" i="1"/>
  <c r="KV94" i="1"/>
  <c r="KU94" i="1"/>
  <c r="KW94" i="1" s="1"/>
  <c r="KT94" i="1"/>
  <c r="KQ94" i="1"/>
  <c r="KN94" i="1"/>
  <c r="KK94" i="1"/>
  <c r="KH94" i="1"/>
  <c r="JC94" i="1"/>
  <c r="JB94" i="1"/>
  <c r="JD94" i="1" s="1"/>
  <c r="JA94" i="1"/>
  <c r="IX94" i="1"/>
  <c r="IU94" i="1"/>
  <c r="IR94" i="1"/>
  <c r="IN94" i="1"/>
  <c r="IM94" i="1"/>
  <c r="IO94" i="1" s="1"/>
  <c r="IL94" i="1"/>
  <c r="II94" i="1"/>
  <c r="IF94" i="1"/>
  <c r="IC94" i="1"/>
  <c r="HY94" i="1"/>
  <c r="HX94" i="1"/>
  <c r="HZ94" i="1" s="1"/>
  <c r="HW94" i="1"/>
  <c r="HT94" i="1"/>
  <c r="HQ94" i="1"/>
  <c r="HN94" i="1"/>
  <c r="HJ94" i="1"/>
  <c r="HI94" i="1"/>
  <c r="HK94" i="1" s="1"/>
  <c r="HH94" i="1"/>
  <c r="HE94" i="1"/>
  <c r="HB94" i="1"/>
  <c r="GY94" i="1"/>
  <c r="GU94" i="1"/>
  <c r="GT94" i="1"/>
  <c r="GV94" i="1" s="1"/>
  <c r="GS94" i="1"/>
  <c r="GP94" i="1"/>
  <c r="GM94" i="1"/>
  <c r="GJ94" i="1"/>
  <c r="GF94" i="1"/>
  <c r="GE94" i="1"/>
  <c r="GG94" i="1" s="1"/>
  <c r="GD94" i="1"/>
  <c r="GA94" i="1"/>
  <c r="FX94" i="1"/>
  <c r="FU94" i="1"/>
  <c r="FQ94" i="1"/>
  <c r="FP94" i="1"/>
  <c r="FR94" i="1" s="1"/>
  <c r="FO94" i="1"/>
  <c r="FL94" i="1"/>
  <c r="FI94" i="1"/>
  <c r="FF94" i="1"/>
  <c r="FB94" i="1"/>
  <c r="FA94" i="1"/>
  <c r="FC94" i="1" s="1"/>
  <c r="EZ94" i="1"/>
  <c r="EW94" i="1"/>
  <c r="ET94" i="1"/>
  <c r="EQ94" i="1"/>
  <c r="EM94" i="1"/>
  <c r="EL94" i="1"/>
  <c r="EN94" i="1" s="1"/>
  <c r="EK94" i="1"/>
  <c r="EH94" i="1"/>
  <c r="EE94" i="1"/>
  <c r="EB94" i="1"/>
  <c r="DX94" i="1"/>
  <c r="DW94" i="1"/>
  <c r="DY94" i="1" s="1"/>
  <c r="DV94" i="1"/>
  <c r="DS94" i="1"/>
  <c r="DP94" i="1"/>
  <c r="DM94" i="1"/>
  <c r="DI94" i="1"/>
  <c r="DH94" i="1"/>
  <c r="DJ94" i="1" s="1"/>
  <c r="DG94" i="1"/>
  <c r="DD94" i="1"/>
  <c r="DA94" i="1"/>
  <c r="CX94" i="1"/>
  <c r="CT94" i="1"/>
  <c r="CS94" i="1"/>
  <c r="CU94" i="1" s="1"/>
  <c r="CR94" i="1"/>
  <c r="CO94" i="1"/>
  <c r="CL94" i="1"/>
  <c r="CI94" i="1"/>
  <c r="CF94" i="1"/>
  <c r="BP94" i="1"/>
  <c r="BO94" i="1"/>
  <c r="BQ94" i="1" s="1"/>
  <c r="BN94" i="1"/>
  <c r="BK94" i="1"/>
  <c r="BH94" i="1"/>
  <c r="BE94" i="1"/>
  <c r="BA94" i="1"/>
  <c r="AZ94" i="1"/>
  <c r="BB94" i="1" s="1"/>
  <c r="AY94" i="1"/>
  <c r="AV94" i="1"/>
  <c r="AS94" i="1"/>
  <c r="AP94" i="1"/>
  <c r="AM94" i="1"/>
  <c r="W94" i="1"/>
  <c r="V94" i="1"/>
  <c r="X94" i="1" s="1"/>
  <c r="U94" i="1"/>
  <c r="R94" i="1"/>
  <c r="O94" i="1"/>
  <c r="L94" i="1"/>
  <c r="I94" i="1"/>
  <c r="AAB93" i="1"/>
  <c r="AAA93" i="1"/>
  <c r="AAC93" i="1" s="1"/>
  <c r="ZZ93" i="1"/>
  <c r="ZW93" i="1"/>
  <c r="ZG93" i="1"/>
  <c r="AAE93" i="1" s="1"/>
  <c r="ZF93" i="1"/>
  <c r="AAD93" i="1" s="1"/>
  <c r="ZE93" i="1"/>
  <c r="ZB93" i="1"/>
  <c r="YY93" i="1"/>
  <c r="YV93" i="1"/>
  <c r="YR93" i="1"/>
  <c r="YQ93" i="1"/>
  <c r="YS93" i="1" s="1"/>
  <c r="YP93" i="1"/>
  <c r="YM93" i="1"/>
  <c r="YJ93" i="1"/>
  <c r="YG93" i="1"/>
  <c r="YC93" i="1"/>
  <c r="YB93" i="1"/>
  <c r="YD93" i="1" s="1"/>
  <c r="YA93" i="1"/>
  <c r="XX93" i="1"/>
  <c r="XU93" i="1"/>
  <c r="XR93" i="1"/>
  <c r="VU93" i="1"/>
  <c r="VT93" i="1"/>
  <c r="VV93" i="1" s="1"/>
  <c r="VS93" i="1"/>
  <c r="VP93" i="1"/>
  <c r="VM93" i="1"/>
  <c r="VJ93" i="1"/>
  <c r="UQ93" i="1"/>
  <c r="UP93" i="1"/>
  <c r="UR93" i="1" s="1"/>
  <c r="UO93" i="1"/>
  <c r="UL93" i="1"/>
  <c r="UI93" i="1"/>
  <c r="UF93" i="1"/>
  <c r="UB93" i="1"/>
  <c r="UA93" i="1"/>
  <c r="UC93" i="1" s="1"/>
  <c r="TZ93" i="1"/>
  <c r="TW93" i="1"/>
  <c r="TT93" i="1"/>
  <c r="TQ93" i="1"/>
  <c r="TM93" i="1"/>
  <c r="TL93" i="1"/>
  <c r="TN93" i="1" s="1"/>
  <c r="TK93" i="1"/>
  <c r="TH93" i="1"/>
  <c r="TE93" i="1"/>
  <c r="TB93" i="1"/>
  <c r="SX93" i="1"/>
  <c r="SW93" i="1"/>
  <c r="SY93" i="1" s="1"/>
  <c r="SV93" i="1"/>
  <c r="SS93" i="1"/>
  <c r="SP93" i="1"/>
  <c r="SM93" i="1"/>
  <c r="SJ93" i="1"/>
  <c r="QP93" i="1"/>
  <c r="QO93" i="1"/>
  <c r="QQ93" i="1" s="1"/>
  <c r="QN93" i="1"/>
  <c r="QK93" i="1"/>
  <c r="QH93" i="1"/>
  <c r="QE93" i="1"/>
  <c r="QA93" i="1"/>
  <c r="PZ93" i="1"/>
  <c r="QB93" i="1" s="1"/>
  <c r="PY93" i="1"/>
  <c r="PV93" i="1"/>
  <c r="PS93" i="1"/>
  <c r="PP93" i="1"/>
  <c r="PM93" i="1"/>
  <c r="PL93" i="1"/>
  <c r="PK93" i="1"/>
  <c r="PJ93" i="1"/>
  <c r="PG93" i="1"/>
  <c r="PD93" i="1"/>
  <c r="PA93" i="1"/>
  <c r="OW93" i="1"/>
  <c r="OV93" i="1"/>
  <c r="OX93" i="1" s="1"/>
  <c r="OU93" i="1"/>
  <c r="OR93" i="1"/>
  <c r="OO93" i="1"/>
  <c r="OL93" i="1"/>
  <c r="OH93" i="1"/>
  <c r="OG93" i="1"/>
  <c r="OI93" i="1" s="1"/>
  <c r="OF93" i="1"/>
  <c r="OC93" i="1"/>
  <c r="NZ93" i="1"/>
  <c r="NW93" i="1"/>
  <c r="NS93" i="1"/>
  <c r="NR93" i="1"/>
  <c r="NT93" i="1" s="1"/>
  <c r="NQ93" i="1"/>
  <c r="NN93" i="1"/>
  <c r="NK93" i="1"/>
  <c r="NH93" i="1"/>
  <c r="ND93" i="1"/>
  <c r="NC93" i="1"/>
  <c r="NE93" i="1" s="1"/>
  <c r="NB93" i="1"/>
  <c r="MY93" i="1"/>
  <c r="MV93" i="1"/>
  <c r="MS93" i="1"/>
  <c r="MO93" i="1"/>
  <c r="MN93" i="1"/>
  <c r="MP93" i="1" s="1"/>
  <c r="MM93" i="1"/>
  <c r="MJ93" i="1"/>
  <c r="MG93" i="1"/>
  <c r="MD93" i="1"/>
  <c r="LZ93" i="1"/>
  <c r="LY93" i="1"/>
  <c r="MA93" i="1" s="1"/>
  <c r="LX93" i="1"/>
  <c r="LU93" i="1"/>
  <c r="LR93" i="1"/>
  <c r="LO93" i="1"/>
  <c r="KV93" i="1"/>
  <c r="KU93" i="1"/>
  <c r="KW93" i="1" s="1"/>
  <c r="KT93" i="1"/>
  <c r="KQ93" i="1"/>
  <c r="KN93" i="1"/>
  <c r="KK93" i="1"/>
  <c r="KH93" i="1"/>
  <c r="JC93" i="1"/>
  <c r="JB93" i="1"/>
  <c r="JD93" i="1" s="1"/>
  <c r="JA93" i="1"/>
  <c r="IX93" i="1"/>
  <c r="IU93" i="1"/>
  <c r="IR93" i="1"/>
  <c r="IN93" i="1"/>
  <c r="IM93" i="1"/>
  <c r="IO93" i="1" s="1"/>
  <c r="IL93" i="1"/>
  <c r="II93" i="1"/>
  <c r="IF93" i="1"/>
  <c r="IC93" i="1"/>
  <c r="HY93" i="1"/>
  <c r="HX93" i="1"/>
  <c r="HZ93" i="1" s="1"/>
  <c r="HW93" i="1"/>
  <c r="HT93" i="1"/>
  <c r="HQ93" i="1"/>
  <c r="HN93" i="1"/>
  <c r="HJ93" i="1"/>
  <c r="HI93" i="1"/>
  <c r="HK93" i="1" s="1"/>
  <c r="HH93" i="1"/>
  <c r="HE93" i="1"/>
  <c r="HB93" i="1"/>
  <c r="GY93" i="1"/>
  <c r="GU93" i="1"/>
  <c r="GT93" i="1"/>
  <c r="GV93" i="1" s="1"/>
  <c r="GS93" i="1"/>
  <c r="GP93" i="1"/>
  <c r="GM93" i="1"/>
  <c r="GJ93" i="1"/>
  <c r="GF93" i="1"/>
  <c r="GE93" i="1"/>
  <c r="GG93" i="1" s="1"/>
  <c r="GD93" i="1"/>
  <c r="GA93" i="1"/>
  <c r="FX93" i="1"/>
  <c r="FU93" i="1"/>
  <c r="FQ93" i="1"/>
  <c r="FP93" i="1"/>
  <c r="FR93" i="1" s="1"/>
  <c r="FO93" i="1"/>
  <c r="FL93" i="1"/>
  <c r="FI93" i="1"/>
  <c r="FF93" i="1"/>
  <c r="FB93" i="1"/>
  <c r="FA93" i="1"/>
  <c r="FC93" i="1" s="1"/>
  <c r="EZ93" i="1"/>
  <c r="EW93" i="1"/>
  <c r="ET93" i="1"/>
  <c r="EQ93" i="1"/>
  <c r="EM93" i="1"/>
  <c r="EL93" i="1"/>
  <c r="EN93" i="1" s="1"/>
  <c r="EK93" i="1"/>
  <c r="EH93" i="1"/>
  <c r="EE93" i="1"/>
  <c r="EB93" i="1"/>
  <c r="DX93" i="1"/>
  <c r="DW93" i="1"/>
  <c r="DY93" i="1" s="1"/>
  <c r="DV93" i="1"/>
  <c r="DS93" i="1"/>
  <c r="DP93" i="1"/>
  <c r="DM93" i="1"/>
  <c r="DI93" i="1"/>
  <c r="DH93" i="1"/>
  <c r="DJ93" i="1" s="1"/>
  <c r="DG93" i="1"/>
  <c r="DD93" i="1"/>
  <c r="DA93" i="1"/>
  <c r="CX93" i="1"/>
  <c r="CT93" i="1"/>
  <c r="CS93" i="1"/>
  <c r="CU93" i="1" s="1"/>
  <c r="CR93" i="1"/>
  <c r="CO93" i="1"/>
  <c r="CL93" i="1"/>
  <c r="CI93" i="1"/>
  <c r="CF93" i="1"/>
  <c r="BP93" i="1"/>
  <c r="BO93" i="1"/>
  <c r="BQ93" i="1" s="1"/>
  <c r="BN93" i="1"/>
  <c r="BK93" i="1"/>
  <c r="BH93" i="1"/>
  <c r="BE93" i="1"/>
  <c r="BA93" i="1"/>
  <c r="AZ93" i="1"/>
  <c r="BB93" i="1" s="1"/>
  <c r="AY93" i="1"/>
  <c r="AV93" i="1"/>
  <c r="AS93" i="1"/>
  <c r="AP93" i="1"/>
  <c r="AM93" i="1"/>
  <c r="W93" i="1"/>
  <c r="V93" i="1"/>
  <c r="X93" i="1" s="1"/>
  <c r="U93" i="1"/>
  <c r="R93" i="1"/>
  <c r="O93" i="1"/>
  <c r="L93" i="1"/>
  <c r="I93" i="1"/>
  <c r="AAB92" i="1"/>
  <c r="AAA92" i="1"/>
  <c r="AAC92" i="1" s="1"/>
  <c r="ZZ92" i="1"/>
  <c r="ZW92" i="1"/>
  <c r="ZG92" i="1"/>
  <c r="AAE92" i="1" s="1"/>
  <c r="ZF92" i="1"/>
  <c r="AAD92" i="1" s="1"/>
  <c r="ZE92" i="1"/>
  <c r="ZB92" i="1"/>
  <c r="YY92" i="1"/>
  <c r="YV92" i="1"/>
  <c r="YR92" i="1"/>
  <c r="YQ92" i="1"/>
  <c r="YS92" i="1" s="1"/>
  <c r="YP92" i="1"/>
  <c r="YM92" i="1"/>
  <c r="YJ92" i="1"/>
  <c r="YG92" i="1"/>
  <c r="YC92" i="1"/>
  <c r="YB92" i="1"/>
  <c r="YD92" i="1" s="1"/>
  <c r="YA92" i="1"/>
  <c r="XX92" i="1"/>
  <c r="XU92" i="1"/>
  <c r="XR92" i="1"/>
  <c r="VU92" i="1"/>
  <c r="VT92" i="1"/>
  <c r="VV92" i="1" s="1"/>
  <c r="VS92" i="1"/>
  <c r="VP92" i="1"/>
  <c r="VM92" i="1"/>
  <c r="VJ92" i="1"/>
  <c r="UQ92" i="1"/>
  <c r="UP92" i="1"/>
  <c r="UR92" i="1" s="1"/>
  <c r="UO92" i="1"/>
  <c r="UL92" i="1"/>
  <c r="UI92" i="1"/>
  <c r="UF92" i="1"/>
  <c r="UB92" i="1"/>
  <c r="UA92" i="1"/>
  <c r="UC92" i="1" s="1"/>
  <c r="TZ92" i="1"/>
  <c r="TW92" i="1"/>
  <c r="TT92" i="1"/>
  <c r="TQ92" i="1"/>
  <c r="TM92" i="1"/>
  <c r="TL92" i="1"/>
  <c r="TN92" i="1" s="1"/>
  <c r="TK92" i="1"/>
  <c r="TH92" i="1"/>
  <c r="TE92" i="1"/>
  <c r="TB92" i="1"/>
  <c r="SX92" i="1"/>
  <c r="SW92" i="1"/>
  <c r="SY92" i="1" s="1"/>
  <c r="SV92" i="1"/>
  <c r="SS92" i="1"/>
  <c r="SP92" i="1"/>
  <c r="SM92" i="1"/>
  <c r="SJ92" i="1"/>
  <c r="QP92" i="1"/>
  <c r="QO92" i="1"/>
  <c r="QQ92" i="1" s="1"/>
  <c r="QN92" i="1"/>
  <c r="QK92" i="1"/>
  <c r="QH92" i="1"/>
  <c r="QE92" i="1"/>
  <c r="QA92" i="1"/>
  <c r="PZ92" i="1"/>
  <c r="QB92" i="1" s="1"/>
  <c r="PY92" i="1"/>
  <c r="PV92" i="1"/>
  <c r="PS92" i="1"/>
  <c r="PP92" i="1"/>
  <c r="PL92" i="1"/>
  <c r="PK92" i="1"/>
  <c r="PM92" i="1" s="1"/>
  <c r="PJ92" i="1"/>
  <c r="PG92" i="1"/>
  <c r="PD92" i="1"/>
  <c r="PA92" i="1"/>
  <c r="OW92" i="1"/>
  <c r="OV92" i="1"/>
  <c r="OX92" i="1" s="1"/>
  <c r="OU92" i="1"/>
  <c r="OR92" i="1"/>
  <c r="OO92" i="1"/>
  <c r="OL92" i="1"/>
  <c r="OI92" i="1"/>
  <c r="OH92" i="1"/>
  <c r="OG92" i="1"/>
  <c r="OF92" i="1"/>
  <c r="OC92" i="1"/>
  <c r="NZ92" i="1"/>
  <c r="NW92" i="1"/>
  <c r="NS92" i="1"/>
  <c r="NR92" i="1"/>
  <c r="NT92" i="1" s="1"/>
  <c r="NQ92" i="1"/>
  <c r="NN92" i="1"/>
  <c r="NK92" i="1"/>
  <c r="NH92" i="1"/>
  <c r="ND92" i="1"/>
  <c r="NC92" i="1"/>
  <c r="NE92" i="1" s="1"/>
  <c r="NB92" i="1"/>
  <c r="MY92" i="1"/>
  <c r="MV92" i="1"/>
  <c r="MS92" i="1"/>
  <c r="MO92" i="1"/>
  <c r="MN92" i="1"/>
  <c r="MP92" i="1" s="1"/>
  <c r="MM92" i="1"/>
  <c r="MJ92" i="1"/>
  <c r="MG92" i="1"/>
  <c r="MD92" i="1"/>
  <c r="LZ92" i="1"/>
  <c r="LY92" i="1"/>
  <c r="MA92" i="1" s="1"/>
  <c r="LX92" i="1"/>
  <c r="LU92" i="1"/>
  <c r="LR92" i="1"/>
  <c r="LO92" i="1"/>
  <c r="KV92" i="1"/>
  <c r="KU92" i="1"/>
  <c r="KW92" i="1" s="1"/>
  <c r="KT92" i="1"/>
  <c r="KQ92" i="1"/>
  <c r="KN92" i="1"/>
  <c r="KK92" i="1"/>
  <c r="KH92" i="1"/>
  <c r="JC92" i="1"/>
  <c r="JB92" i="1"/>
  <c r="JD92" i="1" s="1"/>
  <c r="JA92" i="1"/>
  <c r="IX92" i="1"/>
  <c r="IU92" i="1"/>
  <c r="IR92" i="1"/>
  <c r="IN92" i="1"/>
  <c r="IM92" i="1"/>
  <c r="IO92" i="1" s="1"/>
  <c r="IL92" i="1"/>
  <c r="II92" i="1"/>
  <c r="IF92" i="1"/>
  <c r="IC92" i="1"/>
  <c r="HY92" i="1"/>
  <c r="HX92" i="1"/>
  <c r="HZ92" i="1" s="1"/>
  <c r="HW92" i="1"/>
  <c r="HT92" i="1"/>
  <c r="HQ92" i="1"/>
  <c r="HN92" i="1"/>
  <c r="HJ92" i="1"/>
  <c r="HI92" i="1"/>
  <c r="HK92" i="1" s="1"/>
  <c r="HH92" i="1"/>
  <c r="HE92" i="1"/>
  <c r="HB92" i="1"/>
  <c r="GY92" i="1"/>
  <c r="GV92" i="1"/>
  <c r="GU92" i="1"/>
  <c r="GT92" i="1"/>
  <c r="GS92" i="1"/>
  <c r="GP92" i="1"/>
  <c r="GM92" i="1"/>
  <c r="GJ92" i="1"/>
  <c r="GF92" i="1"/>
  <c r="GE92" i="1"/>
  <c r="GG92" i="1" s="1"/>
  <c r="GD92" i="1"/>
  <c r="GA92" i="1"/>
  <c r="FX92" i="1"/>
  <c r="FU92" i="1"/>
  <c r="FQ92" i="1"/>
  <c r="FP92" i="1"/>
  <c r="FR92" i="1" s="1"/>
  <c r="FO92" i="1"/>
  <c r="FL92" i="1"/>
  <c r="FI92" i="1"/>
  <c r="FF92" i="1"/>
  <c r="FB92" i="1"/>
  <c r="FA92" i="1"/>
  <c r="FC92" i="1" s="1"/>
  <c r="EZ92" i="1"/>
  <c r="EW92" i="1"/>
  <c r="ET92" i="1"/>
  <c r="EQ92" i="1"/>
  <c r="EM92" i="1"/>
  <c r="EL92" i="1"/>
  <c r="EN92" i="1" s="1"/>
  <c r="EK92" i="1"/>
  <c r="EH92" i="1"/>
  <c r="EE92" i="1"/>
  <c r="EB92" i="1"/>
  <c r="DX92" i="1"/>
  <c r="DW92" i="1"/>
  <c r="DY92" i="1" s="1"/>
  <c r="DV92" i="1"/>
  <c r="DS92" i="1"/>
  <c r="DP92" i="1"/>
  <c r="DM92" i="1"/>
  <c r="DI92" i="1"/>
  <c r="DH92" i="1"/>
  <c r="DJ92" i="1" s="1"/>
  <c r="DG92" i="1"/>
  <c r="DD92" i="1"/>
  <c r="DA92" i="1"/>
  <c r="CX92" i="1"/>
  <c r="CT92" i="1"/>
  <c r="CS92" i="1"/>
  <c r="CU92" i="1" s="1"/>
  <c r="CR92" i="1"/>
  <c r="CO92" i="1"/>
  <c r="CL92" i="1"/>
  <c r="CI92" i="1"/>
  <c r="CF92" i="1"/>
  <c r="BP92" i="1"/>
  <c r="BO92" i="1"/>
  <c r="BQ92" i="1" s="1"/>
  <c r="BN92" i="1"/>
  <c r="BK92" i="1"/>
  <c r="BH92" i="1"/>
  <c r="BE92" i="1"/>
  <c r="BA92" i="1"/>
  <c r="AZ92" i="1"/>
  <c r="BB92" i="1" s="1"/>
  <c r="AY92" i="1"/>
  <c r="AV92" i="1"/>
  <c r="AS92" i="1"/>
  <c r="AP92" i="1"/>
  <c r="AM92" i="1"/>
  <c r="W92" i="1"/>
  <c r="V92" i="1"/>
  <c r="X92" i="1" s="1"/>
  <c r="U92" i="1"/>
  <c r="R92" i="1"/>
  <c r="O92" i="1"/>
  <c r="L92" i="1"/>
  <c r="I92" i="1"/>
  <c r="AAB91" i="1"/>
  <c r="AAA91" i="1"/>
  <c r="AAC91" i="1" s="1"/>
  <c r="ZZ91" i="1"/>
  <c r="ZW91" i="1"/>
  <c r="ZG91" i="1"/>
  <c r="AAE91" i="1" s="1"/>
  <c r="ZF91" i="1"/>
  <c r="AAD91" i="1" s="1"/>
  <c r="ZE91" i="1"/>
  <c r="ZB91" i="1"/>
  <c r="YY91" i="1"/>
  <c r="YV91" i="1"/>
  <c r="YR91" i="1"/>
  <c r="YQ91" i="1"/>
  <c r="YS91" i="1" s="1"/>
  <c r="YP91" i="1"/>
  <c r="YM91" i="1"/>
  <c r="YJ91" i="1"/>
  <c r="YG91" i="1"/>
  <c r="YC91" i="1"/>
  <c r="YB91" i="1"/>
  <c r="YD91" i="1" s="1"/>
  <c r="YA91" i="1"/>
  <c r="XX91" i="1"/>
  <c r="XU91" i="1"/>
  <c r="XR91" i="1"/>
  <c r="VU91" i="1"/>
  <c r="VT91" i="1"/>
  <c r="VV91" i="1" s="1"/>
  <c r="VS91" i="1"/>
  <c r="VP91" i="1"/>
  <c r="VM91" i="1"/>
  <c r="VJ91" i="1"/>
  <c r="UR91" i="1"/>
  <c r="UQ91" i="1"/>
  <c r="UP91" i="1"/>
  <c r="UO91" i="1"/>
  <c r="UL91" i="1"/>
  <c r="UI91" i="1"/>
  <c r="UF91" i="1"/>
  <c r="UB91" i="1"/>
  <c r="UA91" i="1"/>
  <c r="UC91" i="1" s="1"/>
  <c r="TZ91" i="1"/>
  <c r="TW91" i="1"/>
  <c r="TT91" i="1"/>
  <c r="TQ91" i="1"/>
  <c r="TM91" i="1"/>
  <c r="TL91" i="1"/>
  <c r="TN91" i="1" s="1"/>
  <c r="TK91" i="1"/>
  <c r="TH91" i="1"/>
  <c r="TE91" i="1"/>
  <c r="TB91" i="1"/>
  <c r="SX91" i="1"/>
  <c r="SW91" i="1"/>
  <c r="SY91" i="1" s="1"/>
  <c r="SV91" i="1"/>
  <c r="SS91" i="1"/>
  <c r="SP91" i="1"/>
  <c r="SM91" i="1"/>
  <c r="SJ91" i="1"/>
  <c r="QP91" i="1"/>
  <c r="QO91" i="1"/>
  <c r="QQ91" i="1" s="1"/>
  <c r="QN91" i="1"/>
  <c r="QK91" i="1"/>
  <c r="QH91" i="1"/>
  <c r="QE91" i="1"/>
  <c r="QA91" i="1"/>
  <c r="PZ91" i="1"/>
  <c r="QB91" i="1" s="1"/>
  <c r="PY91" i="1"/>
  <c r="PV91" i="1"/>
  <c r="PS91" i="1"/>
  <c r="PP91" i="1"/>
  <c r="PL91" i="1"/>
  <c r="PK91" i="1"/>
  <c r="PM91" i="1" s="1"/>
  <c r="PJ91" i="1"/>
  <c r="PG91" i="1"/>
  <c r="PD91" i="1"/>
  <c r="PA91" i="1"/>
  <c r="OW91" i="1"/>
  <c r="OV91" i="1"/>
  <c r="OX91" i="1" s="1"/>
  <c r="OU91" i="1"/>
  <c r="OR91" i="1"/>
  <c r="OO91" i="1"/>
  <c r="OL91" i="1"/>
  <c r="OH91" i="1"/>
  <c r="OG91" i="1"/>
  <c r="OI91" i="1" s="1"/>
  <c r="OF91" i="1"/>
  <c r="OC91" i="1"/>
  <c r="NZ91" i="1"/>
  <c r="NW91" i="1"/>
  <c r="NS91" i="1"/>
  <c r="NR91" i="1"/>
  <c r="NT91" i="1" s="1"/>
  <c r="NQ91" i="1"/>
  <c r="NN91" i="1"/>
  <c r="NK91" i="1"/>
  <c r="NH91" i="1"/>
  <c r="ND91" i="1"/>
  <c r="NC91" i="1"/>
  <c r="NE91" i="1" s="1"/>
  <c r="NB91" i="1"/>
  <c r="MY91" i="1"/>
  <c r="MV91" i="1"/>
  <c r="MS91" i="1"/>
  <c r="MO91" i="1"/>
  <c r="MN91" i="1"/>
  <c r="MP91" i="1" s="1"/>
  <c r="MM91" i="1"/>
  <c r="MJ91" i="1"/>
  <c r="MG91" i="1"/>
  <c r="MD91" i="1"/>
  <c r="LZ91" i="1"/>
  <c r="LY91" i="1"/>
  <c r="MA91" i="1" s="1"/>
  <c r="LX91" i="1"/>
  <c r="LU91" i="1"/>
  <c r="LR91" i="1"/>
  <c r="LO91" i="1"/>
  <c r="KV91" i="1"/>
  <c r="KU91" i="1"/>
  <c r="KW91" i="1" s="1"/>
  <c r="KT91" i="1"/>
  <c r="KQ91" i="1"/>
  <c r="KN91" i="1"/>
  <c r="KK91" i="1"/>
  <c r="KH91" i="1"/>
  <c r="JC91" i="1"/>
  <c r="JB91" i="1"/>
  <c r="JD91" i="1" s="1"/>
  <c r="JA91" i="1"/>
  <c r="IX91" i="1"/>
  <c r="IU91" i="1"/>
  <c r="IR91" i="1"/>
  <c r="IN91" i="1"/>
  <c r="IM91" i="1"/>
  <c r="IO91" i="1" s="1"/>
  <c r="IL91" i="1"/>
  <c r="II91" i="1"/>
  <c r="IF91" i="1"/>
  <c r="IC91" i="1"/>
  <c r="HY91" i="1"/>
  <c r="HX91" i="1"/>
  <c r="HZ91" i="1" s="1"/>
  <c r="HW91" i="1"/>
  <c r="HT91" i="1"/>
  <c r="HQ91" i="1"/>
  <c r="HN91" i="1"/>
  <c r="HJ91" i="1"/>
  <c r="HI91" i="1"/>
  <c r="HK91" i="1" s="1"/>
  <c r="HH91" i="1"/>
  <c r="HE91" i="1"/>
  <c r="HB91" i="1"/>
  <c r="GY91" i="1"/>
  <c r="GU91" i="1"/>
  <c r="GT91" i="1"/>
  <c r="GV91" i="1" s="1"/>
  <c r="GS91" i="1"/>
  <c r="GP91" i="1"/>
  <c r="GM91" i="1"/>
  <c r="GJ91" i="1"/>
  <c r="GF91" i="1"/>
  <c r="GE91" i="1"/>
  <c r="GG91" i="1" s="1"/>
  <c r="GD91" i="1"/>
  <c r="GA91" i="1"/>
  <c r="FX91" i="1"/>
  <c r="FU91" i="1"/>
  <c r="FQ91" i="1"/>
  <c r="FP91" i="1"/>
  <c r="FR91" i="1" s="1"/>
  <c r="FO91" i="1"/>
  <c r="FL91" i="1"/>
  <c r="FI91" i="1"/>
  <c r="FF91" i="1"/>
  <c r="FB91" i="1"/>
  <c r="FA91" i="1"/>
  <c r="FC91" i="1" s="1"/>
  <c r="EZ91" i="1"/>
  <c r="EW91" i="1"/>
  <c r="ET91" i="1"/>
  <c r="EQ91" i="1"/>
  <c r="EM91" i="1"/>
  <c r="EL91" i="1"/>
  <c r="EN91" i="1" s="1"/>
  <c r="EK91" i="1"/>
  <c r="EH91" i="1"/>
  <c r="EE91" i="1"/>
  <c r="EB91" i="1"/>
  <c r="DX91" i="1"/>
  <c r="DW91" i="1"/>
  <c r="DY91" i="1" s="1"/>
  <c r="DV91" i="1"/>
  <c r="DS91" i="1"/>
  <c r="DP91" i="1"/>
  <c r="DM91" i="1"/>
  <c r="DI91" i="1"/>
  <c r="DH91" i="1"/>
  <c r="DJ91" i="1" s="1"/>
  <c r="DG91" i="1"/>
  <c r="DD91" i="1"/>
  <c r="DA91" i="1"/>
  <c r="CX91" i="1"/>
  <c r="CT91" i="1"/>
  <c r="CS91" i="1"/>
  <c r="CU91" i="1" s="1"/>
  <c r="CR91" i="1"/>
  <c r="CO91" i="1"/>
  <c r="CL91" i="1"/>
  <c r="CI91" i="1"/>
  <c r="CF91" i="1"/>
  <c r="BP91" i="1"/>
  <c r="BO91" i="1"/>
  <c r="BQ91" i="1" s="1"/>
  <c r="BN91" i="1"/>
  <c r="BK91" i="1"/>
  <c r="BH91" i="1"/>
  <c r="BE91" i="1"/>
  <c r="BA91" i="1"/>
  <c r="AZ91" i="1"/>
  <c r="BB91" i="1" s="1"/>
  <c r="AY91" i="1"/>
  <c r="AV91" i="1"/>
  <c r="AS91" i="1"/>
  <c r="AP91" i="1"/>
  <c r="AM91" i="1"/>
  <c r="W91" i="1"/>
  <c r="V91" i="1"/>
  <c r="X91" i="1" s="1"/>
  <c r="U91" i="1"/>
  <c r="R91" i="1"/>
  <c r="O91" i="1"/>
  <c r="L91" i="1"/>
  <c r="I91" i="1"/>
  <c r="AAB90" i="1"/>
  <c r="AAA90" i="1"/>
  <c r="AAC90" i="1" s="1"/>
  <c r="ZZ90" i="1"/>
  <c r="ZW90" i="1"/>
  <c r="ZG90" i="1"/>
  <c r="AAE90" i="1" s="1"/>
  <c r="ZF90" i="1"/>
  <c r="ZE90" i="1"/>
  <c r="ZB90" i="1"/>
  <c r="YY90" i="1"/>
  <c r="YV90" i="1"/>
  <c r="YR90" i="1"/>
  <c r="YQ90" i="1"/>
  <c r="YS90" i="1" s="1"/>
  <c r="YP90" i="1"/>
  <c r="YM90" i="1"/>
  <c r="YJ90" i="1"/>
  <c r="YG90" i="1"/>
  <c r="YC90" i="1"/>
  <c r="YB90" i="1"/>
  <c r="YD90" i="1" s="1"/>
  <c r="YA90" i="1"/>
  <c r="XX90" i="1"/>
  <c r="XU90" i="1"/>
  <c r="XR90" i="1"/>
  <c r="VU90" i="1"/>
  <c r="VT90" i="1"/>
  <c r="VV90" i="1" s="1"/>
  <c r="VS90" i="1"/>
  <c r="VP90" i="1"/>
  <c r="VM90" i="1"/>
  <c r="VJ90" i="1"/>
  <c r="UQ90" i="1"/>
  <c r="UP90" i="1"/>
  <c r="UR90" i="1" s="1"/>
  <c r="UO90" i="1"/>
  <c r="UL90" i="1"/>
  <c r="UI90" i="1"/>
  <c r="UF90" i="1"/>
  <c r="UB90" i="1"/>
  <c r="UA90" i="1"/>
  <c r="UC90" i="1" s="1"/>
  <c r="TZ90" i="1"/>
  <c r="TW90" i="1"/>
  <c r="TT90" i="1"/>
  <c r="TQ90" i="1"/>
  <c r="TM90" i="1"/>
  <c r="TL90" i="1"/>
  <c r="TN90" i="1" s="1"/>
  <c r="TK90" i="1"/>
  <c r="TH90" i="1"/>
  <c r="TE90" i="1"/>
  <c r="TB90" i="1"/>
  <c r="SX90" i="1"/>
  <c r="SW90" i="1"/>
  <c r="SY90" i="1" s="1"/>
  <c r="SV90" i="1"/>
  <c r="SS90" i="1"/>
  <c r="SP90" i="1"/>
  <c r="SM90" i="1"/>
  <c r="SJ90" i="1"/>
  <c r="QP90" i="1"/>
  <c r="QO90" i="1"/>
  <c r="QQ90" i="1" s="1"/>
  <c r="QN90" i="1"/>
  <c r="QK90" i="1"/>
  <c r="QH90" i="1"/>
  <c r="QE90" i="1"/>
  <c r="QA90" i="1"/>
  <c r="PZ90" i="1"/>
  <c r="QB90" i="1" s="1"/>
  <c r="PY90" i="1"/>
  <c r="PV90" i="1"/>
  <c r="PS90" i="1"/>
  <c r="PP90" i="1"/>
  <c r="PL90" i="1"/>
  <c r="PK90" i="1"/>
  <c r="PM90" i="1" s="1"/>
  <c r="PJ90" i="1"/>
  <c r="PG90" i="1"/>
  <c r="PD90" i="1"/>
  <c r="PA90" i="1"/>
  <c r="OW90" i="1"/>
  <c r="OV90" i="1"/>
  <c r="OX90" i="1" s="1"/>
  <c r="OU90" i="1"/>
  <c r="OR90" i="1"/>
  <c r="OO90" i="1"/>
  <c r="OL90" i="1"/>
  <c r="OH90" i="1"/>
  <c r="OG90" i="1"/>
  <c r="OI90" i="1" s="1"/>
  <c r="OF90" i="1"/>
  <c r="OC90" i="1"/>
  <c r="NZ90" i="1"/>
  <c r="NW90" i="1"/>
  <c r="NS90" i="1"/>
  <c r="NR90" i="1"/>
  <c r="NT90" i="1" s="1"/>
  <c r="NQ90" i="1"/>
  <c r="NN90" i="1"/>
  <c r="NK90" i="1"/>
  <c r="NH90" i="1"/>
  <c r="ND90" i="1"/>
  <c r="NC90" i="1"/>
  <c r="NE90" i="1" s="1"/>
  <c r="NB90" i="1"/>
  <c r="MY90" i="1"/>
  <c r="MV90" i="1"/>
  <c r="MS90" i="1"/>
  <c r="MO90" i="1"/>
  <c r="MN90" i="1"/>
  <c r="MP90" i="1" s="1"/>
  <c r="MM90" i="1"/>
  <c r="MJ90" i="1"/>
  <c r="MG90" i="1"/>
  <c r="MD90" i="1"/>
  <c r="LZ90" i="1"/>
  <c r="LY90" i="1"/>
  <c r="MA90" i="1" s="1"/>
  <c r="LX90" i="1"/>
  <c r="LU90" i="1"/>
  <c r="LR90" i="1"/>
  <c r="LO90" i="1"/>
  <c r="KV90" i="1"/>
  <c r="KU90" i="1"/>
  <c r="KW90" i="1" s="1"/>
  <c r="KT90" i="1"/>
  <c r="KQ90" i="1"/>
  <c r="KN90" i="1"/>
  <c r="KK90" i="1"/>
  <c r="KH90" i="1"/>
  <c r="JC90" i="1"/>
  <c r="JB90" i="1"/>
  <c r="JD90" i="1" s="1"/>
  <c r="JA90" i="1"/>
  <c r="IX90" i="1"/>
  <c r="IU90" i="1"/>
  <c r="IR90" i="1"/>
  <c r="IN90" i="1"/>
  <c r="IL90" i="1"/>
  <c r="II90" i="1"/>
  <c r="IF90" i="1"/>
  <c r="IC90" i="1"/>
  <c r="IA90" i="1"/>
  <c r="HY90" i="1"/>
  <c r="HX90" i="1"/>
  <c r="HZ90" i="1" s="1"/>
  <c r="HW90" i="1"/>
  <c r="HT90" i="1"/>
  <c r="HQ90" i="1"/>
  <c r="HN90" i="1"/>
  <c r="HJ90" i="1"/>
  <c r="HI90" i="1"/>
  <c r="HK90" i="1" s="1"/>
  <c r="HH90" i="1"/>
  <c r="HE90" i="1"/>
  <c r="HB90" i="1"/>
  <c r="GY90" i="1"/>
  <c r="GU90" i="1"/>
  <c r="GT90" i="1"/>
  <c r="GV90" i="1" s="1"/>
  <c r="GS90" i="1"/>
  <c r="GP90" i="1"/>
  <c r="GM90" i="1"/>
  <c r="GJ90" i="1"/>
  <c r="GF90" i="1"/>
  <c r="GE90" i="1"/>
  <c r="GG90" i="1" s="1"/>
  <c r="GD90" i="1"/>
  <c r="GA90" i="1"/>
  <c r="FX90" i="1"/>
  <c r="FU90" i="1"/>
  <c r="FQ90" i="1"/>
  <c r="FP90" i="1"/>
  <c r="FR90" i="1" s="1"/>
  <c r="FO90" i="1"/>
  <c r="FL90" i="1"/>
  <c r="FI90" i="1"/>
  <c r="FF90" i="1"/>
  <c r="FB90" i="1"/>
  <c r="FA90" i="1"/>
  <c r="FC90" i="1" s="1"/>
  <c r="EZ90" i="1"/>
  <c r="EW90" i="1"/>
  <c r="ET90" i="1"/>
  <c r="EQ90" i="1"/>
  <c r="EM90" i="1"/>
  <c r="EL90" i="1"/>
  <c r="EN90" i="1" s="1"/>
  <c r="EK90" i="1"/>
  <c r="EH90" i="1"/>
  <c r="EE90" i="1"/>
  <c r="EB90" i="1"/>
  <c r="DX90" i="1"/>
  <c r="DW90" i="1"/>
  <c r="DY90" i="1" s="1"/>
  <c r="DV90" i="1"/>
  <c r="DS90" i="1"/>
  <c r="DP90" i="1"/>
  <c r="DM90" i="1"/>
  <c r="DI90" i="1"/>
  <c r="DH90" i="1"/>
  <c r="DJ90" i="1" s="1"/>
  <c r="DG90" i="1"/>
  <c r="DD90" i="1"/>
  <c r="DA90" i="1"/>
  <c r="CX90" i="1"/>
  <c r="CT90" i="1"/>
  <c r="CR90" i="1"/>
  <c r="CM90" i="1"/>
  <c r="CL90" i="1"/>
  <c r="CI90" i="1"/>
  <c r="CF90" i="1"/>
  <c r="BP90" i="1"/>
  <c r="BO90" i="1"/>
  <c r="BQ90" i="1" s="1"/>
  <c r="BN90" i="1"/>
  <c r="BK90" i="1"/>
  <c r="BH90" i="1"/>
  <c r="BE90" i="1"/>
  <c r="BA90" i="1"/>
  <c r="AZ90" i="1"/>
  <c r="BB90" i="1" s="1"/>
  <c r="AY90" i="1"/>
  <c r="AV90" i="1"/>
  <c r="AS90" i="1"/>
  <c r="AP90" i="1"/>
  <c r="AM90" i="1"/>
  <c r="W90" i="1"/>
  <c r="U90" i="1"/>
  <c r="R90" i="1"/>
  <c r="O90" i="1"/>
  <c r="L90" i="1"/>
  <c r="G90" i="1"/>
  <c r="AAB89" i="1"/>
  <c r="AAA89" i="1"/>
  <c r="AAC89" i="1" s="1"/>
  <c r="ZZ89" i="1"/>
  <c r="ZW89" i="1"/>
  <c r="ZG89" i="1"/>
  <c r="AAE89" i="1" s="1"/>
  <c r="ZF89" i="1"/>
  <c r="ZE89" i="1"/>
  <c r="ZB89" i="1"/>
  <c r="YY89" i="1"/>
  <c r="YV89" i="1"/>
  <c r="YR89" i="1"/>
  <c r="YQ89" i="1"/>
  <c r="YS89" i="1" s="1"/>
  <c r="YP89" i="1"/>
  <c r="YM89" i="1"/>
  <c r="YJ89" i="1"/>
  <c r="YG89" i="1"/>
  <c r="YC89" i="1"/>
  <c r="YB89" i="1"/>
  <c r="YD89" i="1" s="1"/>
  <c r="YA89" i="1"/>
  <c r="XX89" i="1"/>
  <c r="XU89" i="1"/>
  <c r="XR89" i="1"/>
  <c r="VU89" i="1"/>
  <c r="VT89" i="1"/>
  <c r="VV89" i="1" s="1"/>
  <c r="VS89" i="1"/>
  <c r="VP89" i="1"/>
  <c r="VM89" i="1"/>
  <c r="VJ89" i="1"/>
  <c r="UQ89" i="1"/>
  <c r="UP89" i="1"/>
  <c r="UR89" i="1" s="1"/>
  <c r="UO89" i="1"/>
  <c r="UL89" i="1"/>
  <c r="UI89" i="1"/>
  <c r="UF89" i="1"/>
  <c r="UB89" i="1"/>
  <c r="UA89" i="1"/>
  <c r="UC89" i="1" s="1"/>
  <c r="TZ89" i="1"/>
  <c r="TW89" i="1"/>
  <c r="TT89" i="1"/>
  <c r="TQ89" i="1"/>
  <c r="TM89" i="1"/>
  <c r="TL89" i="1"/>
  <c r="TN89" i="1" s="1"/>
  <c r="TK89" i="1"/>
  <c r="TH89" i="1"/>
  <c r="TE89" i="1"/>
  <c r="TB89" i="1"/>
  <c r="SX89" i="1"/>
  <c r="SW89" i="1"/>
  <c r="SY89" i="1" s="1"/>
  <c r="SV89" i="1"/>
  <c r="SS89" i="1"/>
  <c r="SP89" i="1"/>
  <c r="SM89" i="1"/>
  <c r="SJ89" i="1"/>
  <c r="QP89" i="1"/>
  <c r="QO89" i="1"/>
  <c r="QQ89" i="1" s="1"/>
  <c r="QN89" i="1"/>
  <c r="QK89" i="1"/>
  <c r="QH89" i="1"/>
  <c r="QE89" i="1"/>
  <c r="QA89" i="1"/>
  <c r="PZ89" i="1"/>
  <c r="QB89" i="1" s="1"/>
  <c r="PY89" i="1"/>
  <c r="PV89" i="1"/>
  <c r="PS89" i="1"/>
  <c r="PP89" i="1"/>
  <c r="PL89" i="1"/>
  <c r="PK89" i="1"/>
  <c r="PM89" i="1" s="1"/>
  <c r="PJ89" i="1"/>
  <c r="PG89" i="1"/>
  <c r="PD89" i="1"/>
  <c r="PA89" i="1"/>
  <c r="OW89" i="1"/>
  <c r="OV89" i="1"/>
  <c r="OX89" i="1" s="1"/>
  <c r="OU89" i="1"/>
  <c r="OR89" i="1"/>
  <c r="OO89" i="1"/>
  <c r="OL89" i="1"/>
  <c r="OH89" i="1"/>
  <c r="OF89" i="1"/>
  <c r="OC89" i="1"/>
  <c r="NZ89" i="1"/>
  <c r="NU89" i="1"/>
  <c r="NS89" i="1"/>
  <c r="NR89" i="1"/>
  <c r="NT89" i="1" s="1"/>
  <c r="NQ89" i="1"/>
  <c r="NN89" i="1"/>
  <c r="NK89" i="1"/>
  <c r="NH89" i="1"/>
  <c r="ND89" i="1"/>
  <c r="NC89" i="1"/>
  <c r="NE89" i="1" s="1"/>
  <c r="NB89" i="1"/>
  <c r="MY89" i="1"/>
  <c r="MV89" i="1"/>
  <c r="MS89" i="1"/>
  <c r="MO89" i="1"/>
  <c r="MM89" i="1"/>
  <c r="MJ89" i="1"/>
  <c r="MG89" i="1"/>
  <c r="MB89" i="1"/>
  <c r="LZ89" i="1"/>
  <c r="LY89" i="1"/>
  <c r="MA89" i="1" s="1"/>
  <c r="LX89" i="1"/>
  <c r="LU89" i="1"/>
  <c r="LR89" i="1"/>
  <c r="LO89" i="1"/>
  <c r="KV89" i="1"/>
  <c r="KU89" i="1"/>
  <c r="KW89" i="1" s="1"/>
  <c r="KT89" i="1"/>
  <c r="KQ89" i="1"/>
  <c r="KN89" i="1"/>
  <c r="KK89" i="1"/>
  <c r="KH89" i="1"/>
  <c r="JC89" i="1"/>
  <c r="JB89" i="1"/>
  <c r="JD89" i="1" s="1"/>
  <c r="JA89" i="1"/>
  <c r="IX89" i="1"/>
  <c r="IU89" i="1"/>
  <c r="IR89" i="1"/>
  <c r="IN89" i="1"/>
  <c r="IM89" i="1"/>
  <c r="IO89" i="1" s="1"/>
  <c r="IL89" i="1"/>
  <c r="II89" i="1"/>
  <c r="IF89" i="1"/>
  <c r="IC89" i="1"/>
  <c r="HY89" i="1"/>
  <c r="HX89" i="1"/>
  <c r="HZ89" i="1" s="1"/>
  <c r="HW89" i="1"/>
  <c r="HT89" i="1"/>
  <c r="HQ89" i="1"/>
  <c r="HN89" i="1"/>
  <c r="HJ89" i="1"/>
  <c r="HI89" i="1"/>
  <c r="HK89" i="1" s="1"/>
  <c r="HH89" i="1"/>
  <c r="HE89" i="1"/>
  <c r="HB89" i="1"/>
  <c r="GY89" i="1"/>
  <c r="GU89" i="1"/>
  <c r="GT89" i="1"/>
  <c r="GV89" i="1" s="1"/>
  <c r="GS89" i="1"/>
  <c r="GP89" i="1"/>
  <c r="GM89" i="1"/>
  <c r="GJ89" i="1"/>
  <c r="GF89" i="1"/>
  <c r="GE89" i="1"/>
  <c r="GG89" i="1" s="1"/>
  <c r="GD89" i="1"/>
  <c r="GA89" i="1"/>
  <c r="FX89" i="1"/>
  <c r="FU89" i="1"/>
  <c r="FR89" i="1"/>
  <c r="FQ89" i="1"/>
  <c r="FP89" i="1"/>
  <c r="FO89" i="1"/>
  <c r="FL89" i="1"/>
  <c r="FI89" i="1"/>
  <c r="FF89" i="1"/>
  <c r="FB89" i="1"/>
  <c r="FA89" i="1"/>
  <c r="FC89" i="1" s="1"/>
  <c r="EZ89" i="1"/>
  <c r="EW89" i="1"/>
  <c r="ET89" i="1"/>
  <c r="EQ89" i="1"/>
  <c r="EM89" i="1"/>
  <c r="EL89" i="1"/>
  <c r="EN89" i="1" s="1"/>
  <c r="EK89" i="1"/>
  <c r="EH89" i="1"/>
  <c r="EE89" i="1"/>
  <c r="EB89" i="1"/>
  <c r="DX89" i="1"/>
  <c r="DW89" i="1"/>
  <c r="DY89" i="1" s="1"/>
  <c r="DV89" i="1"/>
  <c r="DS89" i="1"/>
  <c r="DP89" i="1"/>
  <c r="DM89" i="1"/>
  <c r="DI89" i="1"/>
  <c r="DH89" i="1"/>
  <c r="DJ89" i="1" s="1"/>
  <c r="DG89" i="1"/>
  <c r="DD89" i="1"/>
  <c r="DA89" i="1"/>
  <c r="CX89" i="1"/>
  <c r="CT89" i="1"/>
  <c r="CS89" i="1"/>
  <c r="CU89" i="1" s="1"/>
  <c r="CR89" i="1"/>
  <c r="CO89" i="1"/>
  <c r="CL89" i="1"/>
  <c r="CI89" i="1"/>
  <c r="CF89" i="1"/>
  <c r="BP89" i="1"/>
  <c r="BO89" i="1"/>
  <c r="BQ89" i="1" s="1"/>
  <c r="BN89" i="1"/>
  <c r="BK89" i="1"/>
  <c r="BH89" i="1"/>
  <c r="BE89" i="1"/>
  <c r="BA89" i="1"/>
  <c r="AZ89" i="1"/>
  <c r="BB89" i="1" s="1"/>
  <c r="AY89" i="1"/>
  <c r="AV89" i="1"/>
  <c r="AS89" i="1"/>
  <c r="AP89" i="1"/>
  <c r="AM89" i="1"/>
  <c r="W89" i="1"/>
  <c r="U89" i="1"/>
  <c r="R89" i="1"/>
  <c r="O89" i="1"/>
  <c r="L89" i="1"/>
  <c r="G89" i="1"/>
  <c r="AAB88" i="1"/>
  <c r="AAA88" i="1"/>
  <c r="AAC88" i="1" s="1"/>
  <c r="ZZ88" i="1"/>
  <c r="ZW88" i="1"/>
  <c r="ZG88" i="1"/>
  <c r="AAE88" i="1" s="1"/>
  <c r="ZF88" i="1"/>
  <c r="ZE88" i="1"/>
  <c r="ZB88" i="1"/>
  <c r="YY88" i="1"/>
  <c r="YV88" i="1"/>
  <c r="YR88" i="1"/>
  <c r="YQ88" i="1"/>
  <c r="YS88" i="1" s="1"/>
  <c r="YP88" i="1"/>
  <c r="YM88" i="1"/>
  <c r="YJ88" i="1"/>
  <c r="YG88" i="1"/>
  <c r="YC88" i="1"/>
  <c r="YB88" i="1"/>
  <c r="YD88" i="1" s="1"/>
  <c r="YA88" i="1"/>
  <c r="XX88" i="1"/>
  <c r="XU88" i="1"/>
  <c r="XR88" i="1"/>
  <c r="VU88" i="1"/>
  <c r="VT88" i="1"/>
  <c r="VV88" i="1" s="1"/>
  <c r="VS88" i="1"/>
  <c r="VP88" i="1"/>
  <c r="VM88" i="1"/>
  <c r="VJ88" i="1"/>
  <c r="UQ88" i="1"/>
  <c r="UP88" i="1"/>
  <c r="UR88" i="1" s="1"/>
  <c r="UO88" i="1"/>
  <c r="UL88" i="1"/>
  <c r="UI88" i="1"/>
  <c r="UF88" i="1"/>
  <c r="UB88" i="1"/>
  <c r="UA88" i="1"/>
  <c r="UC88" i="1" s="1"/>
  <c r="TZ88" i="1"/>
  <c r="TW88" i="1"/>
  <c r="TT88" i="1"/>
  <c r="TQ88" i="1"/>
  <c r="TM88" i="1"/>
  <c r="TL88" i="1"/>
  <c r="TN88" i="1" s="1"/>
  <c r="TK88" i="1"/>
  <c r="TH88" i="1"/>
  <c r="TE88" i="1"/>
  <c r="TB88" i="1"/>
  <c r="SX88" i="1"/>
  <c r="SW88" i="1"/>
  <c r="SY88" i="1" s="1"/>
  <c r="SV88" i="1"/>
  <c r="SS88" i="1"/>
  <c r="SP88" i="1"/>
  <c r="SM88" i="1"/>
  <c r="SJ88" i="1"/>
  <c r="QP88" i="1"/>
  <c r="QO88" i="1"/>
  <c r="QQ88" i="1" s="1"/>
  <c r="QN88" i="1"/>
  <c r="QK88" i="1"/>
  <c r="QH88" i="1"/>
  <c r="QE88" i="1"/>
  <c r="QA88" i="1"/>
  <c r="PZ88" i="1"/>
  <c r="QB88" i="1" s="1"/>
  <c r="PY88" i="1"/>
  <c r="PV88" i="1"/>
  <c r="PS88" i="1"/>
  <c r="PP88" i="1"/>
  <c r="PL88" i="1"/>
  <c r="PK88" i="1"/>
  <c r="PM88" i="1" s="1"/>
  <c r="PJ88" i="1"/>
  <c r="PG88" i="1"/>
  <c r="PD88" i="1"/>
  <c r="PA88" i="1"/>
  <c r="OW88" i="1"/>
  <c r="OV88" i="1"/>
  <c r="OX88" i="1" s="1"/>
  <c r="OU88" i="1"/>
  <c r="OR88" i="1"/>
  <c r="OO88" i="1"/>
  <c r="OL88" i="1"/>
  <c r="OH88" i="1"/>
  <c r="OF88" i="1"/>
  <c r="OC88" i="1"/>
  <c r="NZ88" i="1"/>
  <c r="NU88" i="1"/>
  <c r="NS88" i="1"/>
  <c r="NR88" i="1"/>
  <c r="NT88" i="1" s="1"/>
  <c r="NQ88" i="1"/>
  <c r="NN88" i="1"/>
  <c r="NK88" i="1"/>
  <c r="NH88" i="1"/>
  <c r="ND88" i="1"/>
  <c r="NC88" i="1"/>
  <c r="NE88" i="1" s="1"/>
  <c r="NB88" i="1"/>
  <c r="MY88" i="1"/>
  <c r="MV88" i="1"/>
  <c r="MS88" i="1"/>
  <c r="MO88" i="1"/>
  <c r="MM88" i="1"/>
  <c r="MJ88" i="1"/>
  <c r="MG88" i="1"/>
  <c r="MB88" i="1"/>
  <c r="LZ88" i="1"/>
  <c r="LY88" i="1"/>
  <c r="MA88" i="1" s="1"/>
  <c r="LX88" i="1"/>
  <c r="LU88" i="1"/>
  <c r="LR88" i="1"/>
  <c r="LO88" i="1"/>
  <c r="KV88" i="1"/>
  <c r="KU88" i="1"/>
  <c r="KW88" i="1" s="1"/>
  <c r="KT88" i="1"/>
  <c r="KQ88" i="1"/>
  <c r="KN88" i="1"/>
  <c r="KK88" i="1"/>
  <c r="KH88" i="1"/>
  <c r="JC88" i="1"/>
  <c r="JB88" i="1"/>
  <c r="JD88" i="1" s="1"/>
  <c r="JA88" i="1"/>
  <c r="IX88" i="1"/>
  <c r="IU88" i="1"/>
  <c r="IR88" i="1"/>
  <c r="IN88" i="1"/>
  <c r="IM88" i="1"/>
  <c r="IO88" i="1" s="1"/>
  <c r="IL88" i="1"/>
  <c r="II88" i="1"/>
  <c r="IF88" i="1"/>
  <c r="IC88" i="1"/>
  <c r="HY88" i="1"/>
  <c r="HX88" i="1"/>
  <c r="HZ88" i="1" s="1"/>
  <c r="HW88" i="1"/>
  <c r="HT88" i="1"/>
  <c r="HQ88" i="1"/>
  <c r="HN88" i="1"/>
  <c r="HJ88" i="1"/>
  <c r="HI88" i="1"/>
  <c r="HK88" i="1" s="1"/>
  <c r="HH88" i="1"/>
  <c r="HE88" i="1"/>
  <c r="HB88" i="1"/>
  <c r="GY88" i="1"/>
  <c r="GU88" i="1"/>
  <c r="GT88" i="1"/>
  <c r="GV88" i="1" s="1"/>
  <c r="GS88" i="1"/>
  <c r="GP88" i="1"/>
  <c r="GM88" i="1"/>
  <c r="GJ88" i="1"/>
  <c r="GF88" i="1"/>
  <c r="GE88" i="1"/>
  <c r="GG88" i="1" s="1"/>
  <c r="GD88" i="1"/>
  <c r="GA88" i="1"/>
  <c r="FX88" i="1"/>
  <c r="FU88" i="1"/>
  <c r="FQ88" i="1"/>
  <c r="FP88" i="1"/>
  <c r="FR88" i="1" s="1"/>
  <c r="FO88" i="1"/>
  <c r="FL88" i="1"/>
  <c r="FI88" i="1"/>
  <c r="FF88" i="1"/>
  <c r="FB88" i="1"/>
  <c r="FA88" i="1"/>
  <c r="FC88" i="1" s="1"/>
  <c r="EZ88" i="1"/>
  <c r="EW88" i="1"/>
  <c r="ET88" i="1"/>
  <c r="EQ88" i="1"/>
  <c r="EM88" i="1"/>
  <c r="EL88" i="1"/>
  <c r="EN88" i="1" s="1"/>
  <c r="EK88" i="1"/>
  <c r="EH88" i="1"/>
  <c r="EE88" i="1"/>
  <c r="EB88" i="1"/>
  <c r="DX88" i="1"/>
  <c r="DW88" i="1"/>
  <c r="DY88" i="1" s="1"/>
  <c r="DV88" i="1"/>
  <c r="DS88" i="1"/>
  <c r="DP88" i="1"/>
  <c r="DM88" i="1"/>
  <c r="DI88" i="1"/>
  <c r="DH88" i="1"/>
  <c r="DJ88" i="1" s="1"/>
  <c r="DG88" i="1"/>
  <c r="DD88" i="1"/>
  <c r="DA88" i="1"/>
  <c r="CX88" i="1"/>
  <c r="CT88" i="1"/>
  <c r="CS88" i="1"/>
  <c r="CU88" i="1" s="1"/>
  <c r="CR88" i="1"/>
  <c r="CO88" i="1"/>
  <c r="CL88" i="1"/>
  <c r="CI88" i="1"/>
  <c r="CF88" i="1"/>
  <c r="BP88" i="1"/>
  <c r="BO88" i="1"/>
  <c r="BQ88" i="1" s="1"/>
  <c r="BN88" i="1"/>
  <c r="BK88" i="1"/>
  <c r="BH88" i="1"/>
  <c r="BE88" i="1"/>
  <c r="BA88" i="1"/>
  <c r="AZ88" i="1"/>
  <c r="BB88" i="1" s="1"/>
  <c r="AY88" i="1"/>
  <c r="AV88" i="1"/>
  <c r="AS88" i="1"/>
  <c r="AP88" i="1"/>
  <c r="AM88" i="1"/>
  <c r="W88" i="1"/>
  <c r="V88" i="1"/>
  <c r="X88" i="1" s="1"/>
  <c r="U88" i="1"/>
  <c r="R88" i="1"/>
  <c r="O88" i="1"/>
  <c r="L88" i="1"/>
  <c r="I88" i="1"/>
  <c r="AAB87" i="1"/>
  <c r="AAA87" i="1"/>
  <c r="AAC87" i="1" s="1"/>
  <c r="ZZ87" i="1"/>
  <c r="ZW87" i="1"/>
  <c r="ZG87" i="1"/>
  <c r="AAE87" i="1" s="1"/>
  <c r="ZF87" i="1"/>
  <c r="AAD87" i="1" s="1"/>
  <c r="ZE87" i="1"/>
  <c r="ZB87" i="1"/>
  <c r="YY87" i="1"/>
  <c r="YV87" i="1"/>
  <c r="YR87" i="1"/>
  <c r="YQ87" i="1"/>
  <c r="YS87" i="1" s="1"/>
  <c r="YP87" i="1"/>
  <c r="YM87" i="1"/>
  <c r="YJ87" i="1"/>
  <c r="YG87" i="1"/>
  <c r="YC87" i="1"/>
  <c r="YB87" i="1"/>
  <c r="YD87" i="1" s="1"/>
  <c r="YA87" i="1"/>
  <c r="XX87" i="1"/>
  <c r="XU87" i="1"/>
  <c r="XR87" i="1"/>
  <c r="VU87" i="1"/>
  <c r="VT87" i="1"/>
  <c r="VV87" i="1" s="1"/>
  <c r="VS87" i="1"/>
  <c r="VP87" i="1"/>
  <c r="VM87" i="1"/>
  <c r="VJ87" i="1"/>
  <c r="UQ87" i="1"/>
  <c r="UP87" i="1"/>
  <c r="UR87" i="1" s="1"/>
  <c r="UO87" i="1"/>
  <c r="UL87" i="1"/>
  <c r="UI87" i="1"/>
  <c r="UF87" i="1"/>
  <c r="UB87" i="1"/>
  <c r="UA87" i="1"/>
  <c r="UC87" i="1" s="1"/>
  <c r="TZ87" i="1"/>
  <c r="TW87" i="1"/>
  <c r="TT87" i="1"/>
  <c r="TQ87" i="1"/>
  <c r="TM87" i="1"/>
  <c r="TL87" i="1"/>
  <c r="TN87" i="1" s="1"/>
  <c r="TK87" i="1"/>
  <c r="TH87" i="1"/>
  <c r="TE87" i="1"/>
  <c r="TB87" i="1"/>
  <c r="SX87" i="1"/>
  <c r="SW87" i="1"/>
  <c r="SY87" i="1" s="1"/>
  <c r="SV87" i="1"/>
  <c r="SS87" i="1"/>
  <c r="SP87" i="1"/>
  <c r="SM87" i="1"/>
  <c r="SJ87" i="1"/>
  <c r="QP87" i="1"/>
  <c r="QO87" i="1"/>
  <c r="QQ87" i="1" s="1"/>
  <c r="QN87" i="1"/>
  <c r="QK87" i="1"/>
  <c r="QH87" i="1"/>
  <c r="QE87" i="1"/>
  <c r="QA87" i="1"/>
  <c r="PZ87" i="1"/>
  <c r="QB87" i="1" s="1"/>
  <c r="PY87" i="1"/>
  <c r="PV87" i="1"/>
  <c r="PS87" i="1"/>
  <c r="PP87" i="1"/>
  <c r="PL87" i="1"/>
  <c r="PK87" i="1"/>
  <c r="PM87" i="1" s="1"/>
  <c r="PJ87" i="1"/>
  <c r="PG87" i="1"/>
  <c r="PD87" i="1"/>
  <c r="PA87" i="1"/>
  <c r="OW87" i="1"/>
  <c r="OV87" i="1"/>
  <c r="OX87" i="1" s="1"/>
  <c r="OU87" i="1"/>
  <c r="OR87" i="1"/>
  <c r="OO87" i="1"/>
  <c r="OL87" i="1"/>
  <c r="OH87" i="1"/>
  <c r="OG87" i="1"/>
  <c r="OI87" i="1" s="1"/>
  <c r="OF87" i="1"/>
  <c r="OC87" i="1"/>
  <c r="NZ87" i="1"/>
  <c r="NW87" i="1"/>
  <c r="NS87" i="1"/>
  <c r="NR87" i="1"/>
  <c r="NT87" i="1" s="1"/>
  <c r="NQ87" i="1"/>
  <c r="NN87" i="1"/>
  <c r="NK87" i="1"/>
  <c r="NH87" i="1"/>
  <c r="ND87" i="1"/>
  <c r="NC87" i="1"/>
  <c r="NE87" i="1" s="1"/>
  <c r="NB87" i="1"/>
  <c r="MY87" i="1"/>
  <c r="MV87" i="1"/>
  <c r="MS87" i="1"/>
  <c r="MO87" i="1"/>
  <c r="MN87" i="1"/>
  <c r="MP87" i="1" s="1"/>
  <c r="MM87" i="1"/>
  <c r="MJ87" i="1"/>
  <c r="MG87" i="1"/>
  <c r="MD87" i="1"/>
  <c r="LZ87" i="1"/>
  <c r="LY87" i="1"/>
  <c r="MA87" i="1" s="1"/>
  <c r="LX87" i="1"/>
  <c r="LU87" i="1"/>
  <c r="LR87" i="1"/>
  <c r="LO87" i="1"/>
  <c r="KV87" i="1"/>
  <c r="KU87" i="1"/>
  <c r="KW87" i="1" s="1"/>
  <c r="KT87" i="1"/>
  <c r="KQ87" i="1"/>
  <c r="KN87" i="1"/>
  <c r="KK87" i="1"/>
  <c r="KH87" i="1"/>
  <c r="JC87" i="1"/>
  <c r="JB87" i="1"/>
  <c r="JD87" i="1" s="1"/>
  <c r="JA87" i="1"/>
  <c r="IX87" i="1"/>
  <c r="IU87" i="1"/>
  <c r="IR87" i="1"/>
  <c r="IN87" i="1"/>
  <c r="IM87" i="1"/>
  <c r="IO87" i="1" s="1"/>
  <c r="IL87" i="1"/>
  <c r="II87" i="1"/>
  <c r="IF87" i="1"/>
  <c r="IC87" i="1"/>
  <c r="HY87" i="1"/>
  <c r="HX87" i="1"/>
  <c r="HZ87" i="1" s="1"/>
  <c r="HW87" i="1"/>
  <c r="HT87" i="1"/>
  <c r="HQ87" i="1"/>
  <c r="HN87" i="1"/>
  <c r="HJ87" i="1"/>
  <c r="HI87" i="1"/>
  <c r="HK87" i="1" s="1"/>
  <c r="HH87" i="1"/>
  <c r="HE87" i="1"/>
  <c r="HB87" i="1"/>
  <c r="GY87" i="1"/>
  <c r="GU87" i="1"/>
  <c r="GT87" i="1"/>
  <c r="GV87" i="1" s="1"/>
  <c r="GS87" i="1"/>
  <c r="GP87" i="1"/>
  <c r="GM87" i="1"/>
  <c r="GJ87" i="1"/>
  <c r="GF87" i="1"/>
  <c r="GE87" i="1"/>
  <c r="GG87" i="1" s="1"/>
  <c r="GD87" i="1"/>
  <c r="GA87" i="1"/>
  <c r="FX87" i="1"/>
  <c r="FU87" i="1"/>
  <c r="FQ87" i="1"/>
  <c r="FP87" i="1"/>
  <c r="FR87" i="1" s="1"/>
  <c r="FO87" i="1"/>
  <c r="FL87" i="1"/>
  <c r="FI87" i="1"/>
  <c r="FF87" i="1"/>
  <c r="FB87" i="1"/>
  <c r="FA87" i="1"/>
  <c r="FC87" i="1" s="1"/>
  <c r="EZ87" i="1"/>
  <c r="EW87" i="1"/>
  <c r="ET87" i="1"/>
  <c r="EQ87" i="1"/>
  <c r="EM87" i="1"/>
  <c r="EL87" i="1"/>
  <c r="EN87" i="1" s="1"/>
  <c r="EK87" i="1"/>
  <c r="EH87" i="1"/>
  <c r="EE87" i="1"/>
  <c r="EB87" i="1"/>
  <c r="DX87" i="1"/>
  <c r="DW87" i="1"/>
  <c r="DY87" i="1" s="1"/>
  <c r="DV87" i="1"/>
  <c r="DS87" i="1"/>
  <c r="DP87" i="1"/>
  <c r="DM87" i="1"/>
  <c r="DI87" i="1"/>
  <c r="DH87" i="1"/>
  <c r="DJ87" i="1" s="1"/>
  <c r="DG87" i="1"/>
  <c r="DD87" i="1"/>
  <c r="DA87" i="1"/>
  <c r="CX87" i="1"/>
  <c r="CT87" i="1"/>
  <c r="CS87" i="1"/>
  <c r="CU87" i="1" s="1"/>
  <c r="CR87" i="1"/>
  <c r="CO87" i="1"/>
  <c r="CL87" i="1"/>
  <c r="CI87" i="1"/>
  <c r="CF87" i="1"/>
  <c r="BP87" i="1"/>
  <c r="BO87" i="1"/>
  <c r="BQ87" i="1" s="1"/>
  <c r="BN87" i="1"/>
  <c r="BK87" i="1"/>
  <c r="BH87" i="1"/>
  <c r="BE87" i="1"/>
  <c r="BA87" i="1"/>
  <c r="AZ87" i="1"/>
  <c r="BB87" i="1" s="1"/>
  <c r="AY87" i="1"/>
  <c r="AV87" i="1"/>
  <c r="AS87" i="1"/>
  <c r="AP87" i="1"/>
  <c r="AM87" i="1"/>
  <c r="W87" i="1"/>
  <c r="V87" i="1"/>
  <c r="X87" i="1" s="1"/>
  <c r="U87" i="1"/>
  <c r="R87" i="1"/>
  <c r="O87" i="1"/>
  <c r="L87" i="1"/>
  <c r="I87" i="1"/>
  <c r="AAB86" i="1"/>
  <c r="AAA86" i="1"/>
  <c r="AAC86" i="1" s="1"/>
  <c r="ZZ86" i="1"/>
  <c r="ZW86" i="1"/>
  <c r="ZG86" i="1"/>
  <c r="AAE86" i="1" s="1"/>
  <c r="ZF86" i="1"/>
  <c r="AAD86" i="1" s="1"/>
  <c r="ZE86" i="1"/>
  <c r="ZB86" i="1"/>
  <c r="YY86" i="1"/>
  <c r="YV86" i="1"/>
  <c r="YR86" i="1"/>
  <c r="YQ86" i="1"/>
  <c r="YS86" i="1" s="1"/>
  <c r="YP86" i="1"/>
  <c r="YM86" i="1"/>
  <c r="YJ86" i="1"/>
  <c r="YG86" i="1"/>
  <c r="YC86" i="1"/>
  <c r="YB86" i="1"/>
  <c r="YD86" i="1" s="1"/>
  <c r="YA86" i="1"/>
  <c r="XX86" i="1"/>
  <c r="XU86" i="1"/>
  <c r="XR86" i="1"/>
  <c r="VU86" i="1"/>
  <c r="VT86" i="1"/>
  <c r="VV86" i="1" s="1"/>
  <c r="VS86" i="1"/>
  <c r="VP86" i="1"/>
  <c r="VM86" i="1"/>
  <c r="VJ86" i="1"/>
  <c r="UQ86" i="1"/>
  <c r="UP86" i="1"/>
  <c r="UR86" i="1" s="1"/>
  <c r="UO86" i="1"/>
  <c r="UL86" i="1"/>
  <c r="UI86" i="1"/>
  <c r="UF86" i="1"/>
  <c r="UB86" i="1"/>
  <c r="UA86" i="1"/>
  <c r="UC86" i="1" s="1"/>
  <c r="TZ86" i="1"/>
  <c r="TW86" i="1"/>
  <c r="TT86" i="1"/>
  <c r="TQ86" i="1"/>
  <c r="TM86" i="1"/>
  <c r="TL86" i="1"/>
  <c r="TN86" i="1" s="1"/>
  <c r="TK86" i="1"/>
  <c r="TH86" i="1"/>
  <c r="TE86" i="1"/>
  <c r="TB86" i="1"/>
  <c r="SX86" i="1"/>
  <c r="SW86" i="1"/>
  <c r="SY86" i="1" s="1"/>
  <c r="SV86" i="1"/>
  <c r="SS86" i="1"/>
  <c r="SP86" i="1"/>
  <c r="SM86" i="1"/>
  <c r="SJ86" i="1"/>
  <c r="QP86" i="1"/>
  <c r="QO86" i="1"/>
  <c r="QQ86" i="1" s="1"/>
  <c r="QN86" i="1"/>
  <c r="QK86" i="1"/>
  <c r="QH86" i="1"/>
  <c r="QE86" i="1"/>
  <c r="QA86" i="1"/>
  <c r="PZ86" i="1"/>
  <c r="QB86" i="1" s="1"/>
  <c r="PY86" i="1"/>
  <c r="PV86" i="1"/>
  <c r="PS86" i="1"/>
  <c r="PP86" i="1"/>
  <c r="PL86" i="1"/>
  <c r="PK86" i="1"/>
  <c r="PM86" i="1" s="1"/>
  <c r="PJ86" i="1"/>
  <c r="PG86" i="1"/>
  <c r="PD86" i="1"/>
  <c r="PA86" i="1"/>
  <c r="OW86" i="1"/>
  <c r="OV86" i="1"/>
  <c r="OX86" i="1" s="1"/>
  <c r="OU86" i="1"/>
  <c r="OR86" i="1"/>
  <c r="OO86" i="1"/>
  <c r="OL86" i="1"/>
  <c r="OH86" i="1"/>
  <c r="OG86" i="1"/>
  <c r="OI86" i="1" s="1"/>
  <c r="OF86" i="1"/>
  <c r="OC86" i="1"/>
  <c r="NZ86" i="1"/>
  <c r="NW86" i="1"/>
  <c r="NT86" i="1"/>
  <c r="NS86" i="1"/>
  <c r="NR86" i="1"/>
  <c r="NQ86" i="1"/>
  <c r="NN86" i="1"/>
  <c r="NK86" i="1"/>
  <c r="NH86" i="1"/>
  <c r="ND86" i="1"/>
  <c r="NC86" i="1"/>
  <c r="NE86" i="1" s="1"/>
  <c r="NB86" i="1"/>
  <c r="MY86" i="1"/>
  <c r="MV86" i="1"/>
  <c r="MS86" i="1"/>
  <c r="MO86" i="1"/>
  <c r="MN86" i="1"/>
  <c r="MP86" i="1" s="1"/>
  <c r="MM86" i="1"/>
  <c r="MJ86" i="1"/>
  <c r="MG86" i="1"/>
  <c r="MD86" i="1"/>
  <c r="LZ86" i="1"/>
  <c r="LY86" i="1"/>
  <c r="MA86" i="1" s="1"/>
  <c r="LX86" i="1"/>
  <c r="LU86" i="1"/>
  <c r="LR86" i="1"/>
  <c r="LO86" i="1"/>
  <c r="KV86" i="1"/>
  <c r="KU86" i="1"/>
  <c r="KW86" i="1" s="1"/>
  <c r="KT86" i="1"/>
  <c r="KQ86" i="1"/>
  <c r="KN86" i="1"/>
  <c r="KK86" i="1"/>
  <c r="KH86" i="1"/>
  <c r="JC86" i="1"/>
  <c r="JB86" i="1"/>
  <c r="JD86" i="1" s="1"/>
  <c r="JA86" i="1"/>
  <c r="IX86" i="1"/>
  <c r="IU86" i="1"/>
  <c r="IR86" i="1"/>
  <c r="IN86" i="1"/>
  <c r="IM86" i="1"/>
  <c r="IO86" i="1" s="1"/>
  <c r="IL86" i="1"/>
  <c r="II86" i="1"/>
  <c r="IF86" i="1"/>
  <c r="IC86" i="1"/>
  <c r="HY86" i="1"/>
  <c r="HX86" i="1"/>
  <c r="HZ86" i="1" s="1"/>
  <c r="HW86" i="1"/>
  <c r="HT86" i="1"/>
  <c r="HQ86" i="1"/>
  <c r="HN86" i="1"/>
  <c r="HJ86" i="1"/>
  <c r="HI86" i="1"/>
  <c r="HK86" i="1" s="1"/>
  <c r="HH86" i="1"/>
  <c r="HE86" i="1"/>
  <c r="HB86" i="1"/>
  <c r="GY86" i="1"/>
  <c r="GU86" i="1"/>
  <c r="GT86" i="1"/>
  <c r="GV86" i="1" s="1"/>
  <c r="GS86" i="1"/>
  <c r="GP86" i="1"/>
  <c r="GM86" i="1"/>
  <c r="GJ86" i="1"/>
  <c r="GF86" i="1"/>
  <c r="GE86" i="1"/>
  <c r="GG86" i="1" s="1"/>
  <c r="GD86" i="1"/>
  <c r="GA86" i="1"/>
  <c r="FX86" i="1"/>
  <c r="FU86" i="1"/>
  <c r="FQ86" i="1"/>
  <c r="FP86" i="1"/>
  <c r="FR86" i="1" s="1"/>
  <c r="FO86" i="1"/>
  <c r="FL86" i="1"/>
  <c r="FI86" i="1"/>
  <c r="FF86" i="1"/>
  <c r="FB86" i="1"/>
  <c r="FA86" i="1"/>
  <c r="FC86" i="1" s="1"/>
  <c r="EZ86" i="1"/>
  <c r="EW86" i="1"/>
  <c r="ET86" i="1"/>
  <c r="EQ86" i="1"/>
  <c r="EM86" i="1"/>
  <c r="EL86" i="1"/>
  <c r="EN86" i="1" s="1"/>
  <c r="EK86" i="1"/>
  <c r="EH86" i="1"/>
  <c r="EE86" i="1"/>
  <c r="EB86" i="1"/>
  <c r="DX86" i="1"/>
  <c r="DW86" i="1"/>
  <c r="DY86" i="1" s="1"/>
  <c r="DV86" i="1"/>
  <c r="DS86" i="1"/>
  <c r="DP86" i="1"/>
  <c r="DM86" i="1"/>
  <c r="DI86" i="1"/>
  <c r="DH86" i="1"/>
  <c r="DJ86" i="1" s="1"/>
  <c r="DG86" i="1"/>
  <c r="DD86" i="1"/>
  <c r="DA86" i="1"/>
  <c r="CX86" i="1"/>
  <c r="CT86" i="1"/>
  <c r="CS86" i="1"/>
  <c r="CU86" i="1" s="1"/>
  <c r="CR86" i="1"/>
  <c r="CO86" i="1"/>
  <c r="CL86" i="1"/>
  <c r="CI86" i="1"/>
  <c r="CF86" i="1"/>
  <c r="BP86" i="1"/>
  <c r="BO86" i="1"/>
  <c r="BQ86" i="1" s="1"/>
  <c r="BN86" i="1"/>
  <c r="BK86" i="1"/>
  <c r="BH86" i="1"/>
  <c r="BE86" i="1"/>
  <c r="BA86" i="1"/>
  <c r="AZ86" i="1"/>
  <c r="BB86" i="1" s="1"/>
  <c r="AY86" i="1"/>
  <c r="AV86" i="1"/>
  <c r="AS86" i="1"/>
  <c r="AP86" i="1"/>
  <c r="AM86" i="1"/>
  <c r="W86" i="1"/>
  <c r="V86" i="1"/>
  <c r="X86" i="1" s="1"/>
  <c r="U86" i="1"/>
  <c r="R86" i="1"/>
  <c r="O86" i="1"/>
  <c r="L86" i="1"/>
  <c r="I86" i="1"/>
  <c r="AAB85" i="1"/>
  <c r="AAA85" i="1"/>
  <c r="AAC85" i="1" s="1"/>
  <c r="ZZ85" i="1"/>
  <c r="ZW85" i="1"/>
  <c r="ZG85" i="1"/>
  <c r="AAE85" i="1" s="1"/>
  <c r="ZF85" i="1"/>
  <c r="AAD85" i="1" s="1"/>
  <c r="ZE85" i="1"/>
  <c r="ZB85" i="1"/>
  <c r="YY85" i="1"/>
  <c r="YV85" i="1"/>
  <c r="YR85" i="1"/>
  <c r="YQ85" i="1"/>
  <c r="YS85" i="1" s="1"/>
  <c r="YP85" i="1"/>
  <c r="YM85" i="1"/>
  <c r="YJ85" i="1"/>
  <c r="YG85" i="1"/>
  <c r="YC85" i="1"/>
  <c r="YB85" i="1"/>
  <c r="YD85" i="1" s="1"/>
  <c r="YA85" i="1"/>
  <c r="XX85" i="1"/>
  <c r="XU85" i="1"/>
  <c r="XR85" i="1"/>
  <c r="VU85" i="1"/>
  <c r="VT85" i="1"/>
  <c r="VV85" i="1" s="1"/>
  <c r="VS85" i="1"/>
  <c r="VP85" i="1"/>
  <c r="VM85" i="1"/>
  <c r="VJ85" i="1"/>
  <c r="UQ85" i="1"/>
  <c r="UP85" i="1"/>
  <c r="UR85" i="1" s="1"/>
  <c r="UO85" i="1"/>
  <c r="UL85" i="1"/>
  <c r="UI85" i="1"/>
  <c r="UF85" i="1"/>
  <c r="UB85" i="1"/>
  <c r="UA85" i="1"/>
  <c r="UC85" i="1" s="1"/>
  <c r="TZ85" i="1"/>
  <c r="TW85" i="1"/>
  <c r="TT85" i="1"/>
  <c r="TQ85" i="1"/>
  <c r="TM85" i="1"/>
  <c r="TL85" i="1"/>
  <c r="TN85" i="1" s="1"/>
  <c r="TK85" i="1"/>
  <c r="TH85" i="1"/>
  <c r="TE85" i="1"/>
  <c r="TB85" i="1"/>
  <c r="SX85" i="1"/>
  <c r="SW85" i="1"/>
  <c r="SY85" i="1" s="1"/>
  <c r="SV85" i="1"/>
  <c r="SS85" i="1"/>
  <c r="SP85" i="1"/>
  <c r="SM85" i="1"/>
  <c r="SJ85" i="1"/>
  <c r="QP85" i="1"/>
  <c r="QO85" i="1"/>
  <c r="QQ85" i="1" s="1"/>
  <c r="QN85" i="1"/>
  <c r="QK85" i="1"/>
  <c r="QH85" i="1"/>
  <c r="QE85" i="1"/>
  <c r="QA85" i="1"/>
  <c r="PZ85" i="1"/>
  <c r="QB85" i="1" s="1"/>
  <c r="PY85" i="1"/>
  <c r="PV85" i="1"/>
  <c r="PS85" i="1"/>
  <c r="PP85" i="1"/>
  <c r="PL85" i="1"/>
  <c r="PK85" i="1"/>
  <c r="PM85" i="1" s="1"/>
  <c r="PJ85" i="1"/>
  <c r="PG85" i="1"/>
  <c r="PD85" i="1"/>
  <c r="PA85" i="1"/>
  <c r="OW85" i="1"/>
  <c r="OV85" i="1"/>
  <c r="OX85" i="1" s="1"/>
  <c r="OU85" i="1"/>
  <c r="OR85" i="1"/>
  <c r="OO85" i="1"/>
  <c r="OL85" i="1"/>
  <c r="OH85" i="1"/>
  <c r="OG85" i="1"/>
  <c r="OI85" i="1" s="1"/>
  <c r="OF85" i="1"/>
  <c r="OC85" i="1"/>
  <c r="NZ85" i="1"/>
  <c r="NW85" i="1"/>
  <c r="NS85" i="1"/>
  <c r="NR85" i="1"/>
  <c r="NT85" i="1" s="1"/>
  <c r="NQ85" i="1"/>
  <c r="NN85" i="1"/>
  <c r="NK85" i="1"/>
  <c r="NH85" i="1"/>
  <c r="ND85" i="1"/>
  <c r="NC85" i="1"/>
  <c r="NE85" i="1" s="1"/>
  <c r="NB85" i="1"/>
  <c r="MY85" i="1"/>
  <c r="MV85" i="1"/>
  <c r="MS85" i="1"/>
  <c r="MO85" i="1"/>
  <c r="MN85" i="1"/>
  <c r="MP85" i="1" s="1"/>
  <c r="MM85" i="1"/>
  <c r="MJ85" i="1"/>
  <c r="MG85" i="1"/>
  <c r="MD85" i="1"/>
  <c r="LZ85" i="1"/>
  <c r="LY85" i="1"/>
  <c r="MA85" i="1" s="1"/>
  <c r="LX85" i="1"/>
  <c r="LU85" i="1"/>
  <c r="LR85" i="1"/>
  <c r="LO85" i="1"/>
  <c r="KV85" i="1"/>
  <c r="KU85" i="1"/>
  <c r="KW85" i="1" s="1"/>
  <c r="KT85" i="1"/>
  <c r="KQ85" i="1"/>
  <c r="KN85" i="1"/>
  <c r="KK85" i="1"/>
  <c r="KH85" i="1"/>
  <c r="JC85" i="1"/>
  <c r="JB85" i="1"/>
  <c r="JD85" i="1" s="1"/>
  <c r="JA85" i="1"/>
  <c r="IX85" i="1"/>
  <c r="IU85" i="1"/>
  <c r="IR85" i="1"/>
  <c r="IN85" i="1"/>
  <c r="IM85" i="1"/>
  <c r="IO85" i="1" s="1"/>
  <c r="IL85" i="1"/>
  <c r="II85" i="1"/>
  <c r="IF85" i="1"/>
  <c r="IC85" i="1"/>
  <c r="HY85" i="1"/>
  <c r="HX85" i="1"/>
  <c r="HZ85" i="1" s="1"/>
  <c r="HW85" i="1"/>
  <c r="HT85" i="1"/>
  <c r="HQ85" i="1"/>
  <c r="HN85" i="1"/>
  <c r="HJ85" i="1"/>
  <c r="HI85" i="1"/>
  <c r="HK85" i="1" s="1"/>
  <c r="HH85" i="1"/>
  <c r="HE85" i="1"/>
  <c r="HB85" i="1"/>
  <c r="GY85" i="1"/>
  <c r="GU85" i="1"/>
  <c r="GT85" i="1"/>
  <c r="GV85" i="1" s="1"/>
  <c r="GS85" i="1"/>
  <c r="GP85" i="1"/>
  <c r="GM85" i="1"/>
  <c r="GJ85" i="1"/>
  <c r="GF85" i="1"/>
  <c r="GE85" i="1"/>
  <c r="GG85" i="1" s="1"/>
  <c r="GD85" i="1"/>
  <c r="GA85" i="1"/>
  <c r="FX85" i="1"/>
  <c r="FU85" i="1"/>
  <c r="FQ85" i="1"/>
  <c r="FP85" i="1"/>
  <c r="FR85" i="1" s="1"/>
  <c r="FO85" i="1"/>
  <c r="FL85" i="1"/>
  <c r="FI85" i="1"/>
  <c r="FF85" i="1"/>
  <c r="FB85" i="1"/>
  <c r="FA85" i="1"/>
  <c r="FC85" i="1" s="1"/>
  <c r="EZ85" i="1"/>
  <c r="EW85" i="1"/>
  <c r="ET85" i="1"/>
  <c r="EQ85" i="1"/>
  <c r="EM85" i="1"/>
  <c r="EL85" i="1"/>
  <c r="EN85" i="1" s="1"/>
  <c r="EK85" i="1"/>
  <c r="EH85" i="1"/>
  <c r="EE85" i="1"/>
  <c r="EB85" i="1"/>
  <c r="DX85" i="1"/>
  <c r="DW85" i="1"/>
  <c r="DY85" i="1" s="1"/>
  <c r="DV85" i="1"/>
  <c r="DS85" i="1"/>
  <c r="DP85" i="1"/>
  <c r="DM85" i="1"/>
  <c r="DI85" i="1"/>
  <c r="DH85" i="1"/>
  <c r="DJ85" i="1" s="1"/>
  <c r="DG85" i="1"/>
  <c r="DD85" i="1"/>
  <c r="DA85" i="1"/>
  <c r="CX85" i="1"/>
  <c r="CT85" i="1"/>
  <c r="CS85" i="1"/>
  <c r="CU85" i="1" s="1"/>
  <c r="CR85" i="1"/>
  <c r="CO85" i="1"/>
  <c r="CL85" i="1"/>
  <c r="CI85" i="1"/>
  <c r="CF85" i="1"/>
  <c r="BP85" i="1"/>
  <c r="BO85" i="1"/>
  <c r="BQ85" i="1" s="1"/>
  <c r="BN85" i="1"/>
  <c r="BK85" i="1"/>
  <c r="BH85" i="1"/>
  <c r="BE85" i="1"/>
  <c r="BA85" i="1"/>
  <c r="AZ85" i="1"/>
  <c r="BB85" i="1" s="1"/>
  <c r="AY85" i="1"/>
  <c r="AV85" i="1"/>
  <c r="AS85" i="1"/>
  <c r="AP85" i="1"/>
  <c r="AM85" i="1"/>
  <c r="W85" i="1"/>
  <c r="V85" i="1"/>
  <c r="X85" i="1" s="1"/>
  <c r="U85" i="1"/>
  <c r="R85" i="1"/>
  <c r="O85" i="1"/>
  <c r="L85" i="1"/>
  <c r="I85" i="1"/>
  <c r="AAB84" i="1"/>
  <c r="AAA84" i="1"/>
  <c r="AAC84" i="1" s="1"/>
  <c r="ZZ84" i="1"/>
  <c r="ZW84" i="1"/>
  <c r="ZG84" i="1"/>
  <c r="AAE84" i="1" s="1"/>
  <c r="ZF84" i="1"/>
  <c r="AAD84" i="1" s="1"/>
  <c r="ZE84" i="1"/>
  <c r="ZB84" i="1"/>
  <c r="YY84" i="1"/>
  <c r="YV84" i="1"/>
  <c r="YR84" i="1"/>
  <c r="YQ84" i="1"/>
  <c r="YS84" i="1" s="1"/>
  <c r="YP84" i="1"/>
  <c r="YM84" i="1"/>
  <c r="YJ84" i="1"/>
  <c r="YG84" i="1"/>
  <c r="YC84" i="1"/>
  <c r="YB84" i="1"/>
  <c r="YD84" i="1" s="1"/>
  <c r="YA84" i="1"/>
  <c r="XX84" i="1"/>
  <c r="XU84" i="1"/>
  <c r="XR84" i="1"/>
  <c r="VU84" i="1"/>
  <c r="VT84" i="1"/>
  <c r="VV84" i="1" s="1"/>
  <c r="VS84" i="1"/>
  <c r="VP84" i="1"/>
  <c r="VM84" i="1"/>
  <c r="VJ84" i="1"/>
  <c r="UQ84" i="1"/>
  <c r="UP84" i="1"/>
  <c r="UR84" i="1" s="1"/>
  <c r="UO84" i="1"/>
  <c r="UL84" i="1"/>
  <c r="UI84" i="1"/>
  <c r="UF84" i="1"/>
  <c r="UB84" i="1"/>
  <c r="UA84" i="1"/>
  <c r="UC84" i="1" s="1"/>
  <c r="TZ84" i="1"/>
  <c r="TW84" i="1"/>
  <c r="TT84" i="1"/>
  <c r="TQ84" i="1"/>
  <c r="TM84" i="1"/>
  <c r="TL84" i="1"/>
  <c r="TN84" i="1" s="1"/>
  <c r="TK84" i="1"/>
  <c r="TH84" i="1"/>
  <c r="TE84" i="1"/>
  <c r="TB84" i="1"/>
  <c r="SX84" i="1"/>
  <c r="SW84" i="1"/>
  <c r="SY84" i="1" s="1"/>
  <c r="SV84" i="1"/>
  <c r="SS84" i="1"/>
  <c r="SP84" i="1"/>
  <c r="SM84" i="1"/>
  <c r="SJ84" i="1"/>
  <c r="QP84" i="1"/>
  <c r="QO84" i="1"/>
  <c r="QQ84" i="1" s="1"/>
  <c r="QN84" i="1"/>
  <c r="QK84" i="1"/>
  <c r="QH84" i="1"/>
  <c r="QE84" i="1"/>
  <c r="QA84" i="1"/>
  <c r="PZ84" i="1"/>
  <c r="QB84" i="1" s="1"/>
  <c r="PY84" i="1"/>
  <c r="PV84" i="1"/>
  <c r="PS84" i="1"/>
  <c r="PP84" i="1"/>
  <c r="PL84" i="1"/>
  <c r="PK84" i="1"/>
  <c r="PM84" i="1" s="1"/>
  <c r="PJ84" i="1"/>
  <c r="PG84" i="1"/>
  <c r="PD84" i="1"/>
  <c r="PA84" i="1"/>
  <c r="OW84" i="1"/>
  <c r="OV84" i="1"/>
  <c r="OX84" i="1" s="1"/>
  <c r="OU84" i="1"/>
  <c r="OR84" i="1"/>
  <c r="OO84" i="1"/>
  <c r="OL84" i="1"/>
  <c r="OH84" i="1"/>
  <c r="OG84" i="1"/>
  <c r="OI84" i="1" s="1"/>
  <c r="OF84" i="1"/>
  <c r="OC84" i="1"/>
  <c r="NZ84" i="1"/>
  <c r="NW84" i="1"/>
  <c r="NS84" i="1"/>
  <c r="NR84" i="1"/>
  <c r="NT84" i="1" s="1"/>
  <c r="NQ84" i="1"/>
  <c r="NN84" i="1"/>
  <c r="NK84" i="1"/>
  <c r="NH84" i="1"/>
  <c r="ND84" i="1"/>
  <c r="NC84" i="1"/>
  <c r="NE84" i="1" s="1"/>
  <c r="NB84" i="1"/>
  <c r="MY84" i="1"/>
  <c r="MV84" i="1"/>
  <c r="MS84" i="1"/>
  <c r="MO84" i="1"/>
  <c r="MN84" i="1"/>
  <c r="MP84" i="1" s="1"/>
  <c r="MM84" i="1"/>
  <c r="MJ84" i="1"/>
  <c r="MG84" i="1"/>
  <c r="MD84" i="1"/>
  <c r="LZ84" i="1"/>
  <c r="LY84" i="1"/>
  <c r="MA84" i="1" s="1"/>
  <c r="LX84" i="1"/>
  <c r="LU84" i="1"/>
  <c r="LR84" i="1"/>
  <c r="LO84" i="1"/>
  <c r="KV84" i="1"/>
  <c r="KU84" i="1"/>
  <c r="KW84" i="1" s="1"/>
  <c r="KT84" i="1"/>
  <c r="KQ84" i="1"/>
  <c r="KN84" i="1"/>
  <c r="KK84" i="1"/>
  <c r="KH84" i="1"/>
  <c r="JC84" i="1"/>
  <c r="JB84" i="1"/>
  <c r="JD84" i="1" s="1"/>
  <c r="JA84" i="1"/>
  <c r="IX84" i="1"/>
  <c r="IU84" i="1"/>
  <c r="IR84" i="1"/>
  <c r="IN84" i="1"/>
  <c r="IM84" i="1"/>
  <c r="IO84" i="1" s="1"/>
  <c r="IL84" i="1"/>
  <c r="II84" i="1"/>
  <c r="IF84" i="1"/>
  <c r="IC84" i="1"/>
  <c r="HY84" i="1"/>
  <c r="HX84" i="1"/>
  <c r="HZ84" i="1" s="1"/>
  <c r="HW84" i="1"/>
  <c r="HT84" i="1"/>
  <c r="HQ84" i="1"/>
  <c r="HN84" i="1"/>
  <c r="HJ84" i="1"/>
  <c r="HI84" i="1"/>
  <c r="HK84" i="1" s="1"/>
  <c r="HH84" i="1"/>
  <c r="HE84" i="1"/>
  <c r="HB84" i="1"/>
  <c r="GY84" i="1"/>
  <c r="GU84" i="1"/>
  <c r="GT84" i="1"/>
  <c r="GV84" i="1" s="1"/>
  <c r="GS84" i="1"/>
  <c r="GP84" i="1"/>
  <c r="GM84" i="1"/>
  <c r="GJ84" i="1"/>
  <c r="GF84" i="1"/>
  <c r="GE84" i="1"/>
  <c r="GG84" i="1" s="1"/>
  <c r="GD84" i="1"/>
  <c r="GA84" i="1"/>
  <c r="FX84" i="1"/>
  <c r="FU84" i="1"/>
  <c r="FQ84" i="1"/>
  <c r="FP84" i="1"/>
  <c r="FR84" i="1" s="1"/>
  <c r="FO84" i="1"/>
  <c r="FL84" i="1"/>
  <c r="FI84" i="1"/>
  <c r="FF84" i="1"/>
  <c r="FB84" i="1"/>
  <c r="FA84" i="1"/>
  <c r="FC84" i="1" s="1"/>
  <c r="EZ84" i="1"/>
  <c r="EW84" i="1"/>
  <c r="ET84" i="1"/>
  <c r="EQ84" i="1"/>
  <c r="EM84" i="1"/>
  <c r="EL84" i="1"/>
  <c r="EN84" i="1" s="1"/>
  <c r="EK84" i="1"/>
  <c r="EH84" i="1"/>
  <c r="EE84" i="1"/>
  <c r="EB84" i="1"/>
  <c r="DX84" i="1"/>
  <c r="DW84" i="1"/>
  <c r="DY84" i="1" s="1"/>
  <c r="DV84" i="1"/>
  <c r="DS84" i="1"/>
  <c r="DP84" i="1"/>
  <c r="DM84" i="1"/>
  <c r="DI84" i="1"/>
  <c r="DH84" i="1"/>
  <c r="DJ84" i="1" s="1"/>
  <c r="DG84" i="1"/>
  <c r="DD84" i="1"/>
  <c r="DA84" i="1"/>
  <c r="CX84" i="1"/>
  <c r="CT84" i="1"/>
  <c r="CS84" i="1"/>
  <c r="CU84" i="1" s="1"/>
  <c r="CR84" i="1"/>
  <c r="CO84" i="1"/>
  <c r="CL84" i="1"/>
  <c r="CI84" i="1"/>
  <c r="CF84" i="1"/>
  <c r="BP84" i="1"/>
  <c r="BO84" i="1"/>
  <c r="BQ84" i="1" s="1"/>
  <c r="BN84" i="1"/>
  <c r="BK84" i="1"/>
  <c r="BH84" i="1"/>
  <c r="BE84" i="1"/>
  <c r="BA84" i="1"/>
  <c r="AZ84" i="1"/>
  <c r="BB84" i="1" s="1"/>
  <c r="AY84" i="1"/>
  <c r="AV84" i="1"/>
  <c r="AS84" i="1"/>
  <c r="AP84" i="1"/>
  <c r="AM84" i="1"/>
  <c r="W84" i="1"/>
  <c r="V84" i="1"/>
  <c r="X84" i="1" s="1"/>
  <c r="U84" i="1"/>
  <c r="R84" i="1"/>
  <c r="O84" i="1"/>
  <c r="L84" i="1"/>
  <c r="I84" i="1"/>
  <c r="AAB83" i="1"/>
  <c r="AAA83" i="1"/>
  <c r="AAC83" i="1" s="1"/>
  <c r="AAC95" i="1" s="1"/>
  <c r="ZZ83" i="1"/>
  <c r="ZZ95" i="1" s="1"/>
  <c r="ZW83" i="1"/>
  <c r="ZW95" i="1" s="1"/>
  <c r="ZG83" i="1"/>
  <c r="ZF83" i="1"/>
  <c r="AAD83" i="1" s="1"/>
  <c r="ZE83" i="1"/>
  <c r="ZE95" i="1" s="1"/>
  <c r="ZB83" i="1"/>
  <c r="ZB95" i="1" s="1"/>
  <c r="YY83" i="1"/>
  <c r="YY95" i="1" s="1"/>
  <c r="YV83" i="1"/>
  <c r="YV95" i="1" s="1"/>
  <c r="YR83" i="1"/>
  <c r="YR95" i="1" s="1"/>
  <c r="YQ83" i="1"/>
  <c r="YS83" i="1" s="1"/>
  <c r="YS95" i="1" s="1"/>
  <c r="YP83" i="1"/>
  <c r="YP95" i="1" s="1"/>
  <c r="YM83" i="1"/>
  <c r="YM95" i="1" s="1"/>
  <c r="YJ83" i="1"/>
  <c r="YJ95" i="1" s="1"/>
  <c r="YG83" i="1"/>
  <c r="YG95" i="1" s="1"/>
  <c r="YC83" i="1"/>
  <c r="YC95" i="1" s="1"/>
  <c r="YB83" i="1"/>
  <c r="YD83" i="1" s="1"/>
  <c r="YD95" i="1" s="1"/>
  <c r="YA83" i="1"/>
  <c r="YA95" i="1" s="1"/>
  <c r="XX83" i="1"/>
  <c r="XX95" i="1" s="1"/>
  <c r="XU83" i="1"/>
  <c r="XU95" i="1" s="1"/>
  <c r="XR83" i="1"/>
  <c r="XR95" i="1" s="1"/>
  <c r="VU83" i="1"/>
  <c r="VU95" i="1" s="1"/>
  <c r="VT83" i="1"/>
  <c r="VV83" i="1" s="1"/>
  <c r="VV95" i="1" s="1"/>
  <c r="VS83" i="1"/>
  <c r="VS95" i="1" s="1"/>
  <c r="VP83" i="1"/>
  <c r="VP95" i="1" s="1"/>
  <c r="VM83" i="1"/>
  <c r="VM95" i="1" s="1"/>
  <c r="VJ83" i="1"/>
  <c r="VJ95" i="1" s="1"/>
  <c r="UQ83" i="1"/>
  <c r="UQ95" i="1" s="1"/>
  <c r="UP83" i="1"/>
  <c r="UR83" i="1" s="1"/>
  <c r="UR95" i="1" s="1"/>
  <c r="UO83" i="1"/>
  <c r="UO95" i="1" s="1"/>
  <c r="UL83" i="1"/>
  <c r="UL95" i="1" s="1"/>
  <c r="UI83" i="1"/>
  <c r="UI95" i="1" s="1"/>
  <c r="UF83" i="1"/>
  <c r="UF95" i="1" s="1"/>
  <c r="UB83" i="1"/>
  <c r="UB95" i="1" s="1"/>
  <c r="UA83" i="1"/>
  <c r="UC83" i="1" s="1"/>
  <c r="UC95" i="1" s="1"/>
  <c r="TZ83" i="1"/>
  <c r="TZ95" i="1" s="1"/>
  <c r="TW83" i="1"/>
  <c r="TW95" i="1" s="1"/>
  <c r="TT83" i="1"/>
  <c r="TT95" i="1" s="1"/>
  <c r="TQ83" i="1"/>
  <c r="TQ95" i="1" s="1"/>
  <c r="TM83" i="1"/>
  <c r="TM95" i="1" s="1"/>
  <c r="TL83" i="1"/>
  <c r="TN83" i="1" s="1"/>
  <c r="TN95" i="1" s="1"/>
  <c r="TK83" i="1"/>
  <c r="TK95" i="1" s="1"/>
  <c r="TH83" i="1"/>
  <c r="TH95" i="1" s="1"/>
  <c r="TE83" i="1"/>
  <c r="TE95" i="1" s="1"/>
  <c r="TB83" i="1"/>
  <c r="TB95" i="1" s="1"/>
  <c r="SX83" i="1"/>
  <c r="SX95" i="1" s="1"/>
  <c r="SW83" i="1"/>
  <c r="SY83" i="1" s="1"/>
  <c r="SY95" i="1" s="1"/>
  <c r="SV83" i="1"/>
  <c r="SV95" i="1" s="1"/>
  <c r="SS83" i="1"/>
  <c r="SS95" i="1" s="1"/>
  <c r="SP83" i="1"/>
  <c r="SP95" i="1" s="1"/>
  <c r="SM83" i="1"/>
  <c r="SM95" i="1" s="1"/>
  <c r="SJ83" i="1"/>
  <c r="SJ95" i="1" s="1"/>
  <c r="QP83" i="1"/>
  <c r="QP95" i="1" s="1"/>
  <c r="QO83" i="1"/>
  <c r="QQ83" i="1" s="1"/>
  <c r="QQ95" i="1" s="1"/>
  <c r="QN83" i="1"/>
  <c r="QN95" i="1" s="1"/>
  <c r="QK83" i="1"/>
  <c r="QK95" i="1" s="1"/>
  <c r="QH83" i="1"/>
  <c r="QH95" i="1" s="1"/>
  <c r="QE83" i="1"/>
  <c r="QE95" i="1" s="1"/>
  <c r="QA83" i="1"/>
  <c r="QA95" i="1" s="1"/>
  <c r="PZ83" i="1"/>
  <c r="QB83" i="1" s="1"/>
  <c r="QB95" i="1" s="1"/>
  <c r="PY83" i="1"/>
  <c r="PY95" i="1" s="1"/>
  <c r="PV83" i="1"/>
  <c r="PV95" i="1" s="1"/>
  <c r="PS83" i="1"/>
  <c r="PS95" i="1" s="1"/>
  <c r="PP83" i="1"/>
  <c r="PP95" i="1" s="1"/>
  <c r="PL83" i="1"/>
  <c r="PL95" i="1" s="1"/>
  <c r="PK83" i="1"/>
  <c r="PM83" i="1" s="1"/>
  <c r="PM95" i="1" s="1"/>
  <c r="PJ83" i="1"/>
  <c r="PJ95" i="1" s="1"/>
  <c r="PG83" i="1"/>
  <c r="PG95" i="1" s="1"/>
  <c r="PD83" i="1"/>
  <c r="PD95" i="1" s="1"/>
  <c r="PA83" i="1"/>
  <c r="PA95" i="1" s="1"/>
  <c r="OW83" i="1"/>
  <c r="OW95" i="1" s="1"/>
  <c r="OV83" i="1"/>
  <c r="OX83" i="1" s="1"/>
  <c r="OX95" i="1" s="1"/>
  <c r="OU83" i="1"/>
  <c r="OU95" i="1" s="1"/>
  <c r="OR83" i="1"/>
  <c r="OR95" i="1" s="1"/>
  <c r="OO83" i="1"/>
  <c r="OO95" i="1" s="1"/>
  <c r="OL83" i="1"/>
  <c r="OL95" i="1" s="1"/>
  <c r="OH83" i="1"/>
  <c r="OH95" i="1" s="1"/>
  <c r="OG83" i="1"/>
  <c r="OI83" i="1" s="1"/>
  <c r="OF83" i="1"/>
  <c r="OF95" i="1" s="1"/>
  <c r="OC83" i="1"/>
  <c r="OC95" i="1" s="1"/>
  <c r="NZ83" i="1"/>
  <c r="NZ95" i="1" s="1"/>
  <c r="NW83" i="1"/>
  <c r="NS83" i="1"/>
  <c r="NS95" i="1" s="1"/>
  <c r="NR83" i="1"/>
  <c r="NT83" i="1" s="1"/>
  <c r="NT95" i="1" s="1"/>
  <c r="NQ83" i="1"/>
  <c r="NQ95" i="1" s="1"/>
  <c r="NN83" i="1"/>
  <c r="NN95" i="1" s="1"/>
  <c r="NK83" i="1"/>
  <c r="NK95" i="1" s="1"/>
  <c r="NH83" i="1"/>
  <c r="NH95" i="1" s="1"/>
  <c r="ND83" i="1"/>
  <c r="ND95" i="1" s="1"/>
  <c r="NC83" i="1"/>
  <c r="NE83" i="1" s="1"/>
  <c r="NE95" i="1" s="1"/>
  <c r="NB83" i="1"/>
  <c r="NB95" i="1" s="1"/>
  <c r="MY83" i="1"/>
  <c r="MY95" i="1" s="1"/>
  <c r="MV83" i="1"/>
  <c r="MV95" i="1" s="1"/>
  <c r="MS83" i="1"/>
  <c r="MS95" i="1" s="1"/>
  <c r="MO83" i="1"/>
  <c r="MO95" i="1" s="1"/>
  <c r="MN83" i="1"/>
  <c r="MP83" i="1" s="1"/>
  <c r="MM83" i="1"/>
  <c r="MM95" i="1" s="1"/>
  <c r="MJ83" i="1"/>
  <c r="MJ95" i="1" s="1"/>
  <c r="MG83" i="1"/>
  <c r="MG95" i="1" s="1"/>
  <c r="MD83" i="1"/>
  <c r="LZ83" i="1"/>
  <c r="LZ95" i="1" s="1"/>
  <c r="LY83" i="1"/>
  <c r="MA83" i="1" s="1"/>
  <c r="MA95" i="1" s="1"/>
  <c r="LX83" i="1"/>
  <c r="LX95" i="1" s="1"/>
  <c r="LU83" i="1"/>
  <c r="LU95" i="1" s="1"/>
  <c r="LR83" i="1"/>
  <c r="LR95" i="1" s="1"/>
  <c r="LO83" i="1"/>
  <c r="LO95" i="1" s="1"/>
  <c r="KV83" i="1"/>
  <c r="KV95" i="1" s="1"/>
  <c r="KU83" i="1"/>
  <c r="KW83" i="1" s="1"/>
  <c r="KW95" i="1" s="1"/>
  <c r="KT83" i="1"/>
  <c r="KT95" i="1" s="1"/>
  <c r="KQ83" i="1"/>
  <c r="KQ95" i="1" s="1"/>
  <c r="KN83" i="1"/>
  <c r="KN95" i="1" s="1"/>
  <c r="KK83" i="1"/>
  <c r="KK95" i="1" s="1"/>
  <c r="KH83" i="1"/>
  <c r="KH95" i="1" s="1"/>
  <c r="JC83" i="1"/>
  <c r="JB83" i="1"/>
  <c r="JA83" i="1"/>
  <c r="JA95" i="1" s="1"/>
  <c r="IX83" i="1"/>
  <c r="IX95" i="1" s="1"/>
  <c r="IU83" i="1"/>
  <c r="IU95" i="1" s="1"/>
  <c r="IR83" i="1"/>
  <c r="IR95" i="1" s="1"/>
  <c r="IN83" i="1"/>
  <c r="IN95" i="1" s="1"/>
  <c r="IM83" i="1"/>
  <c r="IO83" i="1" s="1"/>
  <c r="IL83" i="1"/>
  <c r="IL95" i="1" s="1"/>
  <c r="II83" i="1"/>
  <c r="II95" i="1" s="1"/>
  <c r="IF83" i="1"/>
  <c r="IF95" i="1" s="1"/>
  <c r="IC83" i="1"/>
  <c r="IC95" i="1" s="1"/>
  <c r="HY83" i="1"/>
  <c r="HY95" i="1" s="1"/>
  <c r="HX83" i="1"/>
  <c r="HZ83" i="1" s="1"/>
  <c r="HZ95" i="1" s="1"/>
  <c r="HW83" i="1"/>
  <c r="HW95" i="1" s="1"/>
  <c r="HT83" i="1"/>
  <c r="HT95" i="1" s="1"/>
  <c r="HQ83" i="1"/>
  <c r="HQ95" i="1" s="1"/>
  <c r="HN83" i="1"/>
  <c r="HN95" i="1" s="1"/>
  <c r="HJ83" i="1"/>
  <c r="HJ95" i="1" s="1"/>
  <c r="HI83" i="1"/>
  <c r="HK83" i="1" s="1"/>
  <c r="HK95" i="1" s="1"/>
  <c r="HH83" i="1"/>
  <c r="HH95" i="1" s="1"/>
  <c r="HE83" i="1"/>
  <c r="HE95" i="1" s="1"/>
  <c r="HB83" i="1"/>
  <c r="HB95" i="1" s="1"/>
  <c r="GY83" i="1"/>
  <c r="GY95" i="1" s="1"/>
  <c r="GU83" i="1"/>
  <c r="GU95" i="1" s="1"/>
  <c r="GT83" i="1"/>
  <c r="GV83" i="1" s="1"/>
  <c r="GV95" i="1" s="1"/>
  <c r="GS83" i="1"/>
  <c r="GS95" i="1" s="1"/>
  <c r="GP83" i="1"/>
  <c r="GP95" i="1" s="1"/>
  <c r="GM83" i="1"/>
  <c r="GM95" i="1" s="1"/>
  <c r="GJ83" i="1"/>
  <c r="GJ95" i="1" s="1"/>
  <c r="GF83" i="1"/>
  <c r="GF95" i="1" s="1"/>
  <c r="GE83" i="1"/>
  <c r="GG83" i="1" s="1"/>
  <c r="GG95" i="1" s="1"/>
  <c r="GD83" i="1"/>
  <c r="GD95" i="1" s="1"/>
  <c r="GA83" i="1"/>
  <c r="GA95" i="1" s="1"/>
  <c r="FX83" i="1"/>
  <c r="FX95" i="1" s="1"/>
  <c r="FU83" i="1"/>
  <c r="FU95" i="1" s="1"/>
  <c r="FQ83" i="1"/>
  <c r="FQ95" i="1" s="1"/>
  <c r="FP83" i="1"/>
  <c r="FR83" i="1" s="1"/>
  <c r="FR95" i="1" s="1"/>
  <c r="FO83" i="1"/>
  <c r="FO95" i="1" s="1"/>
  <c r="FL83" i="1"/>
  <c r="FL95" i="1" s="1"/>
  <c r="FI83" i="1"/>
  <c r="FI95" i="1" s="1"/>
  <c r="FF83" i="1"/>
  <c r="FF95" i="1" s="1"/>
  <c r="FC83" i="1"/>
  <c r="FC95" i="1" s="1"/>
  <c r="FB83" i="1"/>
  <c r="FB95" i="1" s="1"/>
  <c r="FA83" i="1"/>
  <c r="EZ83" i="1"/>
  <c r="EZ95" i="1" s="1"/>
  <c r="EW83" i="1"/>
  <c r="EW95" i="1" s="1"/>
  <c r="ET83" i="1"/>
  <c r="ET95" i="1" s="1"/>
  <c r="EQ83" i="1"/>
  <c r="EQ95" i="1" s="1"/>
  <c r="EM83" i="1"/>
  <c r="EM95" i="1" s="1"/>
  <c r="EL83" i="1"/>
  <c r="EN83" i="1" s="1"/>
  <c r="EN95" i="1" s="1"/>
  <c r="EK83" i="1"/>
  <c r="EK95" i="1" s="1"/>
  <c r="EH83" i="1"/>
  <c r="EH95" i="1" s="1"/>
  <c r="EE83" i="1"/>
  <c r="EE95" i="1" s="1"/>
  <c r="EB83" i="1"/>
  <c r="EB95" i="1" s="1"/>
  <c r="DX83" i="1"/>
  <c r="DX95" i="1" s="1"/>
  <c r="DW83" i="1"/>
  <c r="DY83" i="1" s="1"/>
  <c r="DY95" i="1" s="1"/>
  <c r="DV83" i="1"/>
  <c r="DV95" i="1" s="1"/>
  <c r="DS83" i="1"/>
  <c r="DS95" i="1" s="1"/>
  <c r="DP83" i="1"/>
  <c r="DP95" i="1" s="1"/>
  <c r="DM83" i="1"/>
  <c r="DM95" i="1" s="1"/>
  <c r="DI83" i="1"/>
  <c r="DI95" i="1" s="1"/>
  <c r="DH83" i="1"/>
  <c r="DJ83" i="1" s="1"/>
  <c r="DJ95" i="1" s="1"/>
  <c r="DG83" i="1"/>
  <c r="DG95" i="1" s="1"/>
  <c r="DD83" i="1"/>
  <c r="DD95" i="1" s="1"/>
  <c r="DA83" i="1"/>
  <c r="DA95" i="1" s="1"/>
  <c r="CX83" i="1"/>
  <c r="CX95" i="1" s="1"/>
  <c r="CT83" i="1"/>
  <c r="CT95" i="1" s="1"/>
  <c r="CS83" i="1"/>
  <c r="CU83" i="1" s="1"/>
  <c r="CR83" i="1"/>
  <c r="CR95" i="1" s="1"/>
  <c r="CO83" i="1"/>
  <c r="CL83" i="1"/>
  <c r="CL95" i="1" s="1"/>
  <c r="CI83" i="1"/>
  <c r="CI95" i="1" s="1"/>
  <c r="CF83" i="1"/>
  <c r="CF95" i="1" s="1"/>
  <c r="BP83" i="1"/>
  <c r="BP95" i="1" s="1"/>
  <c r="BO83" i="1"/>
  <c r="BQ83" i="1" s="1"/>
  <c r="BQ95" i="1" s="1"/>
  <c r="BN83" i="1"/>
  <c r="BN95" i="1" s="1"/>
  <c r="BK83" i="1"/>
  <c r="BK95" i="1" s="1"/>
  <c r="BH83" i="1"/>
  <c r="BH95" i="1" s="1"/>
  <c r="BE83" i="1"/>
  <c r="BE95" i="1" s="1"/>
  <c r="BA83" i="1"/>
  <c r="BA95" i="1" s="1"/>
  <c r="AZ83" i="1"/>
  <c r="BB83" i="1" s="1"/>
  <c r="BB95" i="1" s="1"/>
  <c r="AY83" i="1"/>
  <c r="AY95" i="1" s="1"/>
  <c r="AV83" i="1"/>
  <c r="AV95" i="1" s="1"/>
  <c r="AS83" i="1"/>
  <c r="AS95" i="1" s="1"/>
  <c r="AP83" i="1"/>
  <c r="AP95" i="1" s="1"/>
  <c r="AM83" i="1"/>
  <c r="AM95" i="1" s="1"/>
  <c r="W83" i="1"/>
  <c r="W95" i="1" s="1"/>
  <c r="V83" i="1"/>
  <c r="U83" i="1"/>
  <c r="U95" i="1" s="1"/>
  <c r="R83" i="1"/>
  <c r="R95" i="1" s="1"/>
  <c r="O83" i="1"/>
  <c r="O95" i="1" s="1"/>
  <c r="L83" i="1"/>
  <c r="L95" i="1" s="1"/>
  <c r="I83" i="1"/>
  <c r="ZY82" i="1"/>
  <c r="AAB82" i="1" s="1"/>
  <c r="ZX82" i="1"/>
  <c r="AAA82" i="1" s="1"/>
  <c r="ZD82" i="1"/>
  <c r="ZC82" i="1"/>
  <c r="ZA82" i="1"/>
  <c r="YZ82" i="1"/>
  <c r="YX82" i="1"/>
  <c r="YW82" i="1"/>
  <c r="YU82" i="1"/>
  <c r="YT82" i="1"/>
  <c r="ZF82" i="1" s="1"/>
  <c r="YO82" i="1"/>
  <c r="YN82" i="1"/>
  <c r="YL82" i="1"/>
  <c r="YK82" i="1"/>
  <c r="YI82" i="1"/>
  <c r="YH82" i="1"/>
  <c r="YF82" i="1"/>
  <c r="YE82" i="1"/>
  <c r="YQ82" i="1" s="1"/>
  <c r="XZ82" i="1"/>
  <c r="XY82" i="1"/>
  <c r="XW82" i="1"/>
  <c r="XV82" i="1"/>
  <c r="XT82" i="1"/>
  <c r="XS82" i="1"/>
  <c r="XQ82" i="1"/>
  <c r="XP82" i="1"/>
  <c r="YB82" i="1" s="1"/>
  <c r="VR82" i="1"/>
  <c r="VQ82" i="1"/>
  <c r="VO82" i="1"/>
  <c r="VN82" i="1"/>
  <c r="VL82" i="1"/>
  <c r="VK82" i="1"/>
  <c r="VI82" i="1"/>
  <c r="VH82" i="1"/>
  <c r="VT82" i="1" s="1"/>
  <c r="UN82" i="1"/>
  <c r="UM82" i="1"/>
  <c r="UK82" i="1"/>
  <c r="UJ82" i="1"/>
  <c r="UH82" i="1"/>
  <c r="UG82" i="1"/>
  <c r="UE82" i="1"/>
  <c r="UD82" i="1"/>
  <c r="UP82" i="1" s="1"/>
  <c r="TY82" i="1"/>
  <c r="TX82" i="1"/>
  <c r="TV82" i="1"/>
  <c r="TU82" i="1"/>
  <c r="TS82" i="1"/>
  <c r="TR82" i="1"/>
  <c r="TP82" i="1"/>
  <c r="TO82" i="1"/>
  <c r="UA82" i="1" s="1"/>
  <c r="TJ82" i="1"/>
  <c r="TI82" i="1"/>
  <c r="TG82" i="1"/>
  <c r="TF82" i="1"/>
  <c r="TD82" i="1"/>
  <c r="TC82" i="1"/>
  <c r="TA82" i="1"/>
  <c r="SZ82" i="1"/>
  <c r="TL82" i="1" s="1"/>
  <c r="SU82" i="1"/>
  <c r="ST82" i="1"/>
  <c r="SR82" i="1"/>
  <c r="SQ82" i="1"/>
  <c r="SO82" i="1"/>
  <c r="SN82" i="1"/>
  <c r="SL82" i="1"/>
  <c r="SK82" i="1"/>
  <c r="SW82" i="1" s="1"/>
  <c r="QM82" i="1"/>
  <c r="QL82" i="1"/>
  <c r="QJ82" i="1"/>
  <c r="QI82" i="1"/>
  <c r="QG82" i="1"/>
  <c r="QF82" i="1"/>
  <c r="QD82" i="1"/>
  <c r="QC82" i="1"/>
  <c r="QO82" i="1" s="1"/>
  <c r="PX82" i="1"/>
  <c r="PW82" i="1"/>
  <c r="PU82" i="1"/>
  <c r="PT82" i="1"/>
  <c r="PR82" i="1"/>
  <c r="PQ82" i="1"/>
  <c r="PO82" i="1"/>
  <c r="PN82" i="1"/>
  <c r="PZ82" i="1" s="1"/>
  <c r="PI82" i="1"/>
  <c r="PH82" i="1"/>
  <c r="PF82" i="1"/>
  <c r="PE82" i="1"/>
  <c r="PC82" i="1"/>
  <c r="PB82" i="1"/>
  <c r="OZ82" i="1"/>
  <c r="OY82" i="1"/>
  <c r="PK82" i="1" s="1"/>
  <c r="OT82" i="1"/>
  <c r="OS82" i="1"/>
  <c r="OQ82" i="1"/>
  <c r="OP82" i="1"/>
  <c r="ON82" i="1"/>
  <c r="OM82" i="1"/>
  <c r="OK82" i="1"/>
  <c r="OJ82" i="1"/>
  <c r="OV82" i="1" s="1"/>
  <c r="OE82" i="1"/>
  <c r="OD82" i="1"/>
  <c r="OB82" i="1"/>
  <c r="OA82" i="1"/>
  <c r="NY82" i="1"/>
  <c r="NX82" i="1"/>
  <c r="NV82" i="1"/>
  <c r="NP82" i="1"/>
  <c r="NO82" i="1"/>
  <c r="NM82" i="1"/>
  <c r="NL82" i="1"/>
  <c r="NJ82" i="1"/>
  <c r="NI82" i="1"/>
  <c r="NG82" i="1"/>
  <c r="NF82" i="1"/>
  <c r="NR82" i="1" s="1"/>
  <c r="NA82" i="1"/>
  <c r="MZ82" i="1"/>
  <c r="MX82" i="1"/>
  <c r="MW82" i="1"/>
  <c r="MU82" i="1"/>
  <c r="MT82" i="1"/>
  <c r="MR82" i="1"/>
  <c r="MQ82" i="1"/>
  <c r="NC82" i="1" s="1"/>
  <c r="ML82" i="1"/>
  <c r="MK82" i="1"/>
  <c r="MI82" i="1"/>
  <c r="MH82" i="1"/>
  <c r="MF82" i="1"/>
  <c r="ME82" i="1"/>
  <c r="MC82" i="1"/>
  <c r="LW82" i="1"/>
  <c r="LV82" i="1"/>
  <c r="LT82" i="1"/>
  <c r="LS82" i="1"/>
  <c r="LQ82" i="1"/>
  <c r="LP82" i="1"/>
  <c r="LN82" i="1"/>
  <c r="LM82" i="1"/>
  <c r="LY82" i="1" s="1"/>
  <c r="KS82" i="1"/>
  <c r="KR82" i="1"/>
  <c r="KP82" i="1"/>
  <c r="KO82" i="1"/>
  <c r="KM82" i="1"/>
  <c r="KL82" i="1"/>
  <c r="KJ82" i="1"/>
  <c r="KI82" i="1"/>
  <c r="KU82" i="1" s="1"/>
  <c r="IZ82" i="1"/>
  <c r="IY82" i="1"/>
  <c r="IW82" i="1"/>
  <c r="IV82" i="1"/>
  <c r="IT82" i="1"/>
  <c r="IS82" i="1"/>
  <c r="IQ82" i="1"/>
  <c r="IP82" i="1"/>
  <c r="JB82" i="1" s="1"/>
  <c r="IK82" i="1"/>
  <c r="IJ82" i="1"/>
  <c r="IH82" i="1"/>
  <c r="IG82" i="1"/>
  <c r="IE82" i="1"/>
  <c r="ID82" i="1"/>
  <c r="IB82" i="1"/>
  <c r="HV82" i="1"/>
  <c r="HU82" i="1"/>
  <c r="HS82" i="1"/>
  <c r="HR82" i="1"/>
  <c r="HP82" i="1"/>
  <c r="HO82" i="1"/>
  <c r="HM82" i="1"/>
  <c r="HL82" i="1"/>
  <c r="HX82" i="1" s="1"/>
  <c r="HG82" i="1"/>
  <c r="HF82" i="1"/>
  <c r="HD82" i="1"/>
  <c r="HC82" i="1"/>
  <c r="HA82" i="1"/>
  <c r="GZ82" i="1"/>
  <c r="GX82" i="1"/>
  <c r="GW82" i="1"/>
  <c r="HI82" i="1" s="1"/>
  <c r="GR82" i="1"/>
  <c r="GQ82" i="1"/>
  <c r="GO82" i="1"/>
  <c r="GN82" i="1"/>
  <c r="GL82" i="1"/>
  <c r="GK82" i="1"/>
  <c r="GI82" i="1"/>
  <c r="GH82" i="1"/>
  <c r="GT82" i="1" s="1"/>
  <c r="GC82" i="1"/>
  <c r="GB82" i="1"/>
  <c r="FZ82" i="1"/>
  <c r="FY82" i="1"/>
  <c r="FW82" i="1"/>
  <c r="FV82" i="1"/>
  <c r="FT82" i="1"/>
  <c r="FS82" i="1"/>
  <c r="GE82" i="1" s="1"/>
  <c r="FN82" i="1"/>
  <c r="FM82" i="1"/>
  <c r="FK82" i="1"/>
  <c r="FJ82" i="1"/>
  <c r="FH82" i="1"/>
  <c r="FG82" i="1"/>
  <c r="FE82" i="1"/>
  <c r="FD82" i="1"/>
  <c r="FP82" i="1" s="1"/>
  <c r="EY82" i="1"/>
  <c r="EX82" i="1"/>
  <c r="EV82" i="1"/>
  <c r="EU82" i="1"/>
  <c r="ES82" i="1"/>
  <c r="ER82" i="1"/>
  <c r="EP82" i="1"/>
  <c r="EO82" i="1"/>
  <c r="FA82" i="1" s="1"/>
  <c r="EJ82" i="1"/>
  <c r="EI82" i="1"/>
  <c r="EG82" i="1"/>
  <c r="EF82" i="1"/>
  <c r="ED82" i="1"/>
  <c r="EC82" i="1"/>
  <c r="EA82" i="1"/>
  <c r="DZ82" i="1"/>
  <c r="EL82" i="1" s="1"/>
  <c r="DU82" i="1"/>
  <c r="DT82" i="1"/>
  <c r="DR82" i="1"/>
  <c r="DQ82" i="1"/>
  <c r="DO82" i="1"/>
  <c r="DN82" i="1"/>
  <c r="DL82" i="1"/>
  <c r="DK82" i="1"/>
  <c r="DW82" i="1" s="1"/>
  <c r="DF82" i="1"/>
  <c r="DE82" i="1"/>
  <c r="DC82" i="1"/>
  <c r="DB82" i="1"/>
  <c r="CZ82" i="1"/>
  <c r="CY82" i="1"/>
  <c r="CW82" i="1"/>
  <c r="CV82" i="1"/>
  <c r="DH82" i="1" s="1"/>
  <c r="CQ82" i="1"/>
  <c r="CP82" i="1"/>
  <c r="CN82" i="1"/>
  <c r="CK82" i="1"/>
  <c r="CJ82" i="1"/>
  <c r="CH82" i="1"/>
  <c r="CG82" i="1"/>
  <c r="BM82" i="1"/>
  <c r="BL82" i="1"/>
  <c r="BJ82" i="1"/>
  <c r="BI82" i="1"/>
  <c r="BG82" i="1"/>
  <c r="BF82" i="1"/>
  <c r="BD82" i="1"/>
  <c r="BC82" i="1"/>
  <c r="BO82" i="1" s="1"/>
  <c r="AX82" i="1"/>
  <c r="AW82" i="1"/>
  <c r="AU82" i="1"/>
  <c r="AT82" i="1"/>
  <c r="AR82" i="1"/>
  <c r="AQ82" i="1"/>
  <c r="AO82" i="1"/>
  <c r="AN82" i="1"/>
  <c r="AZ82" i="1" s="1"/>
  <c r="T82" i="1"/>
  <c r="S82" i="1"/>
  <c r="Q82" i="1"/>
  <c r="P82" i="1"/>
  <c r="N82" i="1"/>
  <c r="M82" i="1"/>
  <c r="K82" i="1"/>
  <c r="J82" i="1"/>
  <c r="H82" i="1"/>
  <c r="AAB81" i="1"/>
  <c r="AAA81" i="1"/>
  <c r="AAC81" i="1" s="1"/>
  <c r="ZZ81" i="1"/>
  <c r="ZW81" i="1"/>
  <c r="ZG81" i="1"/>
  <c r="AAE81" i="1" s="1"/>
  <c r="ZF81" i="1"/>
  <c r="AAD81" i="1" s="1"/>
  <c r="ZE81" i="1"/>
  <c r="ZB81" i="1"/>
  <c r="YY81" i="1"/>
  <c r="YV81" i="1"/>
  <c r="YR81" i="1"/>
  <c r="YQ81" i="1"/>
  <c r="YS81" i="1" s="1"/>
  <c r="YP81" i="1"/>
  <c r="YM81" i="1"/>
  <c r="YJ81" i="1"/>
  <c r="YG81" i="1"/>
  <c r="YC81" i="1"/>
  <c r="YB81" i="1"/>
  <c r="YD81" i="1" s="1"/>
  <c r="YA81" i="1"/>
  <c r="XX81" i="1"/>
  <c r="XU81" i="1"/>
  <c r="XR81" i="1"/>
  <c r="VU81" i="1"/>
  <c r="VT81" i="1"/>
  <c r="VV81" i="1" s="1"/>
  <c r="VS81" i="1"/>
  <c r="VP81" i="1"/>
  <c r="VM81" i="1"/>
  <c r="VJ81" i="1"/>
  <c r="UQ81" i="1"/>
  <c r="UP81" i="1"/>
  <c r="UR81" i="1" s="1"/>
  <c r="UO81" i="1"/>
  <c r="UL81" i="1"/>
  <c r="UI81" i="1"/>
  <c r="UF81" i="1"/>
  <c r="UC81" i="1"/>
  <c r="UB81" i="1"/>
  <c r="UA81" i="1"/>
  <c r="TZ81" i="1"/>
  <c r="TW81" i="1"/>
  <c r="TT81" i="1"/>
  <c r="TQ81" i="1"/>
  <c r="TM81" i="1"/>
  <c r="TL81" i="1"/>
  <c r="TN81" i="1" s="1"/>
  <c r="TK81" i="1"/>
  <c r="TH81" i="1"/>
  <c r="TE81" i="1"/>
  <c r="TB81" i="1"/>
  <c r="SX81" i="1"/>
  <c r="SW81" i="1"/>
  <c r="SY81" i="1" s="1"/>
  <c r="SV81" i="1"/>
  <c r="SS81" i="1"/>
  <c r="SP81" i="1"/>
  <c r="SM81" i="1"/>
  <c r="SJ81" i="1"/>
  <c r="QP81" i="1"/>
  <c r="QO81" i="1"/>
  <c r="QQ81" i="1" s="1"/>
  <c r="QN81" i="1"/>
  <c r="QK81" i="1"/>
  <c r="QH81" i="1"/>
  <c r="QE81" i="1"/>
  <c r="QA81" i="1"/>
  <c r="PZ81" i="1"/>
  <c r="QB81" i="1" s="1"/>
  <c r="PY81" i="1"/>
  <c r="PV81" i="1"/>
  <c r="PS81" i="1"/>
  <c r="PP81" i="1"/>
  <c r="PL81" i="1"/>
  <c r="PK81" i="1"/>
  <c r="PM81" i="1" s="1"/>
  <c r="PJ81" i="1"/>
  <c r="PG81" i="1"/>
  <c r="PD81" i="1"/>
  <c r="PA81" i="1"/>
  <c r="OW81" i="1"/>
  <c r="OV81" i="1"/>
  <c r="OX81" i="1" s="1"/>
  <c r="OU81" i="1"/>
  <c r="OR81" i="1"/>
  <c r="OO81" i="1"/>
  <c r="OL81" i="1"/>
  <c r="OH81" i="1"/>
  <c r="OG81" i="1"/>
  <c r="OI81" i="1" s="1"/>
  <c r="OF81" i="1"/>
  <c r="OC81" i="1"/>
  <c r="NZ81" i="1"/>
  <c r="NW81" i="1"/>
  <c r="NS81" i="1"/>
  <c r="NR81" i="1"/>
  <c r="NT81" i="1" s="1"/>
  <c r="NQ81" i="1"/>
  <c r="NN81" i="1"/>
  <c r="NK81" i="1"/>
  <c r="NH81" i="1"/>
  <c r="ND81" i="1"/>
  <c r="NC81" i="1"/>
  <c r="NE81" i="1" s="1"/>
  <c r="NB81" i="1"/>
  <c r="MY81" i="1"/>
  <c r="MV81" i="1"/>
  <c r="MS81" i="1"/>
  <c r="MO81" i="1"/>
  <c r="MN81" i="1"/>
  <c r="MP81" i="1" s="1"/>
  <c r="MM81" i="1"/>
  <c r="MJ81" i="1"/>
  <c r="MG81" i="1"/>
  <c r="MD81" i="1"/>
  <c r="LZ81" i="1"/>
  <c r="LY81" i="1"/>
  <c r="MA81" i="1" s="1"/>
  <c r="LX81" i="1"/>
  <c r="LU81" i="1"/>
  <c r="LR81" i="1"/>
  <c r="LO81" i="1"/>
  <c r="KV81" i="1"/>
  <c r="KU81" i="1"/>
  <c r="KW81" i="1" s="1"/>
  <c r="KT81" i="1"/>
  <c r="KQ81" i="1"/>
  <c r="KN81" i="1"/>
  <c r="KK81" i="1"/>
  <c r="KH81" i="1"/>
  <c r="JC81" i="1"/>
  <c r="JB81" i="1"/>
  <c r="JD81" i="1" s="1"/>
  <c r="JA81" i="1"/>
  <c r="IX81" i="1"/>
  <c r="IU81" i="1"/>
  <c r="IR81" i="1"/>
  <c r="IN81" i="1"/>
  <c r="IM81" i="1"/>
  <c r="IO81" i="1" s="1"/>
  <c r="IL81" i="1"/>
  <c r="II81" i="1"/>
  <c r="IF81" i="1"/>
  <c r="IC81" i="1"/>
  <c r="HY81" i="1"/>
  <c r="HX81" i="1"/>
  <c r="HZ81" i="1" s="1"/>
  <c r="HW81" i="1"/>
  <c r="HT81" i="1"/>
  <c r="HQ81" i="1"/>
  <c r="HN81" i="1"/>
  <c r="HJ81" i="1"/>
  <c r="HI81" i="1"/>
  <c r="HK81" i="1" s="1"/>
  <c r="HH81" i="1"/>
  <c r="HE81" i="1"/>
  <c r="HB81" i="1"/>
  <c r="GY81" i="1"/>
  <c r="GU81" i="1"/>
  <c r="GT81" i="1"/>
  <c r="GV81" i="1" s="1"/>
  <c r="GS81" i="1"/>
  <c r="GP81" i="1"/>
  <c r="GM81" i="1"/>
  <c r="GJ81" i="1"/>
  <c r="GF81" i="1"/>
  <c r="GE81" i="1"/>
  <c r="GG81" i="1" s="1"/>
  <c r="GD81" i="1"/>
  <c r="GA81" i="1"/>
  <c r="FX81" i="1"/>
  <c r="FU81" i="1"/>
  <c r="FQ81" i="1"/>
  <c r="FP81" i="1"/>
  <c r="FR81" i="1" s="1"/>
  <c r="FO81" i="1"/>
  <c r="FL81" i="1"/>
  <c r="FI81" i="1"/>
  <c r="FF81" i="1"/>
  <c r="FB81" i="1"/>
  <c r="FA81" i="1"/>
  <c r="FC81" i="1" s="1"/>
  <c r="EZ81" i="1"/>
  <c r="EW81" i="1"/>
  <c r="ET81" i="1"/>
  <c r="EQ81" i="1"/>
  <c r="EM81" i="1"/>
  <c r="EL81" i="1"/>
  <c r="EN81" i="1" s="1"/>
  <c r="EK81" i="1"/>
  <c r="EH81" i="1"/>
  <c r="EE81" i="1"/>
  <c r="EB81" i="1"/>
  <c r="DX81" i="1"/>
  <c r="DW81" i="1"/>
  <c r="DY81" i="1" s="1"/>
  <c r="DV81" i="1"/>
  <c r="DS81" i="1"/>
  <c r="DP81" i="1"/>
  <c r="DM81" i="1"/>
  <c r="DI81" i="1"/>
  <c r="DH81" i="1"/>
  <c r="DJ81" i="1" s="1"/>
  <c r="DG81" i="1"/>
  <c r="DD81" i="1"/>
  <c r="DA81" i="1"/>
  <c r="CX81" i="1"/>
  <c r="CT81" i="1"/>
  <c r="CS81" i="1"/>
  <c r="CU81" i="1" s="1"/>
  <c r="CR81" i="1"/>
  <c r="CO81" i="1"/>
  <c r="CL81" i="1"/>
  <c r="CI81" i="1"/>
  <c r="CF81" i="1"/>
  <c r="BP81" i="1"/>
  <c r="BO81" i="1"/>
  <c r="BQ81" i="1" s="1"/>
  <c r="BN81" i="1"/>
  <c r="BK81" i="1"/>
  <c r="BH81" i="1"/>
  <c r="BE81" i="1"/>
  <c r="BA81" i="1"/>
  <c r="AZ81" i="1"/>
  <c r="BB81" i="1" s="1"/>
  <c r="AY81" i="1"/>
  <c r="AV81" i="1"/>
  <c r="AS81" i="1"/>
  <c r="AP81" i="1"/>
  <c r="AM81" i="1"/>
  <c r="W81" i="1"/>
  <c r="V81" i="1"/>
  <c r="X81" i="1" s="1"/>
  <c r="U81" i="1"/>
  <c r="R81" i="1"/>
  <c r="O81" i="1"/>
  <c r="L81" i="1"/>
  <c r="I81" i="1"/>
  <c r="AAB80" i="1"/>
  <c r="AAA80" i="1"/>
  <c r="AAC80" i="1" s="1"/>
  <c r="ZZ80" i="1"/>
  <c r="ZW80" i="1"/>
  <c r="ZG80" i="1"/>
  <c r="AAE80" i="1" s="1"/>
  <c r="ZF80" i="1"/>
  <c r="AAD80" i="1" s="1"/>
  <c r="ZE80" i="1"/>
  <c r="ZB80" i="1"/>
  <c r="YY80" i="1"/>
  <c r="YV80" i="1"/>
  <c r="YR80" i="1"/>
  <c r="YQ80" i="1"/>
  <c r="YS80" i="1" s="1"/>
  <c r="YP80" i="1"/>
  <c r="YM80" i="1"/>
  <c r="YJ80" i="1"/>
  <c r="YG80" i="1"/>
  <c r="YC80" i="1"/>
  <c r="YB80" i="1"/>
  <c r="YD80" i="1" s="1"/>
  <c r="YA80" i="1"/>
  <c r="XX80" i="1"/>
  <c r="XU80" i="1"/>
  <c r="XR80" i="1"/>
  <c r="VU80" i="1"/>
  <c r="VT80" i="1"/>
  <c r="VV80" i="1" s="1"/>
  <c r="VS80" i="1"/>
  <c r="VP80" i="1"/>
  <c r="VM80" i="1"/>
  <c r="VJ80" i="1"/>
  <c r="UQ80" i="1"/>
  <c r="UP80" i="1"/>
  <c r="UR80" i="1" s="1"/>
  <c r="UO80" i="1"/>
  <c r="UL80" i="1"/>
  <c r="UI80" i="1"/>
  <c r="UF80" i="1"/>
  <c r="UB80" i="1"/>
  <c r="UA80" i="1"/>
  <c r="UC80" i="1" s="1"/>
  <c r="TZ80" i="1"/>
  <c r="TW80" i="1"/>
  <c r="TT80" i="1"/>
  <c r="TQ80" i="1"/>
  <c r="TM80" i="1"/>
  <c r="TL80" i="1"/>
  <c r="TN80" i="1" s="1"/>
  <c r="TK80" i="1"/>
  <c r="TH80" i="1"/>
  <c r="TE80" i="1"/>
  <c r="TB80" i="1"/>
  <c r="SX80" i="1"/>
  <c r="SW80" i="1"/>
  <c r="SY80" i="1" s="1"/>
  <c r="SV80" i="1"/>
  <c r="SS80" i="1"/>
  <c r="SP80" i="1"/>
  <c r="SM80" i="1"/>
  <c r="SJ80" i="1"/>
  <c r="QP80" i="1"/>
  <c r="QO80" i="1"/>
  <c r="QQ80" i="1" s="1"/>
  <c r="QN80" i="1"/>
  <c r="QK80" i="1"/>
  <c r="QH80" i="1"/>
  <c r="QE80" i="1"/>
  <c r="QA80" i="1"/>
  <c r="PZ80" i="1"/>
  <c r="QB80" i="1" s="1"/>
  <c r="PY80" i="1"/>
  <c r="PV80" i="1"/>
  <c r="PS80" i="1"/>
  <c r="PP80" i="1"/>
  <c r="PL80" i="1"/>
  <c r="PK80" i="1"/>
  <c r="PM80" i="1" s="1"/>
  <c r="PJ80" i="1"/>
  <c r="PG80" i="1"/>
  <c r="PD80" i="1"/>
  <c r="PA80" i="1"/>
  <c r="OW80" i="1"/>
  <c r="OV80" i="1"/>
  <c r="OX80" i="1" s="1"/>
  <c r="OU80" i="1"/>
  <c r="OR80" i="1"/>
  <c r="OO80" i="1"/>
  <c r="OL80" i="1"/>
  <c r="OH80" i="1"/>
  <c r="OG80" i="1"/>
  <c r="OI80" i="1" s="1"/>
  <c r="OF80" i="1"/>
  <c r="OC80" i="1"/>
  <c r="NZ80" i="1"/>
  <c r="NW80" i="1"/>
  <c r="NS80" i="1"/>
  <c r="NR80" i="1"/>
  <c r="NT80" i="1" s="1"/>
  <c r="NQ80" i="1"/>
  <c r="NN80" i="1"/>
  <c r="NK80" i="1"/>
  <c r="NH80" i="1"/>
  <c r="ND80" i="1"/>
  <c r="NC80" i="1"/>
  <c r="NE80" i="1" s="1"/>
  <c r="NB80" i="1"/>
  <c r="MY80" i="1"/>
  <c r="MV80" i="1"/>
  <c r="MS80" i="1"/>
  <c r="MO80" i="1"/>
  <c r="MN80" i="1"/>
  <c r="MP80" i="1" s="1"/>
  <c r="MM80" i="1"/>
  <c r="MJ80" i="1"/>
  <c r="MG80" i="1"/>
  <c r="MD80" i="1"/>
  <c r="LZ80" i="1"/>
  <c r="LY80" i="1"/>
  <c r="MA80" i="1" s="1"/>
  <c r="LX80" i="1"/>
  <c r="LU80" i="1"/>
  <c r="LR80" i="1"/>
  <c r="LO80" i="1"/>
  <c r="KV80" i="1"/>
  <c r="KU80" i="1"/>
  <c r="KW80" i="1" s="1"/>
  <c r="KT80" i="1"/>
  <c r="KQ80" i="1"/>
  <c r="KN80" i="1"/>
  <c r="KK80" i="1"/>
  <c r="KH80" i="1"/>
  <c r="JC80" i="1"/>
  <c r="JB80" i="1"/>
  <c r="JD80" i="1" s="1"/>
  <c r="JA80" i="1"/>
  <c r="IX80" i="1"/>
  <c r="IU80" i="1"/>
  <c r="IR80" i="1"/>
  <c r="IN80" i="1"/>
  <c r="IM80" i="1"/>
  <c r="IO80" i="1" s="1"/>
  <c r="IL80" i="1"/>
  <c r="II80" i="1"/>
  <c r="IF80" i="1"/>
  <c r="IC80" i="1"/>
  <c r="HY80" i="1"/>
  <c r="HX80" i="1"/>
  <c r="HZ80" i="1" s="1"/>
  <c r="HW80" i="1"/>
  <c r="HT80" i="1"/>
  <c r="HQ80" i="1"/>
  <c r="HN80" i="1"/>
  <c r="HJ80" i="1"/>
  <c r="HI80" i="1"/>
  <c r="HK80" i="1" s="1"/>
  <c r="HH80" i="1"/>
  <c r="HE80" i="1"/>
  <c r="HB80" i="1"/>
  <c r="GY80" i="1"/>
  <c r="GU80" i="1"/>
  <c r="GT80" i="1"/>
  <c r="GV80" i="1" s="1"/>
  <c r="GS80" i="1"/>
  <c r="GP80" i="1"/>
  <c r="GM80" i="1"/>
  <c r="GJ80" i="1"/>
  <c r="GF80" i="1"/>
  <c r="GE80" i="1"/>
  <c r="GG80" i="1" s="1"/>
  <c r="GD80" i="1"/>
  <c r="GA80" i="1"/>
  <c r="FX80" i="1"/>
  <c r="FU80" i="1"/>
  <c r="FQ80" i="1"/>
  <c r="FP80" i="1"/>
  <c r="FR80" i="1" s="1"/>
  <c r="FO80" i="1"/>
  <c r="FL80" i="1"/>
  <c r="FI80" i="1"/>
  <c r="FF80" i="1"/>
  <c r="FB80" i="1"/>
  <c r="FA80" i="1"/>
  <c r="FC80" i="1" s="1"/>
  <c r="EZ80" i="1"/>
  <c r="EW80" i="1"/>
  <c r="ET80" i="1"/>
  <c r="EQ80" i="1"/>
  <c r="EM80" i="1"/>
  <c r="EL80" i="1"/>
  <c r="EN80" i="1" s="1"/>
  <c r="EK80" i="1"/>
  <c r="EH80" i="1"/>
  <c r="EE80" i="1"/>
  <c r="EB80" i="1"/>
  <c r="DX80" i="1"/>
  <c r="DW80" i="1"/>
  <c r="DY80" i="1" s="1"/>
  <c r="DV80" i="1"/>
  <c r="DS80" i="1"/>
  <c r="DP80" i="1"/>
  <c r="DM80" i="1"/>
  <c r="DI80" i="1"/>
  <c r="DH80" i="1"/>
  <c r="DJ80" i="1" s="1"/>
  <c r="DG80" i="1"/>
  <c r="DD80" i="1"/>
  <c r="DA80" i="1"/>
  <c r="CX80" i="1"/>
  <c r="CT80" i="1"/>
  <c r="CS80" i="1"/>
  <c r="CU80" i="1" s="1"/>
  <c r="CR80" i="1"/>
  <c r="CO80" i="1"/>
  <c r="CL80" i="1"/>
  <c r="CI80" i="1"/>
  <c r="CF80" i="1"/>
  <c r="BP80" i="1"/>
  <c r="BO80" i="1"/>
  <c r="BQ80" i="1" s="1"/>
  <c r="BN80" i="1"/>
  <c r="BK80" i="1"/>
  <c r="BH80" i="1"/>
  <c r="BE80" i="1"/>
  <c r="BA80" i="1"/>
  <c r="AZ80" i="1"/>
  <c r="BB80" i="1" s="1"/>
  <c r="AY80" i="1"/>
  <c r="AV80" i="1"/>
  <c r="AS80" i="1"/>
  <c r="AP80" i="1"/>
  <c r="AM80" i="1"/>
  <c r="W80" i="1"/>
  <c r="V80" i="1"/>
  <c r="X80" i="1" s="1"/>
  <c r="U80" i="1"/>
  <c r="R80" i="1"/>
  <c r="O80" i="1"/>
  <c r="L80" i="1"/>
  <c r="I80" i="1"/>
  <c r="AAB79" i="1"/>
  <c r="AAA79" i="1"/>
  <c r="AAC79" i="1" s="1"/>
  <c r="ZZ79" i="1"/>
  <c r="ZW79" i="1"/>
  <c r="ZG79" i="1"/>
  <c r="AAE79" i="1" s="1"/>
  <c r="ZF79" i="1"/>
  <c r="AAD79" i="1" s="1"/>
  <c r="ZE79" i="1"/>
  <c r="ZB79" i="1"/>
  <c r="YY79" i="1"/>
  <c r="YV79" i="1"/>
  <c r="YR79" i="1"/>
  <c r="YQ79" i="1"/>
  <c r="YS79" i="1" s="1"/>
  <c r="YP79" i="1"/>
  <c r="YM79" i="1"/>
  <c r="YJ79" i="1"/>
  <c r="YG79" i="1"/>
  <c r="YC79" i="1"/>
  <c r="YB79" i="1"/>
  <c r="YD79" i="1" s="1"/>
  <c r="YA79" i="1"/>
  <c r="XX79" i="1"/>
  <c r="XU79" i="1"/>
  <c r="XR79" i="1"/>
  <c r="VU79" i="1"/>
  <c r="VT79" i="1"/>
  <c r="VV79" i="1" s="1"/>
  <c r="VS79" i="1"/>
  <c r="VP79" i="1"/>
  <c r="VM79" i="1"/>
  <c r="VJ79" i="1"/>
  <c r="UQ79" i="1"/>
  <c r="UP79" i="1"/>
  <c r="UR79" i="1" s="1"/>
  <c r="UO79" i="1"/>
  <c r="UL79" i="1"/>
  <c r="UI79" i="1"/>
  <c r="UF79" i="1"/>
  <c r="UB79" i="1"/>
  <c r="UA79" i="1"/>
  <c r="UC79" i="1" s="1"/>
  <c r="TZ79" i="1"/>
  <c r="TW79" i="1"/>
  <c r="TT79" i="1"/>
  <c r="TQ79" i="1"/>
  <c r="TM79" i="1"/>
  <c r="TL79" i="1"/>
  <c r="TN79" i="1" s="1"/>
  <c r="TK79" i="1"/>
  <c r="TH79" i="1"/>
  <c r="TE79" i="1"/>
  <c r="TB79" i="1"/>
  <c r="SX79" i="1"/>
  <c r="SW79" i="1"/>
  <c r="SY79" i="1" s="1"/>
  <c r="SV79" i="1"/>
  <c r="SS79" i="1"/>
  <c r="SP79" i="1"/>
  <c r="SM79" i="1"/>
  <c r="SJ79" i="1"/>
  <c r="QP79" i="1"/>
  <c r="QO79" i="1"/>
  <c r="QQ79" i="1" s="1"/>
  <c r="QN79" i="1"/>
  <c r="QK79" i="1"/>
  <c r="QH79" i="1"/>
  <c r="QE79" i="1"/>
  <c r="QA79" i="1"/>
  <c r="PZ79" i="1"/>
  <c r="QB79" i="1" s="1"/>
  <c r="PY79" i="1"/>
  <c r="PV79" i="1"/>
  <c r="PS79" i="1"/>
  <c r="PP79" i="1"/>
  <c r="PL79" i="1"/>
  <c r="PK79" i="1"/>
  <c r="PM79" i="1" s="1"/>
  <c r="PJ79" i="1"/>
  <c r="PG79" i="1"/>
  <c r="PD79" i="1"/>
  <c r="PA79" i="1"/>
  <c r="OW79" i="1"/>
  <c r="OV79" i="1"/>
  <c r="OX79" i="1" s="1"/>
  <c r="OU79" i="1"/>
  <c r="OR79" i="1"/>
  <c r="OO79" i="1"/>
  <c r="OL79" i="1"/>
  <c r="OH79" i="1"/>
  <c r="OG79" i="1"/>
  <c r="OI79" i="1" s="1"/>
  <c r="OF79" i="1"/>
  <c r="OC79" i="1"/>
  <c r="NZ79" i="1"/>
  <c r="NW79" i="1"/>
  <c r="NS79" i="1"/>
  <c r="NR79" i="1"/>
  <c r="NT79" i="1" s="1"/>
  <c r="NQ79" i="1"/>
  <c r="NN79" i="1"/>
  <c r="NK79" i="1"/>
  <c r="NH79" i="1"/>
  <c r="ND79" i="1"/>
  <c r="NC79" i="1"/>
  <c r="NE79" i="1" s="1"/>
  <c r="NB79" i="1"/>
  <c r="MY79" i="1"/>
  <c r="MV79" i="1"/>
  <c r="MS79" i="1"/>
  <c r="MO79" i="1"/>
  <c r="MN79" i="1"/>
  <c r="MP79" i="1" s="1"/>
  <c r="MM79" i="1"/>
  <c r="MJ79" i="1"/>
  <c r="MG79" i="1"/>
  <c r="MD79" i="1"/>
  <c r="LZ79" i="1"/>
  <c r="LY79" i="1"/>
  <c r="MA79" i="1" s="1"/>
  <c r="LX79" i="1"/>
  <c r="LU79" i="1"/>
  <c r="LR79" i="1"/>
  <c r="LO79" i="1"/>
  <c r="KV79" i="1"/>
  <c r="KU79" i="1"/>
  <c r="KW79" i="1" s="1"/>
  <c r="KT79" i="1"/>
  <c r="KQ79" i="1"/>
  <c r="KN79" i="1"/>
  <c r="KK79" i="1"/>
  <c r="KH79" i="1"/>
  <c r="JC79" i="1"/>
  <c r="JB79" i="1"/>
  <c r="JD79" i="1" s="1"/>
  <c r="JA79" i="1"/>
  <c r="IX79" i="1"/>
  <c r="IU79" i="1"/>
  <c r="IR79" i="1"/>
  <c r="IN79" i="1"/>
  <c r="IM79" i="1"/>
  <c r="IO79" i="1" s="1"/>
  <c r="IL79" i="1"/>
  <c r="II79" i="1"/>
  <c r="IF79" i="1"/>
  <c r="IC79" i="1"/>
  <c r="HY79" i="1"/>
  <c r="HX79" i="1"/>
  <c r="HZ79" i="1" s="1"/>
  <c r="HW79" i="1"/>
  <c r="HT79" i="1"/>
  <c r="HQ79" i="1"/>
  <c r="HN79" i="1"/>
  <c r="HJ79" i="1"/>
  <c r="HI79" i="1"/>
  <c r="HK79" i="1" s="1"/>
  <c r="HH79" i="1"/>
  <c r="HE79" i="1"/>
  <c r="HB79" i="1"/>
  <c r="GY79" i="1"/>
  <c r="GU79" i="1"/>
  <c r="GT79" i="1"/>
  <c r="GV79" i="1" s="1"/>
  <c r="GS79" i="1"/>
  <c r="GP79" i="1"/>
  <c r="GM79" i="1"/>
  <c r="GJ79" i="1"/>
  <c r="GF79" i="1"/>
  <c r="GE79" i="1"/>
  <c r="GG79" i="1" s="1"/>
  <c r="GD79" i="1"/>
  <c r="GA79" i="1"/>
  <c r="FX79" i="1"/>
  <c r="FU79" i="1"/>
  <c r="FQ79" i="1"/>
  <c r="FP79" i="1"/>
  <c r="FR79" i="1" s="1"/>
  <c r="FO79" i="1"/>
  <c r="FL79" i="1"/>
  <c r="FI79" i="1"/>
  <c r="FF79" i="1"/>
  <c r="FB79" i="1"/>
  <c r="FA79" i="1"/>
  <c r="FC79" i="1" s="1"/>
  <c r="EZ79" i="1"/>
  <c r="EW79" i="1"/>
  <c r="ET79" i="1"/>
  <c r="EQ79" i="1"/>
  <c r="EM79" i="1"/>
  <c r="EL79" i="1"/>
  <c r="EN79" i="1" s="1"/>
  <c r="EK79" i="1"/>
  <c r="EH79" i="1"/>
  <c r="EE79" i="1"/>
  <c r="EB79" i="1"/>
  <c r="DX79" i="1"/>
  <c r="DW79" i="1"/>
  <c r="DY79" i="1" s="1"/>
  <c r="DV79" i="1"/>
  <c r="DS79" i="1"/>
  <c r="DP79" i="1"/>
  <c r="DM79" i="1"/>
  <c r="DI79" i="1"/>
  <c r="DH79" i="1"/>
  <c r="DJ79" i="1" s="1"/>
  <c r="DG79" i="1"/>
  <c r="DD79" i="1"/>
  <c r="DA79" i="1"/>
  <c r="CX79" i="1"/>
  <c r="CT79" i="1"/>
  <c r="CS79" i="1"/>
  <c r="CU79" i="1" s="1"/>
  <c r="CR79" i="1"/>
  <c r="CO79" i="1"/>
  <c r="CL79" i="1"/>
  <c r="CI79" i="1"/>
  <c r="CF79" i="1"/>
  <c r="BP79" i="1"/>
  <c r="BO79" i="1"/>
  <c r="BQ79" i="1" s="1"/>
  <c r="BN79" i="1"/>
  <c r="BK79" i="1"/>
  <c r="BH79" i="1"/>
  <c r="BE79" i="1"/>
  <c r="BA79" i="1"/>
  <c r="AZ79" i="1"/>
  <c r="BB79" i="1" s="1"/>
  <c r="AY79" i="1"/>
  <c r="AV79" i="1"/>
  <c r="AS79" i="1"/>
  <c r="AP79" i="1"/>
  <c r="AM79" i="1"/>
  <c r="W79" i="1"/>
  <c r="V79" i="1"/>
  <c r="X79" i="1" s="1"/>
  <c r="U79" i="1"/>
  <c r="R79" i="1"/>
  <c r="O79" i="1"/>
  <c r="L79" i="1"/>
  <c r="I79" i="1"/>
  <c r="AAB78" i="1"/>
  <c r="AAA78" i="1"/>
  <c r="AAC78" i="1" s="1"/>
  <c r="ZZ78" i="1"/>
  <c r="ZW78" i="1"/>
  <c r="ZG78" i="1"/>
  <c r="AAE78" i="1" s="1"/>
  <c r="ZF78" i="1"/>
  <c r="AAD78" i="1" s="1"/>
  <c r="ZE78" i="1"/>
  <c r="ZB78" i="1"/>
  <c r="YY78" i="1"/>
  <c r="YV78" i="1"/>
  <c r="YR78" i="1"/>
  <c r="YQ78" i="1"/>
  <c r="YS78" i="1" s="1"/>
  <c r="YP78" i="1"/>
  <c r="YM78" i="1"/>
  <c r="YJ78" i="1"/>
  <c r="YG78" i="1"/>
  <c r="YC78" i="1"/>
  <c r="YB78" i="1"/>
  <c r="YD78" i="1" s="1"/>
  <c r="YA78" i="1"/>
  <c r="XX78" i="1"/>
  <c r="XU78" i="1"/>
  <c r="XR78" i="1"/>
  <c r="VU78" i="1"/>
  <c r="VT78" i="1"/>
  <c r="VV78" i="1" s="1"/>
  <c r="VS78" i="1"/>
  <c r="VP78" i="1"/>
  <c r="VM78" i="1"/>
  <c r="VJ78" i="1"/>
  <c r="UQ78" i="1"/>
  <c r="UP78" i="1"/>
  <c r="UR78" i="1" s="1"/>
  <c r="UO78" i="1"/>
  <c r="UL78" i="1"/>
  <c r="UI78" i="1"/>
  <c r="UF78" i="1"/>
  <c r="UB78" i="1"/>
  <c r="UA78" i="1"/>
  <c r="UC78" i="1" s="1"/>
  <c r="TZ78" i="1"/>
  <c r="TW78" i="1"/>
  <c r="TT78" i="1"/>
  <c r="TQ78" i="1"/>
  <c r="TM78" i="1"/>
  <c r="TL78" i="1"/>
  <c r="TN78" i="1" s="1"/>
  <c r="TK78" i="1"/>
  <c r="TH78" i="1"/>
  <c r="TE78" i="1"/>
  <c r="TB78" i="1"/>
  <c r="SX78" i="1"/>
  <c r="SW78" i="1"/>
  <c r="SY78" i="1" s="1"/>
  <c r="SV78" i="1"/>
  <c r="SS78" i="1"/>
  <c r="SP78" i="1"/>
  <c r="SM78" i="1"/>
  <c r="SJ78" i="1"/>
  <c r="QP78" i="1"/>
  <c r="QO78" i="1"/>
  <c r="QQ78" i="1" s="1"/>
  <c r="QN78" i="1"/>
  <c r="QK78" i="1"/>
  <c r="QH78" i="1"/>
  <c r="QE78" i="1"/>
  <c r="QA78" i="1"/>
  <c r="PZ78" i="1"/>
  <c r="QB78" i="1" s="1"/>
  <c r="PY78" i="1"/>
  <c r="PV78" i="1"/>
  <c r="PS78" i="1"/>
  <c r="PP78" i="1"/>
  <c r="PL78" i="1"/>
  <c r="PK78" i="1"/>
  <c r="PM78" i="1" s="1"/>
  <c r="PJ78" i="1"/>
  <c r="PG78" i="1"/>
  <c r="PD78" i="1"/>
  <c r="PA78" i="1"/>
  <c r="OW78" i="1"/>
  <c r="OV78" i="1"/>
  <c r="OX78" i="1" s="1"/>
  <c r="OU78" i="1"/>
  <c r="OR78" i="1"/>
  <c r="OO78" i="1"/>
  <c r="OL78" i="1"/>
  <c r="OH78" i="1"/>
  <c r="OG78" i="1"/>
  <c r="OI78" i="1" s="1"/>
  <c r="OF78" i="1"/>
  <c r="OC78" i="1"/>
  <c r="NZ78" i="1"/>
  <c r="NW78" i="1"/>
  <c r="NS78" i="1"/>
  <c r="NR78" i="1"/>
  <c r="NT78" i="1" s="1"/>
  <c r="NQ78" i="1"/>
  <c r="NN78" i="1"/>
  <c r="NK78" i="1"/>
  <c r="NH78" i="1"/>
  <c r="ND78" i="1"/>
  <c r="NC78" i="1"/>
  <c r="NE78" i="1" s="1"/>
  <c r="NB78" i="1"/>
  <c r="MY78" i="1"/>
  <c r="MV78" i="1"/>
  <c r="MS78" i="1"/>
  <c r="MO78" i="1"/>
  <c r="MN78" i="1"/>
  <c r="MP78" i="1" s="1"/>
  <c r="MM78" i="1"/>
  <c r="MJ78" i="1"/>
  <c r="MG78" i="1"/>
  <c r="MD78" i="1"/>
  <c r="LZ78" i="1"/>
  <c r="LY78" i="1"/>
  <c r="MA78" i="1" s="1"/>
  <c r="LX78" i="1"/>
  <c r="LU78" i="1"/>
  <c r="LR78" i="1"/>
  <c r="LO78" i="1"/>
  <c r="KV78" i="1"/>
  <c r="KU78" i="1"/>
  <c r="KW78" i="1" s="1"/>
  <c r="KT78" i="1"/>
  <c r="KQ78" i="1"/>
  <c r="KN78" i="1"/>
  <c r="KK78" i="1"/>
  <c r="KH78" i="1"/>
  <c r="JC78" i="1"/>
  <c r="JB78" i="1"/>
  <c r="JD78" i="1" s="1"/>
  <c r="JA78" i="1"/>
  <c r="IX78" i="1"/>
  <c r="IU78" i="1"/>
  <c r="IR78" i="1"/>
  <c r="IN78" i="1"/>
  <c r="IM78" i="1"/>
  <c r="IO78" i="1" s="1"/>
  <c r="IL78" i="1"/>
  <c r="II78" i="1"/>
  <c r="IF78" i="1"/>
  <c r="IC78" i="1"/>
  <c r="HY78" i="1"/>
  <c r="HX78" i="1"/>
  <c r="HZ78" i="1" s="1"/>
  <c r="HW78" i="1"/>
  <c r="HT78" i="1"/>
  <c r="HQ78" i="1"/>
  <c r="HN78" i="1"/>
  <c r="HJ78" i="1"/>
  <c r="HI78" i="1"/>
  <c r="HK78" i="1" s="1"/>
  <c r="HH78" i="1"/>
  <c r="HE78" i="1"/>
  <c r="HB78" i="1"/>
  <c r="GY78" i="1"/>
  <c r="GU78" i="1"/>
  <c r="GT78" i="1"/>
  <c r="GV78" i="1" s="1"/>
  <c r="GS78" i="1"/>
  <c r="GP78" i="1"/>
  <c r="GM78" i="1"/>
  <c r="GJ78" i="1"/>
  <c r="GF78" i="1"/>
  <c r="GE78" i="1"/>
  <c r="GG78" i="1" s="1"/>
  <c r="GD78" i="1"/>
  <c r="GA78" i="1"/>
  <c r="FX78" i="1"/>
  <c r="FU78" i="1"/>
  <c r="FQ78" i="1"/>
  <c r="FP78" i="1"/>
  <c r="FR78" i="1" s="1"/>
  <c r="FO78" i="1"/>
  <c r="FL78" i="1"/>
  <c r="FI78" i="1"/>
  <c r="FF78" i="1"/>
  <c r="FB78" i="1"/>
  <c r="FA78" i="1"/>
  <c r="FC78" i="1" s="1"/>
  <c r="EZ78" i="1"/>
  <c r="EW78" i="1"/>
  <c r="ET78" i="1"/>
  <c r="EQ78" i="1"/>
  <c r="EM78" i="1"/>
  <c r="EL78" i="1"/>
  <c r="EN78" i="1" s="1"/>
  <c r="EK78" i="1"/>
  <c r="EH78" i="1"/>
  <c r="EE78" i="1"/>
  <c r="EB78" i="1"/>
  <c r="DX78" i="1"/>
  <c r="DW78" i="1"/>
  <c r="DY78" i="1" s="1"/>
  <c r="DV78" i="1"/>
  <c r="DS78" i="1"/>
  <c r="DP78" i="1"/>
  <c r="DM78" i="1"/>
  <c r="DI78" i="1"/>
  <c r="DH78" i="1"/>
  <c r="DJ78" i="1" s="1"/>
  <c r="DG78" i="1"/>
  <c r="DD78" i="1"/>
  <c r="DA78" i="1"/>
  <c r="CX78" i="1"/>
  <c r="CT78" i="1"/>
  <c r="CS78" i="1"/>
  <c r="CU78" i="1" s="1"/>
  <c r="CR78" i="1"/>
  <c r="CO78" i="1"/>
  <c r="CL78" i="1"/>
  <c r="CI78" i="1"/>
  <c r="CF78" i="1"/>
  <c r="BP78" i="1"/>
  <c r="BO78" i="1"/>
  <c r="BQ78" i="1" s="1"/>
  <c r="BN78" i="1"/>
  <c r="BK78" i="1"/>
  <c r="BH78" i="1"/>
  <c r="BE78" i="1"/>
  <c r="BA78" i="1"/>
  <c r="AZ78" i="1"/>
  <c r="BB78" i="1" s="1"/>
  <c r="AY78" i="1"/>
  <c r="AV78" i="1"/>
  <c r="AS78" i="1"/>
  <c r="AP78" i="1"/>
  <c r="AM78" i="1"/>
  <c r="W78" i="1"/>
  <c r="V78" i="1"/>
  <c r="X78" i="1" s="1"/>
  <c r="U78" i="1"/>
  <c r="R78" i="1"/>
  <c r="O78" i="1"/>
  <c r="L78" i="1"/>
  <c r="I78" i="1"/>
  <c r="AAB77" i="1"/>
  <c r="AAA77" i="1"/>
  <c r="AAC77" i="1" s="1"/>
  <c r="ZZ77" i="1"/>
  <c r="ZW77" i="1"/>
  <c r="ZG77" i="1"/>
  <c r="AAE77" i="1" s="1"/>
  <c r="ZF77" i="1"/>
  <c r="ZE77" i="1"/>
  <c r="ZB77" i="1"/>
  <c r="YY77" i="1"/>
  <c r="YV77" i="1"/>
  <c r="YR77" i="1"/>
  <c r="YQ77" i="1"/>
  <c r="YS77" i="1" s="1"/>
  <c r="YP77" i="1"/>
  <c r="YM77" i="1"/>
  <c r="YJ77" i="1"/>
  <c r="YG77" i="1"/>
  <c r="YC77" i="1"/>
  <c r="YB77" i="1"/>
  <c r="YD77" i="1" s="1"/>
  <c r="YA77" i="1"/>
  <c r="XX77" i="1"/>
  <c r="XU77" i="1"/>
  <c r="XR77" i="1"/>
  <c r="VU77" i="1"/>
  <c r="VT77" i="1"/>
  <c r="VV77" i="1" s="1"/>
  <c r="VS77" i="1"/>
  <c r="VP77" i="1"/>
  <c r="VM77" i="1"/>
  <c r="VJ77" i="1"/>
  <c r="UQ77" i="1"/>
  <c r="UP77" i="1"/>
  <c r="UR77" i="1" s="1"/>
  <c r="UO77" i="1"/>
  <c r="UL77" i="1"/>
  <c r="UI77" i="1"/>
  <c r="UF77" i="1"/>
  <c r="UB77" i="1"/>
  <c r="UA77" i="1"/>
  <c r="UC77" i="1" s="1"/>
  <c r="TZ77" i="1"/>
  <c r="TW77" i="1"/>
  <c r="TT77" i="1"/>
  <c r="TQ77" i="1"/>
  <c r="TM77" i="1"/>
  <c r="TL77" i="1"/>
  <c r="TN77" i="1" s="1"/>
  <c r="TK77" i="1"/>
  <c r="TH77" i="1"/>
  <c r="TE77" i="1"/>
  <c r="TB77" i="1"/>
  <c r="SX77" i="1"/>
  <c r="SW77" i="1"/>
  <c r="SY77" i="1" s="1"/>
  <c r="SV77" i="1"/>
  <c r="SS77" i="1"/>
  <c r="SP77" i="1"/>
  <c r="SM77" i="1"/>
  <c r="SJ77" i="1"/>
  <c r="QP77" i="1"/>
  <c r="QO77" i="1"/>
  <c r="QQ77" i="1" s="1"/>
  <c r="QN77" i="1"/>
  <c r="QK77" i="1"/>
  <c r="QH77" i="1"/>
  <c r="QE77" i="1"/>
  <c r="QA77" i="1"/>
  <c r="PZ77" i="1"/>
  <c r="QB77" i="1" s="1"/>
  <c r="PY77" i="1"/>
  <c r="PV77" i="1"/>
  <c r="PS77" i="1"/>
  <c r="PP77" i="1"/>
  <c r="PL77" i="1"/>
  <c r="PK77" i="1"/>
  <c r="PM77" i="1" s="1"/>
  <c r="PJ77" i="1"/>
  <c r="PG77" i="1"/>
  <c r="PD77" i="1"/>
  <c r="PA77" i="1"/>
  <c r="OW77" i="1"/>
  <c r="OV77" i="1"/>
  <c r="OX77" i="1" s="1"/>
  <c r="OU77" i="1"/>
  <c r="OR77" i="1"/>
  <c r="OO77" i="1"/>
  <c r="OL77" i="1"/>
  <c r="OH77" i="1"/>
  <c r="OG77" i="1"/>
  <c r="OI77" i="1" s="1"/>
  <c r="OF77" i="1"/>
  <c r="OC77" i="1"/>
  <c r="NZ77" i="1"/>
  <c r="NW77" i="1"/>
  <c r="NS77" i="1"/>
  <c r="NR77" i="1"/>
  <c r="NT77" i="1" s="1"/>
  <c r="NQ77" i="1"/>
  <c r="NN77" i="1"/>
  <c r="NK77" i="1"/>
  <c r="NH77" i="1"/>
  <c r="ND77" i="1"/>
  <c r="NC77" i="1"/>
  <c r="NE77" i="1" s="1"/>
  <c r="NB77" i="1"/>
  <c r="MY77" i="1"/>
  <c r="MV77" i="1"/>
  <c r="MS77" i="1"/>
  <c r="MO77" i="1"/>
  <c r="MN77" i="1"/>
  <c r="MP77" i="1" s="1"/>
  <c r="MM77" i="1"/>
  <c r="MJ77" i="1"/>
  <c r="MG77" i="1"/>
  <c r="MD77" i="1"/>
  <c r="LZ77" i="1"/>
  <c r="LY77" i="1"/>
  <c r="MA77" i="1" s="1"/>
  <c r="LX77" i="1"/>
  <c r="LU77" i="1"/>
  <c r="LR77" i="1"/>
  <c r="LO77" i="1"/>
  <c r="KV77" i="1"/>
  <c r="KU77" i="1"/>
  <c r="KW77" i="1" s="1"/>
  <c r="KT77" i="1"/>
  <c r="KQ77" i="1"/>
  <c r="KN77" i="1"/>
  <c r="KK77" i="1"/>
  <c r="KH77" i="1"/>
  <c r="JC77" i="1"/>
  <c r="JB77" i="1"/>
  <c r="JD77" i="1" s="1"/>
  <c r="JA77" i="1"/>
  <c r="IX77" i="1"/>
  <c r="IU77" i="1"/>
  <c r="IR77" i="1"/>
  <c r="IN77" i="1"/>
  <c r="IL77" i="1"/>
  <c r="II77" i="1"/>
  <c r="IF77" i="1"/>
  <c r="IA77" i="1"/>
  <c r="HY77" i="1"/>
  <c r="HX77" i="1"/>
  <c r="HZ77" i="1" s="1"/>
  <c r="HW77" i="1"/>
  <c r="HT77" i="1"/>
  <c r="HQ77" i="1"/>
  <c r="HN77" i="1"/>
  <c r="HJ77" i="1"/>
  <c r="HI77" i="1"/>
  <c r="HK77" i="1" s="1"/>
  <c r="HH77" i="1"/>
  <c r="HE77" i="1"/>
  <c r="HB77" i="1"/>
  <c r="GY77" i="1"/>
  <c r="GU77" i="1"/>
  <c r="GT77" i="1"/>
  <c r="GV77" i="1" s="1"/>
  <c r="GS77" i="1"/>
  <c r="GP77" i="1"/>
  <c r="GM77" i="1"/>
  <c r="GJ77" i="1"/>
  <c r="GF77" i="1"/>
  <c r="GE77" i="1"/>
  <c r="GG77" i="1" s="1"/>
  <c r="GD77" i="1"/>
  <c r="GA77" i="1"/>
  <c r="FX77" i="1"/>
  <c r="FU77" i="1"/>
  <c r="FQ77" i="1"/>
  <c r="FP77" i="1"/>
  <c r="FR77" i="1" s="1"/>
  <c r="FO77" i="1"/>
  <c r="FL77" i="1"/>
  <c r="FI77" i="1"/>
  <c r="FF77" i="1"/>
  <c r="FB77" i="1"/>
  <c r="FA77" i="1"/>
  <c r="FC77" i="1" s="1"/>
  <c r="EZ77" i="1"/>
  <c r="EW77" i="1"/>
  <c r="ET77" i="1"/>
  <c r="EQ77" i="1"/>
  <c r="EM77" i="1"/>
  <c r="EL77" i="1"/>
  <c r="EN77" i="1" s="1"/>
  <c r="EK77" i="1"/>
  <c r="EH77" i="1"/>
  <c r="EE77" i="1"/>
  <c r="EB77" i="1"/>
  <c r="DX77" i="1"/>
  <c r="DW77" i="1"/>
  <c r="DY77" i="1" s="1"/>
  <c r="DV77" i="1"/>
  <c r="DS77" i="1"/>
  <c r="DP77" i="1"/>
  <c r="DM77" i="1"/>
  <c r="DI77" i="1"/>
  <c r="DH77" i="1"/>
  <c r="DJ77" i="1" s="1"/>
  <c r="DG77" i="1"/>
  <c r="DD77" i="1"/>
  <c r="DA77" i="1"/>
  <c r="CX77" i="1"/>
  <c r="CT77" i="1"/>
  <c r="CR77" i="1"/>
  <c r="CM77" i="1"/>
  <c r="CL77" i="1"/>
  <c r="CI77" i="1"/>
  <c r="CF77" i="1"/>
  <c r="BP77" i="1"/>
  <c r="BO77" i="1"/>
  <c r="BQ77" i="1" s="1"/>
  <c r="BN77" i="1"/>
  <c r="BK77" i="1"/>
  <c r="BH77" i="1"/>
  <c r="BE77" i="1"/>
  <c r="BA77" i="1"/>
  <c r="AZ77" i="1"/>
  <c r="BB77" i="1" s="1"/>
  <c r="AY77" i="1"/>
  <c r="AV77" i="1"/>
  <c r="AS77" i="1"/>
  <c r="AP77" i="1"/>
  <c r="AM77" i="1"/>
  <c r="W77" i="1"/>
  <c r="U77" i="1"/>
  <c r="R77" i="1"/>
  <c r="O77" i="1"/>
  <c r="L77" i="1"/>
  <c r="G77" i="1"/>
  <c r="AAB76" i="1"/>
  <c r="AAA76" i="1"/>
  <c r="AAC76" i="1" s="1"/>
  <c r="ZZ76" i="1"/>
  <c r="ZW76" i="1"/>
  <c r="ZG76" i="1"/>
  <c r="AAE76" i="1" s="1"/>
  <c r="ZF76" i="1"/>
  <c r="ZE76" i="1"/>
  <c r="ZB76" i="1"/>
  <c r="YY76" i="1"/>
  <c r="YV76" i="1"/>
  <c r="YR76" i="1"/>
  <c r="YQ76" i="1"/>
  <c r="YS76" i="1" s="1"/>
  <c r="YP76" i="1"/>
  <c r="YM76" i="1"/>
  <c r="YJ76" i="1"/>
  <c r="YG76" i="1"/>
  <c r="YC76" i="1"/>
  <c r="YB76" i="1"/>
  <c r="YD76" i="1" s="1"/>
  <c r="YA76" i="1"/>
  <c r="XX76" i="1"/>
  <c r="XU76" i="1"/>
  <c r="XR76" i="1"/>
  <c r="VU76" i="1"/>
  <c r="VT76" i="1"/>
  <c r="VV76" i="1" s="1"/>
  <c r="VS76" i="1"/>
  <c r="VP76" i="1"/>
  <c r="VM76" i="1"/>
  <c r="VJ76" i="1"/>
  <c r="UQ76" i="1"/>
  <c r="UP76" i="1"/>
  <c r="UR76" i="1" s="1"/>
  <c r="UO76" i="1"/>
  <c r="UL76" i="1"/>
  <c r="UI76" i="1"/>
  <c r="UF76" i="1"/>
  <c r="UB76" i="1"/>
  <c r="UA76" i="1"/>
  <c r="UC76" i="1" s="1"/>
  <c r="TZ76" i="1"/>
  <c r="TW76" i="1"/>
  <c r="TT76" i="1"/>
  <c r="TQ76" i="1"/>
  <c r="TM76" i="1"/>
  <c r="TL76" i="1"/>
  <c r="TN76" i="1" s="1"/>
  <c r="TK76" i="1"/>
  <c r="TH76" i="1"/>
  <c r="TE76" i="1"/>
  <c r="TB76" i="1"/>
  <c r="SX76" i="1"/>
  <c r="SW76" i="1"/>
  <c r="SY76" i="1" s="1"/>
  <c r="SV76" i="1"/>
  <c r="SS76" i="1"/>
  <c r="SP76" i="1"/>
  <c r="SM76" i="1"/>
  <c r="SJ76" i="1"/>
  <c r="QP76" i="1"/>
  <c r="QO76" i="1"/>
  <c r="QQ76" i="1" s="1"/>
  <c r="QN76" i="1"/>
  <c r="QK76" i="1"/>
  <c r="QH76" i="1"/>
  <c r="QE76" i="1"/>
  <c r="QA76" i="1"/>
  <c r="PZ76" i="1"/>
  <c r="QB76" i="1" s="1"/>
  <c r="PY76" i="1"/>
  <c r="PV76" i="1"/>
  <c r="PS76" i="1"/>
  <c r="PP76" i="1"/>
  <c r="PL76" i="1"/>
  <c r="PK76" i="1"/>
  <c r="PM76" i="1" s="1"/>
  <c r="PJ76" i="1"/>
  <c r="PG76" i="1"/>
  <c r="PD76" i="1"/>
  <c r="PA76" i="1"/>
  <c r="OW76" i="1"/>
  <c r="OV76" i="1"/>
  <c r="OX76" i="1" s="1"/>
  <c r="OU76" i="1"/>
  <c r="OR76" i="1"/>
  <c r="OO76" i="1"/>
  <c r="OL76" i="1"/>
  <c r="OH76" i="1"/>
  <c r="OF76" i="1"/>
  <c r="OC76" i="1"/>
  <c r="NZ76" i="1"/>
  <c r="NU76" i="1"/>
  <c r="NS76" i="1"/>
  <c r="NR76" i="1"/>
  <c r="NT76" i="1" s="1"/>
  <c r="NQ76" i="1"/>
  <c r="NN76" i="1"/>
  <c r="NK76" i="1"/>
  <c r="NH76" i="1"/>
  <c r="ND76" i="1"/>
  <c r="NC76" i="1"/>
  <c r="NE76" i="1" s="1"/>
  <c r="NB76" i="1"/>
  <c r="MY76" i="1"/>
  <c r="MV76" i="1"/>
  <c r="MS76" i="1"/>
  <c r="MO76" i="1"/>
  <c r="MM76" i="1"/>
  <c r="MJ76" i="1"/>
  <c r="MG76" i="1"/>
  <c r="MB76" i="1"/>
  <c r="LZ76" i="1"/>
  <c r="LY76" i="1"/>
  <c r="MA76" i="1" s="1"/>
  <c r="LX76" i="1"/>
  <c r="LU76" i="1"/>
  <c r="LR76" i="1"/>
  <c r="LO76" i="1"/>
  <c r="KV76" i="1"/>
  <c r="KU76" i="1"/>
  <c r="KW76" i="1" s="1"/>
  <c r="KT76" i="1"/>
  <c r="KQ76" i="1"/>
  <c r="KN76" i="1"/>
  <c r="KK76" i="1"/>
  <c r="KH76" i="1"/>
  <c r="JC76" i="1"/>
  <c r="JB76" i="1"/>
  <c r="JD76" i="1" s="1"/>
  <c r="JA76" i="1"/>
  <c r="IX76" i="1"/>
  <c r="IU76" i="1"/>
  <c r="IR76" i="1"/>
  <c r="IN76" i="1"/>
  <c r="IM76" i="1"/>
  <c r="IO76" i="1" s="1"/>
  <c r="IL76" i="1"/>
  <c r="II76" i="1"/>
  <c r="IF76" i="1"/>
  <c r="IC76" i="1"/>
  <c r="HY76" i="1"/>
  <c r="HX76" i="1"/>
  <c r="HZ76" i="1" s="1"/>
  <c r="HW76" i="1"/>
  <c r="HT76" i="1"/>
  <c r="HQ76" i="1"/>
  <c r="HN76" i="1"/>
  <c r="HJ76" i="1"/>
  <c r="HI76" i="1"/>
  <c r="HK76" i="1" s="1"/>
  <c r="HH76" i="1"/>
  <c r="HE76" i="1"/>
  <c r="HB76" i="1"/>
  <c r="GY76" i="1"/>
  <c r="GU76" i="1"/>
  <c r="GT76" i="1"/>
  <c r="GV76" i="1" s="1"/>
  <c r="GS76" i="1"/>
  <c r="GP76" i="1"/>
  <c r="GM76" i="1"/>
  <c r="GJ76" i="1"/>
  <c r="GF76" i="1"/>
  <c r="GE76" i="1"/>
  <c r="GG76" i="1" s="1"/>
  <c r="GD76" i="1"/>
  <c r="GA76" i="1"/>
  <c r="FX76" i="1"/>
  <c r="FU76" i="1"/>
  <c r="FQ76" i="1"/>
  <c r="FP76" i="1"/>
  <c r="FR76" i="1" s="1"/>
  <c r="FO76" i="1"/>
  <c r="FL76" i="1"/>
  <c r="FI76" i="1"/>
  <c r="FF76" i="1"/>
  <c r="FB76" i="1"/>
  <c r="FA76" i="1"/>
  <c r="FC76" i="1" s="1"/>
  <c r="EZ76" i="1"/>
  <c r="EW76" i="1"/>
  <c r="ET76" i="1"/>
  <c r="EQ76" i="1"/>
  <c r="EM76" i="1"/>
  <c r="EL76" i="1"/>
  <c r="EN76" i="1" s="1"/>
  <c r="EK76" i="1"/>
  <c r="EH76" i="1"/>
  <c r="EE76" i="1"/>
  <c r="EB76" i="1"/>
  <c r="DX76" i="1"/>
  <c r="DW76" i="1"/>
  <c r="DY76" i="1" s="1"/>
  <c r="DV76" i="1"/>
  <c r="DS76" i="1"/>
  <c r="DP76" i="1"/>
  <c r="DM76" i="1"/>
  <c r="DI76" i="1"/>
  <c r="DH76" i="1"/>
  <c r="DJ76" i="1" s="1"/>
  <c r="DG76" i="1"/>
  <c r="DD76" i="1"/>
  <c r="DA76" i="1"/>
  <c r="CX76" i="1"/>
  <c r="CT76" i="1"/>
  <c r="CS76" i="1"/>
  <c r="CU76" i="1" s="1"/>
  <c r="CR76" i="1"/>
  <c r="CO76" i="1"/>
  <c r="CL76" i="1"/>
  <c r="CI76" i="1"/>
  <c r="CF76" i="1"/>
  <c r="BP76" i="1"/>
  <c r="BO76" i="1"/>
  <c r="BQ76" i="1" s="1"/>
  <c r="BN76" i="1"/>
  <c r="BK76" i="1"/>
  <c r="BH76" i="1"/>
  <c r="BE76" i="1"/>
  <c r="BA76" i="1"/>
  <c r="AZ76" i="1"/>
  <c r="BB76" i="1" s="1"/>
  <c r="AY76" i="1"/>
  <c r="AV76" i="1"/>
  <c r="AS76" i="1"/>
  <c r="AP76" i="1"/>
  <c r="AM76" i="1"/>
  <c r="W76" i="1"/>
  <c r="U76" i="1"/>
  <c r="R76" i="1"/>
  <c r="O76" i="1"/>
  <c r="L76" i="1"/>
  <c r="G76" i="1"/>
  <c r="AAB75" i="1"/>
  <c r="AAA75" i="1"/>
  <c r="AAC75" i="1" s="1"/>
  <c r="ZZ75" i="1"/>
  <c r="ZW75" i="1"/>
  <c r="ZG75" i="1"/>
  <c r="AAE75" i="1" s="1"/>
  <c r="ZF75" i="1"/>
  <c r="ZE75" i="1"/>
  <c r="ZB75" i="1"/>
  <c r="YY75" i="1"/>
  <c r="YV75" i="1"/>
  <c r="YR75" i="1"/>
  <c r="YQ75" i="1"/>
  <c r="YS75" i="1" s="1"/>
  <c r="YP75" i="1"/>
  <c r="YM75" i="1"/>
  <c r="YJ75" i="1"/>
  <c r="YG75" i="1"/>
  <c r="YC75" i="1"/>
  <c r="YB75" i="1"/>
  <c r="YD75" i="1" s="1"/>
  <c r="YA75" i="1"/>
  <c r="XX75" i="1"/>
  <c r="XU75" i="1"/>
  <c r="XR75" i="1"/>
  <c r="VU75" i="1"/>
  <c r="VT75" i="1"/>
  <c r="VV75" i="1" s="1"/>
  <c r="VS75" i="1"/>
  <c r="VP75" i="1"/>
  <c r="VM75" i="1"/>
  <c r="VJ75" i="1"/>
  <c r="UQ75" i="1"/>
  <c r="UP75" i="1"/>
  <c r="UR75" i="1" s="1"/>
  <c r="UO75" i="1"/>
  <c r="UL75" i="1"/>
  <c r="UI75" i="1"/>
  <c r="UF75" i="1"/>
  <c r="UB75" i="1"/>
  <c r="UA75" i="1"/>
  <c r="UC75" i="1" s="1"/>
  <c r="TZ75" i="1"/>
  <c r="TW75" i="1"/>
  <c r="TT75" i="1"/>
  <c r="TQ75" i="1"/>
  <c r="TM75" i="1"/>
  <c r="TL75" i="1"/>
  <c r="TN75" i="1" s="1"/>
  <c r="TK75" i="1"/>
  <c r="TH75" i="1"/>
  <c r="TE75" i="1"/>
  <c r="TB75" i="1"/>
  <c r="SX75" i="1"/>
  <c r="SW75" i="1"/>
  <c r="SY75" i="1" s="1"/>
  <c r="SV75" i="1"/>
  <c r="SS75" i="1"/>
  <c r="SP75" i="1"/>
  <c r="SM75" i="1"/>
  <c r="SJ75" i="1"/>
  <c r="QP75" i="1"/>
  <c r="QO75" i="1"/>
  <c r="QQ75" i="1" s="1"/>
  <c r="QN75" i="1"/>
  <c r="QK75" i="1"/>
  <c r="QH75" i="1"/>
  <c r="QE75" i="1"/>
  <c r="QA75" i="1"/>
  <c r="PZ75" i="1"/>
  <c r="QB75" i="1" s="1"/>
  <c r="PY75" i="1"/>
  <c r="PV75" i="1"/>
  <c r="PS75" i="1"/>
  <c r="PP75" i="1"/>
  <c r="PL75" i="1"/>
  <c r="PK75" i="1"/>
  <c r="PM75" i="1" s="1"/>
  <c r="PJ75" i="1"/>
  <c r="PG75" i="1"/>
  <c r="PD75" i="1"/>
  <c r="PA75" i="1"/>
  <c r="OW75" i="1"/>
  <c r="OV75" i="1"/>
  <c r="OX75" i="1" s="1"/>
  <c r="OU75" i="1"/>
  <c r="OR75" i="1"/>
  <c r="OO75" i="1"/>
  <c r="OL75" i="1"/>
  <c r="OH75" i="1"/>
  <c r="OF75" i="1"/>
  <c r="OC75" i="1"/>
  <c r="NZ75" i="1"/>
  <c r="NU75" i="1"/>
  <c r="NS75" i="1"/>
  <c r="NR75" i="1"/>
  <c r="NT75" i="1" s="1"/>
  <c r="NQ75" i="1"/>
  <c r="NN75" i="1"/>
  <c r="NK75" i="1"/>
  <c r="NH75" i="1"/>
  <c r="ND75" i="1"/>
  <c r="NC75" i="1"/>
  <c r="NE75" i="1" s="1"/>
  <c r="NB75" i="1"/>
  <c r="MY75" i="1"/>
  <c r="MV75" i="1"/>
  <c r="MS75" i="1"/>
  <c r="MO75" i="1"/>
  <c r="MM75" i="1"/>
  <c r="MJ75" i="1"/>
  <c r="MG75" i="1"/>
  <c r="MB75" i="1"/>
  <c r="LZ75" i="1"/>
  <c r="LY75" i="1"/>
  <c r="MA75" i="1" s="1"/>
  <c r="LX75" i="1"/>
  <c r="LU75" i="1"/>
  <c r="LR75" i="1"/>
  <c r="LO75" i="1"/>
  <c r="KV75" i="1"/>
  <c r="KU75" i="1"/>
  <c r="KW75" i="1" s="1"/>
  <c r="KT75" i="1"/>
  <c r="KQ75" i="1"/>
  <c r="KN75" i="1"/>
  <c r="KK75" i="1"/>
  <c r="KH75" i="1"/>
  <c r="JC75" i="1"/>
  <c r="JB75" i="1"/>
  <c r="JD75" i="1" s="1"/>
  <c r="JA75" i="1"/>
  <c r="IX75" i="1"/>
  <c r="IU75" i="1"/>
  <c r="IR75" i="1"/>
  <c r="IN75" i="1"/>
  <c r="IM75" i="1"/>
  <c r="IO75" i="1" s="1"/>
  <c r="IL75" i="1"/>
  <c r="II75" i="1"/>
  <c r="IF75" i="1"/>
  <c r="IC75" i="1"/>
  <c r="HY75" i="1"/>
  <c r="HX75" i="1"/>
  <c r="HZ75" i="1" s="1"/>
  <c r="HW75" i="1"/>
  <c r="HT75" i="1"/>
  <c r="HQ75" i="1"/>
  <c r="HN75" i="1"/>
  <c r="HJ75" i="1"/>
  <c r="HI75" i="1"/>
  <c r="HK75" i="1" s="1"/>
  <c r="HH75" i="1"/>
  <c r="HE75" i="1"/>
  <c r="HB75" i="1"/>
  <c r="GY75" i="1"/>
  <c r="GU75" i="1"/>
  <c r="GT75" i="1"/>
  <c r="GV75" i="1" s="1"/>
  <c r="GS75" i="1"/>
  <c r="GP75" i="1"/>
  <c r="GM75" i="1"/>
  <c r="GJ75" i="1"/>
  <c r="GF75" i="1"/>
  <c r="GE75" i="1"/>
  <c r="GG75" i="1" s="1"/>
  <c r="GD75" i="1"/>
  <c r="GA75" i="1"/>
  <c r="FX75" i="1"/>
  <c r="FU75" i="1"/>
  <c r="FQ75" i="1"/>
  <c r="FP75" i="1"/>
  <c r="FR75" i="1" s="1"/>
  <c r="FO75" i="1"/>
  <c r="FL75" i="1"/>
  <c r="FI75" i="1"/>
  <c r="FF75" i="1"/>
  <c r="FB75" i="1"/>
  <c r="FA75" i="1"/>
  <c r="FC75" i="1" s="1"/>
  <c r="EZ75" i="1"/>
  <c r="EW75" i="1"/>
  <c r="ET75" i="1"/>
  <c r="EQ75" i="1"/>
  <c r="EM75" i="1"/>
  <c r="EL75" i="1"/>
  <c r="EN75" i="1" s="1"/>
  <c r="EK75" i="1"/>
  <c r="EH75" i="1"/>
  <c r="EE75" i="1"/>
  <c r="EB75" i="1"/>
  <c r="DX75" i="1"/>
  <c r="DW75" i="1"/>
  <c r="DY75" i="1" s="1"/>
  <c r="DV75" i="1"/>
  <c r="DS75" i="1"/>
  <c r="DP75" i="1"/>
  <c r="DM75" i="1"/>
  <c r="DI75" i="1"/>
  <c r="DH75" i="1"/>
  <c r="DJ75" i="1" s="1"/>
  <c r="DG75" i="1"/>
  <c r="DD75" i="1"/>
  <c r="DA75" i="1"/>
  <c r="CX75" i="1"/>
  <c r="CT75" i="1"/>
  <c r="CS75" i="1"/>
  <c r="CU75" i="1" s="1"/>
  <c r="CR75" i="1"/>
  <c r="CO75" i="1"/>
  <c r="CL75" i="1"/>
  <c r="CI75" i="1"/>
  <c r="CF75" i="1"/>
  <c r="BP75" i="1"/>
  <c r="BO75" i="1"/>
  <c r="BQ75" i="1" s="1"/>
  <c r="BN75" i="1"/>
  <c r="BK75" i="1"/>
  <c r="BH75" i="1"/>
  <c r="BE75" i="1"/>
  <c r="BA75" i="1"/>
  <c r="AZ75" i="1"/>
  <c r="BB75" i="1" s="1"/>
  <c r="AY75" i="1"/>
  <c r="AV75" i="1"/>
  <c r="AS75" i="1"/>
  <c r="AP75" i="1"/>
  <c r="AM75" i="1"/>
  <c r="W75" i="1"/>
  <c r="V75" i="1"/>
  <c r="X75" i="1" s="1"/>
  <c r="U75" i="1"/>
  <c r="R75" i="1"/>
  <c r="O75" i="1"/>
  <c r="L75" i="1"/>
  <c r="I75" i="1"/>
  <c r="AAB74" i="1"/>
  <c r="AAA74" i="1"/>
  <c r="AAC74" i="1" s="1"/>
  <c r="ZZ74" i="1"/>
  <c r="ZW74" i="1"/>
  <c r="ZG74" i="1"/>
  <c r="AAE74" i="1" s="1"/>
  <c r="ZF74" i="1"/>
  <c r="AAD74" i="1" s="1"/>
  <c r="ZE74" i="1"/>
  <c r="ZB74" i="1"/>
  <c r="YY74" i="1"/>
  <c r="YV74" i="1"/>
  <c r="YR74" i="1"/>
  <c r="YQ74" i="1"/>
  <c r="YS74" i="1" s="1"/>
  <c r="YP74" i="1"/>
  <c r="YM74" i="1"/>
  <c r="YJ74" i="1"/>
  <c r="YG74" i="1"/>
  <c r="YC74" i="1"/>
  <c r="YB74" i="1"/>
  <c r="YD74" i="1" s="1"/>
  <c r="YA74" i="1"/>
  <c r="XX74" i="1"/>
  <c r="XU74" i="1"/>
  <c r="XR74" i="1"/>
  <c r="VU74" i="1"/>
  <c r="VT74" i="1"/>
  <c r="VV74" i="1" s="1"/>
  <c r="VS74" i="1"/>
  <c r="VP74" i="1"/>
  <c r="VM74" i="1"/>
  <c r="VJ74" i="1"/>
  <c r="UQ74" i="1"/>
  <c r="UP74" i="1"/>
  <c r="UR74" i="1" s="1"/>
  <c r="UO74" i="1"/>
  <c r="UL74" i="1"/>
  <c r="UI74" i="1"/>
  <c r="UF74" i="1"/>
  <c r="UB74" i="1"/>
  <c r="UA74" i="1"/>
  <c r="UC74" i="1" s="1"/>
  <c r="TZ74" i="1"/>
  <c r="TW74" i="1"/>
  <c r="TT74" i="1"/>
  <c r="TQ74" i="1"/>
  <c r="TM74" i="1"/>
  <c r="TL74" i="1"/>
  <c r="TN74" i="1" s="1"/>
  <c r="TK74" i="1"/>
  <c r="TH74" i="1"/>
  <c r="TE74" i="1"/>
  <c r="TB74" i="1"/>
  <c r="SX74" i="1"/>
  <c r="SW74" i="1"/>
  <c r="SY74" i="1" s="1"/>
  <c r="SV74" i="1"/>
  <c r="SS74" i="1"/>
  <c r="SP74" i="1"/>
  <c r="SM74" i="1"/>
  <c r="SJ74" i="1"/>
  <c r="QP74" i="1"/>
  <c r="QO74" i="1"/>
  <c r="QQ74" i="1" s="1"/>
  <c r="QN74" i="1"/>
  <c r="QK74" i="1"/>
  <c r="QH74" i="1"/>
  <c r="QE74" i="1"/>
  <c r="QA74" i="1"/>
  <c r="PZ74" i="1"/>
  <c r="QB74" i="1" s="1"/>
  <c r="PY74" i="1"/>
  <c r="PV74" i="1"/>
  <c r="PS74" i="1"/>
  <c r="PP74" i="1"/>
  <c r="PL74" i="1"/>
  <c r="PK74" i="1"/>
  <c r="PM74" i="1" s="1"/>
  <c r="PJ74" i="1"/>
  <c r="PG74" i="1"/>
  <c r="PD74" i="1"/>
  <c r="PA74" i="1"/>
  <c r="OW74" i="1"/>
  <c r="OV74" i="1"/>
  <c r="OX74" i="1" s="1"/>
  <c r="OU74" i="1"/>
  <c r="OR74" i="1"/>
  <c r="OO74" i="1"/>
  <c r="OL74" i="1"/>
  <c r="OH74" i="1"/>
  <c r="OG74" i="1"/>
  <c r="OI74" i="1" s="1"/>
  <c r="OF74" i="1"/>
  <c r="OC74" i="1"/>
  <c r="NZ74" i="1"/>
  <c r="NW74" i="1"/>
  <c r="NS74" i="1"/>
  <c r="NR74" i="1"/>
  <c r="NT74" i="1" s="1"/>
  <c r="NQ74" i="1"/>
  <c r="NN74" i="1"/>
  <c r="NK74" i="1"/>
  <c r="NH74" i="1"/>
  <c r="ND74" i="1"/>
  <c r="NC74" i="1"/>
  <c r="NE74" i="1" s="1"/>
  <c r="NB74" i="1"/>
  <c r="MY74" i="1"/>
  <c r="MV74" i="1"/>
  <c r="MS74" i="1"/>
  <c r="MO74" i="1"/>
  <c r="MN74" i="1"/>
  <c r="MP74" i="1" s="1"/>
  <c r="MM74" i="1"/>
  <c r="MJ74" i="1"/>
  <c r="MG74" i="1"/>
  <c r="MD74" i="1"/>
  <c r="LZ74" i="1"/>
  <c r="LY74" i="1"/>
  <c r="MA74" i="1" s="1"/>
  <c r="LX74" i="1"/>
  <c r="LU74" i="1"/>
  <c r="LR74" i="1"/>
  <c r="LO74" i="1"/>
  <c r="KV74" i="1"/>
  <c r="KU74" i="1"/>
  <c r="KW74" i="1" s="1"/>
  <c r="KT74" i="1"/>
  <c r="KQ74" i="1"/>
  <c r="KN74" i="1"/>
  <c r="KK74" i="1"/>
  <c r="KH74" i="1"/>
  <c r="JC74" i="1"/>
  <c r="JB74" i="1"/>
  <c r="JD74" i="1" s="1"/>
  <c r="JA74" i="1"/>
  <c r="IX74" i="1"/>
  <c r="IU74" i="1"/>
  <c r="IR74" i="1"/>
  <c r="IN74" i="1"/>
  <c r="IM74" i="1"/>
  <c r="IO74" i="1" s="1"/>
  <c r="IL74" i="1"/>
  <c r="II74" i="1"/>
  <c r="IF74" i="1"/>
  <c r="IC74" i="1"/>
  <c r="HY74" i="1"/>
  <c r="HX74" i="1"/>
  <c r="HZ74" i="1" s="1"/>
  <c r="HW74" i="1"/>
  <c r="HT74" i="1"/>
  <c r="HQ74" i="1"/>
  <c r="HN74" i="1"/>
  <c r="HJ74" i="1"/>
  <c r="HI74" i="1"/>
  <c r="HK74" i="1" s="1"/>
  <c r="HH74" i="1"/>
  <c r="HE74" i="1"/>
  <c r="HB74" i="1"/>
  <c r="GY74" i="1"/>
  <c r="GU74" i="1"/>
  <c r="GT74" i="1"/>
  <c r="GV74" i="1" s="1"/>
  <c r="GS74" i="1"/>
  <c r="GP74" i="1"/>
  <c r="GM74" i="1"/>
  <c r="GJ74" i="1"/>
  <c r="GF74" i="1"/>
  <c r="GE74" i="1"/>
  <c r="GG74" i="1" s="1"/>
  <c r="GD74" i="1"/>
  <c r="GA74" i="1"/>
  <c r="FX74" i="1"/>
  <c r="FU74" i="1"/>
  <c r="FQ74" i="1"/>
  <c r="FP74" i="1"/>
  <c r="FR74" i="1" s="1"/>
  <c r="FO74" i="1"/>
  <c r="FL74" i="1"/>
  <c r="FI74" i="1"/>
  <c r="FF74" i="1"/>
  <c r="FB74" i="1"/>
  <c r="FA74" i="1"/>
  <c r="FC74" i="1" s="1"/>
  <c r="EZ74" i="1"/>
  <c r="EW74" i="1"/>
  <c r="ET74" i="1"/>
  <c r="EQ74" i="1"/>
  <c r="EM74" i="1"/>
  <c r="EL74" i="1"/>
  <c r="EN74" i="1" s="1"/>
  <c r="EK74" i="1"/>
  <c r="EH74" i="1"/>
  <c r="EE74" i="1"/>
  <c r="EB74" i="1"/>
  <c r="DX74" i="1"/>
  <c r="DW74" i="1"/>
  <c r="DY74" i="1" s="1"/>
  <c r="DV74" i="1"/>
  <c r="DS74" i="1"/>
  <c r="DP74" i="1"/>
  <c r="DM74" i="1"/>
  <c r="DI74" i="1"/>
  <c r="DH74" i="1"/>
  <c r="DJ74" i="1" s="1"/>
  <c r="DG74" i="1"/>
  <c r="DD74" i="1"/>
  <c r="DA74" i="1"/>
  <c r="CX74" i="1"/>
  <c r="CT74" i="1"/>
  <c r="CS74" i="1"/>
  <c r="CU74" i="1" s="1"/>
  <c r="CR74" i="1"/>
  <c r="CO74" i="1"/>
  <c r="CL74" i="1"/>
  <c r="CI74" i="1"/>
  <c r="CF74" i="1"/>
  <c r="BP74" i="1"/>
  <c r="BO74" i="1"/>
  <c r="BQ74" i="1" s="1"/>
  <c r="BN74" i="1"/>
  <c r="BK74" i="1"/>
  <c r="BH74" i="1"/>
  <c r="BE74" i="1"/>
  <c r="BA74" i="1"/>
  <c r="AZ74" i="1"/>
  <c r="BB74" i="1" s="1"/>
  <c r="AY74" i="1"/>
  <c r="AV74" i="1"/>
  <c r="AS74" i="1"/>
  <c r="AP74" i="1"/>
  <c r="AM74" i="1"/>
  <c r="W74" i="1"/>
  <c r="V74" i="1"/>
  <c r="X74" i="1" s="1"/>
  <c r="U74" i="1"/>
  <c r="R74" i="1"/>
  <c r="O74" i="1"/>
  <c r="L74" i="1"/>
  <c r="I74" i="1"/>
  <c r="AAB73" i="1"/>
  <c r="AAA73" i="1"/>
  <c r="AAC73" i="1" s="1"/>
  <c r="ZZ73" i="1"/>
  <c r="ZW73" i="1"/>
  <c r="ZG73" i="1"/>
  <c r="AAE73" i="1" s="1"/>
  <c r="ZF73" i="1"/>
  <c r="AAD73" i="1" s="1"/>
  <c r="ZE73" i="1"/>
  <c r="ZB73" i="1"/>
  <c r="YY73" i="1"/>
  <c r="YV73" i="1"/>
  <c r="YR73" i="1"/>
  <c r="YQ73" i="1"/>
  <c r="YS73" i="1" s="1"/>
  <c r="YP73" i="1"/>
  <c r="YM73" i="1"/>
  <c r="YJ73" i="1"/>
  <c r="YG73" i="1"/>
  <c r="YC73" i="1"/>
  <c r="YB73" i="1"/>
  <c r="YD73" i="1" s="1"/>
  <c r="YA73" i="1"/>
  <c r="XX73" i="1"/>
  <c r="XU73" i="1"/>
  <c r="XR73" i="1"/>
  <c r="VU73" i="1"/>
  <c r="VT73" i="1"/>
  <c r="VV73" i="1" s="1"/>
  <c r="VS73" i="1"/>
  <c r="VP73" i="1"/>
  <c r="VM73" i="1"/>
  <c r="VJ73" i="1"/>
  <c r="UQ73" i="1"/>
  <c r="UP73" i="1"/>
  <c r="UR73" i="1" s="1"/>
  <c r="UO73" i="1"/>
  <c r="UL73" i="1"/>
  <c r="UI73" i="1"/>
  <c r="UF73" i="1"/>
  <c r="UB73" i="1"/>
  <c r="UA73" i="1"/>
  <c r="UC73" i="1" s="1"/>
  <c r="TZ73" i="1"/>
  <c r="TW73" i="1"/>
  <c r="TT73" i="1"/>
  <c r="TQ73" i="1"/>
  <c r="TM73" i="1"/>
  <c r="TL73" i="1"/>
  <c r="TN73" i="1" s="1"/>
  <c r="TK73" i="1"/>
  <c r="TH73" i="1"/>
  <c r="TE73" i="1"/>
  <c r="TB73" i="1"/>
  <c r="SX73" i="1"/>
  <c r="SW73" i="1"/>
  <c r="SY73" i="1" s="1"/>
  <c r="SV73" i="1"/>
  <c r="SS73" i="1"/>
  <c r="SP73" i="1"/>
  <c r="SM73" i="1"/>
  <c r="SJ73" i="1"/>
  <c r="QP73" i="1"/>
  <c r="QO73" i="1"/>
  <c r="QQ73" i="1" s="1"/>
  <c r="QN73" i="1"/>
  <c r="QK73" i="1"/>
  <c r="QH73" i="1"/>
  <c r="QE73" i="1"/>
  <c r="QA73" i="1"/>
  <c r="PZ73" i="1"/>
  <c r="QB73" i="1" s="1"/>
  <c r="PY73" i="1"/>
  <c r="PV73" i="1"/>
  <c r="PS73" i="1"/>
  <c r="PP73" i="1"/>
  <c r="PM73" i="1"/>
  <c r="PL73" i="1"/>
  <c r="PK73" i="1"/>
  <c r="PJ73" i="1"/>
  <c r="PG73" i="1"/>
  <c r="PD73" i="1"/>
  <c r="PA73" i="1"/>
  <c r="OW73" i="1"/>
  <c r="OV73" i="1"/>
  <c r="OX73" i="1" s="1"/>
  <c r="OU73" i="1"/>
  <c r="OR73" i="1"/>
  <c r="OO73" i="1"/>
  <c r="OL73" i="1"/>
  <c r="OH73" i="1"/>
  <c r="OG73" i="1"/>
  <c r="OI73" i="1" s="1"/>
  <c r="OF73" i="1"/>
  <c r="OC73" i="1"/>
  <c r="NZ73" i="1"/>
  <c r="NW73" i="1"/>
  <c r="NS73" i="1"/>
  <c r="NR73" i="1"/>
  <c r="NT73" i="1" s="1"/>
  <c r="NQ73" i="1"/>
  <c r="NN73" i="1"/>
  <c r="NK73" i="1"/>
  <c r="NH73" i="1"/>
  <c r="ND73" i="1"/>
  <c r="NC73" i="1"/>
  <c r="NE73" i="1" s="1"/>
  <c r="NB73" i="1"/>
  <c r="MY73" i="1"/>
  <c r="MV73" i="1"/>
  <c r="MS73" i="1"/>
  <c r="MO73" i="1"/>
  <c r="MN73" i="1"/>
  <c r="MP73" i="1" s="1"/>
  <c r="MM73" i="1"/>
  <c r="MJ73" i="1"/>
  <c r="MG73" i="1"/>
  <c r="MD73" i="1"/>
  <c r="LZ73" i="1"/>
  <c r="LY73" i="1"/>
  <c r="MA73" i="1" s="1"/>
  <c r="LX73" i="1"/>
  <c r="LU73" i="1"/>
  <c r="LR73" i="1"/>
  <c r="LO73" i="1"/>
  <c r="KV73" i="1"/>
  <c r="KU73" i="1"/>
  <c r="KW73" i="1" s="1"/>
  <c r="KT73" i="1"/>
  <c r="KQ73" i="1"/>
  <c r="KN73" i="1"/>
  <c r="KK73" i="1"/>
  <c r="KH73" i="1"/>
  <c r="JC73" i="1"/>
  <c r="JB73" i="1"/>
  <c r="JD73" i="1" s="1"/>
  <c r="JA73" i="1"/>
  <c r="IX73" i="1"/>
  <c r="IU73" i="1"/>
  <c r="IR73" i="1"/>
  <c r="IN73" i="1"/>
  <c r="IM73" i="1"/>
  <c r="IO73" i="1" s="1"/>
  <c r="IL73" i="1"/>
  <c r="II73" i="1"/>
  <c r="IF73" i="1"/>
  <c r="IC73" i="1"/>
  <c r="HY73" i="1"/>
  <c r="HX73" i="1"/>
  <c r="HZ73" i="1" s="1"/>
  <c r="HW73" i="1"/>
  <c r="HT73" i="1"/>
  <c r="HQ73" i="1"/>
  <c r="HN73" i="1"/>
  <c r="HJ73" i="1"/>
  <c r="HI73" i="1"/>
  <c r="HK73" i="1" s="1"/>
  <c r="HH73" i="1"/>
  <c r="HE73" i="1"/>
  <c r="HB73" i="1"/>
  <c r="GY73" i="1"/>
  <c r="GU73" i="1"/>
  <c r="GT73" i="1"/>
  <c r="GV73" i="1" s="1"/>
  <c r="GS73" i="1"/>
  <c r="GP73" i="1"/>
  <c r="GM73" i="1"/>
  <c r="GJ73" i="1"/>
  <c r="GF73" i="1"/>
  <c r="GE73" i="1"/>
  <c r="GG73" i="1" s="1"/>
  <c r="GD73" i="1"/>
  <c r="GA73" i="1"/>
  <c r="FX73" i="1"/>
  <c r="FU73" i="1"/>
  <c r="FQ73" i="1"/>
  <c r="FP73" i="1"/>
  <c r="FR73" i="1" s="1"/>
  <c r="FO73" i="1"/>
  <c r="FL73" i="1"/>
  <c r="FI73" i="1"/>
  <c r="FF73" i="1"/>
  <c r="FB73" i="1"/>
  <c r="FA73" i="1"/>
  <c r="FC73" i="1" s="1"/>
  <c r="EZ73" i="1"/>
  <c r="EW73" i="1"/>
  <c r="ET73" i="1"/>
  <c r="EQ73" i="1"/>
  <c r="EM73" i="1"/>
  <c r="EL73" i="1"/>
  <c r="EN73" i="1" s="1"/>
  <c r="EK73" i="1"/>
  <c r="EH73" i="1"/>
  <c r="EE73" i="1"/>
  <c r="EB73" i="1"/>
  <c r="DX73" i="1"/>
  <c r="DW73" i="1"/>
  <c r="DY73" i="1" s="1"/>
  <c r="DV73" i="1"/>
  <c r="DS73" i="1"/>
  <c r="DP73" i="1"/>
  <c r="DM73" i="1"/>
  <c r="DI73" i="1"/>
  <c r="DH73" i="1"/>
  <c r="DJ73" i="1" s="1"/>
  <c r="DG73" i="1"/>
  <c r="DD73" i="1"/>
  <c r="DA73" i="1"/>
  <c r="CX73" i="1"/>
  <c r="CT73" i="1"/>
  <c r="CS73" i="1"/>
  <c r="CU73" i="1" s="1"/>
  <c r="CR73" i="1"/>
  <c r="CO73" i="1"/>
  <c r="CL73" i="1"/>
  <c r="CI73" i="1"/>
  <c r="CF73" i="1"/>
  <c r="BP73" i="1"/>
  <c r="BO73" i="1"/>
  <c r="BQ73" i="1" s="1"/>
  <c r="BN73" i="1"/>
  <c r="BK73" i="1"/>
  <c r="BH73" i="1"/>
  <c r="BE73" i="1"/>
  <c r="BA73" i="1"/>
  <c r="AZ73" i="1"/>
  <c r="BB73" i="1" s="1"/>
  <c r="AY73" i="1"/>
  <c r="AV73" i="1"/>
  <c r="AS73" i="1"/>
  <c r="AP73" i="1"/>
  <c r="AM73" i="1"/>
  <c r="W73" i="1"/>
  <c r="V73" i="1"/>
  <c r="X73" i="1" s="1"/>
  <c r="U73" i="1"/>
  <c r="R73" i="1"/>
  <c r="O73" i="1"/>
  <c r="L73" i="1"/>
  <c r="I73" i="1"/>
  <c r="AAB72" i="1"/>
  <c r="AAA72" i="1"/>
  <c r="AAC72" i="1" s="1"/>
  <c r="ZZ72" i="1"/>
  <c r="ZW72" i="1"/>
  <c r="ZG72" i="1"/>
  <c r="AAE72" i="1" s="1"/>
  <c r="ZF72" i="1"/>
  <c r="AAD72" i="1" s="1"/>
  <c r="ZE72" i="1"/>
  <c r="ZB72" i="1"/>
  <c r="YY72" i="1"/>
  <c r="YV72" i="1"/>
  <c r="YR72" i="1"/>
  <c r="YQ72" i="1"/>
  <c r="YS72" i="1" s="1"/>
  <c r="YP72" i="1"/>
  <c r="YM72" i="1"/>
  <c r="YJ72" i="1"/>
  <c r="YG72" i="1"/>
  <c r="YC72" i="1"/>
  <c r="YB72" i="1"/>
  <c r="YD72" i="1" s="1"/>
  <c r="YA72" i="1"/>
  <c r="XX72" i="1"/>
  <c r="XU72" i="1"/>
  <c r="XR72" i="1"/>
  <c r="VU72" i="1"/>
  <c r="VT72" i="1"/>
  <c r="VV72" i="1" s="1"/>
  <c r="VS72" i="1"/>
  <c r="VP72" i="1"/>
  <c r="VM72" i="1"/>
  <c r="VJ72" i="1"/>
  <c r="UQ72" i="1"/>
  <c r="UP72" i="1"/>
  <c r="UR72" i="1" s="1"/>
  <c r="UO72" i="1"/>
  <c r="UL72" i="1"/>
  <c r="UI72" i="1"/>
  <c r="UF72" i="1"/>
  <c r="UB72" i="1"/>
  <c r="UA72" i="1"/>
  <c r="UC72" i="1" s="1"/>
  <c r="TZ72" i="1"/>
  <c r="TW72" i="1"/>
  <c r="TT72" i="1"/>
  <c r="TQ72" i="1"/>
  <c r="TM72" i="1"/>
  <c r="TL72" i="1"/>
  <c r="TN72" i="1" s="1"/>
  <c r="TK72" i="1"/>
  <c r="TH72" i="1"/>
  <c r="TE72" i="1"/>
  <c r="TB72" i="1"/>
  <c r="SX72" i="1"/>
  <c r="SW72" i="1"/>
  <c r="SY72" i="1" s="1"/>
  <c r="SV72" i="1"/>
  <c r="SS72" i="1"/>
  <c r="SP72" i="1"/>
  <c r="SM72" i="1"/>
  <c r="SJ72" i="1"/>
  <c r="QP72" i="1"/>
  <c r="QO72" i="1"/>
  <c r="QQ72" i="1" s="1"/>
  <c r="QN72" i="1"/>
  <c r="QK72" i="1"/>
  <c r="QH72" i="1"/>
  <c r="QE72" i="1"/>
  <c r="QA72" i="1"/>
  <c r="PZ72" i="1"/>
  <c r="QB72" i="1" s="1"/>
  <c r="PY72" i="1"/>
  <c r="PV72" i="1"/>
  <c r="PS72" i="1"/>
  <c r="PP72" i="1"/>
  <c r="PL72" i="1"/>
  <c r="PK72" i="1"/>
  <c r="PM72" i="1" s="1"/>
  <c r="PJ72" i="1"/>
  <c r="PG72" i="1"/>
  <c r="PD72" i="1"/>
  <c r="PA72" i="1"/>
  <c r="OW72" i="1"/>
  <c r="OV72" i="1"/>
  <c r="OX72" i="1" s="1"/>
  <c r="OU72" i="1"/>
  <c r="OR72" i="1"/>
  <c r="OO72" i="1"/>
  <c r="OL72" i="1"/>
  <c r="OH72" i="1"/>
  <c r="OG72" i="1"/>
  <c r="OI72" i="1" s="1"/>
  <c r="OF72" i="1"/>
  <c r="OC72" i="1"/>
  <c r="NZ72" i="1"/>
  <c r="NW72" i="1"/>
  <c r="NS72" i="1"/>
  <c r="NR72" i="1"/>
  <c r="NT72" i="1" s="1"/>
  <c r="NQ72" i="1"/>
  <c r="NN72" i="1"/>
  <c r="NK72" i="1"/>
  <c r="NH72" i="1"/>
  <c r="ND72" i="1"/>
  <c r="NC72" i="1"/>
  <c r="NE72" i="1" s="1"/>
  <c r="NB72" i="1"/>
  <c r="MY72" i="1"/>
  <c r="MV72" i="1"/>
  <c r="MS72" i="1"/>
  <c r="MO72" i="1"/>
  <c r="MN72" i="1"/>
  <c r="MP72" i="1" s="1"/>
  <c r="MM72" i="1"/>
  <c r="MJ72" i="1"/>
  <c r="MG72" i="1"/>
  <c r="MD72" i="1"/>
  <c r="LZ72" i="1"/>
  <c r="LY72" i="1"/>
  <c r="MA72" i="1" s="1"/>
  <c r="LX72" i="1"/>
  <c r="LU72" i="1"/>
  <c r="LR72" i="1"/>
  <c r="LO72" i="1"/>
  <c r="KV72" i="1"/>
  <c r="KU72" i="1"/>
  <c r="KW72" i="1" s="1"/>
  <c r="KT72" i="1"/>
  <c r="KQ72" i="1"/>
  <c r="KN72" i="1"/>
  <c r="KK72" i="1"/>
  <c r="KH72" i="1"/>
  <c r="JC72" i="1"/>
  <c r="JB72" i="1"/>
  <c r="JD72" i="1" s="1"/>
  <c r="JA72" i="1"/>
  <c r="IX72" i="1"/>
  <c r="IU72" i="1"/>
  <c r="IR72" i="1"/>
  <c r="IN72" i="1"/>
  <c r="IM72" i="1"/>
  <c r="IO72" i="1" s="1"/>
  <c r="IL72" i="1"/>
  <c r="II72" i="1"/>
  <c r="IF72" i="1"/>
  <c r="IC72" i="1"/>
  <c r="HY72" i="1"/>
  <c r="HX72" i="1"/>
  <c r="HZ72" i="1" s="1"/>
  <c r="HW72" i="1"/>
  <c r="HT72" i="1"/>
  <c r="HQ72" i="1"/>
  <c r="HN72" i="1"/>
  <c r="HJ72" i="1"/>
  <c r="HI72" i="1"/>
  <c r="HK72" i="1" s="1"/>
  <c r="HH72" i="1"/>
  <c r="HE72" i="1"/>
  <c r="HB72" i="1"/>
  <c r="GY72" i="1"/>
  <c r="GU72" i="1"/>
  <c r="GT72" i="1"/>
  <c r="GV72" i="1" s="1"/>
  <c r="GS72" i="1"/>
  <c r="GP72" i="1"/>
  <c r="GM72" i="1"/>
  <c r="GJ72" i="1"/>
  <c r="GF72" i="1"/>
  <c r="GE72" i="1"/>
  <c r="GG72" i="1" s="1"/>
  <c r="GD72" i="1"/>
  <c r="GA72" i="1"/>
  <c r="FX72" i="1"/>
  <c r="FU72" i="1"/>
  <c r="FQ72" i="1"/>
  <c r="FP72" i="1"/>
  <c r="FR72" i="1" s="1"/>
  <c r="FO72" i="1"/>
  <c r="FL72" i="1"/>
  <c r="FI72" i="1"/>
  <c r="FF72" i="1"/>
  <c r="FB72" i="1"/>
  <c r="FA72" i="1"/>
  <c r="FC72" i="1" s="1"/>
  <c r="EZ72" i="1"/>
  <c r="EW72" i="1"/>
  <c r="ET72" i="1"/>
  <c r="EQ72" i="1"/>
  <c r="EM72" i="1"/>
  <c r="EL72" i="1"/>
  <c r="EN72" i="1" s="1"/>
  <c r="EK72" i="1"/>
  <c r="EH72" i="1"/>
  <c r="EE72" i="1"/>
  <c r="EB72" i="1"/>
  <c r="DX72" i="1"/>
  <c r="DW72" i="1"/>
  <c r="DY72" i="1" s="1"/>
  <c r="DV72" i="1"/>
  <c r="DS72" i="1"/>
  <c r="DP72" i="1"/>
  <c r="DM72" i="1"/>
  <c r="DI72" i="1"/>
  <c r="DH72" i="1"/>
  <c r="DJ72" i="1" s="1"/>
  <c r="DG72" i="1"/>
  <c r="DD72" i="1"/>
  <c r="DA72" i="1"/>
  <c r="CX72" i="1"/>
  <c r="CT72" i="1"/>
  <c r="CS72" i="1"/>
  <c r="CU72" i="1" s="1"/>
  <c r="CR72" i="1"/>
  <c r="CO72" i="1"/>
  <c r="CL72" i="1"/>
  <c r="CI72" i="1"/>
  <c r="CF72" i="1"/>
  <c r="BP72" i="1"/>
  <c r="BO72" i="1"/>
  <c r="BQ72" i="1" s="1"/>
  <c r="BN72" i="1"/>
  <c r="BK72" i="1"/>
  <c r="BH72" i="1"/>
  <c r="BE72" i="1"/>
  <c r="BA72" i="1"/>
  <c r="AZ72" i="1"/>
  <c r="BB72" i="1" s="1"/>
  <c r="AY72" i="1"/>
  <c r="AV72" i="1"/>
  <c r="AS72" i="1"/>
  <c r="AP72" i="1"/>
  <c r="AM72" i="1"/>
  <c r="W72" i="1"/>
  <c r="V72" i="1"/>
  <c r="X72" i="1" s="1"/>
  <c r="U72" i="1"/>
  <c r="R72" i="1"/>
  <c r="O72" i="1"/>
  <c r="L72" i="1"/>
  <c r="I72" i="1"/>
  <c r="AAB71" i="1"/>
  <c r="AAA71" i="1"/>
  <c r="AAC71" i="1" s="1"/>
  <c r="ZZ71" i="1"/>
  <c r="ZW71" i="1"/>
  <c r="ZG71" i="1"/>
  <c r="AAE71" i="1" s="1"/>
  <c r="ZF71" i="1"/>
  <c r="AAD71" i="1" s="1"/>
  <c r="ZE71" i="1"/>
  <c r="ZB71" i="1"/>
  <c r="YY71" i="1"/>
  <c r="YV71" i="1"/>
  <c r="YR71" i="1"/>
  <c r="YQ71" i="1"/>
  <c r="YS71" i="1" s="1"/>
  <c r="YP71" i="1"/>
  <c r="YM71" i="1"/>
  <c r="YJ71" i="1"/>
  <c r="YG71" i="1"/>
  <c r="YC71" i="1"/>
  <c r="YB71" i="1"/>
  <c r="YD71" i="1" s="1"/>
  <c r="YA71" i="1"/>
  <c r="XX71" i="1"/>
  <c r="XU71" i="1"/>
  <c r="XR71" i="1"/>
  <c r="VU71" i="1"/>
  <c r="VT71" i="1"/>
  <c r="VV71" i="1" s="1"/>
  <c r="VS71" i="1"/>
  <c r="VP71" i="1"/>
  <c r="VM71" i="1"/>
  <c r="VJ71" i="1"/>
  <c r="UQ71" i="1"/>
  <c r="UP71" i="1"/>
  <c r="UR71" i="1" s="1"/>
  <c r="UO71" i="1"/>
  <c r="UL71" i="1"/>
  <c r="UI71" i="1"/>
  <c r="UF71" i="1"/>
  <c r="UB71" i="1"/>
  <c r="UA71" i="1"/>
  <c r="UC71" i="1" s="1"/>
  <c r="TZ71" i="1"/>
  <c r="TW71" i="1"/>
  <c r="TT71" i="1"/>
  <c r="TQ71" i="1"/>
  <c r="TM71" i="1"/>
  <c r="TL71" i="1"/>
  <c r="TN71" i="1" s="1"/>
  <c r="TK71" i="1"/>
  <c r="TH71" i="1"/>
  <c r="TE71" i="1"/>
  <c r="TB71" i="1"/>
  <c r="SX71" i="1"/>
  <c r="SW71" i="1"/>
  <c r="SY71" i="1" s="1"/>
  <c r="SV71" i="1"/>
  <c r="SS71" i="1"/>
  <c r="SP71" i="1"/>
  <c r="SM71" i="1"/>
  <c r="SJ71" i="1"/>
  <c r="QP71" i="1"/>
  <c r="QO71" i="1"/>
  <c r="QQ71" i="1" s="1"/>
  <c r="QN71" i="1"/>
  <c r="QK71" i="1"/>
  <c r="QH71" i="1"/>
  <c r="QE71" i="1"/>
  <c r="QA71" i="1"/>
  <c r="PZ71" i="1"/>
  <c r="QB71" i="1" s="1"/>
  <c r="PY71" i="1"/>
  <c r="PV71" i="1"/>
  <c r="PS71" i="1"/>
  <c r="PP71" i="1"/>
  <c r="PL71" i="1"/>
  <c r="PK71" i="1"/>
  <c r="PM71" i="1" s="1"/>
  <c r="PJ71" i="1"/>
  <c r="PG71" i="1"/>
  <c r="PD71" i="1"/>
  <c r="PA71" i="1"/>
  <c r="OW71" i="1"/>
  <c r="OV71" i="1"/>
  <c r="OX71" i="1" s="1"/>
  <c r="OU71" i="1"/>
  <c r="OR71" i="1"/>
  <c r="OO71" i="1"/>
  <c r="OL71" i="1"/>
  <c r="OH71" i="1"/>
  <c r="OG71" i="1"/>
  <c r="OI71" i="1" s="1"/>
  <c r="OF71" i="1"/>
  <c r="OC71" i="1"/>
  <c r="NZ71" i="1"/>
  <c r="NW71" i="1"/>
  <c r="NS71" i="1"/>
  <c r="NR71" i="1"/>
  <c r="NT71" i="1" s="1"/>
  <c r="NQ71" i="1"/>
  <c r="NN71" i="1"/>
  <c r="NK71" i="1"/>
  <c r="NH71" i="1"/>
  <c r="ND71" i="1"/>
  <c r="NC71" i="1"/>
  <c r="NE71" i="1" s="1"/>
  <c r="NB71" i="1"/>
  <c r="MY71" i="1"/>
  <c r="MV71" i="1"/>
  <c r="MS71" i="1"/>
  <c r="MO71" i="1"/>
  <c r="MN71" i="1"/>
  <c r="MP71" i="1" s="1"/>
  <c r="MM71" i="1"/>
  <c r="MJ71" i="1"/>
  <c r="MG71" i="1"/>
  <c r="MD71" i="1"/>
  <c r="LZ71" i="1"/>
  <c r="LY71" i="1"/>
  <c r="MA71" i="1" s="1"/>
  <c r="LX71" i="1"/>
  <c r="LU71" i="1"/>
  <c r="LR71" i="1"/>
  <c r="LO71" i="1"/>
  <c r="KV71" i="1"/>
  <c r="KU71" i="1"/>
  <c r="KW71" i="1" s="1"/>
  <c r="KT71" i="1"/>
  <c r="KQ71" i="1"/>
  <c r="KN71" i="1"/>
  <c r="KK71" i="1"/>
  <c r="KH71" i="1"/>
  <c r="JC71" i="1"/>
  <c r="JB71" i="1"/>
  <c r="JD71" i="1" s="1"/>
  <c r="JA71" i="1"/>
  <c r="IX71" i="1"/>
  <c r="IU71" i="1"/>
  <c r="IR71" i="1"/>
  <c r="IN71" i="1"/>
  <c r="IM71" i="1"/>
  <c r="IO71" i="1" s="1"/>
  <c r="IL71" i="1"/>
  <c r="II71" i="1"/>
  <c r="IF71" i="1"/>
  <c r="IC71" i="1"/>
  <c r="HY71" i="1"/>
  <c r="HX71" i="1"/>
  <c r="HZ71" i="1" s="1"/>
  <c r="HW71" i="1"/>
  <c r="HT71" i="1"/>
  <c r="HQ71" i="1"/>
  <c r="HN71" i="1"/>
  <c r="HJ71" i="1"/>
  <c r="HI71" i="1"/>
  <c r="HK71" i="1" s="1"/>
  <c r="HH71" i="1"/>
  <c r="HE71" i="1"/>
  <c r="HB71" i="1"/>
  <c r="GY71" i="1"/>
  <c r="GU71" i="1"/>
  <c r="GT71" i="1"/>
  <c r="GV71" i="1" s="1"/>
  <c r="GS71" i="1"/>
  <c r="GP71" i="1"/>
  <c r="GM71" i="1"/>
  <c r="GJ71" i="1"/>
  <c r="GF71" i="1"/>
  <c r="GE71" i="1"/>
  <c r="GG71" i="1" s="1"/>
  <c r="GD71" i="1"/>
  <c r="GA71" i="1"/>
  <c r="FX71" i="1"/>
  <c r="FU71" i="1"/>
  <c r="FQ71" i="1"/>
  <c r="FP71" i="1"/>
  <c r="FR71" i="1" s="1"/>
  <c r="FO71" i="1"/>
  <c r="FL71" i="1"/>
  <c r="FI71" i="1"/>
  <c r="FF71" i="1"/>
  <c r="FB71" i="1"/>
  <c r="FA71" i="1"/>
  <c r="FC71" i="1" s="1"/>
  <c r="EZ71" i="1"/>
  <c r="EW71" i="1"/>
  <c r="ET71" i="1"/>
  <c r="EQ71" i="1"/>
  <c r="EM71" i="1"/>
  <c r="EL71" i="1"/>
  <c r="EN71" i="1" s="1"/>
  <c r="EK71" i="1"/>
  <c r="EH71" i="1"/>
  <c r="EE71" i="1"/>
  <c r="EB71" i="1"/>
  <c r="DX71" i="1"/>
  <c r="DW71" i="1"/>
  <c r="DY71" i="1" s="1"/>
  <c r="DV71" i="1"/>
  <c r="DS71" i="1"/>
  <c r="DP71" i="1"/>
  <c r="DM71" i="1"/>
  <c r="DI71" i="1"/>
  <c r="DH71" i="1"/>
  <c r="DJ71" i="1" s="1"/>
  <c r="DG71" i="1"/>
  <c r="DD71" i="1"/>
  <c r="DA71" i="1"/>
  <c r="CX71" i="1"/>
  <c r="CT71" i="1"/>
  <c r="CS71" i="1"/>
  <c r="CU71" i="1" s="1"/>
  <c r="CR71" i="1"/>
  <c r="CO71" i="1"/>
  <c r="CL71" i="1"/>
  <c r="CI71" i="1"/>
  <c r="CF71" i="1"/>
  <c r="BP71" i="1"/>
  <c r="BO71" i="1"/>
  <c r="BQ71" i="1" s="1"/>
  <c r="BN71" i="1"/>
  <c r="BK71" i="1"/>
  <c r="BH71" i="1"/>
  <c r="BE71" i="1"/>
  <c r="BA71" i="1"/>
  <c r="AZ71" i="1"/>
  <c r="BB71" i="1" s="1"/>
  <c r="AY71" i="1"/>
  <c r="AV71" i="1"/>
  <c r="AS71" i="1"/>
  <c r="AP71" i="1"/>
  <c r="AM71" i="1"/>
  <c r="W71" i="1"/>
  <c r="V71" i="1"/>
  <c r="X71" i="1" s="1"/>
  <c r="U71" i="1"/>
  <c r="R71" i="1"/>
  <c r="O71" i="1"/>
  <c r="L71" i="1"/>
  <c r="I71" i="1"/>
  <c r="AAB70" i="1"/>
  <c r="AAA70" i="1"/>
  <c r="AAC70" i="1" s="1"/>
  <c r="AAC82" i="1" s="1"/>
  <c r="ZZ70" i="1"/>
  <c r="ZZ82" i="1" s="1"/>
  <c r="ZW70" i="1"/>
  <c r="ZW82" i="1" s="1"/>
  <c r="ZG70" i="1"/>
  <c r="ZF70" i="1"/>
  <c r="AAD70" i="1" s="1"/>
  <c r="ZE70" i="1"/>
  <c r="ZE82" i="1" s="1"/>
  <c r="ZB70" i="1"/>
  <c r="ZB82" i="1" s="1"/>
  <c r="YY70" i="1"/>
  <c r="YY82" i="1" s="1"/>
  <c r="YV70" i="1"/>
  <c r="YV82" i="1" s="1"/>
  <c r="YR70" i="1"/>
  <c r="YR82" i="1" s="1"/>
  <c r="YQ70" i="1"/>
  <c r="YS70" i="1" s="1"/>
  <c r="YS82" i="1" s="1"/>
  <c r="YP70" i="1"/>
  <c r="YP82" i="1" s="1"/>
  <c r="YM70" i="1"/>
  <c r="YM82" i="1" s="1"/>
  <c r="YJ70" i="1"/>
  <c r="YJ82" i="1" s="1"/>
  <c r="YG70" i="1"/>
  <c r="YG82" i="1" s="1"/>
  <c r="YC70" i="1"/>
  <c r="YC82" i="1" s="1"/>
  <c r="YB70" i="1"/>
  <c r="YD70" i="1" s="1"/>
  <c r="YD82" i="1" s="1"/>
  <c r="YA70" i="1"/>
  <c r="YA82" i="1" s="1"/>
  <c r="XX70" i="1"/>
  <c r="XX82" i="1" s="1"/>
  <c r="XU70" i="1"/>
  <c r="XU82" i="1" s="1"/>
  <c r="XR70" i="1"/>
  <c r="XR82" i="1" s="1"/>
  <c r="VU70" i="1"/>
  <c r="VU82" i="1" s="1"/>
  <c r="VT70" i="1"/>
  <c r="VV70" i="1" s="1"/>
  <c r="VV82" i="1" s="1"/>
  <c r="VS70" i="1"/>
  <c r="VS82" i="1" s="1"/>
  <c r="VP70" i="1"/>
  <c r="VP82" i="1" s="1"/>
  <c r="VM70" i="1"/>
  <c r="VM82" i="1" s="1"/>
  <c r="VJ70" i="1"/>
  <c r="VJ82" i="1" s="1"/>
  <c r="UQ70" i="1"/>
  <c r="UQ82" i="1" s="1"/>
  <c r="UP70" i="1"/>
  <c r="UR70" i="1" s="1"/>
  <c r="UR82" i="1" s="1"/>
  <c r="UO70" i="1"/>
  <c r="UO82" i="1" s="1"/>
  <c r="UL70" i="1"/>
  <c r="UL82" i="1" s="1"/>
  <c r="UI70" i="1"/>
  <c r="UI82" i="1" s="1"/>
  <c r="UF70" i="1"/>
  <c r="UF82" i="1" s="1"/>
  <c r="UB70" i="1"/>
  <c r="UB82" i="1" s="1"/>
  <c r="UA70" i="1"/>
  <c r="UC70" i="1" s="1"/>
  <c r="UC82" i="1" s="1"/>
  <c r="TZ70" i="1"/>
  <c r="TZ82" i="1" s="1"/>
  <c r="TW70" i="1"/>
  <c r="TW82" i="1" s="1"/>
  <c r="TT70" i="1"/>
  <c r="TT82" i="1" s="1"/>
  <c r="TQ70" i="1"/>
  <c r="TQ82" i="1" s="1"/>
  <c r="TM70" i="1"/>
  <c r="TM82" i="1" s="1"/>
  <c r="TL70" i="1"/>
  <c r="TN70" i="1" s="1"/>
  <c r="TN82" i="1" s="1"/>
  <c r="TK70" i="1"/>
  <c r="TK82" i="1" s="1"/>
  <c r="TH70" i="1"/>
  <c r="TH82" i="1" s="1"/>
  <c r="TE70" i="1"/>
  <c r="TE82" i="1" s="1"/>
  <c r="TB70" i="1"/>
  <c r="TB82" i="1" s="1"/>
  <c r="SX70" i="1"/>
  <c r="SW70" i="1"/>
  <c r="SV70" i="1"/>
  <c r="SV82" i="1" s="1"/>
  <c r="SS70" i="1"/>
  <c r="SS82" i="1" s="1"/>
  <c r="SP70" i="1"/>
  <c r="SP82" i="1" s="1"/>
  <c r="SM70" i="1"/>
  <c r="SM82" i="1" s="1"/>
  <c r="SJ70" i="1"/>
  <c r="SJ82" i="1" s="1"/>
  <c r="QP70" i="1"/>
  <c r="QP82" i="1" s="1"/>
  <c r="QO70" i="1"/>
  <c r="QQ70" i="1" s="1"/>
  <c r="QQ82" i="1" s="1"/>
  <c r="QN70" i="1"/>
  <c r="QN82" i="1" s="1"/>
  <c r="QK70" i="1"/>
  <c r="QK82" i="1" s="1"/>
  <c r="QH70" i="1"/>
  <c r="QH82" i="1" s="1"/>
  <c r="QE70" i="1"/>
  <c r="QE82" i="1" s="1"/>
  <c r="QA70" i="1"/>
  <c r="QA82" i="1" s="1"/>
  <c r="PZ70" i="1"/>
  <c r="QB70" i="1" s="1"/>
  <c r="QB82" i="1" s="1"/>
  <c r="PY70" i="1"/>
  <c r="PY82" i="1" s="1"/>
  <c r="PV70" i="1"/>
  <c r="PV82" i="1" s="1"/>
  <c r="PS70" i="1"/>
  <c r="PS82" i="1" s="1"/>
  <c r="PP70" i="1"/>
  <c r="PP82" i="1" s="1"/>
  <c r="PL70" i="1"/>
  <c r="PL82" i="1" s="1"/>
  <c r="PK70" i="1"/>
  <c r="PM70" i="1" s="1"/>
  <c r="PM82" i="1" s="1"/>
  <c r="PJ70" i="1"/>
  <c r="PJ82" i="1" s="1"/>
  <c r="PG70" i="1"/>
  <c r="PG82" i="1" s="1"/>
  <c r="PD70" i="1"/>
  <c r="PD82" i="1" s="1"/>
  <c r="PA70" i="1"/>
  <c r="PA82" i="1" s="1"/>
  <c r="OW70" i="1"/>
  <c r="OW82" i="1" s="1"/>
  <c r="OV70" i="1"/>
  <c r="OX70" i="1" s="1"/>
  <c r="OX82" i="1" s="1"/>
  <c r="OU70" i="1"/>
  <c r="OU82" i="1" s="1"/>
  <c r="OR70" i="1"/>
  <c r="OR82" i="1" s="1"/>
  <c r="OO70" i="1"/>
  <c r="OO82" i="1" s="1"/>
  <c r="OL70" i="1"/>
  <c r="OL82" i="1" s="1"/>
  <c r="OH70" i="1"/>
  <c r="OH82" i="1" s="1"/>
  <c r="OG70" i="1"/>
  <c r="OI70" i="1" s="1"/>
  <c r="OF70" i="1"/>
  <c r="OF82" i="1" s="1"/>
  <c r="OC70" i="1"/>
  <c r="OC82" i="1" s="1"/>
  <c r="NZ70" i="1"/>
  <c r="NZ82" i="1" s="1"/>
  <c r="NW70" i="1"/>
  <c r="NS70" i="1"/>
  <c r="NS82" i="1" s="1"/>
  <c r="NR70" i="1"/>
  <c r="NT70" i="1" s="1"/>
  <c r="NT82" i="1" s="1"/>
  <c r="NQ70" i="1"/>
  <c r="NQ82" i="1" s="1"/>
  <c r="NN70" i="1"/>
  <c r="NN82" i="1" s="1"/>
  <c r="NK70" i="1"/>
  <c r="NK82" i="1" s="1"/>
  <c r="NH70" i="1"/>
  <c r="NH82" i="1" s="1"/>
  <c r="ND70" i="1"/>
  <c r="ND82" i="1" s="1"/>
  <c r="NC70" i="1"/>
  <c r="NE70" i="1" s="1"/>
  <c r="NE82" i="1" s="1"/>
  <c r="NB70" i="1"/>
  <c r="NB82" i="1" s="1"/>
  <c r="MY70" i="1"/>
  <c r="MY82" i="1" s="1"/>
  <c r="MV70" i="1"/>
  <c r="MV82" i="1" s="1"/>
  <c r="MS70" i="1"/>
  <c r="MS82" i="1" s="1"/>
  <c r="MO70" i="1"/>
  <c r="MO82" i="1" s="1"/>
  <c r="MN70" i="1"/>
  <c r="MP70" i="1" s="1"/>
  <c r="MM70" i="1"/>
  <c r="MM82" i="1" s="1"/>
  <c r="MJ70" i="1"/>
  <c r="MJ82" i="1" s="1"/>
  <c r="MG70" i="1"/>
  <c r="MG82" i="1" s="1"/>
  <c r="MD70" i="1"/>
  <c r="LZ70" i="1"/>
  <c r="LZ82" i="1" s="1"/>
  <c r="LY70" i="1"/>
  <c r="MA70" i="1" s="1"/>
  <c r="MA82" i="1" s="1"/>
  <c r="LX70" i="1"/>
  <c r="LX82" i="1" s="1"/>
  <c r="LU70" i="1"/>
  <c r="LU82" i="1" s="1"/>
  <c r="LR70" i="1"/>
  <c r="LR82" i="1" s="1"/>
  <c r="LO70" i="1"/>
  <c r="LO82" i="1" s="1"/>
  <c r="KV70" i="1"/>
  <c r="KV82" i="1" s="1"/>
  <c r="KU70" i="1"/>
  <c r="KW70" i="1" s="1"/>
  <c r="KW82" i="1" s="1"/>
  <c r="KT70" i="1"/>
  <c r="KT82" i="1" s="1"/>
  <c r="KQ70" i="1"/>
  <c r="KQ82" i="1" s="1"/>
  <c r="KN70" i="1"/>
  <c r="KN82" i="1" s="1"/>
  <c r="KK70" i="1"/>
  <c r="KK82" i="1" s="1"/>
  <c r="KH70" i="1"/>
  <c r="KH82" i="1" s="1"/>
  <c r="JC70" i="1"/>
  <c r="JC82" i="1" s="1"/>
  <c r="JB70" i="1"/>
  <c r="JD70" i="1" s="1"/>
  <c r="JD82" i="1" s="1"/>
  <c r="JA70" i="1"/>
  <c r="JA82" i="1" s="1"/>
  <c r="IX70" i="1"/>
  <c r="IX82" i="1" s="1"/>
  <c r="IU70" i="1"/>
  <c r="IU82" i="1" s="1"/>
  <c r="IR70" i="1"/>
  <c r="IR82" i="1" s="1"/>
  <c r="IN70" i="1"/>
  <c r="IN82" i="1" s="1"/>
  <c r="IM70" i="1"/>
  <c r="IO70" i="1" s="1"/>
  <c r="IL70" i="1"/>
  <c r="IL82" i="1" s="1"/>
  <c r="II70" i="1"/>
  <c r="II82" i="1" s="1"/>
  <c r="IF70" i="1"/>
  <c r="IF82" i="1" s="1"/>
  <c r="IC70" i="1"/>
  <c r="HY70" i="1"/>
  <c r="HY82" i="1" s="1"/>
  <c r="HX70" i="1"/>
  <c r="HZ70" i="1" s="1"/>
  <c r="HZ82" i="1" s="1"/>
  <c r="HW70" i="1"/>
  <c r="HW82" i="1" s="1"/>
  <c r="HT70" i="1"/>
  <c r="HT82" i="1" s="1"/>
  <c r="HQ70" i="1"/>
  <c r="HQ82" i="1" s="1"/>
  <c r="HN70" i="1"/>
  <c r="HN82" i="1" s="1"/>
  <c r="HJ70" i="1"/>
  <c r="HJ82" i="1" s="1"/>
  <c r="HI70" i="1"/>
  <c r="HK70" i="1" s="1"/>
  <c r="HK82" i="1" s="1"/>
  <c r="HH70" i="1"/>
  <c r="HH82" i="1" s="1"/>
  <c r="HE70" i="1"/>
  <c r="HE82" i="1" s="1"/>
  <c r="HB70" i="1"/>
  <c r="HB82" i="1" s="1"/>
  <c r="GY70" i="1"/>
  <c r="GY82" i="1" s="1"/>
  <c r="GU70" i="1"/>
  <c r="GU82" i="1" s="1"/>
  <c r="GT70" i="1"/>
  <c r="GV70" i="1" s="1"/>
  <c r="GV82" i="1" s="1"/>
  <c r="GS70" i="1"/>
  <c r="GS82" i="1" s="1"/>
  <c r="GP70" i="1"/>
  <c r="GP82" i="1" s="1"/>
  <c r="GM70" i="1"/>
  <c r="GM82" i="1" s="1"/>
  <c r="GJ70" i="1"/>
  <c r="GJ82" i="1" s="1"/>
  <c r="GF70" i="1"/>
  <c r="GF82" i="1" s="1"/>
  <c r="GE70" i="1"/>
  <c r="GG70" i="1" s="1"/>
  <c r="GG82" i="1" s="1"/>
  <c r="GD70" i="1"/>
  <c r="GD82" i="1" s="1"/>
  <c r="GA70" i="1"/>
  <c r="GA82" i="1" s="1"/>
  <c r="FX70" i="1"/>
  <c r="FX82" i="1" s="1"/>
  <c r="FU70" i="1"/>
  <c r="FU82" i="1" s="1"/>
  <c r="FQ70" i="1"/>
  <c r="FQ82" i="1" s="1"/>
  <c r="FP70" i="1"/>
  <c r="FR70" i="1" s="1"/>
  <c r="FR82" i="1" s="1"/>
  <c r="FO70" i="1"/>
  <c r="FO82" i="1" s="1"/>
  <c r="FL70" i="1"/>
  <c r="FL82" i="1" s="1"/>
  <c r="FI70" i="1"/>
  <c r="FI82" i="1" s="1"/>
  <c r="FF70" i="1"/>
  <c r="FF82" i="1" s="1"/>
  <c r="FB70" i="1"/>
  <c r="FB82" i="1" s="1"/>
  <c r="FA70" i="1"/>
  <c r="FC70" i="1" s="1"/>
  <c r="FC82" i="1" s="1"/>
  <c r="EZ70" i="1"/>
  <c r="EZ82" i="1" s="1"/>
  <c r="EW70" i="1"/>
  <c r="EW82" i="1" s="1"/>
  <c r="ET70" i="1"/>
  <c r="ET82" i="1" s="1"/>
  <c r="EQ70" i="1"/>
  <c r="EQ82" i="1" s="1"/>
  <c r="EM70" i="1"/>
  <c r="EM82" i="1" s="1"/>
  <c r="EL70" i="1"/>
  <c r="EN70" i="1" s="1"/>
  <c r="EN82" i="1" s="1"/>
  <c r="EK70" i="1"/>
  <c r="EK82" i="1" s="1"/>
  <c r="EH70" i="1"/>
  <c r="EH82" i="1" s="1"/>
  <c r="EE70" i="1"/>
  <c r="EE82" i="1" s="1"/>
  <c r="EB70" i="1"/>
  <c r="EB82" i="1" s="1"/>
  <c r="DX70" i="1"/>
  <c r="DX82" i="1" s="1"/>
  <c r="DW70" i="1"/>
  <c r="DY70" i="1" s="1"/>
  <c r="DY82" i="1" s="1"/>
  <c r="DV70" i="1"/>
  <c r="DV82" i="1" s="1"/>
  <c r="DS70" i="1"/>
  <c r="DS82" i="1" s="1"/>
  <c r="DP70" i="1"/>
  <c r="DP82" i="1" s="1"/>
  <c r="DM70" i="1"/>
  <c r="DM82" i="1" s="1"/>
  <c r="DI70" i="1"/>
  <c r="DI82" i="1" s="1"/>
  <c r="DH70" i="1"/>
  <c r="DJ70" i="1" s="1"/>
  <c r="DJ82" i="1" s="1"/>
  <c r="DG70" i="1"/>
  <c r="DG82" i="1" s="1"/>
  <c r="DD70" i="1"/>
  <c r="DD82" i="1" s="1"/>
  <c r="DA70" i="1"/>
  <c r="DA82" i="1" s="1"/>
  <c r="CX70" i="1"/>
  <c r="CX82" i="1" s="1"/>
  <c r="CT70" i="1"/>
  <c r="CT82" i="1" s="1"/>
  <c r="CS70" i="1"/>
  <c r="CU70" i="1" s="1"/>
  <c r="CR70" i="1"/>
  <c r="CR82" i="1" s="1"/>
  <c r="CO70" i="1"/>
  <c r="CL70" i="1"/>
  <c r="CL82" i="1" s="1"/>
  <c r="CI70" i="1"/>
  <c r="CI82" i="1" s="1"/>
  <c r="CF70" i="1"/>
  <c r="CF82" i="1" s="1"/>
  <c r="BP70" i="1"/>
  <c r="BP82" i="1" s="1"/>
  <c r="BO70" i="1"/>
  <c r="BQ70" i="1" s="1"/>
  <c r="BQ82" i="1" s="1"/>
  <c r="BN70" i="1"/>
  <c r="BN82" i="1" s="1"/>
  <c r="BK70" i="1"/>
  <c r="BK82" i="1" s="1"/>
  <c r="BH70" i="1"/>
  <c r="BH82" i="1" s="1"/>
  <c r="BE70" i="1"/>
  <c r="BE82" i="1" s="1"/>
  <c r="BA70" i="1"/>
  <c r="BA82" i="1" s="1"/>
  <c r="AZ70" i="1"/>
  <c r="BB70" i="1" s="1"/>
  <c r="BB82" i="1" s="1"/>
  <c r="AY70" i="1"/>
  <c r="AY82" i="1" s="1"/>
  <c r="AV70" i="1"/>
  <c r="AV82" i="1" s="1"/>
  <c r="AS70" i="1"/>
  <c r="AS82" i="1" s="1"/>
  <c r="AP70" i="1"/>
  <c r="AP82" i="1" s="1"/>
  <c r="AM70" i="1"/>
  <c r="AM82" i="1" s="1"/>
  <c r="W70" i="1"/>
  <c r="W82" i="1" s="1"/>
  <c r="V70" i="1"/>
  <c r="U70" i="1"/>
  <c r="U82" i="1" s="1"/>
  <c r="R70" i="1"/>
  <c r="R82" i="1" s="1"/>
  <c r="O70" i="1"/>
  <c r="O82" i="1" s="1"/>
  <c r="L70" i="1"/>
  <c r="L82" i="1" s="1"/>
  <c r="I70" i="1"/>
  <c r="ZY69" i="1"/>
  <c r="AAB69" i="1" s="1"/>
  <c r="ZX69" i="1"/>
  <c r="AAA69" i="1" s="1"/>
  <c r="ZD69" i="1"/>
  <c r="ZC69" i="1"/>
  <c r="ZA69" i="1"/>
  <c r="YZ69" i="1"/>
  <c r="YX69" i="1"/>
  <c r="YW69" i="1"/>
  <c r="YU69" i="1"/>
  <c r="YT69" i="1"/>
  <c r="ZF69" i="1" s="1"/>
  <c r="YO69" i="1"/>
  <c r="YN69" i="1"/>
  <c r="YL69" i="1"/>
  <c r="YK69" i="1"/>
  <c r="YI69" i="1"/>
  <c r="YH69" i="1"/>
  <c r="YF69" i="1"/>
  <c r="YE69" i="1"/>
  <c r="YQ69" i="1" s="1"/>
  <c r="XZ69" i="1"/>
  <c r="XY69" i="1"/>
  <c r="XW69" i="1"/>
  <c r="XV69" i="1"/>
  <c r="XT69" i="1"/>
  <c r="XS69" i="1"/>
  <c r="XQ69" i="1"/>
  <c r="XP69" i="1"/>
  <c r="YB69" i="1" s="1"/>
  <c r="VR69" i="1"/>
  <c r="VQ69" i="1"/>
  <c r="VO69" i="1"/>
  <c r="VN69" i="1"/>
  <c r="VL69" i="1"/>
  <c r="VK69" i="1"/>
  <c r="VI69" i="1"/>
  <c r="VH69" i="1"/>
  <c r="VT69" i="1" s="1"/>
  <c r="UN69" i="1"/>
  <c r="UM69" i="1"/>
  <c r="UK69" i="1"/>
  <c r="UJ69" i="1"/>
  <c r="UH69" i="1"/>
  <c r="UG69" i="1"/>
  <c r="UE69" i="1"/>
  <c r="UD69" i="1"/>
  <c r="UP69" i="1" s="1"/>
  <c r="TY69" i="1"/>
  <c r="TX69" i="1"/>
  <c r="TV69" i="1"/>
  <c r="TU69" i="1"/>
  <c r="TS69" i="1"/>
  <c r="TR69" i="1"/>
  <c r="TP69" i="1"/>
  <c r="TO69" i="1"/>
  <c r="UA69" i="1" s="1"/>
  <c r="TJ69" i="1"/>
  <c r="TI69" i="1"/>
  <c r="TG69" i="1"/>
  <c r="TF69" i="1"/>
  <c r="TD69" i="1"/>
  <c r="TC69" i="1"/>
  <c r="TA69" i="1"/>
  <c r="SZ69" i="1"/>
  <c r="TL69" i="1" s="1"/>
  <c r="SU69" i="1"/>
  <c r="ST69" i="1"/>
  <c r="SR69" i="1"/>
  <c r="SQ69" i="1"/>
  <c r="SO69" i="1"/>
  <c r="SN69" i="1"/>
  <c r="SL69" i="1"/>
  <c r="SK69" i="1"/>
  <c r="SW69" i="1" s="1"/>
  <c r="QM69" i="1"/>
  <c r="QL69" i="1"/>
  <c r="QJ69" i="1"/>
  <c r="QI69" i="1"/>
  <c r="QG69" i="1"/>
  <c r="QF69" i="1"/>
  <c r="QD69" i="1"/>
  <c r="QC69" i="1"/>
  <c r="QO69" i="1" s="1"/>
  <c r="PX69" i="1"/>
  <c r="PW69" i="1"/>
  <c r="PU69" i="1"/>
  <c r="PT69" i="1"/>
  <c r="PR69" i="1"/>
  <c r="PQ69" i="1"/>
  <c r="PO69" i="1"/>
  <c r="PN69" i="1"/>
  <c r="PZ69" i="1" s="1"/>
  <c r="PI69" i="1"/>
  <c r="PH69" i="1"/>
  <c r="PF69" i="1"/>
  <c r="PE69" i="1"/>
  <c r="PC69" i="1"/>
  <c r="PB69" i="1"/>
  <c r="OZ69" i="1"/>
  <c r="OY69" i="1"/>
  <c r="PK69" i="1" s="1"/>
  <c r="OT69" i="1"/>
  <c r="OS69" i="1"/>
  <c r="OQ69" i="1"/>
  <c r="OP69" i="1"/>
  <c r="ON69" i="1"/>
  <c r="OM69" i="1"/>
  <c r="OK69" i="1"/>
  <c r="OJ69" i="1"/>
  <c r="OV69" i="1" s="1"/>
  <c r="OE69" i="1"/>
  <c r="OD69" i="1"/>
  <c r="OB69" i="1"/>
  <c r="OA69" i="1"/>
  <c r="NY69" i="1"/>
  <c r="NX69" i="1"/>
  <c r="NV69" i="1"/>
  <c r="NP69" i="1"/>
  <c r="NO69" i="1"/>
  <c r="NM69" i="1"/>
  <c r="NL69" i="1"/>
  <c r="NJ69" i="1"/>
  <c r="NI69" i="1"/>
  <c r="NG69" i="1"/>
  <c r="NF69" i="1"/>
  <c r="NR69" i="1" s="1"/>
  <c r="NA69" i="1"/>
  <c r="MZ69" i="1"/>
  <c r="MX69" i="1"/>
  <c r="MW69" i="1"/>
  <c r="MU69" i="1"/>
  <c r="MT69" i="1"/>
  <c r="MR69" i="1"/>
  <c r="MQ69" i="1"/>
  <c r="NC69" i="1" s="1"/>
  <c r="ML69" i="1"/>
  <c r="MK69" i="1"/>
  <c r="MI69" i="1"/>
  <c r="MH69" i="1"/>
  <c r="MF69" i="1"/>
  <c r="ME69" i="1"/>
  <c r="MC69" i="1"/>
  <c r="LW69" i="1"/>
  <c r="LV69" i="1"/>
  <c r="LT69" i="1"/>
  <c r="LS69" i="1"/>
  <c r="LQ69" i="1"/>
  <c r="LP69" i="1"/>
  <c r="LN69" i="1"/>
  <c r="LM69" i="1"/>
  <c r="LY69" i="1" s="1"/>
  <c r="KS69" i="1"/>
  <c r="KR69" i="1"/>
  <c r="KP69" i="1"/>
  <c r="KO69" i="1"/>
  <c r="KM69" i="1"/>
  <c r="KL69" i="1"/>
  <c r="KJ69" i="1"/>
  <c r="KI69" i="1"/>
  <c r="KU69" i="1" s="1"/>
  <c r="IZ69" i="1"/>
  <c r="IY69" i="1"/>
  <c r="IW69" i="1"/>
  <c r="IV69" i="1"/>
  <c r="IT69" i="1"/>
  <c r="IS69" i="1"/>
  <c r="IQ69" i="1"/>
  <c r="IP69" i="1"/>
  <c r="JB69" i="1" s="1"/>
  <c r="IK69" i="1"/>
  <c r="IJ69" i="1"/>
  <c r="IH69" i="1"/>
  <c r="IG69" i="1"/>
  <c r="IE69" i="1"/>
  <c r="ID69" i="1"/>
  <c r="IB69" i="1"/>
  <c r="HV69" i="1"/>
  <c r="HU69" i="1"/>
  <c r="HS69" i="1"/>
  <c r="HR69" i="1"/>
  <c r="HP69" i="1"/>
  <c r="HO69" i="1"/>
  <c r="HM69" i="1"/>
  <c r="HL69" i="1"/>
  <c r="HX69" i="1" s="1"/>
  <c r="HG69" i="1"/>
  <c r="HF69" i="1"/>
  <c r="HD69" i="1"/>
  <c r="HC69" i="1"/>
  <c r="HA69" i="1"/>
  <c r="GZ69" i="1"/>
  <c r="GX69" i="1"/>
  <c r="GW69" i="1"/>
  <c r="HI69" i="1" s="1"/>
  <c r="GR69" i="1"/>
  <c r="GQ69" i="1"/>
  <c r="GO69" i="1"/>
  <c r="GN69" i="1"/>
  <c r="GL69" i="1"/>
  <c r="GK69" i="1"/>
  <c r="GI69" i="1"/>
  <c r="GH69" i="1"/>
  <c r="GT69" i="1" s="1"/>
  <c r="GC69" i="1"/>
  <c r="GB69" i="1"/>
  <c r="FZ69" i="1"/>
  <c r="FY69" i="1"/>
  <c r="FW69" i="1"/>
  <c r="FV69" i="1"/>
  <c r="FT69" i="1"/>
  <c r="FS69" i="1"/>
  <c r="GE69" i="1" s="1"/>
  <c r="FN69" i="1"/>
  <c r="FM69" i="1"/>
  <c r="FK69" i="1"/>
  <c r="FJ69" i="1"/>
  <c r="FH69" i="1"/>
  <c r="FG69" i="1"/>
  <c r="FE69" i="1"/>
  <c r="FD69" i="1"/>
  <c r="FP69" i="1" s="1"/>
  <c r="EY69" i="1"/>
  <c r="EX69" i="1"/>
  <c r="EV69" i="1"/>
  <c r="EU69" i="1"/>
  <c r="ES69" i="1"/>
  <c r="ER69" i="1"/>
  <c r="EP69" i="1"/>
  <c r="EO69" i="1"/>
  <c r="FA69" i="1" s="1"/>
  <c r="EJ69" i="1"/>
  <c r="EI69" i="1"/>
  <c r="EG69" i="1"/>
  <c r="EF69" i="1"/>
  <c r="ED69" i="1"/>
  <c r="EC69" i="1"/>
  <c r="EA69" i="1"/>
  <c r="DZ69" i="1"/>
  <c r="EL69" i="1" s="1"/>
  <c r="DU69" i="1"/>
  <c r="DT69" i="1"/>
  <c r="DR69" i="1"/>
  <c r="DQ69" i="1"/>
  <c r="DO69" i="1"/>
  <c r="DN69" i="1"/>
  <c r="DL69" i="1"/>
  <c r="DK69" i="1"/>
  <c r="DW69" i="1" s="1"/>
  <c r="DF69" i="1"/>
  <c r="DE69" i="1"/>
  <c r="DC69" i="1"/>
  <c r="DB69" i="1"/>
  <c r="CZ69" i="1"/>
  <c r="CY69" i="1"/>
  <c r="CW69" i="1"/>
  <c r="CV69" i="1"/>
  <c r="DH69" i="1" s="1"/>
  <c r="CQ69" i="1"/>
  <c r="CP69" i="1"/>
  <c r="CN69" i="1"/>
  <c r="CK69" i="1"/>
  <c r="CJ69" i="1"/>
  <c r="CH69" i="1"/>
  <c r="CG69" i="1"/>
  <c r="BM69" i="1"/>
  <c r="BL69" i="1"/>
  <c r="BJ69" i="1"/>
  <c r="BI69" i="1"/>
  <c r="BG69" i="1"/>
  <c r="BF69" i="1"/>
  <c r="BD69" i="1"/>
  <c r="BC69" i="1"/>
  <c r="BO69" i="1" s="1"/>
  <c r="AX69" i="1"/>
  <c r="AW69" i="1"/>
  <c r="AU69" i="1"/>
  <c r="AT69" i="1"/>
  <c r="AR69" i="1"/>
  <c r="AQ69" i="1"/>
  <c r="AO69" i="1"/>
  <c r="AN69" i="1"/>
  <c r="AZ69" i="1" s="1"/>
  <c r="T69" i="1"/>
  <c r="S69" i="1"/>
  <c r="Q69" i="1"/>
  <c r="P69" i="1"/>
  <c r="N69" i="1"/>
  <c r="M69" i="1"/>
  <c r="K69" i="1"/>
  <c r="J69" i="1"/>
  <c r="H69" i="1"/>
  <c r="AAB68" i="1"/>
  <c r="AAA68" i="1"/>
  <c r="AAC68" i="1" s="1"/>
  <c r="ZZ68" i="1"/>
  <c r="ZW68" i="1"/>
  <c r="ZG68" i="1"/>
  <c r="AAE68" i="1" s="1"/>
  <c r="ZF68" i="1"/>
  <c r="AAD68" i="1" s="1"/>
  <c r="ZE68" i="1"/>
  <c r="ZB68" i="1"/>
  <c r="YY68" i="1"/>
  <c r="YV68" i="1"/>
  <c r="YR68" i="1"/>
  <c r="YQ68" i="1"/>
  <c r="YS68" i="1" s="1"/>
  <c r="YP68" i="1"/>
  <c r="YM68" i="1"/>
  <c r="YJ68" i="1"/>
  <c r="YG68" i="1"/>
  <c r="YC68" i="1"/>
  <c r="YB68" i="1"/>
  <c r="YD68" i="1" s="1"/>
  <c r="YA68" i="1"/>
  <c r="XX68" i="1"/>
  <c r="XU68" i="1"/>
  <c r="XR68" i="1"/>
  <c r="VU68" i="1"/>
  <c r="VT68" i="1"/>
  <c r="VV68" i="1" s="1"/>
  <c r="VS68" i="1"/>
  <c r="VP68" i="1"/>
  <c r="VM68" i="1"/>
  <c r="VJ68" i="1"/>
  <c r="UQ68" i="1"/>
  <c r="UP68" i="1"/>
  <c r="UR68" i="1" s="1"/>
  <c r="UO68" i="1"/>
  <c r="UL68" i="1"/>
  <c r="UI68" i="1"/>
  <c r="UF68" i="1"/>
  <c r="UB68" i="1"/>
  <c r="UA68" i="1"/>
  <c r="UC68" i="1" s="1"/>
  <c r="TZ68" i="1"/>
  <c r="TW68" i="1"/>
  <c r="TT68" i="1"/>
  <c r="TQ68" i="1"/>
  <c r="TM68" i="1"/>
  <c r="TL68" i="1"/>
  <c r="TN68" i="1" s="1"/>
  <c r="TK68" i="1"/>
  <c r="TH68" i="1"/>
  <c r="TE68" i="1"/>
  <c r="TB68" i="1"/>
  <c r="SX68" i="1"/>
  <c r="SW68" i="1"/>
  <c r="SY68" i="1" s="1"/>
  <c r="SV68" i="1"/>
  <c r="SS68" i="1"/>
  <c r="SP68" i="1"/>
  <c r="SM68" i="1"/>
  <c r="SJ68" i="1"/>
  <c r="QP68" i="1"/>
  <c r="QO68" i="1"/>
  <c r="QQ68" i="1" s="1"/>
  <c r="QN68" i="1"/>
  <c r="QK68" i="1"/>
  <c r="QH68" i="1"/>
  <c r="QE68" i="1"/>
  <c r="QA68" i="1"/>
  <c r="PZ68" i="1"/>
  <c r="QB68" i="1" s="1"/>
  <c r="PY68" i="1"/>
  <c r="PV68" i="1"/>
  <c r="PS68" i="1"/>
  <c r="PP68" i="1"/>
  <c r="PL68" i="1"/>
  <c r="PK68" i="1"/>
  <c r="PM68" i="1" s="1"/>
  <c r="PJ68" i="1"/>
  <c r="PG68" i="1"/>
  <c r="PD68" i="1"/>
  <c r="PA68" i="1"/>
  <c r="OW68" i="1"/>
  <c r="OV68" i="1"/>
  <c r="OX68" i="1" s="1"/>
  <c r="OU68" i="1"/>
  <c r="OR68" i="1"/>
  <c r="OO68" i="1"/>
  <c r="OL68" i="1"/>
  <c r="OH68" i="1"/>
  <c r="OG68" i="1"/>
  <c r="OI68" i="1" s="1"/>
  <c r="OF68" i="1"/>
  <c r="OC68" i="1"/>
  <c r="NZ68" i="1"/>
  <c r="NW68" i="1"/>
  <c r="NS68" i="1"/>
  <c r="NR68" i="1"/>
  <c r="NT68" i="1" s="1"/>
  <c r="NQ68" i="1"/>
  <c r="NN68" i="1"/>
  <c r="NK68" i="1"/>
  <c r="NH68" i="1"/>
  <c r="ND68" i="1"/>
  <c r="NC68" i="1"/>
  <c r="NE68" i="1" s="1"/>
  <c r="NB68" i="1"/>
  <c r="MY68" i="1"/>
  <c r="MV68" i="1"/>
  <c r="MS68" i="1"/>
  <c r="MO68" i="1"/>
  <c r="MN68" i="1"/>
  <c r="MP68" i="1" s="1"/>
  <c r="MM68" i="1"/>
  <c r="MJ68" i="1"/>
  <c r="MG68" i="1"/>
  <c r="MD68" i="1"/>
  <c r="LZ68" i="1"/>
  <c r="LY68" i="1"/>
  <c r="MA68" i="1" s="1"/>
  <c r="LX68" i="1"/>
  <c r="LU68" i="1"/>
  <c r="LR68" i="1"/>
  <c r="LO68" i="1"/>
  <c r="KV68" i="1"/>
  <c r="KU68" i="1"/>
  <c r="KW68" i="1" s="1"/>
  <c r="KT68" i="1"/>
  <c r="KQ68" i="1"/>
  <c r="KN68" i="1"/>
  <c r="KK68" i="1"/>
  <c r="KH68" i="1"/>
  <c r="JC68" i="1"/>
  <c r="JB68" i="1"/>
  <c r="JD68" i="1" s="1"/>
  <c r="JA68" i="1"/>
  <c r="IX68" i="1"/>
  <c r="IU68" i="1"/>
  <c r="IR68" i="1"/>
  <c r="IN68" i="1"/>
  <c r="IM68" i="1"/>
  <c r="IO68" i="1" s="1"/>
  <c r="IL68" i="1"/>
  <c r="II68" i="1"/>
  <c r="IF68" i="1"/>
  <c r="IC68" i="1"/>
  <c r="HY68" i="1"/>
  <c r="HX68" i="1"/>
  <c r="HZ68" i="1" s="1"/>
  <c r="HW68" i="1"/>
  <c r="HT68" i="1"/>
  <c r="HQ68" i="1"/>
  <c r="HN68" i="1"/>
  <c r="HJ68" i="1"/>
  <c r="HI68" i="1"/>
  <c r="HK68" i="1" s="1"/>
  <c r="HH68" i="1"/>
  <c r="HE68" i="1"/>
  <c r="HB68" i="1"/>
  <c r="GY68" i="1"/>
  <c r="GU68" i="1"/>
  <c r="GT68" i="1"/>
  <c r="GV68" i="1" s="1"/>
  <c r="GS68" i="1"/>
  <c r="GP68" i="1"/>
  <c r="GM68" i="1"/>
  <c r="GJ68" i="1"/>
  <c r="GF68" i="1"/>
  <c r="GE68" i="1"/>
  <c r="GG68" i="1" s="1"/>
  <c r="GD68" i="1"/>
  <c r="GA68" i="1"/>
  <c r="FX68" i="1"/>
  <c r="FU68" i="1"/>
  <c r="FQ68" i="1"/>
  <c r="FP68" i="1"/>
  <c r="FR68" i="1" s="1"/>
  <c r="FO68" i="1"/>
  <c r="FL68" i="1"/>
  <c r="FI68" i="1"/>
  <c r="FF68" i="1"/>
  <c r="FB68" i="1"/>
  <c r="FA68" i="1"/>
  <c r="FC68" i="1" s="1"/>
  <c r="EZ68" i="1"/>
  <c r="EW68" i="1"/>
  <c r="ET68" i="1"/>
  <c r="EQ68" i="1"/>
  <c r="EM68" i="1"/>
  <c r="EL68" i="1"/>
  <c r="EN68" i="1" s="1"/>
  <c r="EK68" i="1"/>
  <c r="EH68" i="1"/>
  <c r="EE68" i="1"/>
  <c r="EB68" i="1"/>
  <c r="DX68" i="1"/>
  <c r="DW68" i="1"/>
  <c r="DY68" i="1" s="1"/>
  <c r="DV68" i="1"/>
  <c r="DS68" i="1"/>
  <c r="DP68" i="1"/>
  <c r="DM68" i="1"/>
  <c r="DI68" i="1"/>
  <c r="DH68" i="1"/>
  <c r="DJ68" i="1" s="1"/>
  <c r="DG68" i="1"/>
  <c r="DD68" i="1"/>
  <c r="DA68" i="1"/>
  <c r="CX68" i="1"/>
  <c r="CT68" i="1"/>
  <c r="CS68" i="1"/>
  <c r="CU68" i="1" s="1"/>
  <c r="CR68" i="1"/>
  <c r="CO68" i="1"/>
  <c r="CL68" i="1"/>
  <c r="CI68" i="1"/>
  <c r="CF68" i="1"/>
  <c r="BP68" i="1"/>
  <c r="BO68" i="1"/>
  <c r="BQ68" i="1" s="1"/>
  <c r="BN68" i="1"/>
  <c r="BK68" i="1"/>
  <c r="BH68" i="1"/>
  <c r="BE68" i="1"/>
  <c r="BA68" i="1"/>
  <c r="AZ68" i="1"/>
  <c r="BB68" i="1" s="1"/>
  <c r="AY68" i="1"/>
  <c r="AV68" i="1"/>
  <c r="AS68" i="1"/>
  <c r="AP68" i="1"/>
  <c r="AM68" i="1"/>
  <c r="W68" i="1"/>
  <c r="V68" i="1"/>
  <c r="X68" i="1" s="1"/>
  <c r="U68" i="1"/>
  <c r="R68" i="1"/>
  <c r="O68" i="1"/>
  <c r="L68" i="1"/>
  <c r="I68" i="1"/>
  <c r="AAB67" i="1"/>
  <c r="AAA67" i="1"/>
  <c r="AAC67" i="1" s="1"/>
  <c r="ZZ67" i="1"/>
  <c r="ZW67" i="1"/>
  <c r="ZG67" i="1"/>
  <c r="AAE67" i="1" s="1"/>
  <c r="ZF67" i="1"/>
  <c r="AAD67" i="1" s="1"/>
  <c r="ZE67" i="1"/>
  <c r="ZB67" i="1"/>
  <c r="YY67" i="1"/>
  <c r="YV67" i="1"/>
  <c r="YR67" i="1"/>
  <c r="YQ67" i="1"/>
  <c r="YS67" i="1" s="1"/>
  <c r="YP67" i="1"/>
  <c r="YM67" i="1"/>
  <c r="YJ67" i="1"/>
  <c r="YG67" i="1"/>
  <c r="YC67" i="1"/>
  <c r="YB67" i="1"/>
  <c r="YD67" i="1" s="1"/>
  <c r="YA67" i="1"/>
  <c r="XX67" i="1"/>
  <c r="XU67" i="1"/>
  <c r="XR67" i="1"/>
  <c r="VU67" i="1"/>
  <c r="VT67" i="1"/>
  <c r="VV67" i="1" s="1"/>
  <c r="VS67" i="1"/>
  <c r="VP67" i="1"/>
  <c r="VM67" i="1"/>
  <c r="VJ67" i="1"/>
  <c r="UQ67" i="1"/>
  <c r="UP67" i="1"/>
  <c r="UR67" i="1" s="1"/>
  <c r="UO67" i="1"/>
  <c r="UL67" i="1"/>
  <c r="UI67" i="1"/>
  <c r="UF67" i="1"/>
  <c r="UB67" i="1"/>
  <c r="UA67" i="1"/>
  <c r="UC67" i="1" s="1"/>
  <c r="TZ67" i="1"/>
  <c r="TW67" i="1"/>
  <c r="TT67" i="1"/>
  <c r="TQ67" i="1"/>
  <c r="TM67" i="1"/>
  <c r="TL67" i="1"/>
  <c r="TN67" i="1" s="1"/>
  <c r="TK67" i="1"/>
  <c r="TH67" i="1"/>
  <c r="TE67" i="1"/>
  <c r="TB67" i="1"/>
  <c r="SX67" i="1"/>
  <c r="SW67" i="1"/>
  <c r="SY67" i="1" s="1"/>
  <c r="SV67" i="1"/>
  <c r="SS67" i="1"/>
  <c r="SP67" i="1"/>
  <c r="SM67" i="1"/>
  <c r="SJ67" i="1"/>
  <c r="QP67" i="1"/>
  <c r="QO67" i="1"/>
  <c r="QQ67" i="1" s="1"/>
  <c r="QN67" i="1"/>
  <c r="QK67" i="1"/>
  <c r="QH67" i="1"/>
  <c r="QE67" i="1"/>
  <c r="QA67" i="1"/>
  <c r="PZ67" i="1"/>
  <c r="QB67" i="1" s="1"/>
  <c r="PY67" i="1"/>
  <c r="PV67" i="1"/>
  <c r="PS67" i="1"/>
  <c r="PP67" i="1"/>
  <c r="PL67" i="1"/>
  <c r="PK67" i="1"/>
  <c r="PM67" i="1" s="1"/>
  <c r="PJ67" i="1"/>
  <c r="PG67" i="1"/>
  <c r="PD67" i="1"/>
  <c r="PA67" i="1"/>
  <c r="OW67" i="1"/>
  <c r="OV67" i="1"/>
  <c r="OX67" i="1" s="1"/>
  <c r="OU67" i="1"/>
  <c r="OR67" i="1"/>
  <c r="OO67" i="1"/>
  <c r="OL67" i="1"/>
  <c r="OH67" i="1"/>
  <c r="OG67" i="1"/>
  <c r="OI67" i="1" s="1"/>
  <c r="OF67" i="1"/>
  <c r="OC67" i="1"/>
  <c r="NZ67" i="1"/>
  <c r="NW67" i="1"/>
  <c r="NS67" i="1"/>
  <c r="NR67" i="1"/>
  <c r="NT67" i="1" s="1"/>
  <c r="NQ67" i="1"/>
  <c r="NN67" i="1"/>
  <c r="NK67" i="1"/>
  <c r="NH67" i="1"/>
  <c r="ND67" i="1"/>
  <c r="NC67" i="1"/>
  <c r="NE67" i="1" s="1"/>
  <c r="NB67" i="1"/>
  <c r="MY67" i="1"/>
  <c r="MV67" i="1"/>
  <c r="MS67" i="1"/>
  <c r="MO67" i="1"/>
  <c r="MN67" i="1"/>
  <c r="MP67" i="1" s="1"/>
  <c r="MM67" i="1"/>
  <c r="MJ67" i="1"/>
  <c r="MG67" i="1"/>
  <c r="MD67" i="1"/>
  <c r="LZ67" i="1"/>
  <c r="LY67" i="1"/>
  <c r="MA67" i="1" s="1"/>
  <c r="LX67" i="1"/>
  <c r="LU67" i="1"/>
  <c r="LR67" i="1"/>
  <c r="LO67" i="1"/>
  <c r="KV67" i="1"/>
  <c r="KU67" i="1"/>
  <c r="KW67" i="1" s="1"/>
  <c r="KT67" i="1"/>
  <c r="KQ67" i="1"/>
  <c r="KN67" i="1"/>
  <c r="KK67" i="1"/>
  <c r="KH67" i="1"/>
  <c r="JC67" i="1"/>
  <c r="JB67" i="1"/>
  <c r="JD67" i="1" s="1"/>
  <c r="JA67" i="1"/>
  <c r="IX67" i="1"/>
  <c r="IU67" i="1"/>
  <c r="IR67" i="1"/>
  <c r="IN67" i="1"/>
  <c r="IM67" i="1"/>
  <c r="IO67" i="1" s="1"/>
  <c r="IL67" i="1"/>
  <c r="II67" i="1"/>
  <c r="IF67" i="1"/>
  <c r="IC67" i="1"/>
  <c r="HY67" i="1"/>
  <c r="HX67" i="1"/>
  <c r="HZ67" i="1" s="1"/>
  <c r="HW67" i="1"/>
  <c r="HT67" i="1"/>
  <c r="HQ67" i="1"/>
  <c r="HN67" i="1"/>
  <c r="HJ67" i="1"/>
  <c r="HI67" i="1"/>
  <c r="HK67" i="1" s="1"/>
  <c r="HH67" i="1"/>
  <c r="HE67" i="1"/>
  <c r="HB67" i="1"/>
  <c r="GY67" i="1"/>
  <c r="GU67" i="1"/>
  <c r="GT67" i="1"/>
  <c r="GV67" i="1" s="1"/>
  <c r="GS67" i="1"/>
  <c r="GP67" i="1"/>
  <c r="GM67" i="1"/>
  <c r="GJ67" i="1"/>
  <c r="GF67" i="1"/>
  <c r="GE67" i="1"/>
  <c r="GG67" i="1" s="1"/>
  <c r="GD67" i="1"/>
  <c r="GA67" i="1"/>
  <c r="FX67" i="1"/>
  <c r="FU67" i="1"/>
  <c r="FQ67" i="1"/>
  <c r="FP67" i="1"/>
  <c r="FR67" i="1" s="1"/>
  <c r="FO67" i="1"/>
  <c r="FL67" i="1"/>
  <c r="FI67" i="1"/>
  <c r="FF67" i="1"/>
  <c r="FB67" i="1"/>
  <c r="FA67" i="1"/>
  <c r="FC67" i="1" s="1"/>
  <c r="EZ67" i="1"/>
  <c r="EW67" i="1"/>
  <c r="ET67" i="1"/>
  <c r="EQ67" i="1"/>
  <c r="EM67" i="1"/>
  <c r="EL67" i="1"/>
  <c r="EN67" i="1" s="1"/>
  <c r="EK67" i="1"/>
  <c r="EH67" i="1"/>
  <c r="EE67" i="1"/>
  <c r="EB67" i="1"/>
  <c r="DX67" i="1"/>
  <c r="DW67" i="1"/>
  <c r="DY67" i="1" s="1"/>
  <c r="DV67" i="1"/>
  <c r="DS67" i="1"/>
  <c r="DP67" i="1"/>
  <c r="DM67" i="1"/>
  <c r="DI67" i="1"/>
  <c r="DH67" i="1"/>
  <c r="DJ67" i="1" s="1"/>
  <c r="DG67" i="1"/>
  <c r="DD67" i="1"/>
  <c r="DA67" i="1"/>
  <c r="CX67" i="1"/>
  <c r="CT67" i="1"/>
  <c r="CS67" i="1"/>
  <c r="CU67" i="1" s="1"/>
  <c r="CR67" i="1"/>
  <c r="CO67" i="1"/>
  <c r="CL67" i="1"/>
  <c r="CI67" i="1"/>
  <c r="CF67" i="1"/>
  <c r="BP67" i="1"/>
  <c r="BO67" i="1"/>
  <c r="BQ67" i="1" s="1"/>
  <c r="BN67" i="1"/>
  <c r="BK67" i="1"/>
  <c r="BH67" i="1"/>
  <c r="BE67" i="1"/>
  <c r="BA67" i="1"/>
  <c r="AZ67" i="1"/>
  <c r="BB67" i="1" s="1"/>
  <c r="AY67" i="1"/>
  <c r="AV67" i="1"/>
  <c r="AS67" i="1"/>
  <c r="AP67" i="1"/>
  <c r="AM67" i="1"/>
  <c r="W67" i="1"/>
  <c r="V67" i="1"/>
  <c r="X67" i="1" s="1"/>
  <c r="U67" i="1"/>
  <c r="R67" i="1"/>
  <c r="O67" i="1"/>
  <c r="L67" i="1"/>
  <c r="I67" i="1"/>
  <c r="AAB66" i="1"/>
  <c r="AAA66" i="1"/>
  <c r="AAC66" i="1" s="1"/>
  <c r="ZZ66" i="1"/>
  <c r="ZW66" i="1"/>
  <c r="ZG66" i="1"/>
  <c r="AAE66" i="1" s="1"/>
  <c r="ZF66" i="1"/>
  <c r="AAD66" i="1" s="1"/>
  <c r="ZE66" i="1"/>
  <c r="ZB66" i="1"/>
  <c r="YY66" i="1"/>
  <c r="YV66" i="1"/>
  <c r="YR66" i="1"/>
  <c r="YQ66" i="1"/>
  <c r="YS66" i="1" s="1"/>
  <c r="YP66" i="1"/>
  <c r="YM66" i="1"/>
  <c r="YJ66" i="1"/>
  <c r="YG66" i="1"/>
  <c r="YC66" i="1"/>
  <c r="YB66" i="1"/>
  <c r="YD66" i="1" s="1"/>
  <c r="YA66" i="1"/>
  <c r="XX66" i="1"/>
  <c r="XU66" i="1"/>
  <c r="XR66" i="1"/>
  <c r="VU66" i="1"/>
  <c r="VT66" i="1"/>
  <c r="VV66" i="1" s="1"/>
  <c r="VS66" i="1"/>
  <c r="VP66" i="1"/>
  <c r="VM66" i="1"/>
  <c r="VJ66" i="1"/>
  <c r="UQ66" i="1"/>
  <c r="UP66" i="1"/>
  <c r="UR66" i="1" s="1"/>
  <c r="UO66" i="1"/>
  <c r="UL66" i="1"/>
  <c r="UI66" i="1"/>
  <c r="UF66" i="1"/>
  <c r="UB66" i="1"/>
  <c r="UA66" i="1"/>
  <c r="UC66" i="1" s="1"/>
  <c r="TZ66" i="1"/>
  <c r="TW66" i="1"/>
  <c r="TT66" i="1"/>
  <c r="TQ66" i="1"/>
  <c r="TM66" i="1"/>
  <c r="TL66" i="1"/>
  <c r="TN66" i="1" s="1"/>
  <c r="TK66" i="1"/>
  <c r="TH66" i="1"/>
  <c r="TE66" i="1"/>
  <c r="TB66" i="1"/>
  <c r="SX66" i="1"/>
  <c r="SW66" i="1"/>
  <c r="SY66" i="1" s="1"/>
  <c r="SV66" i="1"/>
  <c r="SS66" i="1"/>
  <c r="SP66" i="1"/>
  <c r="SM66" i="1"/>
  <c r="SJ66" i="1"/>
  <c r="QP66" i="1"/>
  <c r="QO66" i="1"/>
  <c r="QQ66" i="1" s="1"/>
  <c r="QN66" i="1"/>
  <c r="QK66" i="1"/>
  <c r="QH66" i="1"/>
  <c r="QE66" i="1"/>
  <c r="QA66" i="1"/>
  <c r="PZ66" i="1"/>
  <c r="QB66" i="1" s="1"/>
  <c r="PY66" i="1"/>
  <c r="PV66" i="1"/>
  <c r="PS66" i="1"/>
  <c r="PP66" i="1"/>
  <c r="PL66" i="1"/>
  <c r="PK66" i="1"/>
  <c r="PM66" i="1" s="1"/>
  <c r="PJ66" i="1"/>
  <c r="PG66" i="1"/>
  <c r="PD66" i="1"/>
  <c r="PA66" i="1"/>
  <c r="OW66" i="1"/>
  <c r="OV66" i="1"/>
  <c r="OX66" i="1" s="1"/>
  <c r="OU66" i="1"/>
  <c r="OR66" i="1"/>
  <c r="OO66" i="1"/>
  <c r="OL66" i="1"/>
  <c r="OH66" i="1"/>
  <c r="OG66" i="1"/>
  <c r="OI66" i="1" s="1"/>
  <c r="OF66" i="1"/>
  <c r="OC66" i="1"/>
  <c r="NZ66" i="1"/>
  <c r="NW66" i="1"/>
  <c r="NS66" i="1"/>
  <c r="NR66" i="1"/>
  <c r="NT66" i="1" s="1"/>
  <c r="NQ66" i="1"/>
  <c r="NN66" i="1"/>
  <c r="NK66" i="1"/>
  <c r="NH66" i="1"/>
  <c r="ND66" i="1"/>
  <c r="NC66" i="1"/>
  <c r="NE66" i="1" s="1"/>
  <c r="NB66" i="1"/>
  <c r="MY66" i="1"/>
  <c r="MV66" i="1"/>
  <c r="MS66" i="1"/>
  <c r="MO66" i="1"/>
  <c r="MN66" i="1"/>
  <c r="MP66" i="1" s="1"/>
  <c r="MM66" i="1"/>
  <c r="MJ66" i="1"/>
  <c r="MG66" i="1"/>
  <c r="MD66" i="1"/>
  <c r="LZ66" i="1"/>
  <c r="LY66" i="1"/>
  <c r="MA66" i="1" s="1"/>
  <c r="LX66" i="1"/>
  <c r="LU66" i="1"/>
  <c r="LR66" i="1"/>
  <c r="LO66" i="1"/>
  <c r="KV66" i="1"/>
  <c r="KU66" i="1"/>
  <c r="KW66" i="1" s="1"/>
  <c r="KT66" i="1"/>
  <c r="KQ66" i="1"/>
  <c r="KN66" i="1"/>
  <c r="KK66" i="1"/>
  <c r="KH66" i="1"/>
  <c r="JC66" i="1"/>
  <c r="JB66" i="1"/>
  <c r="JD66" i="1" s="1"/>
  <c r="JA66" i="1"/>
  <c r="IX66" i="1"/>
  <c r="IU66" i="1"/>
  <c r="IR66" i="1"/>
  <c r="IN66" i="1"/>
  <c r="IM66" i="1"/>
  <c r="IO66" i="1" s="1"/>
  <c r="IL66" i="1"/>
  <c r="II66" i="1"/>
  <c r="IF66" i="1"/>
  <c r="IC66" i="1"/>
  <c r="HY66" i="1"/>
  <c r="HX66" i="1"/>
  <c r="HZ66" i="1" s="1"/>
  <c r="HW66" i="1"/>
  <c r="HT66" i="1"/>
  <c r="HQ66" i="1"/>
  <c r="HN66" i="1"/>
  <c r="HJ66" i="1"/>
  <c r="HI66" i="1"/>
  <c r="HK66" i="1" s="1"/>
  <c r="HH66" i="1"/>
  <c r="HE66" i="1"/>
  <c r="HB66" i="1"/>
  <c r="GY66" i="1"/>
  <c r="GU66" i="1"/>
  <c r="GT66" i="1"/>
  <c r="GV66" i="1" s="1"/>
  <c r="GS66" i="1"/>
  <c r="GP66" i="1"/>
  <c r="GM66" i="1"/>
  <c r="GJ66" i="1"/>
  <c r="GF66" i="1"/>
  <c r="GE66" i="1"/>
  <c r="GG66" i="1" s="1"/>
  <c r="GD66" i="1"/>
  <c r="GA66" i="1"/>
  <c r="FX66" i="1"/>
  <c r="FU66" i="1"/>
  <c r="FQ66" i="1"/>
  <c r="FP66" i="1"/>
  <c r="FR66" i="1" s="1"/>
  <c r="FO66" i="1"/>
  <c r="FL66" i="1"/>
  <c r="FI66" i="1"/>
  <c r="FF66" i="1"/>
  <c r="FB66" i="1"/>
  <c r="FA66" i="1"/>
  <c r="FC66" i="1" s="1"/>
  <c r="EZ66" i="1"/>
  <c r="EW66" i="1"/>
  <c r="ET66" i="1"/>
  <c r="EQ66" i="1"/>
  <c r="EM66" i="1"/>
  <c r="EL66" i="1"/>
  <c r="EN66" i="1" s="1"/>
  <c r="EK66" i="1"/>
  <c r="EH66" i="1"/>
  <c r="EE66" i="1"/>
  <c r="EB66" i="1"/>
  <c r="DX66" i="1"/>
  <c r="DW66" i="1"/>
  <c r="DY66" i="1" s="1"/>
  <c r="DV66" i="1"/>
  <c r="DS66" i="1"/>
  <c r="DP66" i="1"/>
  <c r="DM66" i="1"/>
  <c r="DI66" i="1"/>
  <c r="DH66" i="1"/>
  <c r="DJ66" i="1" s="1"/>
  <c r="DG66" i="1"/>
  <c r="DD66" i="1"/>
  <c r="DA66" i="1"/>
  <c r="CX66" i="1"/>
  <c r="CT66" i="1"/>
  <c r="CS66" i="1"/>
  <c r="CU66" i="1" s="1"/>
  <c r="CR66" i="1"/>
  <c r="CO66" i="1"/>
  <c r="CL66" i="1"/>
  <c r="CI66" i="1"/>
  <c r="CF66" i="1"/>
  <c r="BP66" i="1"/>
  <c r="BO66" i="1"/>
  <c r="BQ66" i="1" s="1"/>
  <c r="BN66" i="1"/>
  <c r="BK66" i="1"/>
  <c r="BH66" i="1"/>
  <c r="BE66" i="1"/>
  <c r="BA66" i="1"/>
  <c r="AZ66" i="1"/>
  <c r="BB66" i="1" s="1"/>
  <c r="AY66" i="1"/>
  <c r="AV66" i="1"/>
  <c r="AS66" i="1"/>
  <c r="AP66" i="1"/>
  <c r="AM66" i="1"/>
  <c r="W66" i="1"/>
  <c r="V66" i="1"/>
  <c r="X66" i="1" s="1"/>
  <c r="U66" i="1"/>
  <c r="R66" i="1"/>
  <c r="O66" i="1"/>
  <c r="L66" i="1"/>
  <c r="I66" i="1"/>
  <c r="AAB65" i="1"/>
  <c r="AAA65" i="1"/>
  <c r="AAC65" i="1" s="1"/>
  <c r="ZZ65" i="1"/>
  <c r="ZW65" i="1"/>
  <c r="ZG65" i="1"/>
  <c r="AAE65" i="1" s="1"/>
  <c r="ZF65" i="1"/>
  <c r="AAD65" i="1" s="1"/>
  <c r="ZE65" i="1"/>
  <c r="ZB65" i="1"/>
  <c r="YY65" i="1"/>
  <c r="YV65" i="1"/>
  <c r="YR65" i="1"/>
  <c r="YQ65" i="1"/>
  <c r="YS65" i="1" s="1"/>
  <c r="YP65" i="1"/>
  <c r="YM65" i="1"/>
  <c r="YJ65" i="1"/>
  <c r="YG65" i="1"/>
  <c r="YC65" i="1"/>
  <c r="YB65" i="1"/>
  <c r="YD65" i="1" s="1"/>
  <c r="YA65" i="1"/>
  <c r="XX65" i="1"/>
  <c r="XU65" i="1"/>
  <c r="XR65" i="1"/>
  <c r="VU65" i="1"/>
  <c r="VT65" i="1"/>
  <c r="VV65" i="1" s="1"/>
  <c r="VS65" i="1"/>
  <c r="VP65" i="1"/>
  <c r="VM65" i="1"/>
  <c r="VJ65" i="1"/>
  <c r="UQ65" i="1"/>
  <c r="UP65" i="1"/>
  <c r="UR65" i="1" s="1"/>
  <c r="UO65" i="1"/>
  <c r="UL65" i="1"/>
  <c r="UI65" i="1"/>
  <c r="UF65" i="1"/>
  <c r="UB65" i="1"/>
  <c r="UA65" i="1"/>
  <c r="UC65" i="1" s="1"/>
  <c r="TZ65" i="1"/>
  <c r="TW65" i="1"/>
  <c r="TT65" i="1"/>
  <c r="TQ65" i="1"/>
  <c r="TM65" i="1"/>
  <c r="TL65" i="1"/>
  <c r="TN65" i="1" s="1"/>
  <c r="TK65" i="1"/>
  <c r="TH65" i="1"/>
  <c r="TE65" i="1"/>
  <c r="TB65" i="1"/>
  <c r="SX65" i="1"/>
  <c r="SW65" i="1"/>
  <c r="SY65" i="1" s="1"/>
  <c r="SV65" i="1"/>
  <c r="SS65" i="1"/>
  <c r="SP65" i="1"/>
  <c r="SM65" i="1"/>
  <c r="SJ65" i="1"/>
  <c r="QP65" i="1"/>
  <c r="QO65" i="1"/>
  <c r="QQ65" i="1" s="1"/>
  <c r="QN65" i="1"/>
  <c r="QK65" i="1"/>
  <c r="QH65" i="1"/>
  <c r="QE65" i="1"/>
  <c r="QA65" i="1"/>
  <c r="PZ65" i="1"/>
  <c r="QB65" i="1" s="1"/>
  <c r="PY65" i="1"/>
  <c r="PV65" i="1"/>
  <c r="PS65" i="1"/>
  <c r="PP65" i="1"/>
  <c r="PL65" i="1"/>
  <c r="PK65" i="1"/>
  <c r="PM65" i="1" s="1"/>
  <c r="PJ65" i="1"/>
  <c r="PG65" i="1"/>
  <c r="PD65" i="1"/>
  <c r="PA65" i="1"/>
  <c r="OX65" i="1"/>
  <c r="OW65" i="1"/>
  <c r="OV65" i="1"/>
  <c r="OU65" i="1"/>
  <c r="OR65" i="1"/>
  <c r="OO65" i="1"/>
  <c r="OL65" i="1"/>
  <c r="OH65" i="1"/>
  <c r="OG65" i="1"/>
  <c r="OI65" i="1" s="1"/>
  <c r="OF65" i="1"/>
  <c r="OC65" i="1"/>
  <c r="NZ65" i="1"/>
  <c r="NW65" i="1"/>
  <c r="NS65" i="1"/>
  <c r="NR65" i="1"/>
  <c r="NT65" i="1" s="1"/>
  <c r="NQ65" i="1"/>
  <c r="NN65" i="1"/>
  <c r="NK65" i="1"/>
  <c r="NH65" i="1"/>
  <c r="ND65" i="1"/>
  <c r="NC65" i="1"/>
  <c r="NE65" i="1" s="1"/>
  <c r="NB65" i="1"/>
  <c r="MY65" i="1"/>
  <c r="MV65" i="1"/>
  <c r="MS65" i="1"/>
  <c r="MO65" i="1"/>
  <c r="MN65" i="1"/>
  <c r="MP65" i="1" s="1"/>
  <c r="MM65" i="1"/>
  <c r="MJ65" i="1"/>
  <c r="MG65" i="1"/>
  <c r="MD65" i="1"/>
  <c r="LZ65" i="1"/>
  <c r="LY65" i="1"/>
  <c r="MA65" i="1" s="1"/>
  <c r="LX65" i="1"/>
  <c r="LU65" i="1"/>
  <c r="LR65" i="1"/>
  <c r="LO65" i="1"/>
  <c r="KV65" i="1"/>
  <c r="KU65" i="1"/>
  <c r="KW65" i="1" s="1"/>
  <c r="KT65" i="1"/>
  <c r="KQ65" i="1"/>
  <c r="KN65" i="1"/>
  <c r="KK65" i="1"/>
  <c r="KH65" i="1"/>
  <c r="JC65" i="1"/>
  <c r="JB65" i="1"/>
  <c r="JD65" i="1" s="1"/>
  <c r="JA65" i="1"/>
  <c r="IX65" i="1"/>
  <c r="IU65" i="1"/>
  <c r="IR65" i="1"/>
  <c r="IN65" i="1"/>
  <c r="IM65" i="1"/>
  <c r="IO65" i="1" s="1"/>
  <c r="IL65" i="1"/>
  <c r="II65" i="1"/>
  <c r="IF65" i="1"/>
  <c r="IC65" i="1"/>
  <c r="HY65" i="1"/>
  <c r="HX65" i="1"/>
  <c r="HZ65" i="1" s="1"/>
  <c r="HW65" i="1"/>
  <c r="HT65" i="1"/>
  <c r="HQ65" i="1"/>
  <c r="HN65" i="1"/>
  <c r="HJ65" i="1"/>
  <c r="HI65" i="1"/>
  <c r="HK65" i="1" s="1"/>
  <c r="HH65" i="1"/>
  <c r="HE65" i="1"/>
  <c r="HB65" i="1"/>
  <c r="GY65" i="1"/>
  <c r="GU65" i="1"/>
  <c r="GT65" i="1"/>
  <c r="GV65" i="1" s="1"/>
  <c r="GS65" i="1"/>
  <c r="GP65" i="1"/>
  <c r="GM65" i="1"/>
  <c r="GJ65" i="1"/>
  <c r="GF65" i="1"/>
  <c r="GE65" i="1"/>
  <c r="GG65" i="1" s="1"/>
  <c r="GD65" i="1"/>
  <c r="GA65" i="1"/>
  <c r="FX65" i="1"/>
  <c r="FU65" i="1"/>
  <c r="FQ65" i="1"/>
  <c r="FP65" i="1"/>
  <c r="FR65" i="1" s="1"/>
  <c r="FO65" i="1"/>
  <c r="FL65" i="1"/>
  <c r="FI65" i="1"/>
  <c r="FF65" i="1"/>
  <c r="FB65" i="1"/>
  <c r="FA65" i="1"/>
  <c r="FC65" i="1" s="1"/>
  <c r="EZ65" i="1"/>
  <c r="EW65" i="1"/>
  <c r="ET65" i="1"/>
  <c r="EQ65" i="1"/>
  <c r="EM65" i="1"/>
  <c r="EL65" i="1"/>
  <c r="EN65" i="1" s="1"/>
  <c r="EK65" i="1"/>
  <c r="EH65" i="1"/>
  <c r="EE65" i="1"/>
  <c r="EB65" i="1"/>
  <c r="DX65" i="1"/>
  <c r="DW65" i="1"/>
  <c r="DY65" i="1" s="1"/>
  <c r="DV65" i="1"/>
  <c r="DS65" i="1"/>
  <c r="DP65" i="1"/>
  <c r="DM65" i="1"/>
  <c r="DI65" i="1"/>
  <c r="DH65" i="1"/>
  <c r="DJ65" i="1" s="1"/>
  <c r="DG65" i="1"/>
  <c r="DD65" i="1"/>
  <c r="DA65" i="1"/>
  <c r="CX65" i="1"/>
  <c r="CT65" i="1"/>
  <c r="CS65" i="1"/>
  <c r="CU65" i="1" s="1"/>
  <c r="CR65" i="1"/>
  <c r="CO65" i="1"/>
  <c r="CL65" i="1"/>
  <c r="CI65" i="1"/>
  <c r="CF65" i="1"/>
  <c r="BP65" i="1"/>
  <c r="BO65" i="1"/>
  <c r="BQ65" i="1" s="1"/>
  <c r="BN65" i="1"/>
  <c r="BK65" i="1"/>
  <c r="BH65" i="1"/>
  <c r="BE65" i="1"/>
  <c r="BB65" i="1"/>
  <c r="BA65" i="1"/>
  <c r="AZ65" i="1"/>
  <c r="AY65" i="1"/>
  <c r="AV65" i="1"/>
  <c r="AS65" i="1"/>
  <c r="AP65" i="1"/>
  <c r="AM65" i="1"/>
  <c r="W65" i="1"/>
  <c r="V65" i="1"/>
  <c r="X65" i="1" s="1"/>
  <c r="U65" i="1"/>
  <c r="R65" i="1"/>
  <c r="O65" i="1"/>
  <c r="L65" i="1"/>
  <c r="I65" i="1"/>
  <c r="AAB64" i="1"/>
  <c r="AAA64" i="1"/>
  <c r="AAC64" i="1" s="1"/>
  <c r="ZZ64" i="1"/>
  <c r="ZW64" i="1"/>
  <c r="ZG64" i="1"/>
  <c r="AAE64" i="1" s="1"/>
  <c r="ZF64" i="1"/>
  <c r="ZE64" i="1"/>
  <c r="ZB64" i="1"/>
  <c r="YY64" i="1"/>
  <c r="YV64" i="1"/>
  <c r="YR64" i="1"/>
  <c r="YQ64" i="1"/>
  <c r="YS64" i="1" s="1"/>
  <c r="YP64" i="1"/>
  <c r="YM64" i="1"/>
  <c r="YJ64" i="1"/>
  <c r="YG64" i="1"/>
  <c r="YD64" i="1"/>
  <c r="YC64" i="1"/>
  <c r="YB64" i="1"/>
  <c r="YA64" i="1"/>
  <c r="XX64" i="1"/>
  <c r="XU64" i="1"/>
  <c r="XR64" i="1"/>
  <c r="VU64" i="1"/>
  <c r="VT64" i="1"/>
  <c r="VV64" i="1" s="1"/>
  <c r="VS64" i="1"/>
  <c r="VP64" i="1"/>
  <c r="VM64" i="1"/>
  <c r="VJ64" i="1"/>
  <c r="UQ64" i="1"/>
  <c r="UP64" i="1"/>
  <c r="UR64" i="1" s="1"/>
  <c r="UO64" i="1"/>
  <c r="UL64" i="1"/>
  <c r="UI64" i="1"/>
  <c r="UF64" i="1"/>
  <c r="UB64" i="1"/>
  <c r="UA64" i="1"/>
  <c r="UC64" i="1" s="1"/>
  <c r="TZ64" i="1"/>
  <c r="TW64" i="1"/>
  <c r="TT64" i="1"/>
  <c r="TQ64" i="1"/>
  <c r="TM64" i="1"/>
  <c r="TL64" i="1"/>
  <c r="TN64" i="1" s="1"/>
  <c r="TK64" i="1"/>
  <c r="TH64" i="1"/>
  <c r="TE64" i="1"/>
  <c r="TB64" i="1"/>
  <c r="SX64" i="1"/>
  <c r="SW64" i="1"/>
  <c r="SY64" i="1" s="1"/>
  <c r="SV64" i="1"/>
  <c r="SS64" i="1"/>
  <c r="SP64" i="1"/>
  <c r="SM64" i="1"/>
  <c r="SJ64" i="1"/>
  <c r="QP64" i="1"/>
  <c r="QO64" i="1"/>
  <c r="QQ64" i="1" s="1"/>
  <c r="QN64" i="1"/>
  <c r="QK64" i="1"/>
  <c r="QH64" i="1"/>
  <c r="QE64" i="1"/>
  <c r="QA64" i="1"/>
  <c r="PZ64" i="1"/>
  <c r="QB64" i="1" s="1"/>
  <c r="PY64" i="1"/>
  <c r="PV64" i="1"/>
  <c r="PS64" i="1"/>
  <c r="PP64" i="1"/>
  <c r="PL64" i="1"/>
  <c r="PK64" i="1"/>
  <c r="PM64" i="1" s="1"/>
  <c r="PJ64" i="1"/>
  <c r="PG64" i="1"/>
  <c r="PD64" i="1"/>
  <c r="PA64" i="1"/>
  <c r="OW64" i="1"/>
  <c r="OV64" i="1"/>
  <c r="OX64" i="1" s="1"/>
  <c r="OU64" i="1"/>
  <c r="OR64" i="1"/>
  <c r="OO64" i="1"/>
  <c r="OL64" i="1"/>
  <c r="OH64" i="1"/>
  <c r="OG64" i="1"/>
  <c r="OI64" i="1" s="1"/>
  <c r="OF64" i="1"/>
  <c r="OC64" i="1"/>
  <c r="NZ64" i="1"/>
  <c r="NW64" i="1"/>
  <c r="NS64" i="1"/>
  <c r="NR64" i="1"/>
  <c r="NT64" i="1" s="1"/>
  <c r="NQ64" i="1"/>
  <c r="NN64" i="1"/>
  <c r="NK64" i="1"/>
  <c r="NH64" i="1"/>
  <c r="ND64" i="1"/>
  <c r="NC64" i="1"/>
  <c r="NE64" i="1" s="1"/>
  <c r="NB64" i="1"/>
  <c r="MY64" i="1"/>
  <c r="MV64" i="1"/>
  <c r="MS64" i="1"/>
  <c r="MO64" i="1"/>
  <c r="MN64" i="1"/>
  <c r="MP64" i="1" s="1"/>
  <c r="MM64" i="1"/>
  <c r="MJ64" i="1"/>
  <c r="MG64" i="1"/>
  <c r="MD64" i="1"/>
  <c r="LZ64" i="1"/>
  <c r="LY64" i="1"/>
  <c r="MA64" i="1" s="1"/>
  <c r="LX64" i="1"/>
  <c r="LU64" i="1"/>
  <c r="LR64" i="1"/>
  <c r="LO64" i="1"/>
  <c r="KV64" i="1"/>
  <c r="KU64" i="1"/>
  <c r="KW64" i="1" s="1"/>
  <c r="KT64" i="1"/>
  <c r="KQ64" i="1"/>
  <c r="KN64" i="1"/>
  <c r="KK64" i="1"/>
  <c r="KH64" i="1"/>
  <c r="JC64" i="1"/>
  <c r="JB64" i="1"/>
  <c r="JD64" i="1" s="1"/>
  <c r="JA64" i="1"/>
  <c r="IX64" i="1"/>
  <c r="IU64" i="1"/>
  <c r="IR64" i="1"/>
  <c r="IN64" i="1"/>
  <c r="IL64" i="1"/>
  <c r="II64" i="1"/>
  <c r="IF64" i="1"/>
  <c r="IA64" i="1"/>
  <c r="HY64" i="1"/>
  <c r="HX64" i="1"/>
  <c r="HZ64" i="1" s="1"/>
  <c r="HW64" i="1"/>
  <c r="HT64" i="1"/>
  <c r="HQ64" i="1"/>
  <c r="HN64" i="1"/>
  <c r="HJ64" i="1"/>
  <c r="HI64" i="1"/>
  <c r="HK64" i="1" s="1"/>
  <c r="HH64" i="1"/>
  <c r="HE64" i="1"/>
  <c r="HB64" i="1"/>
  <c r="GY64" i="1"/>
  <c r="GU64" i="1"/>
  <c r="GT64" i="1"/>
  <c r="GV64" i="1" s="1"/>
  <c r="GS64" i="1"/>
  <c r="GP64" i="1"/>
  <c r="GM64" i="1"/>
  <c r="GJ64" i="1"/>
  <c r="GF64" i="1"/>
  <c r="GE64" i="1"/>
  <c r="GG64" i="1" s="1"/>
  <c r="GD64" i="1"/>
  <c r="GA64" i="1"/>
  <c r="FX64" i="1"/>
  <c r="FU64" i="1"/>
  <c r="FQ64" i="1"/>
  <c r="FP64" i="1"/>
  <c r="FR64" i="1" s="1"/>
  <c r="FO64" i="1"/>
  <c r="FL64" i="1"/>
  <c r="FI64" i="1"/>
  <c r="FF64" i="1"/>
  <c r="FB64" i="1"/>
  <c r="FA64" i="1"/>
  <c r="FC64" i="1" s="1"/>
  <c r="EZ64" i="1"/>
  <c r="EW64" i="1"/>
  <c r="ET64" i="1"/>
  <c r="EQ64" i="1"/>
  <c r="EM64" i="1"/>
  <c r="EL64" i="1"/>
  <c r="EN64" i="1" s="1"/>
  <c r="EK64" i="1"/>
  <c r="EH64" i="1"/>
  <c r="EE64" i="1"/>
  <c r="EB64" i="1"/>
  <c r="DX64" i="1"/>
  <c r="DW64" i="1"/>
  <c r="DY64" i="1" s="1"/>
  <c r="DV64" i="1"/>
  <c r="DS64" i="1"/>
  <c r="DP64" i="1"/>
  <c r="DM64" i="1"/>
  <c r="DI64" i="1"/>
  <c r="DH64" i="1"/>
  <c r="DJ64" i="1" s="1"/>
  <c r="DG64" i="1"/>
  <c r="DD64" i="1"/>
  <c r="DA64" i="1"/>
  <c r="CX64" i="1"/>
  <c r="CT64" i="1"/>
  <c r="CR64" i="1"/>
  <c r="CM64" i="1"/>
  <c r="CL64" i="1"/>
  <c r="CI64" i="1"/>
  <c r="CF64" i="1"/>
  <c r="BP64" i="1"/>
  <c r="BO64" i="1"/>
  <c r="BQ64" i="1" s="1"/>
  <c r="BN64" i="1"/>
  <c r="BK64" i="1"/>
  <c r="BH64" i="1"/>
  <c r="BE64" i="1"/>
  <c r="BA64" i="1"/>
  <c r="AZ64" i="1"/>
  <c r="BB64" i="1" s="1"/>
  <c r="AY64" i="1"/>
  <c r="AV64" i="1"/>
  <c r="AS64" i="1"/>
  <c r="AP64" i="1"/>
  <c r="AM64" i="1"/>
  <c r="W64" i="1"/>
  <c r="U64" i="1"/>
  <c r="R64" i="1"/>
  <c r="O64" i="1"/>
  <c r="L64" i="1"/>
  <c r="G64" i="1"/>
  <c r="AAB63" i="1"/>
  <c r="AAA63" i="1"/>
  <c r="AAC63" i="1" s="1"/>
  <c r="ZZ63" i="1"/>
  <c r="ZW63" i="1"/>
  <c r="ZG63" i="1"/>
  <c r="AAE63" i="1" s="1"/>
  <c r="ZF63" i="1"/>
  <c r="ZE63" i="1"/>
  <c r="ZB63" i="1"/>
  <c r="YY63" i="1"/>
  <c r="YV63" i="1"/>
  <c r="YR63" i="1"/>
  <c r="YQ63" i="1"/>
  <c r="YS63" i="1" s="1"/>
  <c r="YP63" i="1"/>
  <c r="YM63" i="1"/>
  <c r="YJ63" i="1"/>
  <c r="YG63" i="1"/>
  <c r="YC63" i="1"/>
  <c r="YB63" i="1"/>
  <c r="YD63" i="1" s="1"/>
  <c r="YA63" i="1"/>
  <c r="XX63" i="1"/>
  <c r="XU63" i="1"/>
  <c r="XR63" i="1"/>
  <c r="VU63" i="1"/>
  <c r="VT63" i="1"/>
  <c r="VV63" i="1" s="1"/>
  <c r="VS63" i="1"/>
  <c r="VP63" i="1"/>
  <c r="VM63" i="1"/>
  <c r="VJ63" i="1"/>
  <c r="UQ63" i="1"/>
  <c r="UP63" i="1"/>
  <c r="UR63" i="1" s="1"/>
  <c r="UO63" i="1"/>
  <c r="UL63" i="1"/>
  <c r="UI63" i="1"/>
  <c r="UF63" i="1"/>
  <c r="UB63" i="1"/>
  <c r="UA63" i="1"/>
  <c r="UC63" i="1" s="1"/>
  <c r="TZ63" i="1"/>
  <c r="TW63" i="1"/>
  <c r="TT63" i="1"/>
  <c r="TQ63" i="1"/>
  <c r="TM63" i="1"/>
  <c r="TL63" i="1"/>
  <c r="TN63" i="1" s="1"/>
  <c r="TK63" i="1"/>
  <c r="TH63" i="1"/>
  <c r="TE63" i="1"/>
  <c r="TB63" i="1"/>
  <c r="SX63" i="1"/>
  <c r="SW63" i="1"/>
  <c r="SY63" i="1" s="1"/>
  <c r="SV63" i="1"/>
  <c r="SS63" i="1"/>
  <c r="SP63" i="1"/>
  <c r="SM63" i="1"/>
  <c r="SJ63" i="1"/>
  <c r="QP63" i="1"/>
  <c r="QO63" i="1"/>
  <c r="QQ63" i="1" s="1"/>
  <c r="QN63" i="1"/>
  <c r="QK63" i="1"/>
  <c r="QH63" i="1"/>
  <c r="QE63" i="1"/>
  <c r="QA63" i="1"/>
  <c r="PZ63" i="1"/>
  <c r="QB63" i="1" s="1"/>
  <c r="PY63" i="1"/>
  <c r="PV63" i="1"/>
  <c r="PS63" i="1"/>
  <c r="PP63" i="1"/>
  <c r="PL63" i="1"/>
  <c r="PK63" i="1"/>
  <c r="PM63" i="1" s="1"/>
  <c r="PJ63" i="1"/>
  <c r="PG63" i="1"/>
  <c r="PD63" i="1"/>
  <c r="PA63" i="1"/>
  <c r="OW63" i="1"/>
  <c r="OV63" i="1"/>
  <c r="OX63" i="1" s="1"/>
  <c r="OU63" i="1"/>
  <c r="OR63" i="1"/>
  <c r="OO63" i="1"/>
  <c r="OL63" i="1"/>
  <c r="OH63" i="1"/>
  <c r="OF63" i="1"/>
  <c r="OC63" i="1"/>
  <c r="NZ63" i="1"/>
  <c r="NU63" i="1"/>
  <c r="NS63" i="1"/>
  <c r="NR63" i="1"/>
  <c r="NT63" i="1" s="1"/>
  <c r="NQ63" i="1"/>
  <c r="NN63" i="1"/>
  <c r="NK63" i="1"/>
  <c r="NH63" i="1"/>
  <c r="ND63" i="1"/>
  <c r="NC63" i="1"/>
  <c r="NE63" i="1" s="1"/>
  <c r="NB63" i="1"/>
  <c r="MY63" i="1"/>
  <c r="MV63" i="1"/>
  <c r="MS63" i="1"/>
  <c r="MO63" i="1"/>
  <c r="MM63" i="1"/>
  <c r="MJ63" i="1"/>
  <c r="MG63" i="1"/>
  <c r="MB63" i="1"/>
  <c r="LZ63" i="1"/>
  <c r="LY63" i="1"/>
  <c r="MA63" i="1" s="1"/>
  <c r="LX63" i="1"/>
  <c r="LU63" i="1"/>
  <c r="LR63" i="1"/>
  <c r="LO63" i="1"/>
  <c r="KV63" i="1"/>
  <c r="KU63" i="1"/>
  <c r="KW63" i="1" s="1"/>
  <c r="KT63" i="1"/>
  <c r="KQ63" i="1"/>
  <c r="KN63" i="1"/>
  <c r="KK63" i="1"/>
  <c r="KH63" i="1"/>
  <c r="JC63" i="1"/>
  <c r="JB63" i="1"/>
  <c r="JD63" i="1" s="1"/>
  <c r="JA63" i="1"/>
  <c r="IX63" i="1"/>
  <c r="IU63" i="1"/>
  <c r="IR63" i="1"/>
  <c r="IN63" i="1"/>
  <c r="IM63" i="1"/>
  <c r="IO63" i="1" s="1"/>
  <c r="IL63" i="1"/>
  <c r="II63" i="1"/>
  <c r="IF63" i="1"/>
  <c r="IC63" i="1"/>
  <c r="HY63" i="1"/>
  <c r="HX63" i="1"/>
  <c r="HZ63" i="1" s="1"/>
  <c r="HW63" i="1"/>
  <c r="HT63" i="1"/>
  <c r="HQ63" i="1"/>
  <c r="HN63" i="1"/>
  <c r="HJ63" i="1"/>
  <c r="HI63" i="1"/>
  <c r="HK63" i="1" s="1"/>
  <c r="HH63" i="1"/>
  <c r="HE63" i="1"/>
  <c r="HB63" i="1"/>
  <c r="GY63" i="1"/>
  <c r="GU63" i="1"/>
  <c r="GT63" i="1"/>
  <c r="GV63" i="1" s="1"/>
  <c r="GS63" i="1"/>
  <c r="GP63" i="1"/>
  <c r="GM63" i="1"/>
  <c r="GJ63" i="1"/>
  <c r="GF63" i="1"/>
  <c r="GE63" i="1"/>
  <c r="GG63" i="1" s="1"/>
  <c r="GD63" i="1"/>
  <c r="GA63" i="1"/>
  <c r="FX63" i="1"/>
  <c r="FU63" i="1"/>
  <c r="FQ63" i="1"/>
  <c r="FP63" i="1"/>
  <c r="FR63" i="1" s="1"/>
  <c r="FO63" i="1"/>
  <c r="FL63" i="1"/>
  <c r="FI63" i="1"/>
  <c r="FF63" i="1"/>
  <c r="FB63" i="1"/>
  <c r="FA63" i="1"/>
  <c r="FC63" i="1" s="1"/>
  <c r="EZ63" i="1"/>
  <c r="EW63" i="1"/>
  <c r="ET63" i="1"/>
  <c r="EQ63" i="1"/>
  <c r="EM63" i="1"/>
  <c r="EL63" i="1"/>
  <c r="EN63" i="1" s="1"/>
  <c r="EK63" i="1"/>
  <c r="EH63" i="1"/>
  <c r="EE63" i="1"/>
  <c r="EB63" i="1"/>
  <c r="DY63" i="1"/>
  <c r="DX63" i="1"/>
  <c r="DW63" i="1"/>
  <c r="DV63" i="1"/>
  <c r="DS63" i="1"/>
  <c r="DP63" i="1"/>
  <c r="DM63" i="1"/>
  <c r="DI63" i="1"/>
  <c r="DH63" i="1"/>
  <c r="DJ63" i="1" s="1"/>
  <c r="DG63" i="1"/>
  <c r="DD63" i="1"/>
  <c r="DA63" i="1"/>
  <c r="CX63" i="1"/>
  <c r="CT63" i="1"/>
  <c r="CS63" i="1"/>
  <c r="CU63" i="1" s="1"/>
  <c r="CR63" i="1"/>
  <c r="CO63" i="1"/>
  <c r="CL63" i="1"/>
  <c r="CI63" i="1"/>
  <c r="CF63" i="1"/>
  <c r="BP63" i="1"/>
  <c r="BO63" i="1"/>
  <c r="BQ63" i="1" s="1"/>
  <c r="BN63" i="1"/>
  <c r="BK63" i="1"/>
  <c r="BH63" i="1"/>
  <c r="BE63" i="1"/>
  <c r="BA63" i="1"/>
  <c r="AZ63" i="1"/>
  <c r="BB63" i="1" s="1"/>
  <c r="AY63" i="1"/>
  <c r="AV63" i="1"/>
  <c r="AS63" i="1"/>
  <c r="AP63" i="1"/>
  <c r="AM63" i="1"/>
  <c r="W63" i="1"/>
  <c r="U63" i="1"/>
  <c r="R63" i="1"/>
  <c r="O63" i="1"/>
  <c r="L63" i="1"/>
  <c r="G63" i="1"/>
  <c r="AAB62" i="1"/>
  <c r="AAA62" i="1"/>
  <c r="AAC62" i="1" s="1"/>
  <c r="ZZ62" i="1"/>
  <c r="ZW62" i="1"/>
  <c r="ZG62" i="1"/>
  <c r="AAE62" i="1" s="1"/>
  <c r="ZF62" i="1"/>
  <c r="ZE62" i="1"/>
  <c r="ZB62" i="1"/>
  <c r="YY62" i="1"/>
  <c r="YV62" i="1"/>
  <c r="YR62" i="1"/>
  <c r="YQ62" i="1"/>
  <c r="YS62" i="1" s="1"/>
  <c r="YP62" i="1"/>
  <c r="YM62" i="1"/>
  <c r="YJ62" i="1"/>
  <c r="YG62" i="1"/>
  <c r="YC62" i="1"/>
  <c r="YB62" i="1"/>
  <c r="YD62" i="1" s="1"/>
  <c r="YA62" i="1"/>
  <c r="XX62" i="1"/>
  <c r="XU62" i="1"/>
  <c r="XR62" i="1"/>
  <c r="VU62" i="1"/>
  <c r="VT62" i="1"/>
  <c r="VV62" i="1" s="1"/>
  <c r="VS62" i="1"/>
  <c r="VP62" i="1"/>
  <c r="VM62" i="1"/>
  <c r="VJ62" i="1"/>
  <c r="UQ62" i="1"/>
  <c r="UP62" i="1"/>
  <c r="UR62" i="1" s="1"/>
  <c r="UO62" i="1"/>
  <c r="UL62" i="1"/>
  <c r="UI62" i="1"/>
  <c r="UF62" i="1"/>
  <c r="UB62" i="1"/>
  <c r="UA62" i="1"/>
  <c r="UC62" i="1" s="1"/>
  <c r="TZ62" i="1"/>
  <c r="TW62" i="1"/>
  <c r="TT62" i="1"/>
  <c r="TQ62" i="1"/>
  <c r="TM62" i="1"/>
  <c r="TL62" i="1"/>
  <c r="TN62" i="1" s="1"/>
  <c r="TK62" i="1"/>
  <c r="TH62" i="1"/>
  <c r="TE62" i="1"/>
  <c r="TB62" i="1"/>
  <c r="SX62" i="1"/>
  <c r="SY62" i="1" s="1"/>
  <c r="SW62" i="1"/>
  <c r="SV62" i="1"/>
  <c r="SS62" i="1"/>
  <c r="SP62" i="1"/>
  <c r="SM62" i="1"/>
  <c r="SJ62" i="1"/>
  <c r="QP62" i="1"/>
  <c r="QO62" i="1"/>
  <c r="QQ62" i="1" s="1"/>
  <c r="QN62" i="1"/>
  <c r="QK62" i="1"/>
  <c r="QH62" i="1"/>
  <c r="QE62" i="1"/>
  <c r="QA62" i="1"/>
  <c r="PZ62" i="1"/>
  <c r="QB62" i="1" s="1"/>
  <c r="PY62" i="1"/>
  <c r="PV62" i="1"/>
  <c r="PS62" i="1"/>
  <c r="PP62" i="1"/>
  <c r="PL62" i="1"/>
  <c r="PK62" i="1"/>
  <c r="PM62" i="1" s="1"/>
  <c r="PJ62" i="1"/>
  <c r="PG62" i="1"/>
  <c r="PD62" i="1"/>
  <c r="PA62" i="1"/>
  <c r="OW62" i="1"/>
  <c r="OV62" i="1"/>
  <c r="OX62" i="1" s="1"/>
  <c r="OU62" i="1"/>
  <c r="OR62" i="1"/>
  <c r="OO62" i="1"/>
  <c r="OL62" i="1"/>
  <c r="OH62" i="1"/>
  <c r="OF62" i="1"/>
  <c r="OC62" i="1"/>
  <c r="NZ62" i="1"/>
  <c r="NU62" i="1"/>
  <c r="NS62" i="1"/>
  <c r="NR62" i="1"/>
  <c r="NT62" i="1" s="1"/>
  <c r="NQ62" i="1"/>
  <c r="NN62" i="1"/>
  <c r="NK62" i="1"/>
  <c r="NH62" i="1"/>
  <c r="ND62" i="1"/>
  <c r="NC62" i="1"/>
  <c r="NE62" i="1" s="1"/>
  <c r="NB62" i="1"/>
  <c r="MY62" i="1"/>
  <c r="MV62" i="1"/>
  <c r="MS62" i="1"/>
  <c r="MO62" i="1"/>
  <c r="MM62" i="1"/>
  <c r="MJ62" i="1"/>
  <c r="MG62" i="1"/>
  <c r="MD62" i="1"/>
  <c r="MB62" i="1"/>
  <c r="LZ62" i="1"/>
  <c r="LY62" i="1"/>
  <c r="MA62" i="1" s="1"/>
  <c r="LX62" i="1"/>
  <c r="LU62" i="1"/>
  <c r="LR62" i="1"/>
  <c r="LO62" i="1"/>
  <c r="KV62" i="1"/>
  <c r="KU62" i="1"/>
  <c r="KW62" i="1" s="1"/>
  <c r="KT62" i="1"/>
  <c r="KQ62" i="1"/>
  <c r="KN62" i="1"/>
  <c r="KK62" i="1"/>
  <c r="KH62" i="1"/>
  <c r="JC62" i="1"/>
  <c r="JB62" i="1"/>
  <c r="JD62" i="1" s="1"/>
  <c r="JA62" i="1"/>
  <c r="IX62" i="1"/>
  <c r="IU62" i="1"/>
  <c r="IR62" i="1"/>
  <c r="IN62" i="1"/>
  <c r="IM62" i="1"/>
  <c r="IO62" i="1" s="1"/>
  <c r="IL62" i="1"/>
  <c r="II62" i="1"/>
  <c r="IF62" i="1"/>
  <c r="IC62" i="1"/>
  <c r="HY62" i="1"/>
  <c r="HX62" i="1"/>
  <c r="HZ62" i="1" s="1"/>
  <c r="HW62" i="1"/>
  <c r="HT62" i="1"/>
  <c r="HQ62" i="1"/>
  <c r="HN62" i="1"/>
  <c r="HJ62" i="1"/>
  <c r="HI62" i="1"/>
  <c r="HK62" i="1" s="1"/>
  <c r="HH62" i="1"/>
  <c r="HE62" i="1"/>
  <c r="HB62" i="1"/>
  <c r="GY62" i="1"/>
  <c r="GU62" i="1"/>
  <c r="GT62" i="1"/>
  <c r="GV62" i="1" s="1"/>
  <c r="GS62" i="1"/>
  <c r="GP62" i="1"/>
  <c r="GM62" i="1"/>
  <c r="GJ62" i="1"/>
  <c r="GF62" i="1"/>
  <c r="GE62" i="1"/>
  <c r="GG62" i="1" s="1"/>
  <c r="GD62" i="1"/>
  <c r="GA62" i="1"/>
  <c r="FX62" i="1"/>
  <c r="FU62" i="1"/>
  <c r="FQ62" i="1"/>
  <c r="FP62" i="1"/>
  <c r="FR62" i="1" s="1"/>
  <c r="FO62" i="1"/>
  <c r="FL62" i="1"/>
  <c r="FI62" i="1"/>
  <c r="FF62" i="1"/>
  <c r="FB62" i="1"/>
  <c r="FA62" i="1"/>
  <c r="FC62" i="1" s="1"/>
  <c r="EZ62" i="1"/>
  <c r="EW62" i="1"/>
  <c r="ET62" i="1"/>
  <c r="EQ62" i="1"/>
  <c r="EM62" i="1"/>
  <c r="EL62" i="1"/>
  <c r="EN62" i="1" s="1"/>
  <c r="EK62" i="1"/>
  <c r="EH62" i="1"/>
  <c r="EE62" i="1"/>
  <c r="EB62" i="1"/>
  <c r="DX62" i="1"/>
  <c r="DW62" i="1"/>
  <c r="DY62" i="1" s="1"/>
  <c r="DV62" i="1"/>
  <c r="DS62" i="1"/>
  <c r="DP62" i="1"/>
  <c r="DM62" i="1"/>
  <c r="DI62" i="1"/>
  <c r="DH62" i="1"/>
  <c r="DJ62" i="1" s="1"/>
  <c r="DG62" i="1"/>
  <c r="DD62" i="1"/>
  <c r="DA62" i="1"/>
  <c r="CX62" i="1"/>
  <c r="CT62" i="1"/>
  <c r="CS62" i="1"/>
  <c r="CU62" i="1" s="1"/>
  <c r="CR62" i="1"/>
  <c r="CO62" i="1"/>
  <c r="CL62" i="1"/>
  <c r="CI62" i="1"/>
  <c r="CF62" i="1"/>
  <c r="BP62" i="1"/>
  <c r="BO62" i="1"/>
  <c r="BQ62" i="1" s="1"/>
  <c r="BN62" i="1"/>
  <c r="BK62" i="1"/>
  <c r="BH62" i="1"/>
  <c r="BE62" i="1"/>
  <c r="BA62" i="1"/>
  <c r="AZ62" i="1"/>
  <c r="BB62" i="1" s="1"/>
  <c r="AY62" i="1"/>
  <c r="AV62" i="1"/>
  <c r="AS62" i="1"/>
  <c r="AP62" i="1"/>
  <c r="AM62" i="1"/>
  <c r="W62" i="1"/>
  <c r="V62" i="1"/>
  <c r="X62" i="1" s="1"/>
  <c r="U62" i="1"/>
  <c r="R62" i="1"/>
  <c r="O62" i="1"/>
  <c r="L62" i="1"/>
  <c r="I62" i="1"/>
  <c r="AAB61" i="1"/>
  <c r="AAA61" i="1"/>
  <c r="AAC61" i="1" s="1"/>
  <c r="ZZ61" i="1"/>
  <c r="ZW61" i="1"/>
  <c r="ZG61" i="1"/>
  <c r="AAE61" i="1" s="1"/>
  <c r="ZF61" i="1"/>
  <c r="AAD61" i="1" s="1"/>
  <c r="ZE61" i="1"/>
  <c r="ZB61" i="1"/>
  <c r="YY61" i="1"/>
  <c r="YV61" i="1"/>
  <c r="YR61" i="1"/>
  <c r="YQ61" i="1"/>
  <c r="YS61" i="1" s="1"/>
  <c r="YP61" i="1"/>
  <c r="YM61" i="1"/>
  <c r="YJ61" i="1"/>
  <c r="YG61" i="1"/>
  <c r="YC61" i="1"/>
  <c r="YB61" i="1"/>
  <c r="YD61" i="1" s="1"/>
  <c r="YA61" i="1"/>
  <c r="XX61" i="1"/>
  <c r="XU61" i="1"/>
  <c r="XR61" i="1"/>
  <c r="VU61" i="1"/>
  <c r="VT61" i="1"/>
  <c r="VV61" i="1" s="1"/>
  <c r="VS61" i="1"/>
  <c r="VP61" i="1"/>
  <c r="VM61" i="1"/>
  <c r="VJ61" i="1"/>
  <c r="UQ61" i="1"/>
  <c r="UP61" i="1"/>
  <c r="UR61" i="1" s="1"/>
  <c r="UO61" i="1"/>
  <c r="UL61" i="1"/>
  <c r="UI61" i="1"/>
  <c r="UF61" i="1"/>
  <c r="UB61" i="1"/>
  <c r="UA61" i="1"/>
  <c r="UC61" i="1" s="1"/>
  <c r="TZ61" i="1"/>
  <c r="TW61" i="1"/>
  <c r="TT61" i="1"/>
  <c r="TQ61" i="1"/>
  <c r="TM61" i="1"/>
  <c r="TL61" i="1"/>
  <c r="TN61" i="1" s="1"/>
  <c r="TK61" i="1"/>
  <c r="TH61" i="1"/>
  <c r="TE61" i="1"/>
  <c r="TB61" i="1"/>
  <c r="SX61" i="1"/>
  <c r="SW61" i="1"/>
  <c r="SY61" i="1" s="1"/>
  <c r="SV61" i="1"/>
  <c r="SS61" i="1"/>
  <c r="SP61" i="1"/>
  <c r="SM61" i="1"/>
  <c r="SJ61" i="1"/>
  <c r="QP61" i="1"/>
  <c r="QO61" i="1"/>
  <c r="QQ61" i="1" s="1"/>
  <c r="QN61" i="1"/>
  <c r="QK61" i="1"/>
  <c r="QH61" i="1"/>
  <c r="QE61" i="1"/>
  <c r="QA61" i="1"/>
  <c r="PZ61" i="1"/>
  <c r="QB61" i="1" s="1"/>
  <c r="PY61" i="1"/>
  <c r="PV61" i="1"/>
  <c r="PS61" i="1"/>
  <c r="PP61" i="1"/>
  <c r="PL61" i="1"/>
  <c r="PK61" i="1"/>
  <c r="PM61" i="1" s="1"/>
  <c r="PJ61" i="1"/>
  <c r="PG61" i="1"/>
  <c r="PD61" i="1"/>
  <c r="PA61" i="1"/>
  <c r="OW61" i="1"/>
  <c r="OV61" i="1"/>
  <c r="OX61" i="1" s="1"/>
  <c r="OU61" i="1"/>
  <c r="OR61" i="1"/>
  <c r="OO61" i="1"/>
  <c r="OL61" i="1"/>
  <c r="OH61" i="1"/>
  <c r="OG61" i="1"/>
  <c r="OI61" i="1" s="1"/>
  <c r="OF61" i="1"/>
  <c r="OC61" i="1"/>
  <c r="NZ61" i="1"/>
  <c r="NW61" i="1"/>
  <c r="NS61" i="1"/>
  <c r="NR61" i="1"/>
  <c r="NT61" i="1" s="1"/>
  <c r="NQ61" i="1"/>
  <c r="NN61" i="1"/>
  <c r="NK61" i="1"/>
  <c r="NH61" i="1"/>
  <c r="ND61" i="1"/>
  <c r="NC61" i="1"/>
  <c r="NE61" i="1" s="1"/>
  <c r="NB61" i="1"/>
  <c r="MY61" i="1"/>
  <c r="MV61" i="1"/>
  <c r="MS61" i="1"/>
  <c r="MO61" i="1"/>
  <c r="MN61" i="1"/>
  <c r="MP61" i="1" s="1"/>
  <c r="MM61" i="1"/>
  <c r="MJ61" i="1"/>
  <c r="MG61" i="1"/>
  <c r="MD61" i="1"/>
  <c r="LZ61" i="1"/>
  <c r="LY61" i="1"/>
  <c r="MA61" i="1" s="1"/>
  <c r="LX61" i="1"/>
  <c r="LU61" i="1"/>
  <c r="LR61" i="1"/>
  <c r="LO61" i="1"/>
  <c r="KV61" i="1"/>
  <c r="KU61" i="1"/>
  <c r="KW61" i="1" s="1"/>
  <c r="KT61" i="1"/>
  <c r="KQ61" i="1"/>
  <c r="KN61" i="1"/>
  <c r="KK61" i="1"/>
  <c r="KH61" i="1"/>
  <c r="JC61" i="1"/>
  <c r="JB61" i="1"/>
  <c r="JD61" i="1" s="1"/>
  <c r="JA61" i="1"/>
  <c r="IX61" i="1"/>
  <c r="IU61" i="1"/>
  <c r="IR61" i="1"/>
  <c r="IN61" i="1"/>
  <c r="IM61" i="1"/>
  <c r="IO61" i="1" s="1"/>
  <c r="IL61" i="1"/>
  <c r="II61" i="1"/>
  <c r="IF61" i="1"/>
  <c r="IC61" i="1"/>
  <c r="HY61" i="1"/>
  <c r="HX61" i="1"/>
  <c r="HZ61" i="1" s="1"/>
  <c r="HW61" i="1"/>
  <c r="HT61" i="1"/>
  <c r="HQ61" i="1"/>
  <c r="HN61" i="1"/>
  <c r="HJ61" i="1"/>
  <c r="HI61" i="1"/>
  <c r="HK61" i="1" s="1"/>
  <c r="HH61" i="1"/>
  <c r="HE61" i="1"/>
  <c r="HB61" i="1"/>
  <c r="GY61" i="1"/>
  <c r="GU61" i="1"/>
  <c r="GT61" i="1"/>
  <c r="GV61" i="1" s="1"/>
  <c r="GS61" i="1"/>
  <c r="GP61" i="1"/>
  <c r="GM61" i="1"/>
  <c r="GJ61" i="1"/>
  <c r="GF61" i="1"/>
  <c r="GE61" i="1"/>
  <c r="GG61" i="1" s="1"/>
  <c r="GD61" i="1"/>
  <c r="GA61" i="1"/>
  <c r="FX61" i="1"/>
  <c r="FU61" i="1"/>
  <c r="FQ61" i="1"/>
  <c r="FP61" i="1"/>
  <c r="FR61" i="1" s="1"/>
  <c r="FO61" i="1"/>
  <c r="FL61" i="1"/>
  <c r="FI61" i="1"/>
  <c r="FF61" i="1"/>
  <c r="FB61" i="1"/>
  <c r="FA61" i="1"/>
  <c r="FC61" i="1" s="1"/>
  <c r="EZ61" i="1"/>
  <c r="EW61" i="1"/>
  <c r="ET61" i="1"/>
  <c r="EQ61" i="1"/>
  <c r="EM61" i="1"/>
  <c r="EL61" i="1"/>
  <c r="EN61" i="1" s="1"/>
  <c r="EK61" i="1"/>
  <c r="EH61" i="1"/>
  <c r="EE61" i="1"/>
  <c r="EB61" i="1"/>
  <c r="DX61" i="1"/>
  <c r="DW61" i="1"/>
  <c r="DY61" i="1" s="1"/>
  <c r="DV61" i="1"/>
  <c r="DS61" i="1"/>
  <c r="DP61" i="1"/>
  <c r="DM61" i="1"/>
  <c r="DI61" i="1"/>
  <c r="DH61" i="1"/>
  <c r="DJ61" i="1" s="1"/>
  <c r="DG61" i="1"/>
  <c r="DD61" i="1"/>
  <c r="DA61" i="1"/>
  <c r="CX61" i="1"/>
  <c r="CT61" i="1"/>
  <c r="CS61" i="1"/>
  <c r="CU61" i="1" s="1"/>
  <c r="CR61" i="1"/>
  <c r="CO61" i="1"/>
  <c r="CL61" i="1"/>
  <c r="CI61" i="1"/>
  <c r="CF61" i="1"/>
  <c r="BP61" i="1"/>
  <c r="BO61" i="1"/>
  <c r="BQ61" i="1" s="1"/>
  <c r="BN61" i="1"/>
  <c r="BK61" i="1"/>
  <c r="BH61" i="1"/>
  <c r="BE61" i="1"/>
  <c r="BA61" i="1"/>
  <c r="AZ61" i="1"/>
  <c r="BB61" i="1" s="1"/>
  <c r="AY61" i="1"/>
  <c r="AV61" i="1"/>
  <c r="AS61" i="1"/>
  <c r="AP61" i="1"/>
  <c r="AM61" i="1"/>
  <c r="W61" i="1"/>
  <c r="V61" i="1"/>
  <c r="X61" i="1" s="1"/>
  <c r="U61" i="1"/>
  <c r="R61" i="1"/>
  <c r="O61" i="1"/>
  <c r="L61" i="1"/>
  <c r="I61" i="1"/>
  <c r="AAB60" i="1"/>
  <c r="AAA60" i="1"/>
  <c r="AAC60" i="1" s="1"/>
  <c r="ZZ60" i="1"/>
  <c r="ZW60" i="1"/>
  <c r="ZG60" i="1"/>
  <c r="AAE60" i="1" s="1"/>
  <c r="ZF60" i="1"/>
  <c r="AAD60" i="1" s="1"/>
  <c r="ZE60" i="1"/>
  <c r="ZB60" i="1"/>
  <c r="YY60" i="1"/>
  <c r="YV60" i="1"/>
  <c r="YR60" i="1"/>
  <c r="YQ60" i="1"/>
  <c r="YS60" i="1" s="1"/>
  <c r="YP60" i="1"/>
  <c r="YM60" i="1"/>
  <c r="YJ60" i="1"/>
  <c r="YG60" i="1"/>
  <c r="YC60" i="1"/>
  <c r="YB60" i="1"/>
  <c r="YD60" i="1" s="1"/>
  <c r="YA60" i="1"/>
  <c r="XX60" i="1"/>
  <c r="XU60" i="1"/>
  <c r="XR60" i="1"/>
  <c r="VU60" i="1"/>
  <c r="VT60" i="1"/>
  <c r="VV60" i="1" s="1"/>
  <c r="VS60" i="1"/>
  <c r="VP60" i="1"/>
  <c r="VM60" i="1"/>
  <c r="VJ60" i="1"/>
  <c r="UQ60" i="1"/>
  <c r="UP60" i="1"/>
  <c r="UR60" i="1" s="1"/>
  <c r="UO60" i="1"/>
  <c r="UL60" i="1"/>
  <c r="UI60" i="1"/>
  <c r="UF60" i="1"/>
  <c r="UB60" i="1"/>
  <c r="UA60" i="1"/>
  <c r="UC60" i="1" s="1"/>
  <c r="TZ60" i="1"/>
  <c r="TW60" i="1"/>
  <c r="TT60" i="1"/>
  <c r="TQ60" i="1"/>
  <c r="TM60" i="1"/>
  <c r="TL60" i="1"/>
  <c r="TN60" i="1" s="1"/>
  <c r="TK60" i="1"/>
  <c r="TH60" i="1"/>
  <c r="TE60" i="1"/>
  <c r="TB60" i="1"/>
  <c r="SX60" i="1"/>
  <c r="SW60" i="1"/>
  <c r="SY60" i="1" s="1"/>
  <c r="SV60" i="1"/>
  <c r="SS60" i="1"/>
  <c r="SP60" i="1"/>
  <c r="SM60" i="1"/>
  <c r="SJ60" i="1"/>
  <c r="QP60" i="1"/>
  <c r="QO60" i="1"/>
  <c r="QQ60" i="1" s="1"/>
  <c r="QN60" i="1"/>
  <c r="QK60" i="1"/>
  <c r="QH60" i="1"/>
  <c r="QE60" i="1"/>
  <c r="QA60" i="1"/>
  <c r="PZ60" i="1"/>
  <c r="QB60" i="1" s="1"/>
  <c r="PY60" i="1"/>
  <c r="PV60" i="1"/>
  <c r="PS60" i="1"/>
  <c r="PP60" i="1"/>
  <c r="PL60" i="1"/>
  <c r="PK60" i="1"/>
  <c r="PM60" i="1" s="1"/>
  <c r="PJ60" i="1"/>
  <c r="PG60" i="1"/>
  <c r="PD60" i="1"/>
  <c r="PA60" i="1"/>
  <c r="OW60" i="1"/>
  <c r="OV60" i="1"/>
  <c r="OX60" i="1" s="1"/>
  <c r="OU60" i="1"/>
  <c r="OR60" i="1"/>
  <c r="OO60" i="1"/>
  <c r="OL60" i="1"/>
  <c r="OH60" i="1"/>
  <c r="OG60" i="1"/>
  <c r="OI60" i="1" s="1"/>
  <c r="OF60" i="1"/>
  <c r="OC60" i="1"/>
  <c r="NZ60" i="1"/>
  <c r="NW60" i="1"/>
  <c r="NS60" i="1"/>
  <c r="NR60" i="1"/>
  <c r="NT60" i="1" s="1"/>
  <c r="NQ60" i="1"/>
  <c r="NN60" i="1"/>
  <c r="NK60" i="1"/>
  <c r="NH60" i="1"/>
  <c r="ND60" i="1"/>
  <c r="NC60" i="1"/>
  <c r="NE60" i="1" s="1"/>
  <c r="NB60" i="1"/>
  <c r="MY60" i="1"/>
  <c r="MV60" i="1"/>
  <c r="MS60" i="1"/>
  <c r="MO60" i="1"/>
  <c r="MN60" i="1"/>
  <c r="MP60" i="1" s="1"/>
  <c r="MM60" i="1"/>
  <c r="MJ60" i="1"/>
  <c r="MG60" i="1"/>
  <c r="MD60" i="1"/>
  <c r="LZ60" i="1"/>
  <c r="LY60" i="1"/>
  <c r="MA60" i="1" s="1"/>
  <c r="LX60" i="1"/>
  <c r="LU60" i="1"/>
  <c r="LR60" i="1"/>
  <c r="LO60" i="1"/>
  <c r="KV60" i="1"/>
  <c r="KU60" i="1"/>
  <c r="KW60" i="1" s="1"/>
  <c r="KT60" i="1"/>
  <c r="KQ60" i="1"/>
  <c r="KN60" i="1"/>
  <c r="KK60" i="1"/>
  <c r="KH60" i="1"/>
  <c r="JC60" i="1"/>
  <c r="JB60" i="1"/>
  <c r="JD60" i="1" s="1"/>
  <c r="JA60" i="1"/>
  <c r="IX60" i="1"/>
  <c r="IU60" i="1"/>
  <c r="IR60" i="1"/>
  <c r="IN60" i="1"/>
  <c r="IM60" i="1"/>
  <c r="IO60" i="1" s="1"/>
  <c r="IL60" i="1"/>
  <c r="II60" i="1"/>
  <c r="IF60" i="1"/>
  <c r="IC60" i="1"/>
  <c r="HY60" i="1"/>
  <c r="HX60" i="1"/>
  <c r="HZ60" i="1" s="1"/>
  <c r="HW60" i="1"/>
  <c r="HT60" i="1"/>
  <c r="HQ60" i="1"/>
  <c r="HN60" i="1"/>
  <c r="HJ60" i="1"/>
  <c r="HI60" i="1"/>
  <c r="HK60" i="1" s="1"/>
  <c r="HH60" i="1"/>
  <c r="HE60" i="1"/>
  <c r="HB60" i="1"/>
  <c r="GY60" i="1"/>
  <c r="GU60" i="1"/>
  <c r="GT60" i="1"/>
  <c r="GV60" i="1" s="1"/>
  <c r="GS60" i="1"/>
  <c r="GP60" i="1"/>
  <c r="GM60" i="1"/>
  <c r="GJ60" i="1"/>
  <c r="GF60" i="1"/>
  <c r="GE60" i="1"/>
  <c r="GG60" i="1" s="1"/>
  <c r="GD60" i="1"/>
  <c r="GA60" i="1"/>
  <c r="FX60" i="1"/>
  <c r="FU60" i="1"/>
  <c r="FQ60" i="1"/>
  <c r="FP60" i="1"/>
  <c r="FR60" i="1" s="1"/>
  <c r="FO60" i="1"/>
  <c r="FL60" i="1"/>
  <c r="FI60" i="1"/>
  <c r="FF60" i="1"/>
  <c r="FB60" i="1"/>
  <c r="FA60" i="1"/>
  <c r="FC60" i="1" s="1"/>
  <c r="EZ60" i="1"/>
  <c r="EW60" i="1"/>
  <c r="ET60" i="1"/>
  <c r="EQ60" i="1"/>
  <c r="EM60" i="1"/>
  <c r="EL60" i="1"/>
  <c r="EN60" i="1" s="1"/>
  <c r="EK60" i="1"/>
  <c r="EH60" i="1"/>
  <c r="EE60" i="1"/>
  <c r="EB60" i="1"/>
  <c r="DX60" i="1"/>
  <c r="DW60" i="1"/>
  <c r="DY60" i="1" s="1"/>
  <c r="DV60" i="1"/>
  <c r="DS60" i="1"/>
  <c r="DP60" i="1"/>
  <c r="DM60" i="1"/>
  <c r="DI60" i="1"/>
  <c r="DH60" i="1"/>
  <c r="DJ60" i="1" s="1"/>
  <c r="DG60" i="1"/>
  <c r="DD60" i="1"/>
  <c r="DA60" i="1"/>
  <c r="CX60" i="1"/>
  <c r="CT60" i="1"/>
  <c r="CS60" i="1"/>
  <c r="CU60" i="1" s="1"/>
  <c r="CR60" i="1"/>
  <c r="CO60" i="1"/>
  <c r="CL60" i="1"/>
  <c r="CI60" i="1"/>
  <c r="CF60" i="1"/>
  <c r="BP60" i="1"/>
  <c r="BO60" i="1"/>
  <c r="BQ60" i="1" s="1"/>
  <c r="BN60" i="1"/>
  <c r="BK60" i="1"/>
  <c r="BH60" i="1"/>
  <c r="BE60" i="1"/>
  <c r="BA60" i="1"/>
  <c r="AZ60" i="1"/>
  <c r="BB60" i="1" s="1"/>
  <c r="AY60" i="1"/>
  <c r="AV60" i="1"/>
  <c r="AS60" i="1"/>
  <c r="AP60" i="1"/>
  <c r="AM60" i="1"/>
  <c r="W60" i="1"/>
  <c r="V60" i="1"/>
  <c r="X60" i="1" s="1"/>
  <c r="U60" i="1"/>
  <c r="R60" i="1"/>
  <c r="O60" i="1"/>
  <c r="L60" i="1"/>
  <c r="I60" i="1"/>
  <c r="AAB59" i="1"/>
  <c r="AAA59" i="1"/>
  <c r="AAC59" i="1" s="1"/>
  <c r="ZZ59" i="1"/>
  <c r="ZW59" i="1"/>
  <c r="ZG59" i="1"/>
  <c r="AAE59" i="1" s="1"/>
  <c r="ZF59" i="1"/>
  <c r="AAD59" i="1" s="1"/>
  <c r="ZE59" i="1"/>
  <c r="ZB59" i="1"/>
  <c r="YY59" i="1"/>
  <c r="YV59" i="1"/>
  <c r="YR59" i="1"/>
  <c r="YQ59" i="1"/>
  <c r="YS59" i="1" s="1"/>
  <c r="YP59" i="1"/>
  <c r="YM59" i="1"/>
  <c r="YJ59" i="1"/>
  <c r="YG59" i="1"/>
  <c r="YC59" i="1"/>
  <c r="YB59" i="1"/>
  <c r="YD59" i="1" s="1"/>
  <c r="YA59" i="1"/>
  <c r="XX59" i="1"/>
  <c r="XU59" i="1"/>
  <c r="XR59" i="1"/>
  <c r="VU59" i="1"/>
  <c r="VT59" i="1"/>
  <c r="VV59" i="1" s="1"/>
  <c r="VS59" i="1"/>
  <c r="VP59" i="1"/>
  <c r="VM59" i="1"/>
  <c r="VJ59" i="1"/>
  <c r="UQ59" i="1"/>
  <c r="UP59" i="1"/>
  <c r="UR59" i="1" s="1"/>
  <c r="UO59" i="1"/>
  <c r="UL59" i="1"/>
  <c r="UI59" i="1"/>
  <c r="UF59" i="1"/>
  <c r="UB59" i="1"/>
  <c r="UA59" i="1"/>
  <c r="UC59" i="1" s="1"/>
  <c r="TZ59" i="1"/>
  <c r="TW59" i="1"/>
  <c r="TT59" i="1"/>
  <c r="TQ59" i="1"/>
  <c r="TM59" i="1"/>
  <c r="TL59" i="1"/>
  <c r="TN59" i="1" s="1"/>
  <c r="TK59" i="1"/>
  <c r="TH59" i="1"/>
  <c r="TE59" i="1"/>
  <c r="TB59" i="1"/>
  <c r="SX59" i="1"/>
  <c r="SW59" i="1"/>
  <c r="SY59" i="1" s="1"/>
  <c r="SV59" i="1"/>
  <c r="SS59" i="1"/>
  <c r="SP59" i="1"/>
  <c r="SM59" i="1"/>
  <c r="SJ59" i="1"/>
  <c r="QP59" i="1"/>
  <c r="QO59" i="1"/>
  <c r="QQ59" i="1" s="1"/>
  <c r="QN59" i="1"/>
  <c r="QK59" i="1"/>
  <c r="QH59" i="1"/>
  <c r="QE59" i="1"/>
  <c r="QA59" i="1"/>
  <c r="PZ59" i="1"/>
  <c r="QB59" i="1" s="1"/>
  <c r="PY59" i="1"/>
  <c r="PV59" i="1"/>
  <c r="PS59" i="1"/>
  <c r="PP59" i="1"/>
  <c r="PL59" i="1"/>
  <c r="PK59" i="1"/>
  <c r="PM59" i="1" s="1"/>
  <c r="PJ59" i="1"/>
  <c r="PG59" i="1"/>
  <c r="PD59" i="1"/>
  <c r="PA59" i="1"/>
  <c r="OW59" i="1"/>
  <c r="OV59" i="1"/>
  <c r="OX59" i="1" s="1"/>
  <c r="OU59" i="1"/>
  <c r="OR59" i="1"/>
  <c r="OO59" i="1"/>
  <c r="OL59" i="1"/>
  <c r="OH59" i="1"/>
  <c r="OG59" i="1"/>
  <c r="OI59" i="1" s="1"/>
  <c r="OF59" i="1"/>
  <c r="OC59" i="1"/>
  <c r="NZ59" i="1"/>
  <c r="NW59" i="1"/>
  <c r="NS59" i="1"/>
  <c r="NR59" i="1"/>
  <c r="NT59" i="1" s="1"/>
  <c r="NQ59" i="1"/>
  <c r="NN59" i="1"/>
  <c r="NK59" i="1"/>
  <c r="NH59" i="1"/>
  <c r="ND59" i="1"/>
  <c r="NC59" i="1"/>
  <c r="NE59" i="1" s="1"/>
  <c r="NB59" i="1"/>
  <c r="MY59" i="1"/>
  <c r="MV59" i="1"/>
  <c r="MS59" i="1"/>
  <c r="MO59" i="1"/>
  <c r="MN59" i="1"/>
  <c r="MP59" i="1" s="1"/>
  <c r="MM59" i="1"/>
  <c r="MJ59" i="1"/>
  <c r="MG59" i="1"/>
  <c r="MD59" i="1"/>
  <c r="LZ59" i="1"/>
  <c r="LY59" i="1"/>
  <c r="MA59" i="1" s="1"/>
  <c r="LX59" i="1"/>
  <c r="LU59" i="1"/>
  <c r="LR59" i="1"/>
  <c r="LO59" i="1"/>
  <c r="KV59" i="1"/>
  <c r="KU59" i="1"/>
  <c r="KW59" i="1" s="1"/>
  <c r="KT59" i="1"/>
  <c r="KQ59" i="1"/>
  <c r="KN59" i="1"/>
  <c r="KK59" i="1"/>
  <c r="KH59" i="1"/>
  <c r="JC59" i="1"/>
  <c r="JB59" i="1"/>
  <c r="JD59" i="1" s="1"/>
  <c r="JA59" i="1"/>
  <c r="IX59" i="1"/>
  <c r="IU59" i="1"/>
  <c r="IR59" i="1"/>
  <c r="IN59" i="1"/>
  <c r="IM59" i="1"/>
  <c r="IO59" i="1" s="1"/>
  <c r="IL59" i="1"/>
  <c r="II59" i="1"/>
  <c r="IF59" i="1"/>
  <c r="IC59" i="1"/>
  <c r="HY59" i="1"/>
  <c r="HX59" i="1"/>
  <c r="HZ59" i="1" s="1"/>
  <c r="HW59" i="1"/>
  <c r="HT59" i="1"/>
  <c r="HQ59" i="1"/>
  <c r="HN59" i="1"/>
  <c r="HJ59" i="1"/>
  <c r="HI59" i="1"/>
  <c r="HK59" i="1" s="1"/>
  <c r="HH59" i="1"/>
  <c r="HE59" i="1"/>
  <c r="HB59" i="1"/>
  <c r="GY59" i="1"/>
  <c r="GU59" i="1"/>
  <c r="GT59" i="1"/>
  <c r="GV59" i="1" s="1"/>
  <c r="GS59" i="1"/>
  <c r="GP59" i="1"/>
  <c r="GM59" i="1"/>
  <c r="GJ59" i="1"/>
  <c r="GF59" i="1"/>
  <c r="GE59" i="1"/>
  <c r="GG59" i="1" s="1"/>
  <c r="GD59" i="1"/>
  <c r="GA59" i="1"/>
  <c r="FX59" i="1"/>
  <c r="FU59" i="1"/>
  <c r="FQ59" i="1"/>
  <c r="FP59" i="1"/>
  <c r="FR59" i="1" s="1"/>
  <c r="FO59" i="1"/>
  <c r="FL59" i="1"/>
  <c r="FI59" i="1"/>
  <c r="FF59" i="1"/>
  <c r="FB59" i="1"/>
  <c r="FA59" i="1"/>
  <c r="FC59" i="1" s="1"/>
  <c r="EZ59" i="1"/>
  <c r="EW59" i="1"/>
  <c r="ET59" i="1"/>
  <c r="EQ59" i="1"/>
  <c r="EM59" i="1"/>
  <c r="EL59" i="1"/>
  <c r="EN59" i="1" s="1"/>
  <c r="EK59" i="1"/>
  <c r="EH59" i="1"/>
  <c r="EE59" i="1"/>
  <c r="EB59" i="1"/>
  <c r="DX59" i="1"/>
  <c r="DW59" i="1"/>
  <c r="DY59" i="1" s="1"/>
  <c r="DV59" i="1"/>
  <c r="DS59" i="1"/>
  <c r="DP59" i="1"/>
  <c r="DM59" i="1"/>
  <c r="DI59" i="1"/>
  <c r="DH59" i="1"/>
  <c r="DJ59" i="1" s="1"/>
  <c r="DG59" i="1"/>
  <c r="DD59" i="1"/>
  <c r="DA59" i="1"/>
  <c r="CX59" i="1"/>
  <c r="CT59" i="1"/>
  <c r="CS59" i="1"/>
  <c r="CU59" i="1" s="1"/>
  <c r="CR59" i="1"/>
  <c r="CO59" i="1"/>
  <c r="CL59" i="1"/>
  <c r="CI59" i="1"/>
  <c r="CF59" i="1"/>
  <c r="BP59" i="1"/>
  <c r="BO59" i="1"/>
  <c r="BQ59" i="1" s="1"/>
  <c r="BN59" i="1"/>
  <c r="BK59" i="1"/>
  <c r="BH59" i="1"/>
  <c r="BE59" i="1"/>
  <c r="BA59" i="1"/>
  <c r="AZ59" i="1"/>
  <c r="BB59" i="1" s="1"/>
  <c r="AY59" i="1"/>
  <c r="AV59" i="1"/>
  <c r="AS59" i="1"/>
  <c r="AP59" i="1"/>
  <c r="AM59" i="1"/>
  <c r="W59" i="1"/>
  <c r="V59" i="1"/>
  <c r="X59" i="1" s="1"/>
  <c r="U59" i="1"/>
  <c r="R59" i="1"/>
  <c r="O59" i="1"/>
  <c r="L59" i="1"/>
  <c r="I59" i="1"/>
  <c r="AAB58" i="1"/>
  <c r="AAA58" i="1"/>
  <c r="AAC58" i="1" s="1"/>
  <c r="ZZ58" i="1"/>
  <c r="ZW58" i="1"/>
  <c r="ZG58" i="1"/>
  <c r="AAE58" i="1" s="1"/>
  <c r="ZF58" i="1"/>
  <c r="AAD58" i="1" s="1"/>
  <c r="ZE58" i="1"/>
  <c r="ZB58" i="1"/>
  <c r="YY58" i="1"/>
  <c r="YV58" i="1"/>
  <c r="YR58" i="1"/>
  <c r="YQ58" i="1"/>
  <c r="YS58" i="1" s="1"/>
  <c r="YP58" i="1"/>
  <c r="YM58" i="1"/>
  <c r="YJ58" i="1"/>
  <c r="YG58" i="1"/>
  <c r="YC58" i="1"/>
  <c r="YB58" i="1"/>
  <c r="YD58" i="1" s="1"/>
  <c r="YA58" i="1"/>
  <c r="XX58" i="1"/>
  <c r="XU58" i="1"/>
  <c r="XR58" i="1"/>
  <c r="VU58" i="1"/>
  <c r="VT58" i="1"/>
  <c r="VV58" i="1" s="1"/>
  <c r="VS58" i="1"/>
  <c r="VP58" i="1"/>
  <c r="VM58" i="1"/>
  <c r="VJ58" i="1"/>
  <c r="UQ58" i="1"/>
  <c r="UP58" i="1"/>
  <c r="UR58" i="1" s="1"/>
  <c r="UO58" i="1"/>
  <c r="UL58" i="1"/>
  <c r="UI58" i="1"/>
  <c r="UF58" i="1"/>
  <c r="UB58" i="1"/>
  <c r="UA58" i="1"/>
  <c r="UC58" i="1" s="1"/>
  <c r="TZ58" i="1"/>
  <c r="TW58" i="1"/>
  <c r="TT58" i="1"/>
  <c r="TQ58" i="1"/>
  <c r="TM58" i="1"/>
  <c r="TL58" i="1"/>
  <c r="TN58" i="1" s="1"/>
  <c r="TK58" i="1"/>
  <c r="TH58" i="1"/>
  <c r="TE58" i="1"/>
  <c r="TB58" i="1"/>
  <c r="SX58" i="1"/>
  <c r="SW58" i="1"/>
  <c r="SY58" i="1" s="1"/>
  <c r="SV58" i="1"/>
  <c r="SS58" i="1"/>
  <c r="SP58" i="1"/>
  <c r="SM58" i="1"/>
  <c r="SJ58" i="1"/>
  <c r="QP58" i="1"/>
  <c r="QO58" i="1"/>
  <c r="QQ58" i="1" s="1"/>
  <c r="QN58" i="1"/>
  <c r="QK58" i="1"/>
  <c r="QH58" i="1"/>
  <c r="QE58" i="1"/>
  <c r="QA58" i="1"/>
  <c r="PZ58" i="1"/>
  <c r="QB58" i="1" s="1"/>
  <c r="PY58" i="1"/>
  <c r="PV58" i="1"/>
  <c r="PS58" i="1"/>
  <c r="PP58" i="1"/>
  <c r="PL58" i="1"/>
  <c r="PK58" i="1"/>
  <c r="PM58" i="1" s="1"/>
  <c r="PJ58" i="1"/>
  <c r="PG58" i="1"/>
  <c r="PD58" i="1"/>
  <c r="PA58" i="1"/>
  <c r="OW58" i="1"/>
  <c r="OV58" i="1"/>
  <c r="OX58" i="1" s="1"/>
  <c r="OU58" i="1"/>
  <c r="OR58" i="1"/>
  <c r="OO58" i="1"/>
  <c r="OL58" i="1"/>
  <c r="OH58" i="1"/>
  <c r="OG58" i="1"/>
  <c r="OI58" i="1" s="1"/>
  <c r="OF58" i="1"/>
  <c r="OC58" i="1"/>
  <c r="NZ58" i="1"/>
  <c r="NW58" i="1"/>
  <c r="NS58" i="1"/>
  <c r="NR58" i="1"/>
  <c r="NT58" i="1" s="1"/>
  <c r="NQ58" i="1"/>
  <c r="NN58" i="1"/>
  <c r="NK58" i="1"/>
  <c r="NH58" i="1"/>
  <c r="ND58" i="1"/>
  <c r="NC58" i="1"/>
  <c r="NE58" i="1" s="1"/>
  <c r="NB58" i="1"/>
  <c r="MY58" i="1"/>
  <c r="MV58" i="1"/>
  <c r="MS58" i="1"/>
  <c r="MO58" i="1"/>
  <c r="MN58" i="1"/>
  <c r="MP58" i="1" s="1"/>
  <c r="MM58" i="1"/>
  <c r="MJ58" i="1"/>
  <c r="MG58" i="1"/>
  <c r="MD58" i="1"/>
  <c r="LZ58" i="1"/>
  <c r="LY58" i="1"/>
  <c r="MA58" i="1" s="1"/>
  <c r="LX58" i="1"/>
  <c r="LU58" i="1"/>
  <c r="LR58" i="1"/>
  <c r="LO58" i="1"/>
  <c r="KV58" i="1"/>
  <c r="KU58" i="1"/>
  <c r="KW58" i="1" s="1"/>
  <c r="KT58" i="1"/>
  <c r="KQ58" i="1"/>
  <c r="KN58" i="1"/>
  <c r="KK58" i="1"/>
  <c r="KH58" i="1"/>
  <c r="JC58" i="1"/>
  <c r="JB58" i="1"/>
  <c r="JD58" i="1" s="1"/>
  <c r="JA58" i="1"/>
  <c r="IX58" i="1"/>
  <c r="IU58" i="1"/>
  <c r="IR58" i="1"/>
  <c r="IN58" i="1"/>
  <c r="IM58" i="1"/>
  <c r="IO58" i="1" s="1"/>
  <c r="IL58" i="1"/>
  <c r="II58" i="1"/>
  <c r="IF58" i="1"/>
  <c r="IC58" i="1"/>
  <c r="HY58" i="1"/>
  <c r="HX58" i="1"/>
  <c r="HZ58" i="1" s="1"/>
  <c r="HW58" i="1"/>
  <c r="HT58" i="1"/>
  <c r="HQ58" i="1"/>
  <c r="HN58" i="1"/>
  <c r="HJ58" i="1"/>
  <c r="HI58" i="1"/>
  <c r="HK58" i="1" s="1"/>
  <c r="HH58" i="1"/>
  <c r="HE58" i="1"/>
  <c r="HB58" i="1"/>
  <c r="GY58" i="1"/>
  <c r="GU58" i="1"/>
  <c r="GT58" i="1"/>
  <c r="GV58" i="1" s="1"/>
  <c r="GS58" i="1"/>
  <c r="GP58" i="1"/>
  <c r="GM58" i="1"/>
  <c r="GJ58" i="1"/>
  <c r="GF58" i="1"/>
  <c r="GE58" i="1"/>
  <c r="GG58" i="1" s="1"/>
  <c r="GD58" i="1"/>
  <c r="GA58" i="1"/>
  <c r="FX58" i="1"/>
  <c r="FU58" i="1"/>
  <c r="FQ58" i="1"/>
  <c r="FP58" i="1"/>
  <c r="FR58" i="1" s="1"/>
  <c r="FO58" i="1"/>
  <c r="FL58" i="1"/>
  <c r="FI58" i="1"/>
  <c r="FF58" i="1"/>
  <c r="FB58" i="1"/>
  <c r="FA58" i="1"/>
  <c r="FC58" i="1" s="1"/>
  <c r="EZ58" i="1"/>
  <c r="EW58" i="1"/>
  <c r="ET58" i="1"/>
  <c r="EQ58" i="1"/>
  <c r="EM58" i="1"/>
  <c r="EL58" i="1"/>
  <c r="EN58" i="1" s="1"/>
  <c r="EK58" i="1"/>
  <c r="EH58" i="1"/>
  <c r="EE58" i="1"/>
  <c r="EB58" i="1"/>
  <c r="DX58" i="1"/>
  <c r="DW58" i="1"/>
  <c r="DY58" i="1" s="1"/>
  <c r="DV58" i="1"/>
  <c r="DS58" i="1"/>
  <c r="DP58" i="1"/>
  <c r="DM58" i="1"/>
  <c r="DI58" i="1"/>
  <c r="DH58" i="1"/>
  <c r="DJ58" i="1" s="1"/>
  <c r="DG58" i="1"/>
  <c r="DD58" i="1"/>
  <c r="DA58" i="1"/>
  <c r="CX58" i="1"/>
  <c r="CT58" i="1"/>
  <c r="CS58" i="1"/>
  <c r="CU58" i="1" s="1"/>
  <c r="CR58" i="1"/>
  <c r="CO58" i="1"/>
  <c r="CL58" i="1"/>
  <c r="CI58" i="1"/>
  <c r="CF58" i="1"/>
  <c r="BP58" i="1"/>
  <c r="BO58" i="1"/>
  <c r="BQ58" i="1" s="1"/>
  <c r="BN58" i="1"/>
  <c r="BK58" i="1"/>
  <c r="BH58" i="1"/>
  <c r="BE58" i="1"/>
  <c r="BA58" i="1"/>
  <c r="AZ58" i="1"/>
  <c r="BB58" i="1" s="1"/>
  <c r="AY58" i="1"/>
  <c r="AV58" i="1"/>
  <c r="AS58" i="1"/>
  <c r="AP58" i="1"/>
  <c r="AM58" i="1"/>
  <c r="W58" i="1"/>
  <c r="V58" i="1"/>
  <c r="X58" i="1" s="1"/>
  <c r="U58" i="1"/>
  <c r="R58" i="1"/>
  <c r="O58" i="1"/>
  <c r="L58" i="1"/>
  <c r="I58" i="1"/>
  <c r="AAB57" i="1"/>
  <c r="AAA57" i="1"/>
  <c r="AAC57" i="1" s="1"/>
  <c r="AAC69" i="1" s="1"/>
  <c r="ZZ57" i="1"/>
  <c r="ZZ69" i="1" s="1"/>
  <c r="ZW57" i="1"/>
  <c r="ZW69" i="1" s="1"/>
  <c r="ZG57" i="1"/>
  <c r="ZF57" i="1"/>
  <c r="AAD57" i="1" s="1"/>
  <c r="ZE57" i="1"/>
  <c r="ZE69" i="1" s="1"/>
  <c r="ZB57" i="1"/>
  <c r="ZB69" i="1" s="1"/>
  <c r="YY57" i="1"/>
  <c r="YY69" i="1" s="1"/>
  <c r="YV57" i="1"/>
  <c r="YV69" i="1" s="1"/>
  <c r="YS57" i="1"/>
  <c r="YS69" i="1" s="1"/>
  <c r="YR57" i="1"/>
  <c r="YR69" i="1" s="1"/>
  <c r="YQ57" i="1"/>
  <c r="YP57" i="1"/>
  <c r="YP69" i="1" s="1"/>
  <c r="YM57" i="1"/>
  <c r="YM69" i="1" s="1"/>
  <c r="YJ57" i="1"/>
  <c r="YJ69" i="1" s="1"/>
  <c r="YG57" i="1"/>
  <c r="YG69" i="1" s="1"/>
  <c r="YC57" i="1"/>
  <c r="YC69" i="1" s="1"/>
  <c r="YB57" i="1"/>
  <c r="YD57" i="1" s="1"/>
  <c r="YD69" i="1" s="1"/>
  <c r="YA57" i="1"/>
  <c r="YA69" i="1" s="1"/>
  <c r="XX57" i="1"/>
  <c r="XX69" i="1" s="1"/>
  <c r="XU57" i="1"/>
  <c r="XU69" i="1" s="1"/>
  <c r="XR57" i="1"/>
  <c r="XR69" i="1" s="1"/>
  <c r="VU57" i="1"/>
  <c r="VU69" i="1" s="1"/>
  <c r="VT57" i="1"/>
  <c r="VV57" i="1" s="1"/>
  <c r="VV69" i="1" s="1"/>
  <c r="VS57" i="1"/>
  <c r="VS69" i="1" s="1"/>
  <c r="VP57" i="1"/>
  <c r="VP69" i="1" s="1"/>
  <c r="VM57" i="1"/>
  <c r="VM69" i="1" s="1"/>
  <c r="VJ57" i="1"/>
  <c r="VJ69" i="1" s="1"/>
  <c r="UQ57" i="1"/>
  <c r="UQ69" i="1" s="1"/>
  <c r="UP57" i="1"/>
  <c r="UR57" i="1" s="1"/>
  <c r="UR69" i="1" s="1"/>
  <c r="UO57" i="1"/>
  <c r="UO69" i="1" s="1"/>
  <c r="UL57" i="1"/>
  <c r="UL69" i="1" s="1"/>
  <c r="UI57" i="1"/>
  <c r="UI69" i="1" s="1"/>
  <c r="UF57" i="1"/>
  <c r="UF69" i="1" s="1"/>
  <c r="UB57" i="1"/>
  <c r="UB69" i="1" s="1"/>
  <c r="UA57" i="1"/>
  <c r="UC57" i="1" s="1"/>
  <c r="UC69" i="1" s="1"/>
  <c r="TZ57" i="1"/>
  <c r="TZ69" i="1" s="1"/>
  <c r="TW57" i="1"/>
  <c r="TW69" i="1" s="1"/>
  <c r="TT57" i="1"/>
  <c r="TT69" i="1" s="1"/>
  <c r="TQ57" i="1"/>
  <c r="TQ69" i="1" s="1"/>
  <c r="TM57" i="1"/>
  <c r="TM69" i="1" s="1"/>
  <c r="TL57" i="1"/>
  <c r="TN57" i="1" s="1"/>
  <c r="TN69" i="1" s="1"/>
  <c r="TK57" i="1"/>
  <c r="TK69" i="1" s="1"/>
  <c r="TH57" i="1"/>
  <c r="TH69" i="1" s="1"/>
  <c r="TE57" i="1"/>
  <c r="TE69" i="1" s="1"/>
  <c r="TB57" i="1"/>
  <c r="TB69" i="1" s="1"/>
  <c r="SX57" i="1"/>
  <c r="SX69" i="1" s="1"/>
  <c r="SW57" i="1"/>
  <c r="SY57" i="1" s="1"/>
  <c r="SY69" i="1" s="1"/>
  <c r="SV57" i="1"/>
  <c r="SV69" i="1" s="1"/>
  <c r="SS57" i="1"/>
  <c r="SS69" i="1" s="1"/>
  <c r="SP57" i="1"/>
  <c r="SP69" i="1" s="1"/>
  <c r="SM57" i="1"/>
  <c r="SM69" i="1" s="1"/>
  <c r="SJ57" i="1"/>
  <c r="SJ69" i="1" s="1"/>
  <c r="QP57" i="1"/>
  <c r="QP69" i="1" s="1"/>
  <c r="QO57" i="1"/>
  <c r="QQ57" i="1" s="1"/>
  <c r="QQ69" i="1" s="1"/>
  <c r="QN57" i="1"/>
  <c r="QN69" i="1" s="1"/>
  <c r="QK57" i="1"/>
  <c r="QK69" i="1" s="1"/>
  <c r="QH57" i="1"/>
  <c r="QH69" i="1" s="1"/>
  <c r="QE57" i="1"/>
  <c r="QE69" i="1" s="1"/>
  <c r="QA57" i="1"/>
  <c r="QA69" i="1" s="1"/>
  <c r="PZ57" i="1"/>
  <c r="QB57" i="1" s="1"/>
  <c r="QB69" i="1" s="1"/>
  <c r="PY57" i="1"/>
  <c r="PY69" i="1" s="1"/>
  <c r="PV57" i="1"/>
  <c r="PV69" i="1" s="1"/>
  <c r="PS57" i="1"/>
  <c r="PS69" i="1" s="1"/>
  <c r="PP57" i="1"/>
  <c r="PP69" i="1" s="1"/>
  <c r="PL57" i="1"/>
  <c r="PL69" i="1" s="1"/>
  <c r="PK57" i="1"/>
  <c r="PM57" i="1" s="1"/>
  <c r="PM69" i="1" s="1"/>
  <c r="PJ57" i="1"/>
  <c r="PJ69" i="1" s="1"/>
  <c r="PG57" i="1"/>
  <c r="PG69" i="1" s="1"/>
  <c r="PD57" i="1"/>
  <c r="PD69" i="1" s="1"/>
  <c r="PA57" i="1"/>
  <c r="PA69" i="1" s="1"/>
  <c r="OW57" i="1"/>
  <c r="OW69" i="1" s="1"/>
  <c r="OV57" i="1"/>
  <c r="OX57" i="1" s="1"/>
  <c r="OX69" i="1" s="1"/>
  <c r="OU57" i="1"/>
  <c r="OU69" i="1" s="1"/>
  <c r="OR57" i="1"/>
  <c r="OR69" i="1" s="1"/>
  <c r="OO57" i="1"/>
  <c r="OO69" i="1" s="1"/>
  <c r="OL57" i="1"/>
  <c r="OL69" i="1" s="1"/>
  <c r="OH57" i="1"/>
  <c r="OH69" i="1" s="1"/>
  <c r="OG57" i="1"/>
  <c r="OI57" i="1" s="1"/>
  <c r="OF57" i="1"/>
  <c r="OF69" i="1" s="1"/>
  <c r="OC57" i="1"/>
  <c r="OC69" i="1" s="1"/>
  <c r="NZ57" i="1"/>
  <c r="NZ69" i="1" s="1"/>
  <c r="NW57" i="1"/>
  <c r="NS57" i="1"/>
  <c r="NS69" i="1" s="1"/>
  <c r="NR57" i="1"/>
  <c r="NT57" i="1" s="1"/>
  <c r="NT69" i="1" s="1"/>
  <c r="NQ57" i="1"/>
  <c r="NQ69" i="1" s="1"/>
  <c r="NN57" i="1"/>
  <c r="NN69" i="1" s="1"/>
  <c r="NK57" i="1"/>
  <c r="NK69" i="1" s="1"/>
  <c r="NH57" i="1"/>
  <c r="NH69" i="1" s="1"/>
  <c r="ND57" i="1"/>
  <c r="ND69" i="1" s="1"/>
  <c r="NC57" i="1"/>
  <c r="NE57" i="1" s="1"/>
  <c r="NE69" i="1" s="1"/>
  <c r="NB57" i="1"/>
  <c r="NB69" i="1" s="1"/>
  <c r="MY57" i="1"/>
  <c r="MY69" i="1" s="1"/>
  <c r="MV57" i="1"/>
  <c r="MV69" i="1" s="1"/>
  <c r="MS57" i="1"/>
  <c r="MS69" i="1" s="1"/>
  <c r="MO57" i="1"/>
  <c r="MO69" i="1" s="1"/>
  <c r="MN57" i="1"/>
  <c r="MP57" i="1" s="1"/>
  <c r="MM57" i="1"/>
  <c r="MM69" i="1" s="1"/>
  <c r="MJ57" i="1"/>
  <c r="MJ69" i="1" s="1"/>
  <c r="MG57" i="1"/>
  <c r="MG69" i="1" s="1"/>
  <c r="MD57" i="1"/>
  <c r="LZ57" i="1"/>
  <c r="LZ69" i="1" s="1"/>
  <c r="LY57" i="1"/>
  <c r="MA57" i="1" s="1"/>
  <c r="MA69" i="1" s="1"/>
  <c r="LX57" i="1"/>
  <c r="LX69" i="1" s="1"/>
  <c r="LU57" i="1"/>
  <c r="LU69" i="1" s="1"/>
  <c r="LR57" i="1"/>
  <c r="LR69" i="1" s="1"/>
  <c r="LO57" i="1"/>
  <c r="LO69" i="1" s="1"/>
  <c r="KV57" i="1"/>
  <c r="KV69" i="1" s="1"/>
  <c r="KU57" i="1"/>
  <c r="KW57" i="1" s="1"/>
  <c r="KW69" i="1" s="1"/>
  <c r="KT57" i="1"/>
  <c r="KT69" i="1" s="1"/>
  <c r="KQ57" i="1"/>
  <c r="KQ69" i="1" s="1"/>
  <c r="KN57" i="1"/>
  <c r="KN69" i="1" s="1"/>
  <c r="KK57" i="1"/>
  <c r="KK69" i="1" s="1"/>
  <c r="KH57" i="1"/>
  <c r="KH69" i="1" s="1"/>
  <c r="JC57" i="1"/>
  <c r="JC69" i="1" s="1"/>
  <c r="JB57" i="1"/>
  <c r="JD57" i="1" s="1"/>
  <c r="JD69" i="1" s="1"/>
  <c r="JA57" i="1"/>
  <c r="JA69" i="1" s="1"/>
  <c r="IX57" i="1"/>
  <c r="IX69" i="1" s="1"/>
  <c r="IU57" i="1"/>
  <c r="IU69" i="1" s="1"/>
  <c r="IR57" i="1"/>
  <c r="IR69" i="1" s="1"/>
  <c r="IN57" i="1"/>
  <c r="IN69" i="1" s="1"/>
  <c r="IM57" i="1"/>
  <c r="IO57" i="1" s="1"/>
  <c r="IL57" i="1"/>
  <c r="IL69" i="1" s="1"/>
  <c r="II57" i="1"/>
  <c r="II69" i="1" s="1"/>
  <c r="IF57" i="1"/>
  <c r="IF69" i="1" s="1"/>
  <c r="IC57" i="1"/>
  <c r="HY57" i="1"/>
  <c r="HY69" i="1" s="1"/>
  <c r="HX57" i="1"/>
  <c r="HZ57" i="1" s="1"/>
  <c r="HZ69" i="1" s="1"/>
  <c r="HW57" i="1"/>
  <c r="HW69" i="1" s="1"/>
  <c r="HT57" i="1"/>
  <c r="HT69" i="1" s="1"/>
  <c r="HQ57" i="1"/>
  <c r="HQ69" i="1" s="1"/>
  <c r="HN57" i="1"/>
  <c r="HN69" i="1" s="1"/>
  <c r="HJ57" i="1"/>
  <c r="HJ69" i="1" s="1"/>
  <c r="HI57" i="1"/>
  <c r="HK57" i="1" s="1"/>
  <c r="HK69" i="1" s="1"/>
  <c r="HH57" i="1"/>
  <c r="HH69" i="1" s="1"/>
  <c r="HE57" i="1"/>
  <c r="HE69" i="1" s="1"/>
  <c r="HB57" i="1"/>
  <c r="HB69" i="1" s="1"/>
  <c r="GY57" i="1"/>
  <c r="GY69" i="1" s="1"/>
  <c r="GU57" i="1"/>
  <c r="GU69" i="1" s="1"/>
  <c r="GT57" i="1"/>
  <c r="GV57" i="1" s="1"/>
  <c r="GV69" i="1" s="1"/>
  <c r="GS57" i="1"/>
  <c r="GS69" i="1" s="1"/>
  <c r="GP57" i="1"/>
  <c r="GP69" i="1" s="1"/>
  <c r="GM57" i="1"/>
  <c r="GM69" i="1" s="1"/>
  <c r="GJ57" i="1"/>
  <c r="GJ69" i="1" s="1"/>
  <c r="GF57" i="1"/>
  <c r="GF69" i="1" s="1"/>
  <c r="GE57" i="1"/>
  <c r="GG57" i="1" s="1"/>
  <c r="GG69" i="1" s="1"/>
  <c r="GD57" i="1"/>
  <c r="GD69" i="1" s="1"/>
  <c r="GA57" i="1"/>
  <c r="GA69" i="1" s="1"/>
  <c r="FX57" i="1"/>
  <c r="FX69" i="1" s="1"/>
  <c r="FU57" i="1"/>
  <c r="FU69" i="1" s="1"/>
  <c r="FQ57" i="1"/>
  <c r="FQ69" i="1" s="1"/>
  <c r="FP57" i="1"/>
  <c r="FR57" i="1" s="1"/>
  <c r="FR69" i="1" s="1"/>
  <c r="FO57" i="1"/>
  <c r="FO69" i="1" s="1"/>
  <c r="FL57" i="1"/>
  <c r="FL69" i="1" s="1"/>
  <c r="FI57" i="1"/>
  <c r="FI69" i="1" s="1"/>
  <c r="FF57" i="1"/>
  <c r="FF69" i="1" s="1"/>
  <c r="FB57" i="1"/>
  <c r="FB69" i="1" s="1"/>
  <c r="FA57" i="1"/>
  <c r="FC57" i="1" s="1"/>
  <c r="FC69" i="1" s="1"/>
  <c r="EZ57" i="1"/>
  <c r="EZ69" i="1" s="1"/>
  <c r="EW57" i="1"/>
  <c r="EW69" i="1" s="1"/>
  <c r="ET57" i="1"/>
  <c r="ET69" i="1" s="1"/>
  <c r="EQ57" i="1"/>
  <c r="EQ69" i="1" s="1"/>
  <c r="EM57" i="1"/>
  <c r="EM69" i="1" s="1"/>
  <c r="EL57" i="1"/>
  <c r="EN57" i="1" s="1"/>
  <c r="EN69" i="1" s="1"/>
  <c r="EK57" i="1"/>
  <c r="EK69" i="1" s="1"/>
  <c r="EH57" i="1"/>
  <c r="EH69" i="1" s="1"/>
  <c r="EE57" i="1"/>
  <c r="EE69" i="1" s="1"/>
  <c r="EB57" i="1"/>
  <c r="EB69" i="1" s="1"/>
  <c r="DX57" i="1"/>
  <c r="DX69" i="1" s="1"/>
  <c r="DW57" i="1"/>
  <c r="DY57" i="1" s="1"/>
  <c r="DY69" i="1" s="1"/>
  <c r="DV57" i="1"/>
  <c r="DV69" i="1" s="1"/>
  <c r="DS57" i="1"/>
  <c r="DS69" i="1" s="1"/>
  <c r="DP57" i="1"/>
  <c r="DP69" i="1" s="1"/>
  <c r="DM57" i="1"/>
  <c r="DM69" i="1" s="1"/>
  <c r="DI57" i="1"/>
  <c r="DI69" i="1" s="1"/>
  <c r="DH57" i="1"/>
  <c r="DJ57" i="1" s="1"/>
  <c r="DJ69" i="1" s="1"/>
  <c r="DG57" i="1"/>
  <c r="DG69" i="1" s="1"/>
  <c r="DD57" i="1"/>
  <c r="DD69" i="1" s="1"/>
  <c r="DA57" i="1"/>
  <c r="DA69" i="1" s="1"/>
  <c r="CX57" i="1"/>
  <c r="CX69" i="1" s="1"/>
  <c r="CT57" i="1"/>
  <c r="CT69" i="1" s="1"/>
  <c r="CS57" i="1"/>
  <c r="CU57" i="1" s="1"/>
  <c r="CR57" i="1"/>
  <c r="CR69" i="1" s="1"/>
  <c r="CO57" i="1"/>
  <c r="CL57" i="1"/>
  <c r="CL69" i="1" s="1"/>
  <c r="CI57" i="1"/>
  <c r="CI69" i="1" s="1"/>
  <c r="CF57" i="1"/>
  <c r="CF69" i="1" s="1"/>
  <c r="BP57" i="1"/>
  <c r="BP69" i="1" s="1"/>
  <c r="BO57" i="1"/>
  <c r="BQ57" i="1" s="1"/>
  <c r="BQ69" i="1" s="1"/>
  <c r="BN57" i="1"/>
  <c r="BN69" i="1" s="1"/>
  <c r="BK57" i="1"/>
  <c r="BK69" i="1" s="1"/>
  <c r="BH57" i="1"/>
  <c r="BH69" i="1" s="1"/>
  <c r="BE57" i="1"/>
  <c r="BE69" i="1" s="1"/>
  <c r="BA57" i="1"/>
  <c r="BA69" i="1" s="1"/>
  <c r="AZ57" i="1"/>
  <c r="BB57" i="1" s="1"/>
  <c r="BB69" i="1" s="1"/>
  <c r="AY57" i="1"/>
  <c r="AY69" i="1" s="1"/>
  <c r="AV57" i="1"/>
  <c r="AV69" i="1" s="1"/>
  <c r="AS57" i="1"/>
  <c r="AS69" i="1" s="1"/>
  <c r="AP57" i="1"/>
  <c r="AP69" i="1" s="1"/>
  <c r="AM57" i="1"/>
  <c r="AM69" i="1" s="1"/>
  <c r="W57" i="1"/>
  <c r="W69" i="1" s="1"/>
  <c r="V57" i="1"/>
  <c r="U57" i="1"/>
  <c r="U69" i="1" s="1"/>
  <c r="R57" i="1"/>
  <c r="R69" i="1" s="1"/>
  <c r="O57" i="1"/>
  <c r="O69" i="1" s="1"/>
  <c r="L57" i="1"/>
  <c r="L69" i="1" s="1"/>
  <c r="I57" i="1"/>
  <c r="ZY56" i="1"/>
  <c r="AAB56" i="1" s="1"/>
  <c r="ZX56" i="1"/>
  <c r="AAA56" i="1" s="1"/>
  <c r="ZD56" i="1"/>
  <c r="ZC56" i="1"/>
  <c r="ZA56" i="1"/>
  <c r="YZ56" i="1"/>
  <c r="YX56" i="1"/>
  <c r="YW56" i="1"/>
  <c r="YU56" i="1"/>
  <c r="YT56" i="1"/>
  <c r="ZF56" i="1" s="1"/>
  <c r="YO56" i="1"/>
  <c r="YN56" i="1"/>
  <c r="YL56" i="1"/>
  <c r="YK56" i="1"/>
  <c r="YI56" i="1"/>
  <c r="YH56" i="1"/>
  <c r="YF56" i="1"/>
  <c r="YE56" i="1"/>
  <c r="YQ56" i="1" s="1"/>
  <c r="XZ56" i="1"/>
  <c r="XY56" i="1"/>
  <c r="XW56" i="1"/>
  <c r="XV56" i="1"/>
  <c r="XT56" i="1"/>
  <c r="XS56" i="1"/>
  <c r="XQ56" i="1"/>
  <c r="XP56" i="1"/>
  <c r="YB56" i="1" s="1"/>
  <c r="XK56" i="1"/>
  <c r="XJ56" i="1"/>
  <c r="XH56" i="1"/>
  <c r="XG56" i="1"/>
  <c r="XE56" i="1"/>
  <c r="XD56" i="1"/>
  <c r="XB56" i="1"/>
  <c r="XA56" i="1"/>
  <c r="XM56" i="1" s="1"/>
  <c r="WV56" i="1"/>
  <c r="WU56" i="1"/>
  <c r="WS56" i="1"/>
  <c r="WR56" i="1"/>
  <c r="WP56" i="1"/>
  <c r="WO56" i="1"/>
  <c r="WM56" i="1"/>
  <c r="WL56" i="1"/>
  <c r="WX56" i="1" s="1"/>
  <c r="VQ56" i="1"/>
  <c r="VO56" i="1"/>
  <c r="VN56" i="1"/>
  <c r="VL56" i="1"/>
  <c r="VK56" i="1"/>
  <c r="VI56" i="1"/>
  <c r="VH56" i="1"/>
  <c r="VT56" i="1" s="1"/>
  <c r="UN56" i="1"/>
  <c r="UM56" i="1"/>
  <c r="UK56" i="1"/>
  <c r="UJ56" i="1"/>
  <c r="UH56" i="1"/>
  <c r="UG56" i="1"/>
  <c r="UE56" i="1"/>
  <c r="UD56" i="1"/>
  <c r="UP56" i="1" s="1"/>
  <c r="TY56" i="1"/>
  <c r="TX56" i="1"/>
  <c r="TV56" i="1"/>
  <c r="TU56" i="1"/>
  <c r="TS56" i="1"/>
  <c r="TR56" i="1"/>
  <c r="TP56" i="1"/>
  <c r="TO56" i="1"/>
  <c r="UA56" i="1" s="1"/>
  <c r="TJ56" i="1"/>
  <c r="TI56" i="1"/>
  <c r="TG56" i="1"/>
  <c r="TF56" i="1"/>
  <c r="TD56" i="1"/>
  <c r="TC56" i="1"/>
  <c r="TA56" i="1"/>
  <c r="SZ56" i="1"/>
  <c r="TL56" i="1" s="1"/>
  <c r="SU56" i="1"/>
  <c r="ST56" i="1"/>
  <c r="SR56" i="1"/>
  <c r="SQ56" i="1"/>
  <c r="SO56" i="1"/>
  <c r="SN56" i="1"/>
  <c r="SL56" i="1"/>
  <c r="SK56" i="1"/>
  <c r="SW56" i="1" s="1"/>
  <c r="SF56" i="1"/>
  <c r="SE56" i="1"/>
  <c r="SC56" i="1"/>
  <c r="SB56" i="1"/>
  <c r="RZ56" i="1"/>
  <c r="RY56" i="1"/>
  <c r="RW56" i="1"/>
  <c r="RV56" i="1"/>
  <c r="SH56" i="1" s="1"/>
  <c r="RF56" i="1"/>
  <c r="RB56" i="1"/>
  <c r="RA56" i="1"/>
  <c r="QX56" i="1"/>
  <c r="QV56" i="1"/>
  <c r="QU56" i="1"/>
  <c r="QS56" i="1"/>
  <c r="QR56" i="1"/>
  <c r="RD56" i="1" s="1"/>
  <c r="QM56" i="1"/>
  <c r="QL56" i="1"/>
  <c r="QJ56" i="1"/>
  <c r="QI56" i="1"/>
  <c r="QG56" i="1"/>
  <c r="QF56" i="1"/>
  <c r="QD56" i="1"/>
  <c r="QC56" i="1"/>
  <c r="QO56" i="1" s="1"/>
  <c r="PX56" i="1"/>
  <c r="PW56" i="1"/>
  <c r="PU56" i="1"/>
  <c r="PT56" i="1"/>
  <c r="PR56" i="1"/>
  <c r="PQ56" i="1"/>
  <c r="PO56" i="1"/>
  <c r="PN56" i="1"/>
  <c r="PZ56" i="1" s="1"/>
  <c r="PI56" i="1"/>
  <c r="PH56" i="1"/>
  <c r="PF56" i="1"/>
  <c r="PE56" i="1"/>
  <c r="PC56" i="1"/>
  <c r="PB56" i="1"/>
  <c r="OZ56" i="1"/>
  <c r="OY56" i="1"/>
  <c r="PK56" i="1" s="1"/>
  <c r="OT56" i="1"/>
  <c r="OS56" i="1"/>
  <c r="OQ56" i="1"/>
  <c r="OP56" i="1"/>
  <c r="ON56" i="1"/>
  <c r="OM56" i="1"/>
  <c r="OK56" i="1"/>
  <c r="OJ56" i="1"/>
  <c r="OV56" i="1" s="1"/>
  <c r="OE56" i="1"/>
  <c r="OD56" i="1"/>
  <c r="OB56" i="1"/>
  <c r="OA56" i="1"/>
  <c r="NY56" i="1"/>
  <c r="NX56" i="1"/>
  <c r="NV56" i="1"/>
  <c r="NP56" i="1"/>
  <c r="NO56" i="1"/>
  <c r="NM56" i="1"/>
  <c r="NL56" i="1"/>
  <c r="NJ56" i="1"/>
  <c r="NI56" i="1"/>
  <c r="NG56" i="1"/>
  <c r="NF56" i="1"/>
  <c r="NR56" i="1" s="1"/>
  <c r="NA56" i="1"/>
  <c r="MZ56" i="1"/>
  <c r="MX56" i="1"/>
  <c r="MW56" i="1"/>
  <c r="MU56" i="1"/>
  <c r="MT56" i="1"/>
  <c r="MR56" i="1"/>
  <c r="MQ56" i="1"/>
  <c r="NC56" i="1" s="1"/>
  <c r="ML56" i="1"/>
  <c r="MK56" i="1"/>
  <c r="MI56" i="1"/>
  <c r="MH56" i="1"/>
  <c r="MF56" i="1"/>
  <c r="ME56" i="1"/>
  <c r="MC56" i="1"/>
  <c r="LV56" i="1"/>
  <c r="LS56" i="1"/>
  <c r="LP56" i="1"/>
  <c r="LN56" i="1"/>
  <c r="LM56" i="1"/>
  <c r="LY56" i="1" s="1"/>
  <c r="KS56" i="1"/>
  <c r="KR56" i="1"/>
  <c r="KP56" i="1"/>
  <c r="KO56" i="1"/>
  <c r="KM56" i="1"/>
  <c r="KL56" i="1"/>
  <c r="KJ56" i="1"/>
  <c r="KI56" i="1"/>
  <c r="KU56" i="1" s="1"/>
  <c r="IZ56" i="1"/>
  <c r="IY56" i="1"/>
  <c r="IW56" i="1"/>
  <c r="IV56" i="1"/>
  <c r="IT56" i="1"/>
  <c r="IS56" i="1"/>
  <c r="IQ56" i="1"/>
  <c r="IP56" i="1"/>
  <c r="JB56" i="1" s="1"/>
  <c r="IK56" i="1"/>
  <c r="IJ56" i="1"/>
  <c r="IH56" i="1"/>
  <c r="IG56" i="1"/>
  <c r="IE56" i="1"/>
  <c r="ID56" i="1"/>
  <c r="IB56" i="1"/>
  <c r="HV56" i="1"/>
  <c r="HU56" i="1"/>
  <c r="HS56" i="1"/>
  <c r="HR56" i="1"/>
  <c r="HP56" i="1"/>
  <c r="HO56" i="1"/>
  <c r="HM56" i="1"/>
  <c r="HL56" i="1"/>
  <c r="HX56" i="1" s="1"/>
  <c r="HG56" i="1"/>
  <c r="HF56" i="1"/>
  <c r="HD56" i="1"/>
  <c r="HC56" i="1"/>
  <c r="HA56" i="1"/>
  <c r="GZ56" i="1"/>
  <c r="GX56" i="1"/>
  <c r="GW56" i="1"/>
  <c r="HI56" i="1" s="1"/>
  <c r="GR56" i="1"/>
  <c r="GQ56" i="1"/>
  <c r="GO56" i="1"/>
  <c r="GN56" i="1"/>
  <c r="GL56" i="1"/>
  <c r="GK56" i="1"/>
  <c r="GI56" i="1"/>
  <c r="GH56" i="1"/>
  <c r="GT56" i="1" s="1"/>
  <c r="GC56" i="1"/>
  <c r="GB56" i="1"/>
  <c r="FZ56" i="1"/>
  <c r="FY56" i="1"/>
  <c r="FW56" i="1"/>
  <c r="FV56" i="1"/>
  <c r="FT56" i="1"/>
  <c r="FS56" i="1"/>
  <c r="GE56" i="1" s="1"/>
  <c r="FN56" i="1"/>
  <c r="FM56" i="1"/>
  <c r="FK56" i="1"/>
  <c r="FJ56" i="1"/>
  <c r="FH56" i="1"/>
  <c r="FG56" i="1"/>
  <c r="FE56" i="1"/>
  <c r="FD56" i="1"/>
  <c r="FP56" i="1" s="1"/>
  <c r="EY56" i="1"/>
  <c r="EX56" i="1"/>
  <c r="EV56" i="1"/>
  <c r="EU56" i="1"/>
  <c r="ES56" i="1"/>
  <c r="ER56" i="1"/>
  <c r="EP56" i="1"/>
  <c r="EO56" i="1"/>
  <c r="FA56" i="1" s="1"/>
  <c r="EJ56" i="1"/>
  <c r="EI56" i="1"/>
  <c r="EG56" i="1"/>
  <c r="EF56" i="1"/>
  <c r="ED56" i="1"/>
  <c r="EC56" i="1"/>
  <c r="EA56" i="1"/>
  <c r="DZ56" i="1"/>
  <c r="EL56" i="1" s="1"/>
  <c r="DU56" i="1"/>
  <c r="DT56" i="1"/>
  <c r="DR56" i="1"/>
  <c r="DQ56" i="1"/>
  <c r="DO56" i="1"/>
  <c r="DN56" i="1"/>
  <c r="DL56" i="1"/>
  <c r="DK56" i="1"/>
  <c r="DW56" i="1" s="1"/>
  <c r="DF56" i="1"/>
  <c r="DE56" i="1"/>
  <c r="DC56" i="1"/>
  <c r="DB56" i="1"/>
  <c r="CZ56" i="1"/>
  <c r="CY56" i="1"/>
  <c r="CW56" i="1"/>
  <c r="CV56" i="1"/>
  <c r="DH56" i="1" s="1"/>
  <c r="CQ56" i="1"/>
  <c r="CP56" i="1"/>
  <c r="CN56" i="1"/>
  <c r="CM56" i="1"/>
  <c r="CK56" i="1"/>
  <c r="CJ56" i="1"/>
  <c r="CH56" i="1"/>
  <c r="CG56" i="1"/>
  <c r="CS56" i="1" s="1"/>
  <c r="BM56" i="1"/>
  <c r="BL56" i="1"/>
  <c r="BJ56" i="1"/>
  <c r="BI56" i="1"/>
  <c r="BG56" i="1"/>
  <c r="BF56" i="1"/>
  <c r="BD56" i="1"/>
  <c r="BC56" i="1"/>
  <c r="BO56" i="1" s="1"/>
  <c r="AX56" i="1"/>
  <c r="AW56" i="1"/>
  <c r="AU56" i="1"/>
  <c r="AT56" i="1"/>
  <c r="AR56" i="1"/>
  <c r="AQ56" i="1"/>
  <c r="AO56" i="1"/>
  <c r="AN56" i="1"/>
  <c r="AZ56" i="1" s="1"/>
  <c r="T56" i="1"/>
  <c r="S56" i="1"/>
  <c r="Q56" i="1"/>
  <c r="P56" i="1"/>
  <c r="N56" i="1"/>
  <c r="M56" i="1"/>
  <c r="K56" i="1"/>
  <c r="J56" i="1"/>
  <c r="H56" i="1"/>
  <c r="AAB55" i="1"/>
  <c r="AAA55" i="1"/>
  <c r="AAC55" i="1" s="1"/>
  <c r="ZZ55" i="1"/>
  <c r="ZW55" i="1"/>
  <c r="ZG55" i="1"/>
  <c r="AAE55" i="1" s="1"/>
  <c r="ZF55" i="1"/>
  <c r="AAD55" i="1" s="1"/>
  <c r="ZE55" i="1"/>
  <c r="ZB55" i="1"/>
  <c r="YY55" i="1"/>
  <c r="YV55" i="1"/>
  <c r="YR55" i="1"/>
  <c r="YQ55" i="1"/>
  <c r="YS55" i="1" s="1"/>
  <c r="YP55" i="1"/>
  <c r="YM55" i="1"/>
  <c r="YJ55" i="1"/>
  <c r="YG55" i="1"/>
  <c r="YC55" i="1"/>
  <c r="YB55" i="1"/>
  <c r="YD55" i="1" s="1"/>
  <c r="YA55" i="1"/>
  <c r="XX55" i="1"/>
  <c r="XU55" i="1"/>
  <c r="XR55" i="1"/>
  <c r="WY55" i="1"/>
  <c r="WX55" i="1"/>
  <c r="WZ55" i="1" s="1"/>
  <c r="WW55" i="1"/>
  <c r="WT55" i="1"/>
  <c r="WQ55" i="1"/>
  <c r="WN55" i="1"/>
  <c r="VU55" i="1"/>
  <c r="VT55" i="1"/>
  <c r="VV55" i="1" s="1"/>
  <c r="VS55" i="1"/>
  <c r="VP55" i="1"/>
  <c r="VM55" i="1"/>
  <c r="VJ55" i="1"/>
  <c r="UQ55" i="1"/>
  <c r="UP55" i="1"/>
  <c r="UR55" i="1" s="1"/>
  <c r="UO55" i="1"/>
  <c r="UL55" i="1"/>
  <c r="UI55" i="1"/>
  <c r="UF55" i="1"/>
  <c r="UB55" i="1"/>
  <c r="UA55" i="1"/>
  <c r="UC55" i="1" s="1"/>
  <c r="TZ55" i="1"/>
  <c r="TW55" i="1"/>
  <c r="TT55" i="1"/>
  <c r="TQ55" i="1"/>
  <c r="TM55" i="1"/>
  <c r="TL55" i="1"/>
  <c r="TN55" i="1" s="1"/>
  <c r="TK55" i="1"/>
  <c r="TH55" i="1"/>
  <c r="TE55" i="1"/>
  <c r="TB55" i="1"/>
  <c r="SX55" i="1"/>
  <c r="SW55" i="1"/>
  <c r="SY55" i="1" s="1"/>
  <c r="SV55" i="1"/>
  <c r="SS55" i="1"/>
  <c r="SP55" i="1"/>
  <c r="SM55" i="1"/>
  <c r="SJ55" i="1"/>
  <c r="QP55" i="1"/>
  <c r="QO55" i="1"/>
  <c r="QQ55" i="1" s="1"/>
  <c r="QN55" i="1"/>
  <c r="QK55" i="1"/>
  <c r="QH55" i="1"/>
  <c r="QE55" i="1"/>
  <c r="QA55" i="1"/>
  <c r="PZ55" i="1"/>
  <c r="QB55" i="1" s="1"/>
  <c r="PY55" i="1"/>
  <c r="PV55" i="1"/>
  <c r="PS55" i="1"/>
  <c r="PP55" i="1"/>
  <c r="PL55" i="1"/>
  <c r="PK55" i="1"/>
  <c r="PM55" i="1" s="1"/>
  <c r="PJ55" i="1"/>
  <c r="PG55" i="1"/>
  <c r="PD55" i="1"/>
  <c r="PA55" i="1"/>
  <c r="OW55" i="1"/>
  <c r="OV55" i="1"/>
  <c r="OX55" i="1" s="1"/>
  <c r="OU55" i="1"/>
  <c r="OR55" i="1"/>
  <c r="OO55" i="1"/>
  <c r="OL55" i="1"/>
  <c r="OH55" i="1"/>
  <c r="OG55" i="1"/>
  <c r="OI55" i="1" s="1"/>
  <c r="OF55" i="1"/>
  <c r="OC55" i="1"/>
  <c r="NZ55" i="1"/>
  <c r="NW55" i="1"/>
  <c r="NS55" i="1"/>
  <c r="NR55" i="1"/>
  <c r="NT55" i="1" s="1"/>
  <c r="NQ55" i="1"/>
  <c r="NN55" i="1"/>
  <c r="NK55" i="1"/>
  <c r="NH55" i="1"/>
  <c r="ND55" i="1"/>
  <c r="NC55" i="1"/>
  <c r="NE55" i="1" s="1"/>
  <c r="NB55" i="1"/>
  <c r="MY55" i="1"/>
  <c r="MV55" i="1"/>
  <c r="MS55" i="1"/>
  <c r="MO55" i="1"/>
  <c r="MN55" i="1"/>
  <c r="MP55" i="1" s="1"/>
  <c r="MM55" i="1"/>
  <c r="MJ55" i="1"/>
  <c r="MG55" i="1"/>
  <c r="MD55" i="1"/>
  <c r="LZ55" i="1"/>
  <c r="LY55" i="1"/>
  <c r="MA55" i="1" s="1"/>
  <c r="LX55" i="1"/>
  <c r="LU55" i="1"/>
  <c r="LR55" i="1"/>
  <c r="LO55" i="1"/>
  <c r="KV55" i="1"/>
  <c r="KU55" i="1"/>
  <c r="KW55" i="1" s="1"/>
  <c r="KT55" i="1"/>
  <c r="KQ55" i="1"/>
  <c r="KN55" i="1"/>
  <c r="KK55" i="1"/>
  <c r="KH55" i="1"/>
  <c r="JC55" i="1"/>
  <c r="JB55" i="1"/>
  <c r="JD55" i="1" s="1"/>
  <c r="JA55" i="1"/>
  <c r="IX55" i="1"/>
  <c r="IU55" i="1"/>
  <c r="IR55" i="1"/>
  <c r="IN55" i="1"/>
  <c r="IM55" i="1"/>
  <c r="IO55" i="1" s="1"/>
  <c r="IL55" i="1"/>
  <c r="II55" i="1"/>
  <c r="IF55" i="1"/>
  <c r="IC55" i="1"/>
  <c r="HY55" i="1"/>
  <c r="HX55" i="1"/>
  <c r="HZ55" i="1" s="1"/>
  <c r="HW55" i="1"/>
  <c r="HT55" i="1"/>
  <c r="HQ55" i="1"/>
  <c r="HN55" i="1"/>
  <c r="HJ55" i="1"/>
  <c r="HI55" i="1"/>
  <c r="HK55" i="1" s="1"/>
  <c r="HH55" i="1"/>
  <c r="HE55" i="1"/>
  <c r="HB55" i="1"/>
  <c r="GY55" i="1"/>
  <c r="GU55" i="1"/>
  <c r="GT55" i="1"/>
  <c r="GV55" i="1" s="1"/>
  <c r="GS55" i="1"/>
  <c r="GP55" i="1"/>
  <c r="GM55" i="1"/>
  <c r="GJ55" i="1"/>
  <c r="GF55" i="1"/>
  <c r="GE55" i="1"/>
  <c r="GG55" i="1" s="1"/>
  <c r="GD55" i="1"/>
  <c r="GA55" i="1"/>
  <c r="FX55" i="1"/>
  <c r="FU55" i="1"/>
  <c r="FQ55" i="1"/>
  <c r="FP55" i="1"/>
  <c r="FR55" i="1" s="1"/>
  <c r="FO55" i="1"/>
  <c r="FL55" i="1"/>
  <c r="FI55" i="1"/>
  <c r="FF55" i="1"/>
  <c r="FB55" i="1"/>
  <c r="FA55" i="1"/>
  <c r="FC55" i="1" s="1"/>
  <c r="EZ55" i="1"/>
  <c r="EW55" i="1"/>
  <c r="ET55" i="1"/>
  <c r="EQ55" i="1"/>
  <c r="EM55" i="1"/>
  <c r="EL55" i="1"/>
  <c r="EN55" i="1" s="1"/>
  <c r="EK55" i="1"/>
  <c r="EH55" i="1"/>
  <c r="EE55" i="1"/>
  <c r="EB55" i="1"/>
  <c r="DX55" i="1"/>
  <c r="DW55" i="1"/>
  <c r="DY55" i="1" s="1"/>
  <c r="DV55" i="1"/>
  <c r="DS55" i="1"/>
  <c r="DP55" i="1"/>
  <c r="DM55" i="1"/>
  <c r="DI55" i="1"/>
  <c r="DH55" i="1"/>
  <c r="DJ55" i="1" s="1"/>
  <c r="DG55" i="1"/>
  <c r="DD55" i="1"/>
  <c r="DA55" i="1"/>
  <c r="CX55" i="1"/>
  <c r="CT55" i="1"/>
  <c r="CS55" i="1"/>
  <c r="CU55" i="1" s="1"/>
  <c r="CR55" i="1"/>
  <c r="CO55" i="1"/>
  <c r="CL55" i="1"/>
  <c r="CI55" i="1"/>
  <c r="CF55" i="1"/>
  <c r="BP55" i="1"/>
  <c r="BO55" i="1"/>
  <c r="BQ55" i="1" s="1"/>
  <c r="BN55" i="1"/>
  <c r="BK55" i="1"/>
  <c r="BH55" i="1"/>
  <c r="BE55" i="1"/>
  <c r="BA55" i="1"/>
  <c r="AZ55" i="1"/>
  <c r="BB55" i="1" s="1"/>
  <c r="AY55" i="1"/>
  <c r="AV55" i="1"/>
  <c r="AS55" i="1"/>
  <c r="AP55" i="1"/>
  <c r="AM55" i="1"/>
  <c r="W55" i="1"/>
  <c r="V55" i="1"/>
  <c r="X55" i="1" s="1"/>
  <c r="U55" i="1"/>
  <c r="R55" i="1"/>
  <c r="O55" i="1"/>
  <c r="L55" i="1"/>
  <c r="I55" i="1"/>
  <c r="AAB54" i="1"/>
  <c r="AAA54" i="1"/>
  <c r="AAC54" i="1" s="1"/>
  <c r="ZZ54" i="1"/>
  <c r="ZW54" i="1"/>
  <c r="ZG54" i="1"/>
  <c r="AAE54" i="1" s="1"/>
  <c r="ZF54" i="1"/>
  <c r="AAD54" i="1" s="1"/>
  <c r="ZE54" i="1"/>
  <c r="ZB54" i="1"/>
  <c r="YY54" i="1"/>
  <c r="YV54" i="1"/>
  <c r="YR54" i="1"/>
  <c r="YQ54" i="1"/>
  <c r="YS54" i="1" s="1"/>
  <c r="YP54" i="1"/>
  <c r="YM54" i="1"/>
  <c r="YJ54" i="1"/>
  <c r="YG54" i="1"/>
  <c r="YC54" i="1"/>
  <c r="YB54" i="1"/>
  <c r="YD54" i="1" s="1"/>
  <c r="YA54" i="1"/>
  <c r="XX54" i="1"/>
  <c r="XU54" i="1"/>
  <c r="XR54" i="1"/>
  <c r="WY54" i="1"/>
  <c r="WX54" i="1"/>
  <c r="WZ54" i="1" s="1"/>
  <c r="WW54" i="1"/>
  <c r="WT54" i="1"/>
  <c r="WQ54" i="1"/>
  <c r="WN54" i="1"/>
  <c r="VU54" i="1"/>
  <c r="VT54" i="1"/>
  <c r="VV54" i="1" s="1"/>
  <c r="VS54" i="1"/>
  <c r="VP54" i="1"/>
  <c r="VM54" i="1"/>
  <c r="VJ54" i="1"/>
  <c r="UQ54" i="1"/>
  <c r="UP54" i="1"/>
  <c r="UR54" i="1" s="1"/>
  <c r="UO54" i="1"/>
  <c r="UL54" i="1"/>
  <c r="UI54" i="1"/>
  <c r="UF54" i="1"/>
  <c r="UB54" i="1"/>
  <c r="UA54" i="1"/>
  <c r="UC54" i="1" s="1"/>
  <c r="TZ54" i="1"/>
  <c r="TW54" i="1"/>
  <c r="TT54" i="1"/>
  <c r="TQ54" i="1"/>
  <c r="TM54" i="1"/>
  <c r="TL54" i="1"/>
  <c r="TN54" i="1" s="1"/>
  <c r="TK54" i="1"/>
  <c r="TH54" i="1"/>
  <c r="TE54" i="1"/>
  <c r="TB54" i="1"/>
  <c r="SX54" i="1"/>
  <c r="SW54" i="1"/>
  <c r="SY54" i="1" s="1"/>
  <c r="SV54" i="1"/>
  <c r="SS54" i="1"/>
  <c r="SP54" i="1"/>
  <c r="SM54" i="1"/>
  <c r="SJ54" i="1"/>
  <c r="QP54" i="1"/>
  <c r="QO54" i="1"/>
  <c r="QQ54" i="1" s="1"/>
  <c r="QN54" i="1"/>
  <c r="QK54" i="1"/>
  <c r="QH54" i="1"/>
  <c r="QE54" i="1"/>
  <c r="QA54" i="1"/>
  <c r="QB54" i="1" s="1"/>
  <c r="PZ54" i="1"/>
  <c r="PY54" i="1"/>
  <c r="PV54" i="1"/>
  <c r="PS54" i="1"/>
  <c r="PP54" i="1"/>
  <c r="PL54" i="1"/>
  <c r="PM54" i="1" s="1"/>
  <c r="PK54" i="1"/>
  <c r="PJ54" i="1"/>
  <c r="PG54" i="1"/>
  <c r="PD54" i="1"/>
  <c r="PA54" i="1"/>
  <c r="OW54" i="1"/>
  <c r="OV54" i="1"/>
  <c r="OX54" i="1" s="1"/>
  <c r="OU54" i="1"/>
  <c r="OR54" i="1"/>
  <c r="OO54" i="1"/>
  <c r="OL54" i="1"/>
  <c r="OH54" i="1"/>
  <c r="OG54" i="1"/>
  <c r="OI54" i="1" s="1"/>
  <c r="OF54" i="1"/>
  <c r="OC54" i="1"/>
  <c r="NZ54" i="1"/>
  <c r="NW54" i="1"/>
  <c r="NS54" i="1"/>
  <c r="NR54" i="1"/>
  <c r="NT54" i="1" s="1"/>
  <c r="NQ54" i="1"/>
  <c r="NN54" i="1"/>
  <c r="NK54" i="1"/>
  <c r="NH54" i="1"/>
  <c r="ND54" i="1"/>
  <c r="NC54" i="1"/>
  <c r="NE54" i="1" s="1"/>
  <c r="NB54" i="1"/>
  <c r="MY54" i="1"/>
  <c r="MV54" i="1"/>
  <c r="MS54" i="1"/>
  <c r="MO54" i="1"/>
  <c r="MN54" i="1"/>
  <c r="MP54" i="1" s="1"/>
  <c r="MM54" i="1"/>
  <c r="MJ54" i="1"/>
  <c r="MG54" i="1"/>
  <c r="MD54" i="1"/>
  <c r="LZ54" i="1"/>
  <c r="LY54" i="1"/>
  <c r="MA54" i="1" s="1"/>
  <c r="LX54" i="1"/>
  <c r="LU54" i="1"/>
  <c r="LR54" i="1"/>
  <c r="LO54" i="1"/>
  <c r="KV54" i="1"/>
  <c r="KU54" i="1"/>
  <c r="KW54" i="1" s="1"/>
  <c r="KT54" i="1"/>
  <c r="KQ54" i="1"/>
  <c r="KN54" i="1"/>
  <c r="KK54" i="1"/>
  <c r="KH54" i="1"/>
  <c r="JC54" i="1"/>
  <c r="JB54" i="1"/>
  <c r="JD54" i="1" s="1"/>
  <c r="JA54" i="1"/>
  <c r="IX54" i="1"/>
  <c r="IU54" i="1"/>
  <c r="IR54" i="1"/>
  <c r="IN54" i="1"/>
  <c r="IM54" i="1"/>
  <c r="IO54" i="1" s="1"/>
  <c r="IL54" i="1"/>
  <c r="II54" i="1"/>
  <c r="IF54" i="1"/>
  <c r="IC54" i="1"/>
  <c r="HY54" i="1"/>
  <c r="HX54" i="1"/>
  <c r="HZ54" i="1" s="1"/>
  <c r="HW54" i="1"/>
  <c r="HT54" i="1"/>
  <c r="HQ54" i="1"/>
  <c r="HN54" i="1"/>
  <c r="HJ54" i="1"/>
  <c r="HI54" i="1"/>
  <c r="HK54" i="1" s="1"/>
  <c r="HH54" i="1"/>
  <c r="HE54" i="1"/>
  <c r="HB54" i="1"/>
  <c r="GY54" i="1"/>
  <c r="GU54" i="1"/>
  <c r="GT54" i="1"/>
  <c r="GV54" i="1" s="1"/>
  <c r="GS54" i="1"/>
  <c r="GP54" i="1"/>
  <c r="GM54" i="1"/>
  <c r="GJ54" i="1"/>
  <c r="GF54" i="1"/>
  <c r="GE54" i="1"/>
  <c r="GG54" i="1" s="1"/>
  <c r="GD54" i="1"/>
  <c r="GA54" i="1"/>
  <c r="FX54" i="1"/>
  <c r="FU54" i="1"/>
  <c r="FQ54" i="1"/>
  <c r="FP54" i="1"/>
  <c r="FR54" i="1" s="1"/>
  <c r="FO54" i="1"/>
  <c r="FL54" i="1"/>
  <c r="FI54" i="1"/>
  <c r="FF54" i="1"/>
  <c r="FB54" i="1"/>
  <c r="FA54" i="1"/>
  <c r="FC54" i="1" s="1"/>
  <c r="EZ54" i="1"/>
  <c r="EW54" i="1"/>
  <c r="ET54" i="1"/>
  <c r="EQ54" i="1"/>
  <c r="EM54" i="1"/>
  <c r="EL54" i="1"/>
  <c r="EN54" i="1" s="1"/>
  <c r="EK54" i="1"/>
  <c r="EH54" i="1"/>
  <c r="EE54" i="1"/>
  <c r="EB54" i="1"/>
  <c r="DX54" i="1"/>
  <c r="DW54" i="1"/>
  <c r="DY54" i="1" s="1"/>
  <c r="DV54" i="1"/>
  <c r="DS54" i="1"/>
  <c r="DP54" i="1"/>
  <c r="DM54" i="1"/>
  <c r="DI54" i="1"/>
  <c r="DH54" i="1"/>
  <c r="DJ54" i="1" s="1"/>
  <c r="DG54" i="1"/>
  <c r="DD54" i="1"/>
  <c r="DA54" i="1"/>
  <c r="CX54" i="1"/>
  <c r="CT54" i="1"/>
  <c r="CS54" i="1"/>
  <c r="CU54" i="1" s="1"/>
  <c r="CR54" i="1"/>
  <c r="CO54" i="1"/>
  <c r="CL54" i="1"/>
  <c r="CI54" i="1"/>
  <c r="CF54" i="1"/>
  <c r="BP54" i="1"/>
  <c r="BO54" i="1"/>
  <c r="BQ54" i="1" s="1"/>
  <c r="BN54" i="1"/>
  <c r="BK54" i="1"/>
  <c r="BH54" i="1"/>
  <c r="BE54" i="1"/>
  <c r="BA54" i="1"/>
  <c r="AZ54" i="1"/>
  <c r="BB54" i="1" s="1"/>
  <c r="AY54" i="1"/>
  <c r="AV54" i="1"/>
  <c r="AS54" i="1"/>
  <c r="AP54" i="1"/>
  <c r="AM54" i="1"/>
  <c r="W54" i="1"/>
  <c r="V54" i="1"/>
  <c r="X54" i="1" s="1"/>
  <c r="U54" i="1"/>
  <c r="R54" i="1"/>
  <c r="O54" i="1"/>
  <c r="L54" i="1"/>
  <c r="I54" i="1"/>
  <c r="AAB53" i="1"/>
  <c r="AAA53" i="1"/>
  <c r="AAC53" i="1" s="1"/>
  <c r="ZZ53" i="1"/>
  <c r="ZW53" i="1"/>
  <c r="ZG53" i="1"/>
  <c r="ZF53" i="1"/>
  <c r="AAD53" i="1" s="1"/>
  <c r="ZE53" i="1"/>
  <c r="ZB53" i="1"/>
  <c r="YY53" i="1"/>
  <c r="YV53" i="1"/>
  <c r="YR53" i="1"/>
  <c r="YQ53" i="1"/>
  <c r="YS53" i="1" s="1"/>
  <c r="YP53" i="1"/>
  <c r="YM53" i="1"/>
  <c r="YJ53" i="1"/>
  <c r="YG53" i="1"/>
  <c r="YC53" i="1"/>
  <c r="YB53" i="1"/>
  <c r="YD53" i="1" s="1"/>
  <c r="YA53" i="1"/>
  <c r="XX53" i="1"/>
  <c r="XU53" i="1"/>
  <c r="XR53" i="1"/>
  <c r="WY53" i="1"/>
  <c r="WX53" i="1"/>
  <c r="WZ53" i="1" s="1"/>
  <c r="WW53" i="1"/>
  <c r="WT53" i="1"/>
  <c r="WQ53" i="1"/>
  <c r="WN53" i="1"/>
  <c r="VU53" i="1"/>
  <c r="VT53" i="1"/>
  <c r="VV53" i="1" s="1"/>
  <c r="VS53" i="1"/>
  <c r="VP53" i="1"/>
  <c r="VM53" i="1"/>
  <c r="VJ53" i="1"/>
  <c r="UQ53" i="1"/>
  <c r="UP53" i="1"/>
  <c r="UR53" i="1" s="1"/>
  <c r="UO53" i="1"/>
  <c r="UL53" i="1"/>
  <c r="UI53" i="1"/>
  <c r="UF53" i="1"/>
  <c r="UB53" i="1"/>
  <c r="UA53" i="1"/>
  <c r="UC53" i="1" s="1"/>
  <c r="TZ53" i="1"/>
  <c r="TW53" i="1"/>
  <c r="TT53" i="1"/>
  <c r="TQ53" i="1"/>
  <c r="TM53" i="1"/>
  <c r="TL53" i="1"/>
  <c r="TN53" i="1" s="1"/>
  <c r="TK53" i="1"/>
  <c r="TH53" i="1"/>
  <c r="TE53" i="1"/>
  <c r="TB53" i="1"/>
  <c r="SX53" i="1"/>
  <c r="SW53" i="1"/>
  <c r="SY53" i="1" s="1"/>
  <c r="SV53" i="1"/>
  <c r="SS53" i="1"/>
  <c r="SP53" i="1"/>
  <c r="SM53" i="1"/>
  <c r="SJ53" i="1"/>
  <c r="QP53" i="1"/>
  <c r="QO53" i="1"/>
  <c r="QQ53" i="1" s="1"/>
  <c r="QN53" i="1"/>
  <c r="QK53" i="1"/>
  <c r="QH53" i="1"/>
  <c r="QE53" i="1"/>
  <c r="QA53" i="1"/>
  <c r="PZ53" i="1"/>
  <c r="QB53" i="1" s="1"/>
  <c r="PY53" i="1"/>
  <c r="PV53" i="1"/>
  <c r="PS53" i="1"/>
  <c r="PP53" i="1"/>
  <c r="PL53" i="1"/>
  <c r="PK53" i="1"/>
  <c r="PM53" i="1" s="1"/>
  <c r="PJ53" i="1"/>
  <c r="PG53" i="1"/>
  <c r="PD53" i="1"/>
  <c r="PA53" i="1"/>
  <c r="OW53" i="1"/>
  <c r="OV53" i="1"/>
  <c r="OX53" i="1" s="1"/>
  <c r="OU53" i="1"/>
  <c r="OR53" i="1"/>
  <c r="OO53" i="1"/>
  <c r="OL53" i="1"/>
  <c r="OH53" i="1"/>
  <c r="OG53" i="1"/>
  <c r="OI53" i="1" s="1"/>
  <c r="OF53" i="1"/>
  <c r="OC53" i="1"/>
  <c r="NZ53" i="1"/>
  <c r="NW53" i="1"/>
  <c r="NS53" i="1"/>
  <c r="NR53" i="1"/>
  <c r="NT53" i="1" s="1"/>
  <c r="NQ53" i="1"/>
  <c r="NN53" i="1"/>
  <c r="NK53" i="1"/>
  <c r="NH53" i="1"/>
  <c r="NE53" i="1"/>
  <c r="ND53" i="1"/>
  <c r="NC53" i="1"/>
  <c r="NB53" i="1"/>
  <c r="MY53" i="1"/>
  <c r="MV53" i="1"/>
  <c r="MS53" i="1"/>
  <c r="MO53" i="1"/>
  <c r="MN53" i="1"/>
  <c r="MP53" i="1" s="1"/>
  <c r="MM53" i="1"/>
  <c r="MJ53" i="1"/>
  <c r="MG53" i="1"/>
  <c r="MD53" i="1"/>
  <c r="LY53" i="1"/>
  <c r="LX53" i="1"/>
  <c r="LT53" i="1"/>
  <c r="LR53" i="1"/>
  <c r="LO53" i="1"/>
  <c r="KV53" i="1"/>
  <c r="KU53" i="1"/>
  <c r="KW53" i="1" s="1"/>
  <c r="KT53" i="1"/>
  <c r="KQ53" i="1"/>
  <c r="KN53" i="1"/>
  <c r="KK53" i="1"/>
  <c r="KH53" i="1"/>
  <c r="JC53" i="1"/>
  <c r="JB53" i="1"/>
  <c r="JD53" i="1" s="1"/>
  <c r="JA53" i="1"/>
  <c r="IX53" i="1"/>
  <c r="IU53" i="1"/>
  <c r="IR53" i="1"/>
  <c r="IN53" i="1"/>
  <c r="IM53" i="1"/>
  <c r="IO53" i="1" s="1"/>
  <c r="IL53" i="1"/>
  <c r="II53" i="1"/>
  <c r="IF53" i="1"/>
  <c r="IC53" i="1"/>
  <c r="HY53" i="1"/>
  <c r="HX53" i="1"/>
  <c r="HZ53" i="1" s="1"/>
  <c r="HW53" i="1"/>
  <c r="HT53" i="1"/>
  <c r="HQ53" i="1"/>
  <c r="HN53" i="1"/>
  <c r="HJ53" i="1"/>
  <c r="HI53" i="1"/>
  <c r="HK53" i="1" s="1"/>
  <c r="HH53" i="1"/>
  <c r="HE53" i="1"/>
  <c r="HB53" i="1"/>
  <c r="GY53" i="1"/>
  <c r="GU53" i="1"/>
  <c r="GT53" i="1"/>
  <c r="GV53" i="1" s="1"/>
  <c r="GS53" i="1"/>
  <c r="GP53" i="1"/>
  <c r="GM53" i="1"/>
  <c r="GJ53" i="1"/>
  <c r="GF53" i="1"/>
  <c r="GE53" i="1"/>
  <c r="GG53" i="1" s="1"/>
  <c r="GD53" i="1"/>
  <c r="GA53" i="1"/>
  <c r="FX53" i="1"/>
  <c r="FU53" i="1"/>
  <c r="FQ53" i="1"/>
  <c r="FP53" i="1"/>
  <c r="FR53" i="1" s="1"/>
  <c r="FO53" i="1"/>
  <c r="FL53" i="1"/>
  <c r="FI53" i="1"/>
  <c r="FF53" i="1"/>
  <c r="FB53" i="1"/>
  <c r="FA53" i="1"/>
  <c r="FC53" i="1" s="1"/>
  <c r="EZ53" i="1"/>
  <c r="EW53" i="1"/>
  <c r="ET53" i="1"/>
  <c r="EQ53" i="1"/>
  <c r="EN53" i="1"/>
  <c r="EM53" i="1"/>
  <c r="EL53" i="1"/>
  <c r="EK53" i="1"/>
  <c r="EH53" i="1"/>
  <c r="EE53" i="1"/>
  <c r="EB53" i="1"/>
  <c r="DX53" i="1"/>
  <c r="DW53" i="1"/>
  <c r="DY53" i="1" s="1"/>
  <c r="DV53" i="1"/>
  <c r="DS53" i="1"/>
  <c r="DP53" i="1"/>
  <c r="DM53" i="1"/>
  <c r="DI53" i="1"/>
  <c r="DH53" i="1"/>
  <c r="DJ53" i="1" s="1"/>
  <c r="DG53" i="1"/>
  <c r="DD53" i="1"/>
  <c r="DA53" i="1"/>
  <c r="CX53" i="1"/>
  <c r="CT53" i="1"/>
  <c r="CS53" i="1"/>
  <c r="CU53" i="1" s="1"/>
  <c r="CR53" i="1"/>
  <c r="CO53" i="1"/>
  <c r="CL53" i="1"/>
  <c r="CI53" i="1"/>
  <c r="CF53" i="1"/>
  <c r="BP53" i="1"/>
  <c r="BO53" i="1"/>
  <c r="BQ53" i="1" s="1"/>
  <c r="BN53" i="1"/>
  <c r="BK53" i="1"/>
  <c r="BH53" i="1"/>
  <c r="BE53" i="1"/>
  <c r="BA53" i="1"/>
  <c r="AZ53" i="1"/>
  <c r="BB53" i="1" s="1"/>
  <c r="AY53" i="1"/>
  <c r="AV53" i="1"/>
  <c r="AS53" i="1"/>
  <c r="AP53" i="1"/>
  <c r="AM53" i="1"/>
  <c r="W53" i="1"/>
  <c r="V53" i="1"/>
  <c r="X53" i="1" s="1"/>
  <c r="U53" i="1"/>
  <c r="R53" i="1"/>
  <c r="O53" i="1"/>
  <c r="L53" i="1"/>
  <c r="I53" i="1"/>
  <c r="AAB52" i="1"/>
  <c r="AAA52" i="1"/>
  <c r="AAC52" i="1" s="1"/>
  <c r="ZZ52" i="1"/>
  <c r="ZW52" i="1"/>
  <c r="ZG52" i="1"/>
  <c r="AAE52" i="1" s="1"/>
  <c r="ZF52" i="1"/>
  <c r="AAD52" i="1" s="1"/>
  <c r="ZE52" i="1"/>
  <c r="ZB52" i="1"/>
  <c r="YY52" i="1"/>
  <c r="YV52" i="1"/>
  <c r="YR52" i="1"/>
  <c r="YQ52" i="1"/>
  <c r="YS52" i="1" s="1"/>
  <c r="YP52" i="1"/>
  <c r="YM52" i="1"/>
  <c r="YJ52" i="1"/>
  <c r="YG52" i="1"/>
  <c r="YC52" i="1"/>
  <c r="YB52" i="1"/>
  <c r="YD52" i="1" s="1"/>
  <c r="YA52" i="1"/>
  <c r="XX52" i="1"/>
  <c r="XU52" i="1"/>
  <c r="XR52" i="1"/>
  <c r="WY52" i="1"/>
  <c r="WX52" i="1"/>
  <c r="WZ52" i="1" s="1"/>
  <c r="WW52" i="1"/>
  <c r="WT52" i="1"/>
  <c r="WQ52" i="1"/>
  <c r="WN52" i="1"/>
  <c r="VU52" i="1"/>
  <c r="VT52" i="1"/>
  <c r="VV52" i="1" s="1"/>
  <c r="VS52" i="1"/>
  <c r="VP52" i="1"/>
  <c r="VM52" i="1"/>
  <c r="VJ52" i="1"/>
  <c r="UQ52" i="1"/>
  <c r="UP52" i="1"/>
  <c r="UR52" i="1" s="1"/>
  <c r="UO52" i="1"/>
  <c r="UL52" i="1"/>
  <c r="UI52" i="1"/>
  <c r="UF52" i="1"/>
  <c r="UB52" i="1"/>
  <c r="UA52" i="1"/>
  <c r="UC52" i="1" s="1"/>
  <c r="TZ52" i="1"/>
  <c r="TW52" i="1"/>
  <c r="TT52" i="1"/>
  <c r="TQ52" i="1"/>
  <c r="TM52" i="1"/>
  <c r="TL52" i="1"/>
  <c r="TN52" i="1" s="1"/>
  <c r="TK52" i="1"/>
  <c r="TH52" i="1"/>
  <c r="TE52" i="1"/>
  <c r="TB52" i="1"/>
  <c r="SX52" i="1"/>
  <c r="SW52" i="1"/>
  <c r="SY52" i="1" s="1"/>
  <c r="SV52" i="1"/>
  <c r="SS52" i="1"/>
  <c r="SP52" i="1"/>
  <c r="SM52" i="1"/>
  <c r="SI52" i="1"/>
  <c r="SH52" i="1"/>
  <c r="SJ52" i="1" s="1"/>
  <c r="SG52" i="1"/>
  <c r="SD52" i="1"/>
  <c r="SA52" i="1"/>
  <c r="RX52" i="1"/>
  <c r="RU52" i="1"/>
  <c r="RE52" i="1"/>
  <c r="RD52" i="1"/>
  <c r="RC52" i="1"/>
  <c r="QZ52" i="1"/>
  <c r="QW52" i="1"/>
  <c r="QT52" i="1"/>
  <c r="QP52" i="1"/>
  <c r="QO52" i="1"/>
  <c r="QQ52" i="1" s="1"/>
  <c r="QN52" i="1"/>
  <c r="QK52" i="1"/>
  <c r="QH52" i="1"/>
  <c r="QE52" i="1"/>
  <c r="QA52" i="1"/>
  <c r="PZ52" i="1"/>
  <c r="QB52" i="1" s="1"/>
  <c r="PY52" i="1"/>
  <c r="PV52" i="1"/>
  <c r="PS52" i="1"/>
  <c r="PP52" i="1"/>
  <c r="PL52" i="1"/>
  <c r="PK52" i="1"/>
  <c r="PM52" i="1" s="1"/>
  <c r="PJ52" i="1"/>
  <c r="PG52" i="1"/>
  <c r="PD52" i="1"/>
  <c r="PA52" i="1"/>
  <c r="OW52" i="1"/>
  <c r="OV52" i="1"/>
  <c r="OX52" i="1" s="1"/>
  <c r="OU52" i="1"/>
  <c r="OR52" i="1"/>
  <c r="OO52" i="1"/>
  <c r="OL52" i="1"/>
  <c r="OH52" i="1"/>
  <c r="OG52" i="1"/>
  <c r="OI52" i="1" s="1"/>
  <c r="OF52" i="1"/>
  <c r="OC52" i="1"/>
  <c r="NZ52" i="1"/>
  <c r="NW52" i="1"/>
  <c r="NS52" i="1"/>
  <c r="NR52" i="1"/>
  <c r="NT52" i="1" s="1"/>
  <c r="NQ52" i="1"/>
  <c r="NN52" i="1"/>
  <c r="NK52" i="1"/>
  <c r="NH52" i="1"/>
  <c r="ND52" i="1"/>
  <c r="NC52" i="1"/>
  <c r="NE52" i="1" s="1"/>
  <c r="NB52" i="1"/>
  <c r="MY52" i="1"/>
  <c r="MV52" i="1"/>
  <c r="MS52" i="1"/>
  <c r="MO52" i="1"/>
  <c r="MN52" i="1"/>
  <c r="MP52" i="1" s="1"/>
  <c r="MM52" i="1"/>
  <c r="MJ52" i="1"/>
  <c r="MG52" i="1"/>
  <c r="MD52" i="1"/>
  <c r="LZ52" i="1"/>
  <c r="LY52" i="1"/>
  <c r="MA52" i="1" s="1"/>
  <c r="LX52" i="1"/>
  <c r="LU52" i="1"/>
  <c r="LR52" i="1"/>
  <c r="LO52" i="1"/>
  <c r="KV52" i="1"/>
  <c r="KU52" i="1"/>
  <c r="KW52" i="1" s="1"/>
  <c r="KT52" i="1"/>
  <c r="KQ52" i="1"/>
  <c r="KN52" i="1"/>
  <c r="KK52" i="1"/>
  <c r="KH52" i="1"/>
  <c r="JC52" i="1"/>
  <c r="JB52" i="1"/>
  <c r="JD52" i="1" s="1"/>
  <c r="JA52" i="1"/>
  <c r="IX52" i="1"/>
  <c r="IU52" i="1"/>
  <c r="IR52" i="1"/>
  <c r="IN52" i="1"/>
  <c r="IM52" i="1"/>
  <c r="IO52" i="1" s="1"/>
  <c r="IL52" i="1"/>
  <c r="II52" i="1"/>
  <c r="IF52" i="1"/>
  <c r="IC52" i="1"/>
  <c r="HY52" i="1"/>
  <c r="HX52" i="1"/>
  <c r="HZ52" i="1" s="1"/>
  <c r="HW52" i="1"/>
  <c r="HT52" i="1"/>
  <c r="HQ52" i="1"/>
  <c r="HN52" i="1"/>
  <c r="HJ52" i="1"/>
  <c r="HI52" i="1"/>
  <c r="HK52" i="1" s="1"/>
  <c r="HH52" i="1"/>
  <c r="HE52" i="1"/>
  <c r="HB52" i="1"/>
  <c r="GY52" i="1"/>
  <c r="GV52" i="1"/>
  <c r="GU52" i="1"/>
  <c r="GT52" i="1"/>
  <c r="GS52" i="1"/>
  <c r="GP52" i="1"/>
  <c r="GM52" i="1"/>
  <c r="GJ52" i="1"/>
  <c r="GF52" i="1"/>
  <c r="GE52" i="1"/>
  <c r="GG52" i="1" s="1"/>
  <c r="GD52" i="1"/>
  <c r="GA52" i="1"/>
  <c r="FX52" i="1"/>
  <c r="FU52" i="1"/>
  <c r="FQ52" i="1"/>
  <c r="FP52" i="1"/>
  <c r="FR52" i="1" s="1"/>
  <c r="FO52" i="1"/>
  <c r="FL52" i="1"/>
  <c r="FI52" i="1"/>
  <c r="FF52" i="1"/>
  <c r="FB52" i="1"/>
  <c r="FA52" i="1"/>
  <c r="FC52" i="1" s="1"/>
  <c r="EZ52" i="1"/>
  <c r="EW52" i="1"/>
  <c r="ET52" i="1"/>
  <c r="EQ52" i="1"/>
  <c r="EM52" i="1"/>
  <c r="EL52" i="1"/>
  <c r="EN52" i="1" s="1"/>
  <c r="EK52" i="1"/>
  <c r="EH52" i="1"/>
  <c r="EE52" i="1"/>
  <c r="EB52" i="1"/>
  <c r="DX52" i="1"/>
  <c r="DW52" i="1"/>
  <c r="DY52" i="1" s="1"/>
  <c r="DV52" i="1"/>
  <c r="DS52" i="1"/>
  <c r="DP52" i="1"/>
  <c r="DM52" i="1"/>
  <c r="DI52" i="1"/>
  <c r="DH52" i="1"/>
  <c r="DJ52" i="1" s="1"/>
  <c r="DG52" i="1"/>
  <c r="DD52" i="1"/>
  <c r="DA52" i="1"/>
  <c r="CX52" i="1"/>
  <c r="CT52" i="1"/>
  <c r="CS52" i="1"/>
  <c r="CU52" i="1" s="1"/>
  <c r="CR52" i="1"/>
  <c r="CO52" i="1"/>
  <c r="CL52" i="1"/>
  <c r="CI52" i="1"/>
  <c r="CF52" i="1"/>
  <c r="BP52" i="1"/>
  <c r="BO52" i="1"/>
  <c r="BQ52" i="1" s="1"/>
  <c r="BN52" i="1"/>
  <c r="BK52" i="1"/>
  <c r="BH52" i="1"/>
  <c r="BE52" i="1"/>
  <c r="BA52" i="1"/>
  <c r="AZ52" i="1"/>
  <c r="BB52" i="1" s="1"/>
  <c r="AY52" i="1"/>
  <c r="AV52" i="1"/>
  <c r="AS52" i="1"/>
  <c r="AP52" i="1"/>
  <c r="AM52" i="1"/>
  <c r="W52" i="1"/>
  <c r="V52" i="1"/>
  <c r="X52" i="1" s="1"/>
  <c r="U52" i="1"/>
  <c r="R52" i="1"/>
  <c r="O52" i="1"/>
  <c r="L52" i="1"/>
  <c r="I52" i="1"/>
  <c r="AAB51" i="1"/>
  <c r="AAA51" i="1"/>
  <c r="AAC51" i="1" s="1"/>
  <c r="ZZ51" i="1"/>
  <c r="ZW51" i="1"/>
  <c r="ZG51" i="1"/>
  <c r="AAE51" i="1" s="1"/>
  <c r="ZF51" i="1"/>
  <c r="ZE51" i="1"/>
  <c r="ZB51" i="1"/>
  <c r="YY51" i="1"/>
  <c r="YV51" i="1"/>
  <c r="YR51" i="1"/>
  <c r="YQ51" i="1"/>
  <c r="YS51" i="1" s="1"/>
  <c r="YP51" i="1"/>
  <c r="YM51" i="1"/>
  <c r="YJ51" i="1"/>
  <c r="YG51" i="1"/>
  <c r="YC51" i="1"/>
  <c r="YB51" i="1"/>
  <c r="YD51" i="1" s="1"/>
  <c r="YA51" i="1"/>
  <c r="XX51" i="1"/>
  <c r="XU51" i="1"/>
  <c r="XR51" i="1"/>
  <c r="XN51" i="1"/>
  <c r="XM51" i="1"/>
  <c r="XO51" i="1" s="1"/>
  <c r="XL51" i="1"/>
  <c r="XI51" i="1"/>
  <c r="XF51" i="1"/>
  <c r="XC51" i="1"/>
  <c r="WZ51" i="1"/>
  <c r="WY51" i="1"/>
  <c r="WX51" i="1"/>
  <c r="WW51" i="1"/>
  <c r="WT51" i="1"/>
  <c r="WQ51" i="1"/>
  <c r="WN51" i="1"/>
  <c r="VU51" i="1"/>
  <c r="VT51" i="1"/>
  <c r="VV51" i="1" s="1"/>
  <c r="VS51" i="1"/>
  <c r="VP51" i="1"/>
  <c r="VM51" i="1"/>
  <c r="VJ51" i="1"/>
  <c r="UQ51" i="1"/>
  <c r="UP51" i="1"/>
  <c r="UR51" i="1" s="1"/>
  <c r="UO51" i="1"/>
  <c r="UL51" i="1"/>
  <c r="UI51" i="1"/>
  <c r="UF51" i="1"/>
  <c r="UB51" i="1"/>
  <c r="UA51" i="1"/>
  <c r="UC51" i="1" s="1"/>
  <c r="TZ51" i="1"/>
  <c r="TW51" i="1"/>
  <c r="TT51" i="1"/>
  <c r="TQ51" i="1"/>
  <c r="TM51" i="1"/>
  <c r="TL51" i="1"/>
  <c r="TN51" i="1" s="1"/>
  <c r="TK51" i="1"/>
  <c r="TH51" i="1"/>
  <c r="TE51" i="1"/>
  <c r="TB51" i="1"/>
  <c r="SX51" i="1"/>
  <c r="SW51" i="1"/>
  <c r="SY51" i="1" s="1"/>
  <c r="SV51" i="1"/>
  <c r="SS51" i="1"/>
  <c r="SP51" i="1"/>
  <c r="SM51" i="1"/>
  <c r="SI51" i="1"/>
  <c r="SH51" i="1"/>
  <c r="SJ51" i="1" s="1"/>
  <c r="SG51" i="1"/>
  <c r="SD51" i="1"/>
  <c r="SA51" i="1"/>
  <c r="RX51" i="1"/>
  <c r="RU51" i="1"/>
  <c r="RE51" i="1"/>
  <c r="RD51" i="1"/>
  <c r="RC51" i="1"/>
  <c r="QZ51" i="1"/>
  <c r="QW51" i="1"/>
  <c r="QT51" i="1"/>
  <c r="QP51" i="1"/>
  <c r="QO51" i="1"/>
  <c r="QQ51" i="1" s="1"/>
  <c r="QN51" i="1"/>
  <c r="QK51" i="1"/>
  <c r="QH51" i="1"/>
  <c r="QE51" i="1"/>
  <c r="QA51" i="1"/>
  <c r="PZ51" i="1"/>
  <c r="QB51" i="1" s="1"/>
  <c r="PY51" i="1"/>
  <c r="PV51" i="1"/>
  <c r="PS51" i="1"/>
  <c r="PP51" i="1"/>
  <c r="PL51" i="1"/>
  <c r="PK51" i="1"/>
  <c r="PM51" i="1" s="1"/>
  <c r="PJ51" i="1"/>
  <c r="PG51" i="1"/>
  <c r="PD51" i="1"/>
  <c r="PA51" i="1"/>
  <c r="OW51" i="1"/>
  <c r="OV51" i="1"/>
  <c r="OX51" i="1" s="1"/>
  <c r="OU51" i="1"/>
  <c r="OR51" i="1"/>
  <c r="OO51" i="1"/>
  <c r="OL51" i="1"/>
  <c r="OH51" i="1"/>
  <c r="OG51" i="1"/>
  <c r="OI51" i="1" s="1"/>
  <c r="OF51" i="1"/>
  <c r="OC51" i="1"/>
  <c r="NZ51" i="1"/>
  <c r="NW51" i="1"/>
  <c r="NS51" i="1"/>
  <c r="NR51" i="1"/>
  <c r="NT51" i="1" s="1"/>
  <c r="NQ51" i="1"/>
  <c r="NN51" i="1"/>
  <c r="NK51" i="1"/>
  <c r="NH51" i="1"/>
  <c r="ND51" i="1"/>
  <c r="NC51" i="1"/>
  <c r="NE51" i="1" s="1"/>
  <c r="NB51" i="1"/>
  <c r="MY51" i="1"/>
  <c r="MV51" i="1"/>
  <c r="MS51" i="1"/>
  <c r="MO51" i="1"/>
  <c r="MN51" i="1"/>
  <c r="MP51" i="1" s="1"/>
  <c r="MM51" i="1"/>
  <c r="MJ51" i="1"/>
  <c r="MG51" i="1"/>
  <c r="MD51" i="1"/>
  <c r="LZ51" i="1"/>
  <c r="LY51" i="1"/>
  <c r="MA51" i="1" s="1"/>
  <c r="LX51" i="1"/>
  <c r="LU51" i="1"/>
  <c r="LR51" i="1"/>
  <c r="LO51" i="1"/>
  <c r="KV51" i="1"/>
  <c r="KU51" i="1"/>
  <c r="KW51" i="1" s="1"/>
  <c r="KT51" i="1"/>
  <c r="KQ51" i="1"/>
  <c r="KN51" i="1"/>
  <c r="KK51" i="1"/>
  <c r="KH51" i="1"/>
  <c r="JC51" i="1"/>
  <c r="JB51" i="1"/>
  <c r="JD51" i="1" s="1"/>
  <c r="JA51" i="1"/>
  <c r="IX51" i="1"/>
  <c r="IU51" i="1"/>
  <c r="IR51" i="1"/>
  <c r="IN51" i="1"/>
  <c r="IL51" i="1"/>
  <c r="II51" i="1"/>
  <c r="IF51" i="1"/>
  <c r="IA51" i="1"/>
  <c r="HY51" i="1"/>
  <c r="HX51" i="1"/>
  <c r="HZ51" i="1" s="1"/>
  <c r="HW51" i="1"/>
  <c r="HT51" i="1"/>
  <c r="HQ51" i="1"/>
  <c r="HN51" i="1"/>
  <c r="HJ51" i="1"/>
  <c r="HI51" i="1"/>
  <c r="HK51" i="1" s="1"/>
  <c r="HH51" i="1"/>
  <c r="HE51" i="1"/>
  <c r="HB51" i="1"/>
  <c r="GY51" i="1"/>
  <c r="GV51" i="1"/>
  <c r="GU51" i="1"/>
  <c r="GT51" i="1"/>
  <c r="GS51" i="1"/>
  <c r="GP51" i="1"/>
  <c r="GM51" i="1"/>
  <c r="GJ51" i="1"/>
  <c r="GF51" i="1"/>
  <c r="GE51" i="1"/>
  <c r="GG51" i="1" s="1"/>
  <c r="GD51" i="1"/>
  <c r="GA51" i="1"/>
  <c r="FX51" i="1"/>
  <c r="FU51" i="1"/>
  <c r="FQ51" i="1"/>
  <c r="FP51" i="1"/>
  <c r="FR51" i="1" s="1"/>
  <c r="FO51" i="1"/>
  <c r="FL51" i="1"/>
  <c r="FI51" i="1"/>
  <c r="FF51" i="1"/>
  <c r="FB51" i="1"/>
  <c r="FA51" i="1"/>
  <c r="FC51" i="1" s="1"/>
  <c r="EZ51" i="1"/>
  <c r="EW51" i="1"/>
  <c r="ET51" i="1"/>
  <c r="EQ51" i="1"/>
  <c r="EM51" i="1"/>
  <c r="EL51" i="1"/>
  <c r="EN51" i="1" s="1"/>
  <c r="EK51" i="1"/>
  <c r="EH51" i="1"/>
  <c r="EE51" i="1"/>
  <c r="EB51" i="1"/>
  <c r="DX51" i="1"/>
  <c r="DW51" i="1"/>
  <c r="DY51" i="1" s="1"/>
  <c r="DV51" i="1"/>
  <c r="DS51" i="1"/>
  <c r="DP51" i="1"/>
  <c r="DM51" i="1"/>
  <c r="DI51" i="1"/>
  <c r="DH51" i="1"/>
  <c r="DJ51" i="1" s="1"/>
  <c r="DG51" i="1"/>
  <c r="DD51" i="1"/>
  <c r="DA51" i="1"/>
  <c r="CX51" i="1"/>
  <c r="CT51" i="1"/>
  <c r="CS51" i="1"/>
  <c r="CU51" i="1" s="1"/>
  <c r="CR51" i="1"/>
  <c r="CO51" i="1"/>
  <c r="CL51" i="1"/>
  <c r="CI51" i="1"/>
  <c r="CF51" i="1"/>
  <c r="BP51" i="1"/>
  <c r="BO51" i="1"/>
  <c r="BQ51" i="1" s="1"/>
  <c r="BN51" i="1"/>
  <c r="BK51" i="1"/>
  <c r="BH51" i="1"/>
  <c r="BE51" i="1"/>
  <c r="BA51" i="1"/>
  <c r="AZ51" i="1"/>
  <c r="BB51" i="1" s="1"/>
  <c r="AY51" i="1"/>
  <c r="AV51" i="1"/>
  <c r="AS51" i="1"/>
  <c r="AP51" i="1"/>
  <c r="AM51" i="1"/>
  <c r="W51" i="1"/>
  <c r="U51" i="1"/>
  <c r="R51" i="1"/>
  <c r="O51" i="1"/>
  <c r="L51" i="1"/>
  <c r="G51" i="1"/>
  <c r="AAB50" i="1"/>
  <c r="AAA50" i="1"/>
  <c r="AAC50" i="1" s="1"/>
  <c r="ZZ50" i="1"/>
  <c r="ZW50" i="1"/>
  <c r="ZG50" i="1"/>
  <c r="ZF50" i="1"/>
  <c r="ZE50" i="1"/>
  <c r="ZB50" i="1"/>
  <c r="YY50" i="1"/>
  <c r="YV50" i="1"/>
  <c r="YR50" i="1"/>
  <c r="YQ50" i="1"/>
  <c r="YS50" i="1" s="1"/>
  <c r="YP50" i="1"/>
  <c r="YM50" i="1"/>
  <c r="YJ50" i="1"/>
  <c r="YG50" i="1"/>
  <c r="YC50" i="1"/>
  <c r="YB50" i="1"/>
  <c r="YD50" i="1" s="1"/>
  <c r="YA50" i="1"/>
  <c r="XX50" i="1"/>
  <c r="XU50" i="1"/>
  <c r="XR50" i="1"/>
  <c r="XN50" i="1"/>
  <c r="XM50" i="1"/>
  <c r="XO50" i="1" s="1"/>
  <c r="XL50" i="1"/>
  <c r="XI50" i="1"/>
  <c r="XF50" i="1"/>
  <c r="XC50" i="1"/>
  <c r="WY50" i="1"/>
  <c r="WX50" i="1"/>
  <c r="WZ50" i="1" s="1"/>
  <c r="WW50" i="1"/>
  <c r="WT50" i="1"/>
  <c r="WQ50" i="1"/>
  <c r="WN50" i="1"/>
  <c r="VU50" i="1"/>
  <c r="VT50" i="1"/>
  <c r="VV50" i="1" s="1"/>
  <c r="VS50" i="1"/>
  <c r="VP50" i="1"/>
  <c r="VM50" i="1"/>
  <c r="VJ50" i="1"/>
  <c r="UQ50" i="1"/>
  <c r="UP50" i="1"/>
  <c r="UR50" i="1" s="1"/>
  <c r="UO50" i="1"/>
  <c r="UL50" i="1"/>
  <c r="UI50" i="1"/>
  <c r="UF50" i="1"/>
  <c r="UB50" i="1"/>
  <c r="UA50" i="1"/>
  <c r="UC50" i="1" s="1"/>
  <c r="TZ50" i="1"/>
  <c r="TW50" i="1"/>
  <c r="TT50" i="1"/>
  <c r="TQ50" i="1"/>
  <c r="TM50" i="1"/>
  <c r="TL50" i="1"/>
  <c r="TN50" i="1" s="1"/>
  <c r="TK50" i="1"/>
  <c r="TH50" i="1"/>
  <c r="TE50" i="1"/>
  <c r="TB50" i="1"/>
  <c r="SX50" i="1"/>
  <c r="SW50" i="1"/>
  <c r="SY50" i="1" s="1"/>
  <c r="SV50" i="1"/>
  <c r="SS50" i="1"/>
  <c r="SP50" i="1"/>
  <c r="SM50" i="1"/>
  <c r="SI50" i="1"/>
  <c r="SH50" i="1"/>
  <c r="SJ50" i="1" s="1"/>
  <c r="SG50" i="1"/>
  <c r="SD50" i="1"/>
  <c r="SA50" i="1"/>
  <c r="RX50" i="1"/>
  <c r="RU50" i="1"/>
  <c r="RE50" i="1"/>
  <c r="RD50" i="1"/>
  <c r="RC50" i="1"/>
  <c r="QZ50" i="1"/>
  <c r="QW50" i="1"/>
  <c r="QT50" i="1"/>
  <c r="QP50" i="1"/>
  <c r="QO50" i="1"/>
  <c r="QQ50" i="1" s="1"/>
  <c r="QN50" i="1"/>
  <c r="QK50" i="1"/>
  <c r="QH50" i="1"/>
  <c r="QE50" i="1"/>
  <c r="QA50" i="1"/>
  <c r="PZ50" i="1"/>
  <c r="QB50" i="1" s="1"/>
  <c r="PY50" i="1"/>
  <c r="PV50" i="1"/>
  <c r="PS50" i="1"/>
  <c r="PP50" i="1"/>
  <c r="PL50" i="1"/>
  <c r="PK50" i="1"/>
  <c r="PM50" i="1" s="1"/>
  <c r="PJ50" i="1"/>
  <c r="PG50" i="1"/>
  <c r="PD50" i="1"/>
  <c r="PA50" i="1"/>
  <c r="OW50" i="1"/>
  <c r="OV50" i="1"/>
  <c r="OX50" i="1" s="1"/>
  <c r="OU50" i="1"/>
  <c r="OR50" i="1"/>
  <c r="OO50" i="1"/>
  <c r="OL50" i="1"/>
  <c r="OH50" i="1"/>
  <c r="OF50" i="1"/>
  <c r="OC50" i="1"/>
  <c r="NZ50" i="1"/>
  <c r="NU50" i="1"/>
  <c r="NS50" i="1"/>
  <c r="NR50" i="1"/>
  <c r="NT50" i="1" s="1"/>
  <c r="NQ50" i="1"/>
  <c r="NN50" i="1"/>
  <c r="NK50" i="1"/>
  <c r="NH50" i="1"/>
  <c r="ND50" i="1"/>
  <c r="NC50" i="1"/>
  <c r="NE50" i="1" s="1"/>
  <c r="NB50" i="1"/>
  <c r="MY50" i="1"/>
  <c r="MV50" i="1"/>
  <c r="MS50" i="1"/>
  <c r="MO50" i="1"/>
  <c r="MM50" i="1"/>
  <c r="MJ50" i="1"/>
  <c r="MG50" i="1"/>
  <c r="MB50" i="1"/>
  <c r="LY50" i="1"/>
  <c r="LX50" i="1"/>
  <c r="LU50" i="1"/>
  <c r="LQ50" i="1"/>
  <c r="LO50" i="1"/>
  <c r="KV50" i="1"/>
  <c r="KU50" i="1"/>
  <c r="KW50" i="1" s="1"/>
  <c r="KT50" i="1"/>
  <c r="KQ50" i="1"/>
  <c r="KN50" i="1"/>
  <c r="KK50" i="1"/>
  <c r="KH50" i="1"/>
  <c r="JC50" i="1"/>
  <c r="JB50" i="1"/>
  <c r="JD50" i="1" s="1"/>
  <c r="JA50" i="1"/>
  <c r="IX50" i="1"/>
  <c r="IU50" i="1"/>
  <c r="IR50" i="1"/>
  <c r="IN50" i="1"/>
  <c r="IM50" i="1"/>
  <c r="IO50" i="1" s="1"/>
  <c r="IL50" i="1"/>
  <c r="II50" i="1"/>
  <c r="IF50" i="1"/>
  <c r="IC50" i="1"/>
  <c r="HY50" i="1"/>
  <c r="HX50" i="1"/>
  <c r="HZ50" i="1" s="1"/>
  <c r="HW50" i="1"/>
  <c r="HT50" i="1"/>
  <c r="HQ50" i="1"/>
  <c r="HN50" i="1"/>
  <c r="HJ50" i="1"/>
  <c r="HI50" i="1"/>
  <c r="HK50" i="1" s="1"/>
  <c r="HH50" i="1"/>
  <c r="HE50" i="1"/>
  <c r="HB50" i="1"/>
  <c r="GY50" i="1"/>
  <c r="GU50" i="1"/>
  <c r="GT50" i="1"/>
  <c r="GV50" i="1" s="1"/>
  <c r="GS50" i="1"/>
  <c r="GP50" i="1"/>
  <c r="GM50" i="1"/>
  <c r="GJ50" i="1"/>
  <c r="GF50" i="1"/>
  <c r="GE50" i="1"/>
  <c r="GG50" i="1" s="1"/>
  <c r="GD50" i="1"/>
  <c r="GA50" i="1"/>
  <c r="FX50" i="1"/>
  <c r="FU50" i="1"/>
  <c r="FQ50" i="1"/>
  <c r="FP50" i="1"/>
  <c r="FR50" i="1" s="1"/>
  <c r="FO50" i="1"/>
  <c r="FL50" i="1"/>
  <c r="FI50" i="1"/>
  <c r="FF50" i="1"/>
  <c r="FB50" i="1"/>
  <c r="FA50" i="1"/>
  <c r="FC50" i="1" s="1"/>
  <c r="EZ50" i="1"/>
  <c r="EW50" i="1"/>
  <c r="ET50" i="1"/>
  <c r="EQ50" i="1"/>
  <c r="EM50" i="1"/>
  <c r="EL50" i="1"/>
  <c r="EN50" i="1" s="1"/>
  <c r="EK50" i="1"/>
  <c r="EH50" i="1"/>
  <c r="EE50" i="1"/>
  <c r="EB50" i="1"/>
  <c r="DX50" i="1"/>
  <c r="DW50" i="1"/>
  <c r="DY50" i="1" s="1"/>
  <c r="DV50" i="1"/>
  <c r="DS50" i="1"/>
  <c r="DP50" i="1"/>
  <c r="DM50" i="1"/>
  <c r="DI50" i="1"/>
  <c r="DH50" i="1"/>
  <c r="DJ50" i="1" s="1"/>
  <c r="DG50" i="1"/>
  <c r="DD50" i="1"/>
  <c r="DA50" i="1"/>
  <c r="CX50" i="1"/>
  <c r="CT50" i="1"/>
  <c r="CS50" i="1"/>
  <c r="CU50" i="1" s="1"/>
  <c r="CR50" i="1"/>
  <c r="CO50" i="1"/>
  <c r="CL50" i="1"/>
  <c r="CI50" i="1"/>
  <c r="CF50" i="1"/>
  <c r="BP50" i="1"/>
  <c r="BO50" i="1"/>
  <c r="BQ50" i="1" s="1"/>
  <c r="BN50" i="1"/>
  <c r="BK50" i="1"/>
  <c r="BH50" i="1"/>
  <c r="BE50" i="1"/>
  <c r="BA50" i="1"/>
  <c r="AZ50" i="1"/>
  <c r="BB50" i="1" s="1"/>
  <c r="AY50" i="1"/>
  <c r="AV50" i="1"/>
  <c r="AS50" i="1"/>
  <c r="AP50" i="1"/>
  <c r="AM50" i="1"/>
  <c r="W50" i="1"/>
  <c r="U50" i="1"/>
  <c r="R50" i="1"/>
  <c r="O50" i="1"/>
  <c r="L50" i="1"/>
  <c r="G50" i="1"/>
  <c r="AAB49" i="1"/>
  <c r="AAA49" i="1"/>
  <c r="AAC49" i="1" s="1"/>
  <c r="ZZ49" i="1"/>
  <c r="ZW49" i="1"/>
  <c r="ZG49" i="1"/>
  <c r="ZF49" i="1"/>
  <c r="ZE49" i="1"/>
  <c r="ZB49" i="1"/>
  <c r="YY49" i="1"/>
  <c r="YV49" i="1"/>
  <c r="YR49" i="1"/>
  <c r="YQ49" i="1"/>
  <c r="YS49" i="1" s="1"/>
  <c r="YP49" i="1"/>
  <c r="YM49" i="1"/>
  <c r="YJ49" i="1"/>
  <c r="YG49" i="1"/>
  <c r="YC49" i="1"/>
  <c r="YB49" i="1"/>
  <c r="YD49" i="1" s="1"/>
  <c r="YA49" i="1"/>
  <c r="XX49" i="1"/>
  <c r="XU49" i="1"/>
  <c r="XR49" i="1"/>
  <c r="XN49" i="1"/>
  <c r="XM49" i="1"/>
  <c r="XO49" i="1" s="1"/>
  <c r="XL49" i="1"/>
  <c r="XI49" i="1"/>
  <c r="XF49" i="1"/>
  <c r="XC49" i="1"/>
  <c r="WY49" i="1"/>
  <c r="WX49" i="1"/>
  <c r="WZ49" i="1" s="1"/>
  <c r="WW49" i="1"/>
  <c r="WT49" i="1"/>
  <c r="WQ49" i="1"/>
  <c r="WN49" i="1"/>
  <c r="VU49" i="1"/>
  <c r="VT49" i="1"/>
  <c r="VV49" i="1" s="1"/>
  <c r="VS49" i="1"/>
  <c r="VP49" i="1"/>
  <c r="VM49" i="1"/>
  <c r="VJ49" i="1"/>
  <c r="UQ49" i="1"/>
  <c r="UP49" i="1"/>
  <c r="UR49" i="1" s="1"/>
  <c r="UO49" i="1"/>
  <c r="UL49" i="1"/>
  <c r="UI49" i="1"/>
  <c r="UF49" i="1"/>
  <c r="UB49" i="1"/>
  <c r="UA49" i="1"/>
  <c r="UC49" i="1" s="1"/>
  <c r="TZ49" i="1"/>
  <c r="TW49" i="1"/>
  <c r="TT49" i="1"/>
  <c r="TQ49" i="1"/>
  <c r="TM49" i="1"/>
  <c r="TL49" i="1"/>
  <c r="TN49" i="1" s="1"/>
  <c r="TK49" i="1"/>
  <c r="TH49" i="1"/>
  <c r="TE49" i="1"/>
  <c r="TB49" i="1"/>
  <c r="SX49" i="1"/>
  <c r="SW49" i="1"/>
  <c r="SY49" i="1" s="1"/>
  <c r="SV49" i="1"/>
  <c r="SS49" i="1"/>
  <c r="SP49" i="1"/>
  <c r="SM49" i="1"/>
  <c r="SI49" i="1"/>
  <c r="SH49" i="1"/>
  <c r="SJ49" i="1" s="1"/>
  <c r="SG49" i="1"/>
  <c r="SD49" i="1"/>
  <c r="SA49" i="1"/>
  <c r="RX49" i="1"/>
  <c r="RU49" i="1"/>
  <c r="RE49" i="1"/>
  <c r="RD49" i="1"/>
  <c r="RC49" i="1"/>
  <c r="QZ49" i="1"/>
  <c r="QW49" i="1"/>
  <c r="QT49" i="1"/>
  <c r="QP49" i="1"/>
  <c r="QO49" i="1"/>
  <c r="QQ49" i="1" s="1"/>
  <c r="QN49" i="1"/>
  <c r="QK49" i="1"/>
  <c r="QH49" i="1"/>
  <c r="QE49" i="1"/>
  <c r="QA49" i="1"/>
  <c r="PZ49" i="1"/>
  <c r="QB49" i="1" s="1"/>
  <c r="PY49" i="1"/>
  <c r="PV49" i="1"/>
  <c r="PS49" i="1"/>
  <c r="PP49" i="1"/>
  <c r="PL49" i="1"/>
  <c r="PK49" i="1"/>
  <c r="PM49" i="1" s="1"/>
  <c r="PJ49" i="1"/>
  <c r="PG49" i="1"/>
  <c r="PD49" i="1"/>
  <c r="PA49" i="1"/>
  <c r="OW49" i="1"/>
  <c r="OV49" i="1"/>
  <c r="OX49" i="1" s="1"/>
  <c r="OU49" i="1"/>
  <c r="OR49" i="1"/>
  <c r="OO49" i="1"/>
  <c r="OL49" i="1"/>
  <c r="OH49" i="1"/>
  <c r="OF49" i="1"/>
  <c r="OC49" i="1"/>
  <c r="NZ49" i="1"/>
  <c r="NU49" i="1"/>
  <c r="NS49" i="1"/>
  <c r="NR49" i="1"/>
  <c r="NT49" i="1" s="1"/>
  <c r="NQ49" i="1"/>
  <c r="NN49" i="1"/>
  <c r="NK49" i="1"/>
  <c r="NH49" i="1"/>
  <c r="ND49" i="1"/>
  <c r="NC49" i="1"/>
  <c r="NE49" i="1" s="1"/>
  <c r="NB49" i="1"/>
  <c r="MY49" i="1"/>
  <c r="MV49" i="1"/>
  <c r="MS49" i="1"/>
  <c r="MO49" i="1"/>
  <c r="MM49" i="1"/>
  <c r="MJ49" i="1"/>
  <c r="MG49" i="1"/>
  <c r="MB49" i="1"/>
  <c r="LY49" i="1"/>
  <c r="LX49" i="1"/>
  <c r="LU49" i="1"/>
  <c r="LQ49" i="1"/>
  <c r="LO49" i="1"/>
  <c r="KV49" i="1"/>
  <c r="KU49" i="1"/>
  <c r="KW49" i="1" s="1"/>
  <c r="KT49" i="1"/>
  <c r="KQ49" i="1"/>
  <c r="KN49" i="1"/>
  <c r="KK49" i="1"/>
  <c r="KH49" i="1"/>
  <c r="JC49" i="1"/>
  <c r="JB49" i="1"/>
  <c r="JD49" i="1" s="1"/>
  <c r="JA49" i="1"/>
  <c r="IX49" i="1"/>
  <c r="IU49" i="1"/>
  <c r="IR49" i="1"/>
  <c r="IN49" i="1"/>
  <c r="IM49" i="1"/>
  <c r="IO49" i="1" s="1"/>
  <c r="IL49" i="1"/>
  <c r="II49" i="1"/>
  <c r="IF49" i="1"/>
  <c r="IC49" i="1"/>
  <c r="HY49" i="1"/>
  <c r="HX49" i="1"/>
  <c r="HZ49" i="1" s="1"/>
  <c r="HW49" i="1"/>
  <c r="HT49" i="1"/>
  <c r="HQ49" i="1"/>
  <c r="HN49" i="1"/>
  <c r="HJ49" i="1"/>
  <c r="HI49" i="1"/>
  <c r="HK49" i="1" s="1"/>
  <c r="HH49" i="1"/>
  <c r="HE49" i="1"/>
  <c r="HB49" i="1"/>
  <c r="GY49" i="1"/>
  <c r="GU49" i="1"/>
  <c r="GT49" i="1"/>
  <c r="GV49" i="1" s="1"/>
  <c r="GS49" i="1"/>
  <c r="GP49" i="1"/>
  <c r="GM49" i="1"/>
  <c r="GJ49" i="1"/>
  <c r="GF49" i="1"/>
  <c r="GE49" i="1"/>
  <c r="GG49" i="1" s="1"/>
  <c r="GD49" i="1"/>
  <c r="GA49" i="1"/>
  <c r="FX49" i="1"/>
  <c r="FU49" i="1"/>
  <c r="FQ49" i="1"/>
  <c r="FP49" i="1"/>
  <c r="FR49" i="1" s="1"/>
  <c r="FO49" i="1"/>
  <c r="FL49" i="1"/>
  <c r="FI49" i="1"/>
  <c r="FF49" i="1"/>
  <c r="FB49" i="1"/>
  <c r="FA49" i="1"/>
  <c r="FC49" i="1" s="1"/>
  <c r="EZ49" i="1"/>
  <c r="EW49" i="1"/>
  <c r="ET49" i="1"/>
  <c r="EQ49" i="1"/>
  <c r="EM49" i="1"/>
  <c r="EL49" i="1"/>
  <c r="EN49" i="1" s="1"/>
  <c r="EK49" i="1"/>
  <c r="EH49" i="1"/>
  <c r="EE49" i="1"/>
  <c r="EB49" i="1"/>
  <c r="DX49" i="1"/>
  <c r="DW49" i="1"/>
  <c r="DY49" i="1" s="1"/>
  <c r="DV49" i="1"/>
  <c r="DS49" i="1"/>
  <c r="DP49" i="1"/>
  <c r="DM49" i="1"/>
  <c r="DI49" i="1"/>
  <c r="DH49" i="1"/>
  <c r="DJ49" i="1" s="1"/>
  <c r="DG49" i="1"/>
  <c r="DD49" i="1"/>
  <c r="DA49" i="1"/>
  <c r="CX49" i="1"/>
  <c r="CT49" i="1"/>
  <c r="CS49" i="1"/>
  <c r="CU49" i="1" s="1"/>
  <c r="CR49" i="1"/>
  <c r="CO49" i="1"/>
  <c r="CL49" i="1"/>
  <c r="CI49" i="1"/>
  <c r="CF49" i="1"/>
  <c r="BP49" i="1"/>
  <c r="BO49" i="1"/>
  <c r="BQ49" i="1" s="1"/>
  <c r="BN49" i="1"/>
  <c r="BK49" i="1"/>
  <c r="BH49" i="1"/>
  <c r="BE49" i="1"/>
  <c r="BA49" i="1"/>
  <c r="AZ49" i="1"/>
  <c r="BB49" i="1" s="1"/>
  <c r="AY49" i="1"/>
  <c r="AV49" i="1"/>
  <c r="AS49" i="1"/>
  <c r="AP49" i="1"/>
  <c r="AM49" i="1"/>
  <c r="W49" i="1"/>
  <c r="V49" i="1"/>
  <c r="X49" i="1" s="1"/>
  <c r="U49" i="1"/>
  <c r="R49" i="1"/>
  <c r="O49" i="1"/>
  <c r="L49" i="1"/>
  <c r="I49" i="1"/>
  <c r="AAB48" i="1"/>
  <c r="AAA48" i="1"/>
  <c r="AAC48" i="1" s="1"/>
  <c r="ZZ48" i="1"/>
  <c r="ZW48" i="1"/>
  <c r="ZG48" i="1"/>
  <c r="ZF48" i="1"/>
  <c r="AAD48" i="1" s="1"/>
  <c r="ZE48" i="1"/>
  <c r="ZB48" i="1"/>
  <c r="YY48" i="1"/>
  <c r="YV48" i="1"/>
  <c r="YR48" i="1"/>
  <c r="YQ48" i="1"/>
  <c r="YS48" i="1" s="1"/>
  <c r="YP48" i="1"/>
  <c r="YM48" i="1"/>
  <c r="YJ48" i="1"/>
  <c r="YG48" i="1"/>
  <c r="YC48" i="1"/>
  <c r="YB48" i="1"/>
  <c r="YD48" i="1" s="1"/>
  <c r="YA48" i="1"/>
  <c r="XX48" i="1"/>
  <c r="XU48" i="1"/>
  <c r="XR48" i="1"/>
  <c r="XN48" i="1"/>
  <c r="XM48" i="1"/>
  <c r="XO48" i="1" s="1"/>
  <c r="XL48" i="1"/>
  <c r="XI48" i="1"/>
  <c r="XF48" i="1"/>
  <c r="XC48" i="1"/>
  <c r="WY48" i="1"/>
  <c r="WX48" i="1"/>
  <c r="WZ48" i="1" s="1"/>
  <c r="WW48" i="1"/>
  <c r="WT48" i="1"/>
  <c r="WQ48" i="1"/>
  <c r="WN48" i="1"/>
  <c r="VU48" i="1"/>
  <c r="VT48" i="1"/>
  <c r="VV48" i="1" s="1"/>
  <c r="VS48" i="1"/>
  <c r="VP48" i="1"/>
  <c r="VM48" i="1"/>
  <c r="VJ48" i="1"/>
  <c r="UQ48" i="1"/>
  <c r="UP48" i="1"/>
  <c r="UR48" i="1" s="1"/>
  <c r="UO48" i="1"/>
  <c r="UL48" i="1"/>
  <c r="UI48" i="1"/>
  <c r="UF48" i="1"/>
  <c r="UB48" i="1"/>
  <c r="UA48" i="1"/>
  <c r="UC48" i="1" s="1"/>
  <c r="TZ48" i="1"/>
  <c r="TW48" i="1"/>
  <c r="TT48" i="1"/>
  <c r="TQ48" i="1"/>
  <c r="TM48" i="1"/>
  <c r="TL48" i="1"/>
  <c r="TN48" i="1" s="1"/>
  <c r="TK48" i="1"/>
  <c r="TH48" i="1"/>
  <c r="TE48" i="1"/>
  <c r="TB48" i="1"/>
  <c r="SX48" i="1"/>
  <c r="SW48" i="1"/>
  <c r="SY48" i="1" s="1"/>
  <c r="SV48" i="1"/>
  <c r="SS48" i="1"/>
  <c r="SP48" i="1"/>
  <c r="SM48" i="1"/>
  <c r="SI48" i="1"/>
  <c r="SH48" i="1"/>
  <c r="SJ48" i="1" s="1"/>
  <c r="SG48" i="1"/>
  <c r="SD48" i="1"/>
  <c r="SA48" i="1"/>
  <c r="RX48" i="1"/>
  <c r="RU48" i="1"/>
  <c r="RE48" i="1"/>
  <c r="RD48" i="1"/>
  <c r="RC48" i="1"/>
  <c r="QZ48" i="1"/>
  <c r="QW48" i="1"/>
  <c r="QT48" i="1"/>
  <c r="QQ48" i="1"/>
  <c r="QP48" i="1"/>
  <c r="QO48" i="1"/>
  <c r="QN48" i="1"/>
  <c r="QK48" i="1"/>
  <c r="QH48" i="1"/>
  <c r="QE48" i="1"/>
  <c r="QA48" i="1"/>
  <c r="PZ48" i="1"/>
  <c r="QB48" i="1" s="1"/>
  <c r="PY48" i="1"/>
  <c r="PV48" i="1"/>
  <c r="PS48" i="1"/>
  <c r="PP48" i="1"/>
  <c r="PL48" i="1"/>
  <c r="PK48" i="1"/>
  <c r="PM48" i="1" s="1"/>
  <c r="PJ48" i="1"/>
  <c r="PG48" i="1"/>
  <c r="PD48" i="1"/>
  <c r="PA48" i="1"/>
  <c r="OW48" i="1"/>
  <c r="OV48" i="1"/>
  <c r="OX48" i="1" s="1"/>
  <c r="OU48" i="1"/>
  <c r="OR48" i="1"/>
  <c r="OO48" i="1"/>
  <c r="OL48" i="1"/>
  <c r="OH48" i="1"/>
  <c r="OG48" i="1"/>
  <c r="OI48" i="1" s="1"/>
  <c r="OF48" i="1"/>
  <c r="OC48" i="1"/>
  <c r="NZ48" i="1"/>
  <c r="NW48" i="1"/>
  <c r="NS48" i="1"/>
  <c r="NR48" i="1"/>
  <c r="NT48" i="1" s="1"/>
  <c r="NQ48" i="1"/>
  <c r="NN48" i="1"/>
  <c r="NK48" i="1"/>
  <c r="NH48" i="1"/>
  <c r="ND48" i="1"/>
  <c r="NC48" i="1"/>
  <c r="NE48" i="1" s="1"/>
  <c r="NB48" i="1"/>
  <c r="MY48" i="1"/>
  <c r="MV48" i="1"/>
  <c r="MS48" i="1"/>
  <c r="MO48" i="1"/>
  <c r="MN48" i="1"/>
  <c r="MP48" i="1" s="1"/>
  <c r="MM48" i="1"/>
  <c r="MJ48" i="1"/>
  <c r="MG48" i="1"/>
  <c r="MD48" i="1"/>
  <c r="LY48" i="1"/>
  <c r="LW48" i="1"/>
  <c r="LU48" i="1"/>
  <c r="LQ48" i="1"/>
  <c r="LO48" i="1"/>
  <c r="KV48" i="1"/>
  <c r="KU48" i="1"/>
  <c r="KW48" i="1" s="1"/>
  <c r="KT48" i="1"/>
  <c r="KQ48" i="1"/>
  <c r="KN48" i="1"/>
  <c r="KK48" i="1"/>
  <c r="KH48" i="1"/>
  <c r="JC48" i="1"/>
  <c r="JB48" i="1"/>
  <c r="JD48" i="1" s="1"/>
  <c r="JA48" i="1"/>
  <c r="IX48" i="1"/>
  <c r="IU48" i="1"/>
  <c r="IR48" i="1"/>
  <c r="IO48" i="1"/>
  <c r="IN48" i="1"/>
  <c r="IM48" i="1"/>
  <c r="IL48" i="1"/>
  <c r="II48" i="1"/>
  <c r="IF48" i="1"/>
  <c r="IC48" i="1"/>
  <c r="HY48" i="1"/>
  <c r="HX48" i="1"/>
  <c r="HZ48" i="1" s="1"/>
  <c r="HW48" i="1"/>
  <c r="HT48" i="1"/>
  <c r="HQ48" i="1"/>
  <c r="HN48" i="1"/>
  <c r="HJ48" i="1"/>
  <c r="HI48" i="1"/>
  <c r="HK48" i="1" s="1"/>
  <c r="HH48" i="1"/>
  <c r="HE48" i="1"/>
  <c r="HB48" i="1"/>
  <c r="GY48" i="1"/>
  <c r="GU48" i="1"/>
  <c r="GT48" i="1"/>
  <c r="GV48" i="1" s="1"/>
  <c r="GS48" i="1"/>
  <c r="GP48" i="1"/>
  <c r="GM48" i="1"/>
  <c r="GJ48" i="1"/>
  <c r="GF48" i="1"/>
  <c r="GE48" i="1"/>
  <c r="GG48" i="1" s="1"/>
  <c r="GD48" i="1"/>
  <c r="GA48" i="1"/>
  <c r="FX48" i="1"/>
  <c r="FU48" i="1"/>
  <c r="FQ48" i="1"/>
  <c r="FP48" i="1"/>
  <c r="FR48" i="1" s="1"/>
  <c r="FO48" i="1"/>
  <c r="FL48" i="1"/>
  <c r="FI48" i="1"/>
  <c r="FF48" i="1"/>
  <c r="FB48" i="1"/>
  <c r="FA48" i="1"/>
  <c r="FC48" i="1" s="1"/>
  <c r="EZ48" i="1"/>
  <c r="EW48" i="1"/>
  <c r="ET48" i="1"/>
  <c r="EQ48" i="1"/>
  <c r="EM48" i="1"/>
  <c r="EL48" i="1"/>
  <c r="EN48" i="1" s="1"/>
  <c r="EK48" i="1"/>
  <c r="EH48" i="1"/>
  <c r="EE48" i="1"/>
  <c r="EB48" i="1"/>
  <c r="DX48" i="1"/>
  <c r="DW48" i="1"/>
  <c r="DY48" i="1" s="1"/>
  <c r="DV48" i="1"/>
  <c r="DS48" i="1"/>
  <c r="DP48" i="1"/>
  <c r="DM48" i="1"/>
  <c r="DI48" i="1"/>
  <c r="DH48" i="1"/>
  <c r="DJ48" i="1" s="1"/>
  <c r="DG48" i="1"/>
  <c r="DD48" i="1"/>
  <c r="DA48" i="1"/>
  <c r="CX48" i="1"/>
  <c r="CT48" i="1"/>
  <c r="CS48" i="1"/>
  <c r="CU48" i="1" s="1"/>
  <c r="CR48" i="1"/>
  <c r="CO48" i="1"/>
  <c r="CL48" i="1"/>
  <c r="CI48" i="1"/>
  <c r="CF48" i="1"/>
  <c r="BP48" i="1"/>
  <c r="BO48" i="1"/>
  <c r="BQ48" i="1" s="1"/>
  <c r="BN48" i="1"/>
  <c r="BK48" i="1"/>
  <c r="BH48" i="1"/>
  <c r="BE48" i="1"/>
  <c r="BA48" i="1"/>
  <c r="AZ48" i="1"/>
  <c r="BB48" i="1" s="1"/>
  <c r="AY48" i="1"/>
  <c r="AV48" i="1"/>
  <c r="AS48" i="1"/>
  <c r="AP48" i="1"/>
  <c r="AM48" i="1"/>
  <c r="W48" i="1"/>
  <c r="V48" i="1"/>
  <c r="X48" i="1" s="1"/>
  <c r="U48" i="1"/>
  <c r="R48" i="1"/>
  <c r="O48" i="1"/>
  <c r="L48" i="1"/>
  <c r="I48" i="1"/>
  <c r="AAB47" i="1"/>
  <c r="AAA47" i="1"/>
  <c r="AAC47" i="1" s="1"/>
  <c r="ZZ47" i="1"/>
  <c r="ZW47" i="1"/>
  <c r="ZG47" i="1"/>
  <c r="AAE47" i="1" s="1"/>
  <c r="ZF47" i="1"/>
  <c r="AAD47" i="1" s="1"/>
  <c r="ZE47" i="1"/>
  <c r="ZB47" i="1"/>
  <c r="YY47" i="1"/>
  <c r="YV47" i="1"/>
  <c r="YR47" i="1"/>
  <c r="YQ47" i="1"/>
  <c r="YS47" i="1" s="1"/>
  <c r="YP47" i="1"/>
  <c r="YM47" i="1"/>
  <c r="YJ47" i="1"/>
  <c r="YG47" i="1"/>
  <c r="YC47" i="1"/>
  <c r="YB47" i="1"/>
  <c r="YD47" i="1" s="1"/>
  <c r="YA47" i="1"/>
  <c r="XX47" i="1"/>
  <c r="XU47" i="1"/>
  <c r="XR47" i="1"/>
  <c r="XN47" i="1"/>
  <c r="XM47" i="1"/>
  <c r="XO47" i="1" s="1"/>
  <c r="XL47" i="1"/>
  <c r="XI47" i="1"/>
  <c r="XF47" i="1"/>
  <c r="XC47" i="1"/>
  <c r="WY47" i="1"/>
  <c r="WX47" i="1"/>
  <c r="WZ47" i="1" s="1"/>
  <c r="WW47" i="1"/>
  <c r="WT47" i="1"/>
  <c r="WQ47" i="1"/>
  <c r="WN47" i="1"/>
  <c r="VU47" i="1"/>
  <c r="VT47" i="1"/>
  <c r="VV47" i="1" s="1"/>
  <c r="VS47" i="1"/>
  <c r="VP47" i="1"/>
  <c r="VM47" i="1"/>
  <c r="VJ47" i="1"/>
  <c r="UQ47" i="1"/>
  <c r="UP47" i="1"/>
  <c r="UR47" i="1" s="1"/>
  <c r="UO47" i="1"/>
  <c r="UL47" i="1"/>
  <c r="UI47" i="1"/>
  <c r="UF47" i="1"/>
  <c r="UB47" i="1"/>
  <c r="UA47" i="1"/>
  <c r="UC47" i="1" s="1"/>
  <c r="TZ47" i="1"/>
  <c r="TW47" i="1"/>
  <c r="TT47" i="1"/>
  <c r="TQ47" i="1"/>
  <c r="TM47" i="1"/>
  <c r="TL47" i="1"/>
  <c r="TN47" i="1" s="1"/>
  <c r="TK47" i="1"/>
  <c r="TH47" i="1"/>
  <c r="TE47" i="1"/>
  <c r="TB47" i="1"/>
  <c r="SX47" i="1"/>
  <c r="SW47" i="1"/>
  <c r="SY47" i="1" s="1"/>
  <c r="SV47" i="1"/>
  <c r="SS47" i="1"/>
  <c r="SP47" i="1"/>
  <c r="SM47" i="1"/>
  <c r="SI47" i="1"/>
  <c r="SH47" i="1"/>
  <c r="SJ47" i="1" s="1"/>
  <c r="SG47" i="1"/>
  <c r="SD47" i="1"/>
  <c r="SA47" i="1"/>
  <c r="RX47" i="1"/>
  <c r="RU47" i="1"/>
  <c r="RE47" i="1"/>
  <c r="RD47" i="1"/>
  <c r="RC47" i="1"/>
  <c r="QZ47" i="1"/>
  <c r="QW47" i="1"/>
  <c r="QT47" i="1"/>
  <c r="QP47" i="1"/>
  <c r="QO47" i="1"/>
  <c r="QQ47" i="1" s="1"/>
  <c r="QN47" i="1"/>
  <c r="QK47" i="1"/>
  <c r="QH47" i="1"/>
  <c r="QE47" i="1"/>
  <c r="QA47" i="1"/>
  <c r="PZ47" i="1"/>
  <c r="QB47" i="1" s="1"/>
  <c r="PY47" i="1"/>
  <c r="PV47" i="1"/>
  <c r="PS47" i="1"/>
  <c r="PP47" i="1"/>
  <c r="PL47" i="1"/>
  <c r="PK47" i="1"/>
  <c r="PM47" i="1" s="1"/>
  <c r="PJ47" i="1"/>
  <c r="PG47" i="1"/>
  <c r="PD47" i="1"/>
  <c r="PA47" i="1"/>
  <c r="OW47" i="1"/>
  <c r="OV47" i="1"/>
  <c r="OX47" i="1" s="1"/>
  <c r="OU47" i="1"/>
  <c r="OR47" i="1"/>
  <c r="OO47" i="1"/>
  <c r="OL47" i="1"/>
  <c r="OH47" i="1"/>
  <c r="OG47" i="1"/>
  <c r="OI47" i="1" s="1"/>
  <c r="OF47" i="1"/>
  <c r="OC47" i="1"/>
  <c r="NZ47" i="1"/>
  <c r="NW47" i="1"/>
  <c r="NS47" i="1"/>
  <c r="NR47" i="1"/>
  <c r="NT47" i="1" s="1"/>
  <c r="NQ47" i="1"/>
  <c r="NN47" i="1"/>
  <c r="NK47" i="1"/>
  <c r="NH47" i="1"/>
  <c r="ND47" i="1"/>
  <c r="NC47" i="1"/>
  <c r="NE47" i="1" s="1"/>
  <c r="NB47" i="1"/>
  <c r="MY47" i="1"/>
  <c r="MV47" i="1"/>
  <c r="MS47" i="1"/>
  <c r="MO47" i="1"/>
  <c r="MN47" i="1"/>
  <c r="MP47" i="1" s="1"/>
  <c r="MM47" i="1"/>
  <c r="MJ47" i="1"/>
  <c r="MG47" i="1"/>
  <c r="MD47" i="1"/>
  <c r="LZ47" i="1"/>
  <c r="LY47" i="1"/>
  <c r="MA47" i="1" s="1"/>
  <c r="LX47" i="1"/>
  <c r="LU47" i="1"/>
  <c r="LR47" i="1"/>
  <c r="LO47" i="1"/>
  <c r="KV47" i="1"/>
  <c r="KU47" i="1"/>
  <c r="KW47" i="1" s="1"/>
  <c r="KT47" i="1"/>
  <c r="KQ47" i="1"/>
  <c r="KN47" i="1"/>
  <c r="KK47" i="1"/>
  <c r="KH47" i="1"/>
  <c r="JC47" i="1"/>
  <c r="JB47" i="1"/>
  <c r="JD47" i="1" s="1"/>
  <c r="JA47" i="1"/>
  <c r="IX47" i="1"/>
  <c r="IU47" i="1"/>
  <c r="IR47" i="1"/>
  <c r="IN47" i="1"/>
  <c r="IM47" i="1"/>
  <c r="IO47" i="1" s="1"/>
  <c r="IL47" i="1"/>
  <c r="II47" i="1"/>
  <c r="IF47" i="1"/>
  <c r="IC47" i="1"/>
  <c r="HY47" i="1"/>
  <c r="HX47" i="1"/>
  <c r="HZ47" i="1" s="1"/>
  <c r="HW47" i="1"/>
  <c r="HT47" i="1"/>
  <c r="HQ47" i="1"/>
  <c r="HN47" i="1"/>
  <c r="HJ47" i="1"/>
  <c r="HI47" i="1"/>
  <c r="HK47" i="1" s="1"/>
  <c r="HH47" i="1"/>
  <c r="HE47" i="1"/>
  <c r="HB47" i="1"/>
  <c r="GY47" i="1"/>
  <c r="GU47" i="1"/>
  <c r="GT47" i="1"/>
  <c r="GV47" i="1" s="1"/>
  <c r="GS47" i="1"/>
  <c r="GP47" i="1"/>
  <c r="GM47" i="1"/>
  <c r="GJ47" i="1"/>
  <c r="GF47" i="1"/>
  <c r="GE47" i="1"/>
  <c r="GG47" i="1" s="1"/>
  <c r="GD47" i="1"/>
  <c r="GA47" i="1"/>
  <c r="FX47" i="1"/>
  <c r="FU47" i="1"/>
  <c r="FQ47" i="1"/>
  <c r="FP47" i="1"/>
  <c r="FR47" i="1" s="1"/>
  <c r="FO47" i="1"/>
  <c r="FL47" i="1"/>
  <c r="FI47" i="1"/>
  <c r="FF47" i="1"/>
  <c r="FB47" i="1"/>
  <c r="FA47" i="1"/>
  <c r="FC47" i="1" s="1"/>
  <c r="EZ47" i="1"/>
  <c r="EW47" i="1"/>
  <c r="ET47" i="1"/>
  <c r="EQ47" i="1"/>
  <c r="EM47" i="1"/>
  <c r="EL47" i="1"/>
  <c r="EN47" i="1" s="1"/>
  <c r="EK47" i="1"/>
  <c r="EH47" i="1"/>
  <c r="EE47" i="1"/>
  <c r="EB47" i="1"/>
  <c r="DX47" i="1"/>
  <c r="DW47" i="1"/>
  <c r="DY47" i="1" s="1"/>
  <c r="DV47" i="1"/>
  <c r="DS47" i="1"/>
  <c r="DP47" i="1"/>
  <c r="DM47" i="1"/>
  <c r="DI47" i="1"/>
  <c r="DH47" i="1"/>
  <c r="DJ47" i="1" s="1"/>
  <c r="DG47" i="1"/>
  <c r="DD47" i="1"/>
  <c r="DA47" i="1"/>
  <c r="CX47" i="1"/>
  <c r="CT47" i="1"/>
  <c r="CS47" i="1"/>
  <c r="CU47" i="1" s="1"/>
  <c r="CR47" i="1"/>
  <c r="CO47" i="1"/>
  <c r="CL47" i="1"/>
  <c r="CI47" i="1"/>
  <c r="CF47" i="1"/>
  <c r="BP47" i="1"/>
  <c r="BO47" i="1"/>
  <c r="BQ47" i="1" s="1"/>
  <c r="BN47" i="1"/>
  <c r="BK47" i="1"/>
  <c r="BH47" i="1"/>
  <c r="BE47" i="1"/>
  <c r="BA47" i="1"/>
  <c r="AZ47" i="1"/>
  <c r="BB47" i="1" s="1"/>
  <c r="AY47" i="1"/>
  <c r="AV47" i="1"/>
  <c r="AS47" i="1"/>
  <c r="AP47" i="1"/>
  <c r="AM47" i="1"/>
  <c r="W47" i="1"/>
  <c r="V47" i="1"/>
  <c r="X47" i="1" s="1"/>
  <c r="U47" i="1"/>
  <c r="R47" i="1"/>
  <c r="O47" i="1"/>
  <c r="L47" i="1"/>
  <c r="I47" i="1"/>
  <c r="AAB46" i="1"/>
  <c r="AAA46" i="1"/>
  <c r="AAC46" i="1" s="1"/>
  <c r="ZZ46" i="1"/>
  <c r="ZW46" i="1"/>
  <c r="ZG46" i="1"/>
  <c r="AAE46" i="1" s="1"/>
  <c r="ZF46" i="1"/>
  <c r="AAD46" i="1" s="1"/>
  <c r="ZE46" i="1"/>
  <c r="ZB46" i="1"/>
  <c r="YY46" i="1"/>
  <c r="YV46" i="1"/>
  <c r="YR46" i="1"/>
  <c r="YQ46" i="1"/>
  <c r="YS46" i="1" s="1"/>
  <c r="YP46" i="1"/>
  <c r="YM46" i="1"/>
  <c r="YJ46" i="1"/>
  <c r="YG46" i="1"/>
  <c r="YC46" i="1"/>
  <c r="YB46" i="1"/>
  <c r="YD46" i="1" s="1"/>
  <c r="YA46" i="1"/>
  <c r="XX46" i="1"/>
  <c r="XU46" i="1"/>
  <c r="XR46" i="1"/>
  <c r="XN46" i="1"/>
  <c r="XM46" i="1"/>
  <c r="XO46" i="1" s="1"/>
  <c r="XL46" i="1"/>
  <c r="XI46" i="1"/>
  <c r="XF46" i="1"/>
  <c r="XC46" i="1"/>
  <c r="WY46" i="1"/>
  <c r="WX46" i="1"/>
  <c r="WZ46" i="1" s="1"/>
  <c r="WW46" i="1"/>
  <c r="WT46" i="1"/>
  <c r="WQ46" i="1"/>
  <c r="WN46" i="1"/>
  <c r="VU46" i="1"/>
  <c r="VT46" i="1"/>
  <c r="VV46" i="1" s="1"/>
  <c r="VS46" i="1"/>
  <c r="VP46" i="1"/>
  <c r="VM46" i="1"/>
  <c r="VJ46" i="1"/>
  <c r="UQ46" i="1"/>
  <c r="UP46" i="1"/>
  <c r="UR46" i="1" s="1"/>
  <c r="UO46" i="1"/>
  <c r="UL46" i="1"/>
  <c r="UI46" i="1"/>
  <c r="UF46" i="1"/>
  <c r="UB46" i="1"/>
  <c r="UA46" i="1"/>
  <c r="UC46" i="1" s="1"/>
  <c r="TZ46" i="1"/>
  <c r="TW46" i="1"/>
  <c r="TT46" i="1"/>
  <c r="TQ46" i="1"/>
  <c r="TM46" i="1"/>
  <c r="TL46" i="1"/>
  <c r="TN46" i="1" s="1"/>
  <c r="TK46" i="1"/>
  <c r="TH46" i="1"/>
  <c r="TE46" i="1"/>
  <c r="TB46" i="1"/>
  <c r="SX46" i="1"/>
  <c r="SW46" i="1"/>
  <c r="SY46" i="1" s="1"/>
  <c r="SV46" i="1"/>
  <c r="SS46" i="1"/>
  <c r="SP46" i="1"/>
  <c r="SM46" i="1"/>
  <c r="SI46" i="1"/>
  <c r="SH46" i="1"/>
  <c r="SJ46" i="1" s="1"/>
  <c r="SG46" i="1"/>
  <c r="SD46" i="1"/>
  <c r="SA46" i="1"/>
  <c r="RX46" i="1"/>
  <c r="RU46" i="1"/>
  <c r="RE46" i="1"/>
  <c r="RD46" i="1"/>
  <c r="RC46" i="1"/>
  <c r="QZ46" i="1"/>
  <c r="QW46" i="1"/>
  <c r="QT46" i="1"/>
  <c r="QP46" i="1"/>
  <c r="QO46" i="1"/>
  <c r="QQ46" i="1" s="1"/>
  <c r="QN46" i="1"/>
  <c r="QK46" i="1"/>
  <c r="QH46" i="1"/>
  <c r="QE46" i="1"/>
  <c r="QA46" i="1"/>
  <c r="PZ46" i="1"/>
  <c r="QB46" i="1" s="1"/>
  <c r="PY46" i="1"/>
  <c r="PV46" i="1"/>
  <c r="PS46" i="1"/>
  <c r="PP46" i="1"/>
  <c r="PL46" i="1"/>
  <c r="PK46" i="1"/>
  <c r="PM46" i="1" s="1"/>
  <c r="PJ46" i="1"/>
  <c r="PG46" i="1"/>
  <c r="PD46" i="1"/>
  <c r="PA46" i="1"/>
  <c r="OW46" i="1"/>
  <c r="OV46" i="1"/>
  <c r="OX46" i="1" s="1"/>
  <c r="OU46" i="1"/>
  <c r="OR46" i="1"/>
  <c r="OO46" i="1"/>
  <c r="OL46" i="1"/>
  <c r="OH46" i="1"/>
  <c r="OG46" i="1"/>
  <c r="OI46" i="1" s="1"/>
  <c r="OF46" i="1"/>
  <c r="OC46" i="1"/>
  <c r="NZ46" i="1"/>
  <c r="NW46" i="1"/>
  <c r="NS46" i="1"/>
  <c r="NR46" i="1"/>
  <c r="NT46" i="1" s="1"/>
  <c r="NQ46" i="1"/>
  <c r="NN46" i="1"/>
  <c r="NK46" i="1"/>
  <c r="NH46" i="1"/>
  <c r="ND46" i="1"/>
  <c r="NC46" i="1"/>
  <c r="NE46" i="1" s="1"/>
  <c r="NB46" i="1"/>
  <c r="MY46" i="1"/>
  <c r="MV46" i="1"/>
  <c r="MS46" i="1"/>
  <c r="MO46" i="1"/>
  <c r="MN46" i="1"/>
  <c r="MP46" i="1" s="1"/>
  <c r="MM46" i="1"/>
  <c r="MJ46" i="1"/>
  <c r="MG46" i="1"/>
  <c r="MD46" i="1"/>
  <c r="LZ46" i="1"/>
  <c r="LY46" i="1"/>
  <c r="MA46" i="1" s="1"/>
  <c r="LX46" i="1"/>
  <c r="LU46" i="1"/>
  <c r="LR46" i="1"/>
  <c r="LO46" i="1"/>
  <c r="KV46" i="1"/>
  <c r="KU46" i="1"/>
  <c r="KW46" i="1" s="1"/>
  <c r="KT46" i="1"/>
  <c r="KQ46" i="1"/>
  <c r="KN46" i="1"/>
  <c r="KK46" i="1"/>
  <c r="KH46" i="1"/>
  <c r="JC46" i="1"/>
  <c r="JB46" i="1"/>
  <c r="JD46" i="1" s="1"/>
  <c r="JA46" i="1"/>
  <c r="IX46" i="1"/>
  <c r="IU46" i="1"/>
  <c r="IR46" i="1"/>
  <c r="IN46" i="1"/>
  <c r="IM46" i="1"/>
  <c r="IO46" i="1" s="1"/>
  <c r="IL46" i="1"/>
  <c r="II46" i="1"/>
  <c r="IF46" i="1"/>
  <c r="IC46" i="1"/>
  <c r="HY46" i="1"/>
  <c r="HX46" i="1"/>
  <c r="HZ46" i="1" s="1"/>
  <c r="HW46" i="1"/>
  <c r="HT46" i="1"/>
  <c r="HQ46" i="1"/>
  <c r="HN46" i="1"/>
  <c r="HJ46" i="1"/>
  <c r="HI46" i="1"/>
  <c r="HK46" i="1" s="1"/>
  <c r="HH46" i="1"/>
  <c r="HE46" i="1"/>
  <c r="HB46" i="1"/>
  <c r="GY46" i="1"/>
  <c r="GU46" i="1"/>
  <c r="GT46" i="1"/>
  <c r="GV46" i="1" s="1"/>
  <c r="GS46" i="1"/>
  <c r="GP46" i="1"/>
  <c r="GM46" i="1"/>
  <c r="GJ46" i="1"/>
  <c r="GF46" i="1"/>
  <c r="GE46" i="1"/>
  <c r="GG46" i="1" s="1"/>
  <c r="GD46" i="1"/>
  <c r="GA46" i="1"/>
  <c r="FX46" i="1"/>
  <c r="FU46" i="1"/>
  <c r="FQ46" i="1"/>
  <c r="FP46" i="1"/>
  <c r="FR46" i="1" s="1"/>
  <c r="FO46" i="1"/>
  <c r="FL46" i="1"/>
  <c r="FI46" i="1"/>
  <c r="FF46" i="1"/>
  <c r="FB46" i="1"/>
  <c r="FA46" i="1"/>
  <c r="FC46" i="1" s="1"/>
  <c r="EZ46" i="1"/>
  <c r="EW46" i="1"/>
  <c r="ET46" i="1"/>
  <c r="EQ46" i="1"/>
  <c r="EM46" i="1"/>
  <c r="EL46" i="1"/>
  <c r="EN46" i="1" s="1"/>
  <c r="EK46" i="1"/>
  <c r="EH46" i="1"/>
  <c r="EE46" i="1"/>
  <c r="EB46" i="1"/>
  <c r="DX46" i="1"/>
  <c r="DW46" i="1"/>
  <c r="DY46" i="1" s="1"/>
  <c r="DV46" i="1"/>
  <c r="DS46" i="1"/>
  <c r="DP46" i="1"/>
  <c r="DM46" i="1"/>
  <c r="DI46" i="1"/>
  <c r="DH46" i="1"/>
  <c r="DJ46" i="1" s="1"/>
  <c r="DG46" i="1"/>
  <c r="DD46" i="1"/>
  <c r="DA46" i="1"/>
  <c r="CX46" i="1"/>
  <c r="CT46" i="1"/>
  <c r="CS46" i="1"/>
  <c r="CU46" i="1" s="1"/>
  <c r="CR46" i="1"/>
  <c r="CO46" i="1"/>
  <c r="CL46" i="1"/>
  <c r="CI46" i="1"/>
  <c r="CF46" i="1"/>
  <c r="BP46" i="1"/>
  <c r="BO46" i="1"/>
  <c r="BQ46" i="1" s="1"/>
  <c r="BN46" i="1"/>
  <c r="BK46" i="1"/>
  <c r="BH46" i="1"/>
  <c r="BE46" i="1"/>
  <c r="BA46" i="1"/>
  <c r="AZ46" i="1"/>
  <c r="BB46" i="1" s="1"/>
  <c r="AY46" i="1"/>
  <c r="AV46" i="1"/>
  <c r="AS46" i="1"/>
  <c r="AP46" i="1"/>
  <c r="AM46" i="1"/>
  <c r="X46" i="1"/>
  <c r="W46" i="1"/>
  <c r="V46" i="1"/>
  <c r="U46" i="1"/>
  <c r="R46" i="1"/>
  <c r="O46" i="1"/>
  <c r="L46" i="1"/>
  <c r="I46" i="1"/>
  <c r="AAB45" i="1"/>
  <c r="AAA45" i="1"/>
  <c r="AAC45" i="1" s="1"/>
  <c r="ZZ45" i="1"/>
  <c r="ZW45" i="1"/>
  <c r="ZG45" i="1"/>
  <c r="ZF45" i="1"/>
  <c r="AAD45" i="1" s="1"/>
  <c r="ZE45" i="1"/>
  <c r="ZB45" i="1"/>
  <c r="YY45" i="1"/>
  <c r="YV45" i="1"/>
  <c r="YR45" i="1"/>
  <c r="YQ45" i="1"/>
  <c r="YS45" i="1" s="1"/>
  <c r="YP45" i="1"/>
  <c r="YM45" i="1"/>
  <c r="YJ45" i="1"/>
  <c r="YG45" i="1"/>
  <c r="YC45" i="1"/>
  <c r="YB45" i="1"/>
  <c r="YD45" i="1" s="1"/>
  <c r="YA45" i="1"/>
  <c r="XX45" i="1"/>
  <c r="XU45" i="1"/>
  <c r="XR45" i="1"/>
  <c r="XN45" i="1"/>
  <c r="XM45" i="1"/>
  <c r="XO45" i="1" s="1"/>
  <c r="XL45" i="1"/>
  <c r="XI45" i="1"/>
  <c r="XF45" i="1"/>
  <c r="XC45" i="1"/>
  <c r="WY45" i="1"/>
  <c r="WX45" i="1"/>
  <c r="WZ45" i="1" s="1"/>
  <c r="WW45" i="1"/>
  <c r="WT45" i="1"/>
  <c r="WQ45" i="1"/>
  <c r="WN45" i="1"/>
  <c r="VT45" i="1"/>
  <c r="VR45" i="1"/>
  <c r="VP45" i="1"/>
  <c r="VM45" i="1"/>
  <c r="VJ45" i="1"/>
  <c r="UQ45" i="1"/>
  <c r="UP45" i="1"/>
  <c r="UR45" i="1" s="1"/>
  <c r="UO45" i="1"/>
  <c r="UL45" i="1"/>
  <c r="UI45" i="1"/>
  <c r="UF45" i="1"/>
  <c r="UB45" i="1"/>
  <c r="UA45" i="1"/>
  <c r="UC45" i="1" s="1"/>
  <c r="TZ45" i="1"/>
  <c r="TW45" i="1"/>
  <c r="TT45" i="1"/>
  <c r="TQ45" i="1"/>
  <c r="TM45" i="1"/>
  <c r="TL45" i="1"/>
  <c r="TN45" i="1" s="1"/>
  <c r="TK45" i="1"/>
  <c r="TH45" i="1"/>
  <c r="TE45" i="1"/>
  <c r="TB45" i="1"/>
  <c r="SX45" i="1"/>
  <c r="SW45" i="1"/>
  <c r="SY45" i="1" s="1"/>
  <c r="SV45" i="1"/>
  <c r="SS45" i="1"/>
  <c r="SP45" i="1"/>
  <c r="SM45" i="1"/>
  <c r="SI45" i="1"/>
  <c r="SH45" i="1"/>
  <c r="SJ45" i="1" s="1"/>
  <c r="SG45" i="1"/>
  <c r="SD45" i="1"/>
  <c r="SA45" i="1"/>
  <c r="RX45" i="1"/>
  <c r="RU45" i="1"/>
  <c r="RD45" i="1"/>
  <c r="RC45" i="1"/>
  <c r="QY45" i="1"/>
  <c r="QW45" i="1"/>
  <c r="QT45" i="1"/>
  <c r="QP45" i="1"/>
  <c r="QO45" i="1"/>
  <c r="QQ45" i="1" s="1"/>
  <c r="QN45" i="1"/>
  <c r="QK45" i="1"/>
  <c r="QH45" i="1"/>
  <c r="QE45" i="1"/>
  <c r="QA45" i="1"/>
  <c r="PZ45" i="1"/>
  <c r="QB45" i="1" s="1"/>
  <c r="PY45" i="1"/>
  <c r="PV45" i="1"/>
  <c r="PS45" i="1"/>
  <c r="PP45" i="1"/>
  <c r="PL45" i="1"/>
  <c r="PK45" i="1"/>
  <c r="PM45" i="1" s="1"/>
  <c r="PJ45" i="1"/>
  <c r="PG45" i="1"/>
  <c r="PD45" i="1"/>
  <c r="PA45" i="1"/>
  <c r="OW45" i="1"/>
  <c r="OV45" i="1"/>
  <c r="OX45" i="1" s="1"/>
  <c r="OU45" i="1"/>
  <c r="OR45" i="1"/>
  <c r="OO45" i="1"/>
  <c r="OL45" i="1"/>
  <c r="OH45" i="1"/>
  <c r="OG45" i="1"/>
  <c r="OI45" i="1" s="1"/>
  <c r="OF45" i="1"/>
  <c r="OC45" i="1"/>
  <c r="NZ45" i="1"/>
  <c r="NW45" i="1"/>
  <c r="NS45" i="1"/>
  <c r="NR45" i="1"/>
  <c r="NT45" i="1" s="1"/>
  <c r="NQ45" i="1"/>
  <c r="NN45" i="1"/>
  <c r="NK45" i="1"/>
  <c r="NH45" i="1"/>
  <c r="ND45" i="1"/>
  <c r="NC45" i="1"/>
  <c r="NE45" i="1" s="1"/>
  <c r="NB45" i="1"/>
  <c r="MY45" i="1"/>
  <c r="MV45" i="1"/>
  <c r="MS45" i="1"/>
  <c r="MO45" i="1"/>
  <c r="MN45" i="1"/>
  <c r="MP45" i="1" s="1"/>
  <c r="MM45" i="1"/>
  <c r="MJ45" i="1"/>
  <c r="MG45" i="1"/>
  <c r="MD45" i="1"/>
  <c r="LZ45" i="1"/>
  <c r="LY45" i="1"/>
  <c r="MA45" i="1" s="1"/>
  <c r="LX45" i="1"/>
  <c r="LU45" i="1"/>
  <c r="LR45" i="1"/>
  <c r="LO45" i="1"/>
  <c r="KV45" i="1"/>
  <c r="KU45" i="1"/>
  <c r="KW45" i="1" s="1"/>
  <c r="KT45" i="1"/>
  <c r="KQ45" i="1"/>
  <c r="KN45" i="1"/>
  <c r="KK45" i="1"/>
  <c r="KH45" i="1"/>
  <c r="JC45" i="1"/>
  <c r="JB45" i="1"/>
  <c r="JD45" i="1" s="1"/>
  <c r="JA45" i="1"/>
  <c r="IX45" i="1"/>
  <c r="IU45" i="1"/>
  <c r="IR45" i="1"/>
  <c r="IN45" i="1"/>
  <c r="IM45" i="1"/>
  <c r="IO45" i="1" s="1"/>
  <c r="IL45" i="1"/>
  <c r="II45" i="1"/>
  <c r="IF45" i="1"/>
  <c r="IC45" i="1"/>
  <c r="HY45" i="1"/>
  <c r="HX45" i="1"/>
  <c r="HZ45" i="1" s="1"/>
  <c r="HW45" i="1"/>
  <c r="HT45" i="1"/>
  <c r="HQ45" i="1"/>
  <c r="HN45" i="1"/>
  <c r="HJ45" i="1"/>
  <c r="HI45" i="1"/>
  <c r="HK45" i="1" s="1"/>
  <c r="HH45" i="1"/>
  <c r="HE45" i="1"/>
  <c r="HB45" i="1"/>
  <c r="GY45" i="1"/>
  <c r="GU45" i="1"/>
  <c r="GT45" i="1"/>
  <c r="GV45" i="1" s="1"/>
  <c r="GS45" i="1"/>
  <c r="GP45" i="1"/>
  <c r="GM45" i="1"/>
  <c r="GJ45" i="1"/>
  <c r="GF45" i="1"/>
  <c r="GE45" i="1"/>
  <c r="GG45" i="1" s="1"/>
  <c r="GD45" i="1"/>
  <c r="GA45" i="1"/>
  <c r="FX45" i="1"/>
  <c r="FU45" i="1"/>
  <c r="FQ45" i="1"/>
  <c r="FP45" i="1"/>
  <c r="FR45" i="1" s="1"/>
  <c r="FO45" i="1"/>
  <c r="FL45" i="1"/>
  <c r="FI45" i="1"/>
  <c r="FF45" i="1"/>
  <c r="FB45" i="1"/>
  <c r="FA45" i="1"/>
  <c r="FC45" i="1" s="1"/>
  <c r="EZ45" i="1"/>
  <c r="EW45" i="1"/>
  <c r="ET45" i="1"/>
  <c r="EQ45" i="1"/>
  <c r="EM45" i="1"/>
  <c r="EL45" i="1"/>
  <c r="EN45" i="1" s="1"/>
  <c r="EK45" i="1"/>
  <c r="EH45" i="1"/>
  <c r="EE45" i="1"/>
  <c r="EB45" i="1"/>
  <c r="DX45" i="1"/>
  <c r="DW45" i="1"/>
  <c r="DY45" i="1" s="1"/>
  <c r="DV45" i="1"/>
  <c r="DS45" i="1"/>
  <c r="DP45" i="1"/>
  <c r="DM45" i="1"/>
  <c r="DI45" i="1"/>
  <c r="DH45" i="1"/>
  <c r="DJ45" i="1" s="1"/>
  <c r="DG45" i="1"/>
  <c r="DD45" i="1"/>
  <c r="DA45" i="1"/>
  <c r="CX45" i="1"/>
  <c r="CT45" i="1"/>
  <c r="CU45" i="1" s="1"/>
  <c r="CS45" i="1"/>
  <c r="CR45" i="1"/>
  <c r="CO45" i="1"/>
  <c r="CL45" i="1"/>
  <c r="CI45" i="1"/>
  <c r="CF45" i="1"/>
  <c r="BP45" i="1"/>
  <c r="BO45" i="1"/>
  <c r="BQ45" i="1" s="1"/>
  <c r="BN45" i="1"/>
  <c r="BK45" i="1"/>
  <c r="BH45" i="1"/>
  <c r="BE45" i="1"/>
  <c r="BA45" i="1"/>
  <c r="AZ45" i="1"/>
  <c r="BB45" i="1" s="1"/>
  <c r="AY45" i="1"/>
  <c r="AV45" i="1"/>
  <c r="AS45" i="1"/>
  <c r="AP45" i="1"/>
  <c r="AM45" i="1"/>
  <c r="W45" i="1"/>
  <c r="V45" i="1"/>
  <c r="X45" i="1" s="1"/>
  <c r="U45" i="1"/>
  <c r="R45" i="1"/>
  <c r="O45" i="1"/>
  <c r="L45" i="1"/>
  <c r="I45" i="1"/>
  <c r="AAB44" i="1"/>
  <c r="AAA44" i="1"/>
  <c r="AAC44" i="1" s="1"/>
  <c r="AAC56" i="1" s="1"/>
  <c r="ZZ44" i="1"/>
  <c r="ZZ56" i="1" s="1"/>
  <c r="ZW44" i="1"/>
  <c r="ZW56" i="1" s="1"/>
  <c r="ZG44" i="1"/>
  <c r="ZF44" i="1"/>
  <c r="AAD44" i="1" s="1"/>
  <c r="ZE44" i="1"/>
  <c r="ZE56" i="1" s="1"/>
  <c r="ZB44" i="1"/>
  <c r="ZB56" i="1" s="1"/>
  <c r="YY44" i="1"/>
  <c r="YY56" i="1" s="1"/>
  <c r="YV44" i="1"/>
  <c r="YV56" i="1" s="1"/>
  <c r="YR44" i="1"/>
  <c r="YR56" i="1" s="1"/>
  <c r="YQ44" i="1"/>
  <c r="YS44" i="1" s="1"/>
  <c r="YS56" i="1" s="1"/>
  <c r="YP44" i="1"/>
  <c r="YP56" i="1" s="1"/>
  <c r="YM44" i="1"/>
  <c r="YM56" i="1" s="1"/>
  <c r="YJ44" i="1"/>
  <c r="YJ56" i="1" s="1"/>
  <c r="YG44" i="1"/>
  <c r="YG56" i="1" s="1"/>
  <c r="YC44" i="1"/>
  <c r="YC56" i="1" s="1"/>
  <c r="YB44" i="1"/>
  <c r="YD44" i="1" s="1"/>
  <c r="YD56" i="1" s="1"/>
  <c r="YA44" i="1"/>
  <c r="YA56" i="1" s="1"/>
  <c r="XX44" i="1"/>
  <c r="XX56" i="1" s="1"/>
  <c r="XU44" i="1"/>
  <c r="XU56" i="1" s="1"/>
  <c r="XR44" i="1"/>
  <c r="XR56" i="1" s="1"/>
  <c r="XN44" i="1"/>
  <c r="XN56" i="1" s="1"/>
  <c r="XM44" i="1"/>
  <c r="XO44" i="1" s="1"/>
  <c r="XO56" i="1" s="1"/>
  <c r="XL44" i="1"/>
  <c r="XL56" i="1" s="1"/>
  <c r="XI44" i="1"/>
  <c r="XI56" i="1" s="1"/>
  <c r="XF44" i="1"/>
  <c r="XF56" i="1" s="1"/>
  <c r="XC44" i="1"/>
  <c r="XC56" i="1" s="1"/>
  <c r="WY44" i="1"/>
  <c r="WY56" i="1" s="1"/>
  <c r="WX44" i="1"/>
  <c r="WZ44" i="1" s="1"/>
  <c r="WZ56" i="1" s="1"/>
  <c r="WW44" i="1"/>
  <c r="WW56" i="1" s="1"/>
  <c r="WT44" i="1"/>
  <c r="WT56" i="1" s="1"/>
  <c r="WQ44" i="1"/>
  <c r="WQ56" i="1" s="1"/>
  <c r="WN44" i="1"/>
  <c r="WN56" i="1" s="1"/>
  <c r="VU44" i="1"/>
  <c r="VT44" i="1"/>
  <c r="VV44" i="1" s="1"/>
  <c r="VS44" i="1"/>
  <c r="VP44" i="1"/>
  <c r="VP56" i="1" s="1"/>
  <c r="VM44" i="1"/>
  <c r="VM56" i="1" s="1"/>
  <c r="VJ44" i="1"/>
  <c r="VJ56" i="1" s="1"/>
  <c r="UQ44" i="1"/>
  <c r="UQ56" i="1" s="1"/>
  <c r="UP44" i="1"/>
  <c r="UR44" i="1" s="1"/>
  <c r="UR56" i="1" s="1"/>
  <c r="UO44" i="1"/>
  <c r="UO56" i="1" s="1"/>
  <c r="UL44" i="1"/>
  <c r="UL56" i="1" s="1"/>
  <c r="UI44" i="1"/>
  <c r="UI56" i="1" s="1"/>
  <c r="UF44" i="1"/>
  <c r="UF56" i="1" s="1"/>
  <c r="UB44" i="1"/>
  <c r="UB56" i="1" s="1"/>
  <c r="UA44" i="1"/>
  <c r="UC44" i="1" s="1"/>
  <c r="UC56" i="1" s="1"/>
  <c r="TZ44" i="1"/>
  <c r="TZ56" i="1" s="1"/>
  <c r="TW44" i="1"/>
  <c r="TW56" i="1" s="1"/>
  <c r="TT44" i="1"/>
  <c r="TT56" i="1" s="1"/>
  <c r="TQ44" i="1"/>
  <c r="TQ56" i="1" s="1"/>
  <c r="TM44" i="1"/>
  <c r="TM56" i="1" s="1"/>
  <c r="TL44" i="1"/>
  <c r="TN44" i="1" s="1"/>
  <c r="TN56" i="1" s="1"/>
  <c r="TK44" i="1"/>
  <c r="TK56" i="1" s="1"/>
  <c r="TH44" i="1"/>
  <c r="TH56" i="1" s="1"/>
  <c r="TE44" i="1"/>
  <c r="TE56" i="1" s="1"/>
  <c r="TB44" i="1"/>
  <c r="TB56" i="1" s="1"/>
  <c r="SX44" i="1"/>
  <c r="SX56" i="1" s="1"/>
  <c r="SW44" i="1"/>
  <c r="SY44" i="1" s="1"/>
  <c r="SY56" i="1" s="1"/>
  <c r="SV44" i="1"/>
  <c r="SV56" i="1" s="1"/>
  <c r="SS44" i="1"/>
  <c r="SS56" i="1" s="1"/>
  <c r="SP44" i="1"/>
  <c r="SP56" i="1" s="1"/>
  <c r="SM44" i="1"/>
  <c r="SM56" i="1" s="1"/>
  <c r="SI44" i="1"/>
  <c r="SI56" i="1" s="1"/>
  <c r="SH44" i="1"/>
  <c r="SJ44" i="1" s="1"/>
  <c r="SJ56" i="1" s="1"/>
  <c r="SG44" i="1"/>
  <c r="SG56" i="1" s="1"/>
  <c r="SD44" i="1"/>
  <c r="SD56" i="1" s="1"/>
  <c r="SA44" i="1"/>
  <c r="SA56" i="1" s="1"/>
  <c r="RX44" i="1"/>
  <c r="RX56" i="1" s="1"/>
  <c r="RU44" i="1"/>
  <c r="RE44" i="1"/>
  <c r="RD44" i="1"/>
  <c r="RC44" i="1"/>
  <c r="RC56" i="1" s="1"/>
  <c r="QZ44" i="1"/>
  <c r="QW44" i="1"/>
  <c r="QW56" i="1" s="1"/>
  <c r="QT44" i="1"/>
  <c r="QT56" i="1" s="1"/>
  <c r="QP44" i="1"/>
  <c r="QP56" i="1" s="1"/>
  <c r="QO44" i="1"/>
  <c r="QQ44" i="1" s="1"/>
  <c r="QQ56" i="1" s="1"/>
  <c r="QN44" i="1"/>
  <c r="QN56" i="1" s="1"/>
  <c r="QK44" i="1"/>
  <c r="QK56" i="1" s="1"/>
  <c r="QH44" i="1"/>
  <c r="QH56" i="1" s="1"/>
  <c r="QE44" i="1"/>
  <c r="QE56" i="1" s="1"/>
  <c r="QA44" i="1"/>
  <c r="QA56" i="1" s="1"/>
  <c r="PZ44" i="1"/>
  <c r="QB44" i="1" s="1"/>
  <c r="QB56" i="1" s="1"/>
  <c r="PY44" i="1"/>
  <c r="PY56" i="1" s="1"/>
  <c r="PV44" i="1"/>
  <c r="PV56" i="1" s="1"/>
  <c r="PS44" i="1"/>
  <c r="PS56" i="1" s="1"/>
  <c r="PP44" i="1"/>
  <c r="PP56" i="1" s="1"/>
  <c r="PL44" i="1"/>
  <c r="PL56" i="1" s="1"/>
  <c r="PK44" i="1"/>
  <c r="PM44" i="1" s="1"/>
  <c r="PM56" i="1" s="1"/>
  <c r="PJ44" i="1"/>
  <c r="PJ56" i="1" s="1"/>
  <c r="PG44" i="1"/>
  <c r="PG56" i="1" s="1"/>
  <c r="PD44" i="1"/>
  <c r="PD56" i="1" s="1"/>
  <c r="PA44" i="1"/>
  <c r="PA56" i="1" s="1"/>
  <c r="OW44" i="1"/>
  <c r="OW56" i="1" s="1"/>
  <c r="OV44" i="1"/>
  <c r="OX44" i="1" s="1"/>
  <c r="OX56" i="1" s="1"/>
  <c r="OU44" i="1"/>
  <c r="OU56" i="1" s="1"/>
  <c r="OR44" i="1"/>
  <c r="OR56" i="1" s="1"/>
  <c r="OO44" i="1"/>
  <c r="OO56" i="1" s="1"/>
  <c r="OL44" i="1"/>
  <c r="OL56" i="1" s="1"/>
  <c r="OH44" i="1"/>
  <c r="OH56" i="1" s="1"/>
  <c r="OG44" i="1"/>
  <c r="OI44" i="1" s="1"/>
  <c r="OF44" i="1"/>
  <c r="OF56" i="1" s="1"/>
  <c r="OC44" i="1"/>
  <c r="OC56" i="1" s="1"/>
  <c r="NZ44" i="1"/>
  <c r="NZ56" i="1" s="1"/>
  <c r="NW44" i="1"/>
  <c r="NS44" i="1"/>
  <c r="NS56" i="1" s="1"/>
  <c r="NR44" i="1"/>
  <c r="NT44" i="1" s="1"/>
  <c r="NT56" i="1" s="1"/>
  <c r="NQ44" i="1"/>
  <c r="NQ56" i="1" s="1"/>
  <c r="NN44" i="1"/>
  <c r="NN56" i="1" s="1"/>
  <c r="NK44" i="1"/>
  <c r="NK56" i="1" s="1"/>
  <c r="NH44" i="1"/>
  <c r="NH56" i="1" s="1"/>
  <c r="ND44" i="1"/>
  <c r="ND56" i="1" s="1"/>
  <c r="NC44" i="1"/>
  <c r="NE44" i="1" s="1"/>
  <c r="NE56" i="1" s="1"/>
  <c r="NB44" i="1"/>
  <c r="NB56" i="1" s="1"/>
  <c r="MY44" i="1"/>
  <c r="MY56" i="1" s="1"/>
  <c r="MV44" i="1"/>
  <c r="MV56" i="1" s="1"/>
  <c r="MS44" i="1"/>
  <c r="MS56" i="1" s="1"/>
  <c r="MO44" i="1"/>
  <c r="MO56" i="1" s="1"/>
  <c r="MN44" i="1"/>
  <c r="MP44" i="1" s="1"/>
  <c r="MM44" i="1"/>
  <c r="MM56" i="1" s="1"/>
  <c r="MJ44" i="1"/>
  <c r="MJ56" i="1" s="1"/>
  <c r="MG44" i="1"/>
  <c r="MG56" i="1" s="1"/>
  <c r="MD44" i="1"/>
  <c r="LZ44" i="1"/>
  <c r="LY44" i="1"/>
  <c r="MA44" i="1" s="1"/>
  <c r="LX44" i="1"/>
  <c r="LU44" i="1"/>
  <c r="LR44" i="1"/>
  <c r="LO44" i="1"/>
  <c r="LO56" i="1" s="1"/>
  <c r="KV44" i="1"/>
  <c r="KV56" i="1" s="1"/>
  <c r="KU44" i="1"/>
  <c r="KW44" i="1" s="1"/>
  <c r="KW56" i="1" s="1"/>
  <c r="KT44" i="1"/>
  <c r="KT56" i="1" s="1"/>
  <c r="KQ44" i="1"/>
  <c r="KQ56" i="1" s="1"/>
  <c r="KN44" i="1"/>
  <c r="KN56" i="1" s="1"/>
  <c r="KK44" i="1"/>
  <c r="KK56" i="1" s="1"/>
  <c r="KH44" i="1"/>
  <c r="KH56" i="1" s="1"/>
  <c r="JC44" i="1"/>
  <c r="JC56" i="1" s="1"/>
  <c r="JB44" i="1"/>
  <c r="JD44" i="1" s="1"/>
  <c r="JD56" i="1" s="1"/>
  <c r="JA44" i="1"/>
  <c r="JA56" i="1" s="1"/>
  <c r="IX44" i="1"/>
  <c r="IX56" i="1" s="1"/>
  <c r="IU44" i="1"/>
  <c r="IU56" i="1" s="1"/>
  <c r="IR44" i="1"/>
  <c r="IR56" i="1" s="1"/>
  <c r="IN44" i="1"/>
  <c r="IN56" i="1" s="1"/>
  <c r="IM44" i="1"/>
  <c r="IO44" i="1" s="1"/>
  <c r="IL44" i="1"/>
  <c r="IL56" i="1" s="1"/>
  <c r="II44" i="1"/>
  <c r="II56" i="1" s="1"/>
  <c r="IF44" i="1"/>
  <c r="IF56" i="1" s="1"/>
  <c r="IC44" i="1"/>
  <c r="HZ44" i="1"/>
  <c r="HZ56" i="1" s="1"/>
  <c r="HY44" i="1"/>
  <c r="HY56" i="1" s="1"/>
  <c r="HX44" i="1"/>
  <c r="HW44" i="1"/>
  <c r="HW56" i="1" s="1"/>
  <c r="HT44" i="1"/>
  <c r="HT56" i="1" s="1"/>
  <c r="HQ44" i="1"/>
  <c r="HQ56" i="1" s="1"/>
  <c r="HN44" i="1"/>
  <c r="HN56" i="1" s="1"/>
  <c r="HJ44" i="1"/>
  <c r="HJ56" i="1" s="1"/>
  <c r="HI44" i="1"/>
  <c r="HK44" i="1" s="1"/>
  <c r="HK56" i="1" s="1"/>
  <c r="HH44" i="1"/>
  <c r="HH56" i="1" s="1"/>
  <c r="HE44" i="1"/>
  <c r="HE56" i="1" s="1"/>
  <c r="HB44" i="1"/>
  <c r="HB56" i="1" s="1"/>
  <c r="GY44" i="1"/>
  <c r="GY56" i="1" s="1"/>
  <c r="GU44" i="1"/>
  <c r="GU56" i="1" s="1"/>
  <c r="GT44" i="1"/>
  <c r="GV44" i="1" s="1"/>
  <c r="GV56" i="1" s="1"/>
  <c r="GS44" i="1"/>
  <c r="GS56" i="1" s="1"/>
  <c r="GP44" i="1"/>
  <c r="GP56" i="1" s="1"/>
  <c r="GM44" i="1"/>
  <c r="GM56" i="1" s="1"/>
  <c r="GJ44" i="1"/>
  <c r="GJ56" i="1" s="1"/>
  <c r="GF44" i="1"/>
  <c r="GF56" i="1" s="1"/>
  <c r="GE44" i="1"/>
  <c r="GG44" i="1" s="1"/>
  <c r="GG56" i="1" s="1"/>
  <c r="GD44" i="1"/>
  <c r="GD56" i="1" s="1"/>
  <c r="GA44" i="1"/>
  <c r="GA56" i="1" s="1"/>
  <c r="FX44" i="1"/>
  <c r="FX56" i="1" s="1"/>
  <c r="FU44" i="1"/>
  <c r="FU56" i="1" s="1"/>
  <c r="FQ44" i="1"/>
  <c r="FQ56" i="1" s="1"/>
  <c r="FP44" i="1"/>
  <c r="FR44" i="1" s="1"/>
  <c r="FR56" i="1" s="1"/>
  <c r="FO44" i="1"/>
  <c r="FO56" i="1" s="1"/>
  <c r="FL44" i="1"/>
  <c r="FL56" i="1" s="1"/>
  <c r="FI44" i="1"/>
  <c r="FI56" i="1" s="1"/>
  <c r="FF44" i="1"/>
  <c r="FF56" i="1" s="1"/>
  <c r="FB44" i="1"/>
  <c r="FB56" i="1" s="1"/>
  <c r="FA44" i="1"/>
  <c r="FC44" i="1" s="1"/>
  <c r="FC56" i="1" s="1"/>
  <c r="EZ44" i="1"/>
  <c r="EZ56" i="1" s="1"/>
  <c r="EW44" i="1"/>
  <c r="EW56" i="1" s="1"/>
  <c r="ET44" i="1"/>
  <c r="ET56" i="1" s="1"/>
  <c r="EQ44" i="1"/>
  <c r="EQ56" i="1" s="1"/>
  <c r="EM44" i="1"/>
  <c r="EM56" i="1" s="1"/>
  <c r="EL44" i="1"/>
  <c r="EN44" i="1" s="1"/>
  <c r="EN56" i="1" s="1"/>
  <c r="EK44" i="1"/>
  <c r="EK56" i="1" s="1"/>
  <c r="EH44" i="1"/>
  <c r="EH56" i="1" s="1"/>
  <c r="EE44" i="1"/>
  <c r="EE56" i="1" s="1"/>
  <c r="EB44" i="1"/>
  <c r="EB56" i="1" s="1"/>
  <c r="DX44" i="1"/>
  <c r="DX56" i="1" s="1"/>
  <c r="DW44" i="1"/>
  <c r="DY44" i="1" s="1"/>
  <c r="DY56" i="1" s="1"/>
  <c r="DV44" i="1"/>
  <c r="DV56" i="1" s="1"/>
  <c r="DS44" i="1"/>
  <c r="DS56" i="1" s="1"/>
  <c r="DP44" i="1"/>
  <c r="DP56" i="1" s="1"/>
  <c r="DM44" i="1"/>
  <c r="DM56" i="1" s="1"/>
  <c r="DI44" i="1"/>
  <c r="DI56" i="1" s="1"/>
  <c r="DH44" i="1"/>
  <c r="DJ44" i="1" s="1"/>
  <c r="DJ56" i="1" s="1"/>
  <c r="DG44" i="1"/>
  <c r="DG56" i="1" s="1"/>
  <c r="DD44" i="1"/>
  <c r="DD56" i="1" s="1"/>
  <c r="DA44" i="1"/>
  <c r="DA56" i="1" s="1"/>
  <c r="CX44" i="1"/>
  <c r="CX56" i="1" s="1"/>
  <c r="CT44" i="1"/>
  <c r="CT56" i="1" s="1"/>
  <c r="CS44" i="1"/>
  <c r="CU44" i="1" s="1"/>
  <c r="CU56" i="1" s="1"/>
  <c r="CR44" i="1"/>
  <c r="CR56" i="1" s="1"/>
  <c r="CO44" i="1"/>
  <c r="CO56" i="1" s="1"/>
  <c r="CL44" i="1"/>
  <c r="CL56" i="1" s="1"/>
  <c r="CI44" i="1"/>
  <c r="CI56" i="1" s="1"/>
  <c r="CF44" i="1"/>
  <c r="CF56" i="1" s="1"/>
  <c r="BP44" i="1"/>
  <c r="BP56" i="1" s="1"/>
  <c r="BO44" i="1"/>
  <c r="BQ44" i="1" s="1"/>
  <c r="BQ56" i="1" s="1"/>
  <c r="BN44" i="1"/>
  <c r="BN56" i="1" s="1"/>
  <c r="BK44" i="1"/>
  <c r="BK56" i="1" s="1"/>
  <c r="BH44" i="1"/>
  <c r="BH56" i="1" s="1"/>
  <c r="BE44" i="1"/>
  <c r="BE56" i="1" s="1"/>
  <c r="BA44" i="1"/>
  <c r="BA56" i="1" s="1"/>
  <c r="AZ44" i="1"/>
  <c r="BB44" i="1" s="1"/>
  <c r="BB56" i="1" s="1"/>
  <c r="AY44" i="1"/>
  <c r="AY56" i="1" s="1"/>
  <c r="AV44" i="1"/>
  <c r="AV56" i="1" s="1"/>
  <c r="AS44" i="1"/>
  <c r="AS56" i="1" s="1"/>
  <c r="AP44" i="1"/>
  <c r="AP56" i="1" s="1"/>
  <c r="AM44" i="1"/>
  <c r="AM56" i="1" s="1"/>
  <c r="W44" i="1"/>
  <c r="W56" i="1" s="1"/>
  <c r="V44" i="1"/>
  <c r="U44" i="1"/>
  <c r="U56" i="1" s="1"/>
  <c r="R44" i="1"/>
  <c r="R56" i="1" s="1"/>
  <c r="O44" i="1"/>
  <c r="O56" i="1" s="1"/>
  <c r="L44" i="1"/>
  <c r="L56" i="1" s="1"/>
  <c r="I44" i="1"/>
  <c r="ZX43" i="1"/>
  <c r="AAA43" i="1" s="1"/>
  <c r="ZS43" i="1"/>
  <c r="ZR43" i="1"/>
  <c r="ZP43" i="1"/>
  <c r="ZO43" i="1"/>
  <c r="ZM43" i="1"/>
  <c r="ZL43" i="1"/>
  <c r="ZI43" i="1"/>
  <c r="ZU43" i="1" s="1"/>
  <c r="ZD43" i="1"/>
  <c r="ZC43" i="1"/>
  <c r="ZA43" i="1"/>
  <c r="YZ43" i="1"/>
  <c r="YX43" i="1"/>
  <c r="YW43" i="1"/>
  <c r="YU43" i="1"/>
  <c r="YT43" i="1"/>
  <c r="ZF43" i="1" s="1"/>
  <c r="YO43" i="1"/>
  <c r="YN43" i="1"/>
  <c r="YL43" i="1"/>
  <c r="YK43" i="1"/>
  <c r="YI43" i="1"/>
  <c r="YH43" i="1"/>
  <c r="YF43" i="1"/>
  <c r="YE43" i="1"/>
  <c r="YQ43" i="1" s="1"/>
  <c r="XZ43" i="1"/>
  <c r="XY43" i="1"/>
  <c r="XW43" i="1"/>
  <c r="XV43" i="1"/>
  <c r="XT43" i="1"/>
  <c r="XS43" i="1"/>
  <c r="XQ43" i="1"/>
  <c r="XP43" i="1"/>
  <c r="YB43" i="1" s="1"/>
  <c r="XK43" i="1"/>
  <c r="XJ43" i="1"/>
  <c r="XH43" i="1"/>
  <c r="XG43" i="1"/>
  <c r="XE43" i="1"/>
  <c r="XD43" i="1"/>
  <c r="XB43" i="1"/>
  <c r="XA43" i="1"/>
  <c r="XM43" i="1" s="1"/>
  <c r="WV43" i="1"/>
  <c r="WU43" i="1"/>
  <c r="WS43" i="1"/>
  <c r="WR43" i="1"/>
  <c r="WP43" i="1"/>
  <c r="WO43" i="1"/>
  <c r="WM43" i="1"/>
  <c r="WL43" i="1"/>
  <c r="WX43" i="1" s="1"/>
  <c r="VR43" i="1"/>
  <c r="VQ43" i="1"/>
  <c r="VO43" i="1"/>
  <c r="VN43" i="1"/>
  <c r="VL43" i="1"/>
  <c r="VK43" i="1"/>
  <c r="VI43" i="1"/>
  <c r="VH43" i="1"/>
  <c r="VT43" i="1" s="1"/>
  <c r="VD43" i="1"/>
  <c r="VC43" i="1"/>
  <c r="VB43" i="1"/>
  <c r="VA43" i="1"/>
  <c r="UZ43" i="1"/>
  <c r="UY43" i="1"/>
  <c r="UX43" i="1"/>
  <c r="UW43" i="1"/>
  <c r="UV43" i="1"/>
  <c r="UU43" i="1"/>
  <c r="UT43" i="1"/>
  <c r="US43" i="1"/>
  <c r="VE43" i="1" s="1"/>
  <c r="UN43" i="1"/>
  <c r="UM43" i="1"/>
  <c r="UK43" i="1"/>
  <c r="UJ43" i="1"/>
  <c r="UH43" i="1"/>
  <c r="UG43" i="1"/>
  <c r="UE43" i="1"/>
  <c r="UD43" i="1"/>
  <c r="UP43" i="1" s="1"/>
  <c r="TY43" i="1"/>
  <c r="TX43" i="1"/>
  <c r="TV43" i="1"/>
  <c r="TU43" i="1"/>
  <c r="TS43" i="1"/>
  <c r="TR43" i="1"/>
  <c r="TP43" i="1"/>
  <c r="TO43" i="1"/>
  <c r="UA43" i="1" s="1"/>
  <c r="TJ43" i="1"/>
  <c r="TI43" i="1"/>
  <c r="TG43" i="1"/>
  <c r="TF43" i="1"/>
  <c r="TD43" i="1"/>
  <c r="TC43" i="1"/>
  <c r="TA43" i="1"/>
  <c r="SZ43" i="1"/>
  <c r="TL43" i="1" s="1"/>
  <c r="SU43" i="1"/>
  <c r="ST43" i="1"/>
  <c r="SR43" i="1"/>
  <c r="SQ43" i="1"/>
  <c r="SO43" i="1"/>
  <c r="SN43" i="1"/>
  <c r="SL43" i="1"/>
  <c r="SK43" i="1"/>
  <c r="SW43" i="1" s="1"/>
  <c r="SE43" i="1"/>
  <c r="SC43" i="1"/>
  <c r="SB43" i="1"/>
  <c r="RZ43" i="1"/>
  <c r="RY43" i="1"/>
  <c r="RW43" i="1"/>
  <c r="RV43" i="1"/>
  <c r="SH43" i="1" s="1"/>
  <c r="RP43" i="1"/>
  <c r="RN43" i="1"/>
  <c r="RM43" i="1"/>
  <c r="RK43" i="1"/>
  <c r="RJ43" i="1"/>
  <c r="RH43" i="1"/>
  <c r="RG43" i="1"/>
  <c r="RS43" i="1" s="1"/>
  <c r="RB43" i="1"/>
  <c r="RA43" i="1"/>
  <c r="QY43" i="1"/>
  <c r="QX43" i="1"/>
  <c r="QV43" i="1"/>
  <c r="QU43" i="1"/>
  <c r="QS43" i="1"/>
  <c r="QR43" i="1"/>
  <c r="RD43" i="1" s="1"/>
  <c r="QM43" i="1"/>
  <c r="QL43" i="1"/>
  <c r="QJ43" i="1"/>
  <c r="QI43" i="1"/>
  <c r="QG43" i="1"/>
  <c r="QF43" i="1"/>
  <c r="QD43" i="1"/>
  <c r="QC43" i="1"/>
  <c r="QO43" i="1" s="1"/>
  <c r="PX43" i="1"/>
  <c r="PW43" i="1"/>
  <c r="PU43" i="1"/>
  <c r="PT43" i="1"/>
  <c r="PR43" i="1"/>
  <c r="PQ43" i="1"/>
  <c r="PN43" i="1"/>
  <c r="PZ43" i="1" s="1"/>
  <c r="PI43" i="1"/>
  <c r="PH43" i="1"/>
  <c r="PF43" i="1"/>
  <c r="PE43" i="1"/>
  <c r="PC43" i="1"/>
  <c r="PB43" i="1"/>
  <c r="OZ43" i="1"/>
  <c r="OY43" i="1"/>
  <c r="PK43" i="1" s="1"/>
  <c r="OT43" i="1"/>
  <c r="OS43" i="1"/>
  <c r="OQ43" i="1"/>
  <c r="OP43" i="1"/>
  <c r="ON43" i="1"/>
  <c r="OM43" i="1"/>
  <c r="OK43" i="1"/>
  <c r="OJ43" i="1"/>
  <c r="OV43" i="1" s="1"/>
  <c r="OE43" i="1"/>
  <c r="OD43" i="1"/>
  <c r="OB43" i="1"/>
  <c r="OA43" i="1"/>
  <c r="NY43" i="1"/>
  <c r="NX43" i="1"/>
  <c r="NV43" i="1"/>
  <c r="NP43" i="1"/>
  <c r="NO43" i="1"/>
  <c r="NM43" i="1"/>
  <c r="NL43" i="1"/>
  <c r="NJ43" i="1"/>
  <c r="NI43" i="1"/>
  <c r="NG43" i="1"/>
  <c r="NF43" i="1"/>
  <c r="NR43" i="1" s="1"/>
  <c r="NA43" i="1"/>
  <c r="MZ43" i="1"/>
  <c r="MX43" i="1"/>
  <c r="MW43" i="1"/>
  <c r="MU43" i="1"/>
  <c r="MT43" i="1"/>
  <c r="MR43" i="1"/>
  <c r="MQ43" i="1"/>
  <c r="NC43" i="1" s="1"/>
  <c r="MK43" i="1"/>
  <c r="MI43" i="1"/>
  <c r="MH43" i="1"/>
  <c r="MF43" i="1"/>
  <c r="ME43" i="1"/>
  <c r="MC43" i="1"/>
  <c r="LW43" i="1"/>
  <c r="LV43" i="1"/>
  <c r="LT43" i="1"/>
  <c r="LS43" i="1"/>
  <c r="LP43" i="1"/>
  <c r="LN43" i="1"/>
  <c r="LM43" i="1"/>
  <c r="LY43" i="1" s="1"/>
  <c r="KS43" i="1"/>
  <c r="KR43" i="1"/>
  <c r="KP43" i="1"/>
  <c r="KO43" i="1"/>
  <c r="KM43" i="1"/>
  <c r="KL43" i="1"/>
  <c r="KI43" i="1"/>
  <c r="KU43" i="1" s="1"/>
  <c r="KD43" i="1"/>
  <c r="KC43" i="1"/>
  <c r="KA43" i="1"/>
  <c r="JZ43" i="1"/>
  <c r="JX43" i="1"/>
  <c r="JW43" i="1"/>
  <c r="JU43" i="1"/>
  <c r="JT43" i="1"/>
  <c r="KF43" i="1" s="1"/>
  <c r="JO43" i="1"/>
  <c r="JN43" i="1"/>
  <c r="JL43" i="1"/>
  <c r="JK43" i="1"/>
  <c r="JI43" i="1"/>
  <c r="JH43" i="1"/>
  <c r="JF43" i="1"/>
  <c r="JE43" i="1"/>
  <c r="JQ43" i="1" s="1"/>
  <c r="IZ43" i="1"/>
  <c r="IY43" i="1"/>
  <c r="IW43" i="1"/>
  <c r="IV43" i="1"/>
  <c r="IT43" i="1"/>
  <c r="IS43" i="1"/>
  <c r="IQ43" i="1"/>
  <c r="IP43" i="1"/>
  <c r="JB43" i="1" s="1"/>
  <c r="IK43" i="1"/>
  <c r="IJ43" i="1"/>
  <c r="IH43" i="1"/>
  <c r="IG43" i="1"/>
  <c r="IE43" i="1"/>
  <c r="ID43" i="1"/>
  <c r="IB43" i="1"/>
  <c r="HV43" i="1"/>
  <c r="HU43" i="1"/>
  <c r="HS43" i="1"/>
  <c r="HR43" i="1"/>
  <c r="HP43" i="1"/>
  <c r="HO43" i="1"/>
  <c r="HM43" i="1"/>
  <c r="HL43" i="1"/>
  <c r="HX43" i="1" s="1"/>
  <c r="HG43" i="1"/>
  <c r="HF43" i="1"/>
  <c r="HD43" i="1"/>
  <c r="HC43" i="1"/>
  <c r="HA43" i="1"/>
  <c r="GZ43" i="1"/>
  <c r="GX43" i="1"/>
  <c r="GW43" i="1"/>
  <c r="HI43" i="1" s="1"/>
  <c r="GR43" i="1"/>
  <c r="GQ43" i="1"/>
  <c r="GO43" i="1"/>
  <c r="GN43" i="1"/>
  <c r="GL43" i="1"/>
  <c r="GK43" i="1"/>
  <c r="GI43" i="1"/>
  <c r="GH43" i="1"/>
  <c r="GT43" i="1" s="1"/>
  <c r="GC43" i="1"/>
  <c r="GB43" i="1"/>
  <c r="FZ43" i="1"/>
  <c r="FY43" i="1"/>
  <c r="FW43" i="1"/>
  <c r="FV43" i="1"/>
  <c r="FT43" i="1"/>
  <c r="FS43" i="1"/>
  <c r="GE43" i="1" s="1"/>
  <c r="FN43" i="1"/>
  <c r="FM43" i="1"/>
  <c r="FK43" i="1"/>
  <c r="FJ43" i="1"/>
  <c r="FH43" i="1"/>
  <c r="FG43" i="1"/>
  <c r="FE43" i="1"/>
  <c r="FD43" i="1"/>
  <c r="FP43" i="1" s="1"/>
  <c r="EY43" i="1"/>
  <c r="EX43" i="1"/>
  <c r="EV43" i="1"/>
  <c r="EU43" i="1"/>
  <c r="ES43" i="1"/>
  <c r="ER43" i="1"/>
  <c r="EP43" i="1"/>
  <c r="EO43" i="1"/>
  <c r="FA43" i="1" s="1"/>
  <c r="EJ43" i="1"/>
  <c r="EI43" i="1"/>
  <c r="EG43" i="1"/>
  <c r="EF43" i="1"/>
  <c r="ED43" i="1"/>
  <c r="EC43" i="1"/>
  <c r="EA43" i="1"/>
  <c r="DZ43" i="1"/>
  <c r="EL43" i="1" s="1"/>
  <c r="DU43" i="1"/>
  <c r="DT43" i="1"/>
  <c r="DR43" i="1"/>
  <c r="DQ43" i="1"/>
  <c r="DO43" i="1"/>
  <c r="DN43" i="1"/>
  <c r="DL43" i="1"/>
  <c r="DK43" i="1"/>
  <c r="DW43" i="1" s="1"/>
  <c r="DF43" i="1"/>
  <c r="DE43" i="1"/>
  <c r="DC43" i="1"/>
  <c r="DB43" i="1"/>
  <c r="CZ43" i="1"/>
  <c r="CY43" i="1"/>
  <c r="CW43" i="1"/>
  <c r="CV43" i="1"/>
  <c r="DH43" i="1" s="1"/>
  <c r="CQ43" i="1"/>
  <c r="CP43" i="1"/>
  <c r="CN43" i="1"/>
  <c r="CM43" i="1"/>
  <c r="CK43" i="1"/>
  <c r="CJ43" i="1"/>
  <c r="CH43" i="1"/>
  <c r="CG43" i="1"/>
  <c r="CS43" i="1" s="1"/>
  <c r="CC43" i="1"/>
  <c r="CB43" i="1"/>
  <c r="CA43" i="1"/>
  <c r="BZ43" i="1"/>
  <c r="BY43" i="1"/>
  <c r="BX43" i="1"/>
  <c r="BW43" i="1"/>
  <c r="BV43" i="1"/>
  <c r="BU43" i="1"/>
  <c r="BT43" i="1"/>
  <c r="BS43" i="1"/>
  <c r="BR43" i="1"/>
  <c r="CD43" i="1" s="1"/>
  <c r="BM43" i="1"/>
  <c r="BL43" i="1"/>
  <c r="BJ43" i="1"/>
  <c r="BI43" i="1"/>
  <c r="BG43" i="1"/>
  <c r="BF43" i="1"/>
  <c r="BD43" i="1"/>
  <c r="BC43" i="1"/>
  <c r="BO43" i="1" s="1"/>
  <c r="AX43" i="1"/>
  <c r="AW43" i="1"/>
  <c r="AU43" i="1"/>
  <c r="AT43" i="1"/>
  <c r="AR43" i="1"/>
  <c r="AQ43" i="1"/>
  <c r="AO43" i="1"/>
  <c r="AN43" i="1"/>
  <c r="AZ43" i="1" s="1"/>
  <c r="T43" i="1"/>
  <c r="S43" i="1"/>
  <c r="Q43" i="1"/>
  <c r="P43" i="1"/>
  <c r="N43" i="1"/>
  <c r="M43" i="1"/>
  <c r="J43" i="1"/>
  <c r="H43" i="1"/>
  <c r="AAB42" i="1"/>
  <c r="AAA42" i="1"/>
  <c r="AAC42" i="1" s="1"/>
  <c r="ZZ42" i="1"/>
  <c r="ZV42" i="1"/>
  <c r="ZU42" i="1"/>
  <c r="ZT42" i="1"/>
  <c r="ZQ42" i="1"/>
  <c r="ZN42" i="1"/>
  <c r="ZK42" i="1"/>
  <c r="ZG42" i="1"/>
  <c r="ZF42" i="1"/>
  <c r="ZH42" i="1" s="1"/>
  <c r="ZE42" i="1"/>
  <c r="ZB42" i="1"/>
  <c r="YY42" i="1"/>
  <c r="YV42" i="1"/>
  <c r="YR42" i="1"/>
  <c r="YQ42" i="1"/>
  <c r="YS42" i="1" s="1"/>
  <c r="YP42" i="1"/>
  <c r="YM42" i="1"/>
  <c r="YJ42" i="1"/>
  <c r="YG42" i="1"/>
  <c r="YC42" i="1"/>
  <c r="YB42" i="1"/>
  <c r="YD42" i="1" s="1"/>
  <c r="YA42" i="1"/>
  <c r="XX42" i="1"/>
  <c r="XU42" i="1"/>
  <c r="XR42" i="1"/>
  <c r="XN42" i="1"/>
  <c r="XM42" i="1"/>
  <c r="XO42" i="1" s="1"/>
  <c r="XL42" i="1"/>
  <c r="XI42" i="1"/>
  <c r="XF42" i="1"/>
  <c r="XC42" i="1"/>
  <c r="WY42" i="1"/>
  <c r="WX42" i="1"/>
  <c r="WZ42" i="1" s="1"/>
  <c r="WW42" i="1"/>
  <c r="WT42" i="1"/>
  <c r="WQ42" i="1"/>
  <c r="WN42" i="1"/>
  <c r="VU42" i="1"/>
  <c r="VT42" i="1"/>
  <c r="VV42" i="1" s="1"/>
  <c r="VS42" i="1"/>
  <c r="VP42" i="1"/>
  <c r="VM42" i="1"/>
  <c r="VJ42" i="1"/>
  <c r="VF42" i="1"/>
  <c r="VE42" i="1"/>
  <c r="VG42" i="1" s="1"/>
  <c r="UQ42" i="1"/>
  <c r="UP42" i="1"/>
  <c r="UR42" i="1" s="1"/>
  <c r="UO42" i="1"/>
  <c r="UL42" i="1"/>
  <c r="UI42" i="1"/>
  <c r="UF42" i="1"/>
  <c r="UB42" i="1"/>
  <c r="UA42" i="1"/>
  <c r="UC42" i="1" s="1"/>
  <c r="TZ42" i="1"/>
  <c r="TW42" i="1"/>
  <c r="TT42" i="1"/>
  <c r="TQ42" i="1"/>
  <c r="TM42" i="1"/>
  <c r="TL42" i="1"/>
  <c r="TN42" i="1" s="1"/>
  <c r="TK42" i="1"/>
  <c r="TH42" i="1"/>
  <c r="TE42" i="1"/>
  <c r="TB42" i="1"/>
  <c r="SX42" i="1"/>
  <c r="SW42" i="1"/>
  <c r="SY42" i="1" s="1"/>
  <c r="SV42" i="1"/>
  <c r="SS42" i="1"/>
  <c r="SP42" i="1"/>
  <c r="SM42" i="1"/>
  <c r="SI42" i="1"/>
  <c r="SH42" i="1"/>
  <c r="SJ42" i="1" s="1"/>
  <c r="SG42" i="1"/>
  <c r="SD42" i="1"/>
  <c r="SA42" i="1"/>
  <c r="RX42" i="1"/>
  <c r="RS42" i="1"/>
  <c r="RQ42" i="1"/>
  <c r="RO42" i="1"/>
  <c r="RL42" i="1"/>
  <c r="RI42" i="1"/>
  <c r="RE42" i="1"/>
  <c r="RD42" i="1"/>
  <c r="RF42" i="1" s="1"/>
  <c r="RC42" i="1"/>
  <c r="QZ42" i="1"/>
  <c r="QW42" i="1"/>
  <c r="QT42" i="1"/>
  <c r="QP42" i="1"/>
  <c r="QO42" i="1"/>
  <c r="QQ42" i="1" s="1"/>
  <c r="QN42" i="1"/>
  <c r="QK42" i="1"/>
  <c r="QH42" i="1"/>
  <c r="QE42" i="1"/>
  <c r="QA42" i="1"/>
  <c r="PZ42" i="1"/>
  <c r="QB42" i="1" s="1"/>
  <c r="PY42" i="1"/>
  <c r="PV42" i="1"/>
  <c r="PS42" i="1"/>
  <c r="PP42" i="1"/>
  <c r="PL42" i="1"/>
  <c r="PK42" i="1"/>
  <c r="PM42" i="1" s="1"/>
  <c r="PJ42" i="1"/>
  <c r="PG42" i="1"/>
  <c r="PD42" i="1"/>
  <c r="PA42" i="1"/>
  <c r="OW42" i="1"/>
  <c r="OV42" i="1"/>
  <c r="OX42" i="1" s="1"/>
  <c r="OU42" i="1"/>
  <c r="OR42" i="1"/>
  <c r="OO42" i="1"/>
  <c r="OL42" i="1"/>
  <c r="OH42" i="1"/>
  <c r="OG42" i="1"/>
  <c r="OI42" i="1" s="1"/>
  <c r="OF42" i="1"/>
  <c r="OC42" i="1"/>
  <c r="NZ42" i="1"/>
  <c r="NW42" i="1"/>
  <c r="NS42" i="1"/>
  <c r="NR42" i="1"/>
  <c r="NT42" i="1" s="1"/>
  <c r="NQ42" i="1"/>
  <c r="NN42" i="1"/>
  <c r="NK42" i="1"/>
  <c r="NH42" i="1"/>
  <c r="ND42" i="1"/>
  <c r="NC42" i="1"/>
  <c r="NE42" i="1" s="1"/>
  <c r="NB42" i="1"/>
  <c r="MY42" i="1"/>
  <c r="MV42" i="1"/>
  <c r="MS42" i="1"/>
  <c r="MO42" i="1"/>
  <c r="MN42" i="1"/>
  <c r="MP42" i="1" s="1"/>
  <c r="MM42" i="1"/>
  <c r="MJ42" i="1"/>
  <c r="MG42" i="1"/>
  <c r="MD42" i="1"/>
  <c r="LZ42" i="1"/>
  <c r="LY42" i="1"/>
  <c r="MA42" i="1" s="1"/>
  <c r="LX42" i="1"/>
  <c r="LU42" i="1"/>
  <c r="LR42" i="1"/>
  <c r="LO42" i="1"/>
  <c r="KV42" i="1"/>
  <c r="KU42" i="1"/>
  <c r="KW42" i="1" s="1"/>
  <c r="KT42" i="1"/>
  <c r="KQ42" i="1"/>
  <c r="KN42" i="1"/>
  <c r="KK42" i="1"/>
  <c r="KG42" i="1"/>
  <c r="KF42" i="1"/>
  <c r="KH42" i="1" s="1"/>
  <c r="KE42" i="1"/>
  <c r="JR42" i="1"/>
  <c r="JQ42" i="1"/>
  <c r="JS42" i="1" s="1"/>
  <c r="JP42" i="1"/>
  <c r="JC42" i="1"/>
  <c r="JB42" i="1"/>
  <c r="JD42" i="1" s="1"/>
  <c r="JA42" i="1"/>
  <c r="IX42" i="1"/>
  <c r="IU42" i="1"/>
  <c r="IR42" i="1"/>
  <c r="IN42" i="1"/>
  <c r="IM42" i="1"/>
  <c r="IO42" i="1" s="1"/>
  <c r="IL42" i="1"/>
  <c r="II42" i="1"/>
  <c r="IF42" i="1"/>
  <c r="IC42" i="1"/>
  <c r="HY42" i="1"/>
  <c r="HX42" i="1"/>
  <c r="HZ42" i="1" s="1"/>
  <c r="HW42" i="1"/>
  <c r="HT42" i="1"/>
  <c r="HQ42" i="1"/>
  <c r="HN42" i="1"/>
  <c r="HJ42" i="1"/>
  <c r="HI42" i="1"/>
  <c r="HK42" i="1" s="1"/>
  <c r="HH42" i="1"/>
  <c r="HE42" i="1"/>
  <c r="HB42" i="1"/>
  <c r="GY42" i="1"/>
  <c r="GU42" i="1"/>
  <c r="GT42" i="1"/>
  <c r="GV42" i="1" s="1"/>
  <c r="GS42" i="1"/>
  <c r="GP42" i="1"/>
  <c r="GM42" i="1"/>
  <c r="GJ42" i="1"/>
  <c r="GF42" i="1"/>
  <c r="GE42" i="1"/>
  <c r="GG42" i="1" s="1"/>
  <c r="GD42" i="1"/>
  <c r="GA42" i="1"/>
  <c r="FX42" i="1"/>
  <c r="FU42" i="1"/>
  <c r="FQ42" i="1"/>
  <c r="FP42" i="1"/>
  <c r="FR42" i="1" s="1"/>
  <c r="FO42" i="1"/>
  <c r="FL42" i="1"/>
  <c r="FI42" i="1"/>
  <c r="FF42" i="1"/>
  <c r="FB42" i="1"/>
  <c r="FA42" i="1"/>
  <c r="FC42" i="1" s="1"/>
  <c r="EZ42" i="1"/>
  <c r="EW42" i="1"/>
  <c r="ET42" i="1"/>
  <c r="EQ42" i="1"/>
  <c r="EM42" i="1"/>
  <c r="EL42" i="1"/>
  <c r="EN42" i="1" s="1"/>
  <c r="EK42" i="1"/>
  <c r="EH42" i="1"/>
  <c r="EE42" i="1"/>
  <c r="EB42" i="1"/>
  <c r="DX42" i="1"/>
  <c r="DW42" i="1"/>
  <c r="DY42" i="1" s="1"/>
  <c r="DV42" i="1"/>
  <c r="DS42" i="1"/>
  <c r="DP42" i="1"/>
  <c r="DM42" i="1"/>
  <c r="DI42" i="1"/>
  <c r="DH42" i="1"/>
  <c r="DJ42" i="1" s="1"/>
  <c r="DG42" i="1"/>
  <c r="DD42" i="1"/>
  <c r="DA42" i="1"/>
  <c r="CX42" i="1"/>
  <c r="CT42" i="1"/>
  <c r="CS42" i="1"/>
  <c r="CU42" i="1" s="1"/>
  <c r="CR42" i="1"/>
  <c r="CO42" i="1"/>
  <c r="CL42" i="1"/>
  <c r="CI42" i="1"/>
  <c r="CE42" i="1"/>
  <c r="CD42" i="1"/>
  <c r="CF42" i="1" s="1"/>
  <c r="BP42" i="1"/>
  <c r="BO42" i="1"/>
  <c r="BQ42" i="1" s="1"/>
  <c r="BN42" i="1"/>
  <c r="BK42" i="1"/>
  <c r="BH42" i="1"/>
  <c r="BE42" i="1"/>
  <c r="BA42" i="1"/>
  <c r="AZ42" i="1"/>
  <c r="BB42" i="1" s="1"/>
  <c r="AY42" i="1"/>
  <c r="AV42" i="1"/>
  <c r="AS42" i="1"/>
  <c r="AP42" i="1"/>
  <c r="AM42" i="1"/>
  <c r="V42" i="1"/>
  <c r="U42" i="1"/>
  <c r="R42" i="1"/>
  <c r="O42" i="1"/>
  <c r="K42" i="1"/>
  <c r="I42" i="1"/>
  <c r="AAB41" i="1"/>
  <c r="AAA41" i="1"/>
  <c r="AAC41" i="1" s="1"/>
  <c r="ZZ41" i="1"/>
  <c r="ZV41" i="1"/>
  <c r="AAE41" i="1" s="1"/>
  <c r="ZU41" i="1"/>
  <c r="ZT41" i="1"/>
  <c r="ZQ41" i="1"/>
  <c r="ZN41" i="1"/>
  <c r="ZK41" i="1"/>
  <c r="ZG41" i="1"/>
  <c r="ZF41" i="1"/>
  <c r="ZH41" i="1" s="1"/>
  <c r="ZE41" i="1"/>
  <c r="ZB41" i="1"/>
  <c r="YY41" i="1"/>
  <c r="YV41" i="1"/>
  <c r="YR41" i="1"/>
  <c r="YQ41" i="1"/>
  <c r="YS41" i="1" s="1"/>
  <c r="YP41" i="1"/>
  <c r="YM41" i="1"/>
  <c r="YJ41" i="1"/>
  <c r="YG41" i="1"/>
  <c r="YC41" i="1"/>
  <c r="YB41" i="1"/>
  <c r="YD41" i="1" s="1"/>
  <c r="YA41" i="1"/>
  <c r="XX41" i="1"/>
  <c r="XU41" i="1"/>
  <c r="XR41" i="1"/>
  <c r="XN41" i="1"/>
  <c r="XM41" i="1"/>
  <c r="XO41" i="1" s="1"/>
  <c r="XL41" i="1"/>
  <c r="XI41" i="1"/>
  <c r="XF41" i="1"/>
  <c r="XC41" i="1"/>
  <c r="WY41" i="1"/>
  <c r="WX41" i="1"/>
  <c r="WZ41" i="1" s="1"/>
  <c r="WW41" i="1"/>
  <c r="WT41" i="1"/>
  <c r="WQ41" i="1"/>
  <c r="WN41" i="1"/>
  <c r="VU41" i="1"/>
  <c r="VT41" i="1"/>
  <c r="VV41" i="1" s="1"/>
  <c r="VS41" i="1"/>
  <c r="VP41" i="1"/>
  <c r="VM41" i="1"/>
  <c r="VJ41" i="1"/>
  <c r="VF41" i="1"/>
  <c r="VE41" i="1"/>
  <c r="VG41" i="1" s="1"/>
  <c r="UQ41" i="1"/>
  <c r="UP41" i="1"/>
  <c r="UR41" i="1" s="1"/>
  <c r="UO41" i="1"/>
  <c r="UL41" i="1"/>
  <c r="UI41" i="1"/>
  <c r="UF41" i="1"/>
  <c r="UB41" i="1"/>
  <c r="UA41" i="1"/>
  <c r="UC41" i="1" s="1"/>
  <c r="TZ41" i="1"/>
  <c r="TW41" i="1"/>
  <c r="TT41" i="1"/>
  <c r="TQ41" i="1"/>
  <c r="TM41" i="1"/>
  <c r="TL41" i="1"/>
  <c r="TN41" i="1" s="1"/>
  <c r="TK41" i="1"/>
  <c r="TH41" i="1"/>
  <c r="TE41" i="1"/>
  <c r="TB41" i="1"/>
  <c r="SX41" i="1"/>
  <c r="SW41" i="1"/>
  <c r="SY41" i="1" s="1"/>
  <c r="SV41" i="1"/>
  <c r="SS41" i="1"/>
  <c r="SP41" i="1"/>
  <c r="SM41" i="1"/>
  <c r="SI41" i="1"/>
  <c r="SH41" i="1"/>
  <c r="SJ41" i="1" s="1"/>
  <c r="SG41" i="1"/>
  <c r="SD41" i="1"/>
  <c r="SA41" i="1"/>
  <c r="RX41" i="1"/>
  <c r="RT41" i="1"/>
  <c r="RS41" i="1"/>
  <c r="RU41" i="1" s="1"/>
  <c r="RR41" i="1"/>
  <c r="RO41" i="1"/>
  <c r="RL41" i="1"/>
  <c r="RI41" i="1"/>
  <c r="RE41" i="1"/>
  <c r="RD41" i="1"/>
  <c r="RF41" i="1" s="1"/>
  <c r="RC41" i="1"/>
  <c r="QZ41" i="1"/>
  <c r="QW41" i="1"/>
  <c r="QT41" i="1"/>
  <c r="QP41" i="1"/>
  <c r="QO41" i="1"/>
  <c r="QQ41" i="1" s="1"/>
  <c r="QN41" i="1"/>
  <c r="QK41" i="1"/>
  <c r="QH41" i="1"/>
  <c r="QE41" i="1"/>
  <c r="QA41" i="1"/>
  <c r="PZ41" i="1"/>
  <c r="QB41" i="1" s="1"/>
  <c r="PY41" i="1"/>
  <c r="PV41" i="1"/>
  <c r="PS41" i="1"/>
  <c r="PP41" i="1"/>
  <c r="PL41" i="1"/>
  <c r="PK41" i="1"/>
  <c r="PM41" i="1" s="1"/>
  <c r="PJ41" i="1"/>
  <c r="PG41" i="1"/>
  <c r="PD41" i="1"/>
  <c r="PA41" i="1"/>
  <c r="OW41" i="1"/>
  <c r="OV41" i="1"/>
  <c r="OX41" i="1" s="1"/>
  <c r="OU41" i="1"/>
  <c r="OR41" i="1"/>
  <c r="OO41" i="1"/>
  <c r="OL41" i="1"/>
  <c r="OH41" i="1"/>
  <c r="OG41" i="1"/>
  <c r="OI41" i="1" s="1"/>
  <c r="OF41" i="1"/>
  <c r="OC41" i="1"/>
  <c r="NZ41" i="1"/>
  <c r="NW41" i="1"/>
  <c r="NS41" i="1"/>
  <c r="NR41" i="1"/>
  <c r="NT41" i="1" s="1"/>
  <c r="NQ41" i="1"/>
  <c r="NN41" i="1"/>
  <c r="NK41" i="1"/>
  <c r="NH41" i="1"/>
  <c r="ND41" i="1"/>
  <c r="NC41" i="1"/>
  <c r="NE41" i="1" s="1"/>
  <c r="NB41" i="1"/>
  <c r="MY41" i="1"/>
  <c r="MV41" i="1"/>
  <c r="MS41" i="1"/>
  <c r="MO41" i="1"/>
  <c r="MN41" i="1"/>
  <c r="MP41" i="1" s="1"/>
  <c r="MM41" i="1"/>
  <c r="MJ41" i="1"/>
  <c r="MG41" i="1"/>
  <c r="MD41" i="1"/>
  <c r="LZ41" i="1"/>
  <c r="LY41" i="1"/>
  <c r="MA41" i="1" s="1"/>
  <c r="LX41" i="1"/>
  <c r="LU41" i="1"/>
  <c r="LR41" i="1"/>
  <c r="LO41" i="1"/>
  <c r="KV41" i="1"/>
  <c r="KU41" i="1"/>
  <c r="KW41" i="1" s="1"/>
  <c r="KT41" i="1"/>
  <c r="KQ41" i="1"/>
  <c r="KN41" i="1"/>
  <c r="KK41" i="1"/>
  <c r="KG41" i="1"/>
  <c r="KF41" i="1"/>
  <c r="KH41" i="1" s="1"/>
  <c r="KE41" i="1"/>
  <c r="JR41" i="1"/>
  <c r="JQ41" i="1"/>
  <c r="JS41" i="1" s="1"/>
  <c r="JP41" i="1"/>
  <c r="JC41" i="1"/>
  <c r="JB41" i="1"/>
  <c r="JD41" i="1" s="1"/>
  <c r="JA41" i="1"/>
  <c r="IX41" i="1"/>
  <c r="IU41" i="1"/>
  <c r="IR41" i="1"/>
  <c r="IN41" i="1"/>
  <c r="IM41" i="1"/>
  <c r="IO41" i="1" s="1"/>
  <c r="IL41" i="1"/>
  <c r="II41" i="1"/>
  <c r="IF41" i="1"/>
  <c r="IC41" i="1"/>
  <c r="HY41" i="1"/>
  <c r="HX41" i="1"/>
  <c r="HZ41" i="1" s="1"/>
  <c r="HW41" i="1"/>
  <c r="HT41" i="1"/>
  <c r="HQ41" i="1"/>
  <c r="HN41" i="1"/>
  <c r="HJ41" i="1"/>
  <c r="HI41" i="1"/>
  <c r="HK41" i="1" s="1"/>
  <c r="HH41" i="1"/>
  <c r="HE41" i="1"/>
  <c r="HB41" i="1"/>
  <c r="GY41" i="1"/>
  <c r="GU41" i="1"/>
  <c r="GT41" i="1"/>
  <c r="GV41" i="1" s="1"/>
  <c r="GS41" i="1"/>
  <c r="GP41" i="1"/>
  <c r="GM41" i="1"/>
  <c r="GJ41" i="1"/>
  <c r="GF41" i="1"/>
  <c r="GE41" i="1"/>
  <c r="GG41" i="1" s="1"/>
  <c r="GD41" i="1"/>
  <c r="GA41" i="1"/>
  <c r="FX41" i="1"/>
  <c r="FU41" i="1"/>
  <c r="FQ41" i="1"/>
  <c r="FP41" i="1"/>
  <c r="FR41" i="1" s="1"/>
  <c r="FO41" i="1"/>
  <c r="FL41" i="1"/>
  <c r="FI41" i="1"/>
  <c r="FF41" i="1"/>
  <c r="FB41" i="1"/>
  <c r="FA41" i="1"/>
  <c r="FC41" i="1" s="1"/>
  <c r="EZ41" i="1"/>
  <c r="EW41" i="1"/>
  <c r="ET41" i="1"/>
  <c r="EQ41" i="1"/>
  <c r="EM41" i="1"/>
  <c r="EL41" i="1"/>
  <c r="EN41" i="1" s="1"/>
  <c r="EK41" i="1"/>
  <c r="EH41" i="1"/>
  <c r="EE41" i="1"/>
  <c r="EB41" i="1"/>
  <c r="DX41" i="1"/>
  <c r="DW41" i="1"/>
  <c r="DY41" i="1" s="1"/>
  <c r="DV41" i="1"/>
  <c r="DS41" i="1"/>
  <c r="DP41" i="1"/>
  <c r="DM41" i="1"/>
  <c r="DI41" i="1"/>
  <c r="DH41" i="1"/>
  <c r="DJ41" i="1" s="1"/>
  <c r="DG41" i="1"/>
  <c r="DD41" i="1"/>
  <c r="DA41" i="1"/>
  <c r="CX41" i="1"/>
  <c r="CT41" i="1"/>
  <c r="CS41" i="1"/>
  <c r="CU41" i="1" s="1"/>
  <c r="CR41" i="1"/>
  <c r="CO41" i="1"/>
  <c r="CL41" i="1"/>
  <c r="CI41" i="1"/>
  <c r="CE41" i="1"/>
  <c r="CD41" i="1"/>
  <c r="CF41" i="1" s="1"/>
  <c r="BP41" i="1"/>
  <c r="BO41" i="1"/>
  <c r="BQ41" i="1" s="1"/>
  <c r="BN41" i="1"/>
  <c r="BK41" i="1"/>
  <c r="BH41" i="1"/>
  <c r="BE41" i="1"/>
  <c r="BA41" i="1"/>
  <c r="AZ41" i="1"/>
  <c r="BB41" i="1" s="1"/>
  <c r="AY41" i="1"/>
  <c r="AV41" i="1"/>
  <c r="AS41" i="1"/>
  <c r="AP41" i="1"/>
  <c r="AM41" i="1"/>
  <c r="W41" i="1"/>
  <c r="V41" i="1"/>
  <c r="X41" i="1" s="1"/>
  <c r="U41" i="1"/>
  <c r="R41" i="1"/>
  <c r="O41" i="1"/>
  <c r="L41" i="1"/>
  <c r="I41" i="1"/>
  <c r="AAB40" i="1"/>
  <c r="AAA40" i="1"/>
  <c r="AAC40" i="1" s="1"/>
  <c r="ZZ40" i="1"/>
  <c r="ZV40" i="1"/>
  <c r="AAE40" i="1" s="1"/>
  <c r="ZU40" i="1"/>
  <c r="ZT40" i="1"/>
  <c r="ZQ40" i="1"/>
  <c r="ZN40" i="1"/>
  <c r="ZK40" i="1"/>
  <c r="ZG40" i="1"/>
  <c r="ZF40" i="1"/>
  <c r="ZH40" i="1" s="1"/>
  <c r="ZE40" i="1"/>
  <c r="ZB40" i="1"/>
  <c r="YY40" i="1"/>
  <c r="YV40" i="1"/>
  <c r="YR40" i="1"/>
  <c r="YQ40" i="1"/>
  <c r="YS40" i="1" s="1"/>
  <c r="YP40" i="1"/>
  <c r="YM40" i="1"/>
  <c r="YJ40" i="1"/>
  <c r="YG40" i="1"/>
  <c r="YC40" i="1"/>
  <c r="YB40" i="1"/>
  <c r="YD40" i="1" s="1"/>
  <c r="YA40" i="1"/>
  <c r="XX40" i="1"/>
  <c r="XU40" i="1"/>
  <c r="XR40" i="1"/>
  <c r="XN40" i="1"/>
  <c r="XM40" i="1"/>
  <c r="XO40" i="1" s="1"/>
  <c r="XL40" i="1"/>
  <c r="XI40" i="1"/>
  <c r="XF40" i="1"/>
  <c r="XC40" i="1"/>
  <c r="WY40" i="1"/>
  <c r="WX40" i="1"/>
  <c r="WZ40" i="1" s="1"/>
  <c r="WW40" i="1"/>
  <c r="WT40" i="1"/>
  <c r="WQ40" i="1"/>
  <c r="WN40" i="1"/>
  <c r="VU40" i="1"/>
  <c r="VT40" i="1"/>
  <c r="VV40" i="1" s="1"/>
  <c r="VS40" i="1"/>
  <c r="VP40" i="1"/>
  <c r="VM40" i="1"/>
  <c r="VJ40" i="1"/>
  <c r="VF40" i="1"/>
  <c r="VE40" i="1"/>
  <c r="VG40" i="1" s="1"/>
  <c r="UQ40" i="1"/>
  <c r="UP40" i="1"/>
  <c r="UR40" i="1" s="1"/>
  <c r="UO40" i="1"/>
  <c r="UL40" i="1"/>
  <c r="UI40" i="1"/>
  <c r="UF40" i="1"/>
  <c r="UB40" i="1"/>
  <c r="UA40" i="1"/>
  <c r="UC40" i="1" s="1"/>
  <c r="TZ40" i="1"/>
  <c r="TW40" i="1"/>
  <c r="TT40" i="1"/>
  <c r="TQ40" i="1"/>
  <c r="TM40" i="1"/>
  <c r="TL40" i="1"/>
  <c r="TN40" i="1" s="1"/>
  <c r="TK40" i="1"/>
  <c r="TH40" i="1"/>
  <c r="TE40" i="1"/>
  <c r="TB40" i="1"/>
  <c r="SX40" i="1"/>
  <c r="SW40" i="1"/>
  <c r="SY40" i="1" s="1"/>
  <c r="SV40" i="1"/>
  <c r="SS40" i="1"/>
  <c r="SP40" i="1"/>
  <c r="SM40" i="1"/>
  <c r="SI40" i="1"/>
  <c r="SH40" i="1"/>
  <c r="SJ40" i="1" s="1"/>
  <c r="SG40" i="1"/>
  <c r="SD40" i="1"/>
  <c r="SA40" i="1"/>
  <c r="RX40" i="1"/>
  <c r="RT40" i="1"/>
  <c r="RS40" i="1"/>
  <c r="RU40" i="1" s="1"/>
  <c r="RR40" i="1"/>
  <c r="RO40" i="1"/>
  <c r="RL40" i="1"/>
  <c r="RI40" i="1"/>
  <c r="RE40" i="1"/>
  <c r="RD40" i="1"/>
  <c r="RF40" i="1" s="1"/>
  <c r="RC40" i="1"/>
  <c r="QZ40" i="1"/>
  <c r="QW40" i="1"/>
  <c r="QT40" i="1"/>
  <c r="QP40" i="1"/>
  <c r="QO40" i="1"/>
  <c r="QQ40" i="1" s="1"/>
  <c r="QN40" i="1"/>
  <c r="QK40" i="1"/>
  <c r="QH40" i="1"/>
  <c r="QE40" i="1"/>
  <c r="QA40" i="1"/>
  <c r="PZ40" i="1"/>
  <c r="QB40" i="1" s="1"/>
  <c r="PY40" i="1"/>
  <c r="PV40" i="1"/>
  <c r="PS40" i="1"/>
  <c r="PP40" i="1"/>
  <c r="PL40" i="1"/>
  <c r="PK40" i="1"/>
  <c r="PM40" i="1" s="1"/>
  <c r="PJ40" i="1"/>
  <c r="PG40" i="1"/>
  <c r="PD40" i="1"/>
  <c r="PA40" i="1"/>
  <c r="OW40" i="1"/>
  <c r="OV40" i="1"/>
  <c r="OX40" i="1" s="1"/>
  <c r="OU40" i="1"/>
  <c r="OR40" i="1"/>
  <c r="OO40" i="1"/>
  <c r="OL40" i="1"/>
  <c r="OH40" i="1"/>
  <c r="OG40" i="1"/>
  <c r="OI40" i="1" s="1"/>
  <c r="OF40" i="1"/>
  <c r="OC40" i="1"/>
  <c r="NZ40" i="1"/>
  <c r="NW40" i="1"/>
  <c r="NS40" i="1"/>
  <c r="NR40" i="1"/>
  <c r="NT40" i="1" s="1"/>
  <c r="NQ40" i="1"/>
  <c r="NN40" i="1"/>
  <c r="NK40" i="1"/>
  <c r="NH40" i="1"/>
  <c r="ND40" i="1"/>
  <c r="NC40" i="1"/>
  <c r="NE40" i="1" s="1"/>
  <c r="NB40" i="1"/>
  <c r="MY40" i="1"/>
  <c r="MV40" i="1"/>
  <c r="MS40" i="1"/>
  <c r="MO40" i="1"/>
  <c r="MN40" i="1"/>
  <c r="MP40" i="1" s="1"/>
  <c r="MM40" i="1"/>
  <c r="MJ40" i="1"/>
  <c r="MG40" i="1"/>
  <c r="MD40" i="1"/>
  <c r="LZ40" i="1"/>
  <c r="LY40" i="1"/>
  <c r="MA40" i="1" s="1"/>
  <c r="LX40" i="1"/>
  <c r="LU40" i="1"/>
  <c r="LR40" i="1"/>
  <c r="LO40" i="1"/>
  <c r="KV40" i="1"/>
  <c r="KU40" i="1"/>
  <c r="KW40" i="1" s="1"/>
  <c r="KT40" i="1"/>
  <c r="KQ40" i="1"/>
  <c r="KN40" i="1"/>
  <c r="KK40" i="1"/>
  <c r="KG40" i="1"/>
  <c r="KF40" i="1"/>
  <c r="KH40" i="1" s="1"/>
  <c r="KE40" i="1"/>
  <c r="JR40" i="1"/>
  <c r="JQ40" i="1"/>
  <c r="JS40" i="1" s="1"/>
  <c r="JP40" i="1"/>
  <c r="JC40" i="1"/>
  <c r="JB40" i="1"/>
  <c r="JD40" i="1" s="1"/>
  <c r="JA40" i="1"/>
  <c r="IX40" i="1"/>
  <c r="IU40" i="1"/>
  <c r="IR40" i="1"/>
  <c r="IN40" i="1"/>
  <c r="IM40" i="1"/>
  <c r="IO40" i="1" s="1"/>
  <c r="IL40" i="1"/>
  <c r="II40" i="1"/>
  <c r="IF40" i="1"/>
  <c r="IC40" i="1"/>
  <c r="HY40" i="1"/>
  <c r="HX40" i="1"/>
  <c r="HZ40" i="1" s="1"/>
  <c r="HW40" i="1"/>
  <c r="HT40" i="1"/>
  <c r="HQ40" i="1"/>
  <c r="HN40" i="1"/>
  <c r="HJ40" i="1"/>
  <c r="HI40" i="1"/>
  <c r="HK40" i="1" s="1"/>
  <c r="HH40" i="1"/>
  <c r="HE40" i="1"/>
  <c r="HB40" i="1"/>
  <c r="GY40" i="1"/>
  <c r="GU40" i="1"/>
  <c r="GT40" i="1"/>
  <c r="GV40" i="1" s="1"/>
  <c r="GS40" i="1"/>
  <c r="GP40" i="1"/>
  <c r="GM40" i="1"/>
  <c r="GJ40" i="1"/>
  <c r="GF40" i="1"/>
  <c r="GE40" i="1"/>
  <c r="GG40" i="1" s="1"/>
  <c r="GD40" i="1"/>
  <c r="GA40" i="1"/>
  <c r="FX40" i="1"/>
  <c r="FU40" i="1"/>
  <c r="FQ40" i="1"/>
  <c r="FP40" i="1"/>
  <c r="FR40" i="1" s="1"/>
  <c r="FO40" i="1"/>
  <c r="FL40" i="1"/>
  <c r="FI40" i="1"/>
  <c r="FF40" i="1"/>
  <c r="FB40" i="1"/>
  <c r="FA40" i="1"/>
  <c r="FC40" i="1" s="1"/>
  <c r="EZ40" i="1"/>
  <c r="EW40" i="1"/>
  <c r="ET40" i="1"/>
  <c r="EQ40" i="1"/>
  <c r="EM40" i="1"/>
  <c r="EL40" i="1"/>
  <c r="EN40" i="1" s="1"/>
  <c r="EK40" i="1"/>
  <c r="EH40" i="1"/>
  <c r="EE40" i="1"/>
  <c r="EB40" i="1"/>
  <c r="DX40" i="1"/>
  <c r="DW40" i="1"/>
  <c r="DY40" i="1" s="1"/>
  <c r="DV40" i="1"/>
  <c r="DS40" i="1"/>
  <c r="DP40" i="1"/>
  <c r="DM40" i="1"/>
  <c r="DI40" i="1"/>
  <c r="DH40" i="1"/>
  <c r="DJ40" i="1" s="1"/>
  <c r="DG40" i="1"/>
  <c r="DD40" i="1"/>
  <c r="DA40" i="1"/>
  <c r="CX40" i="1"/>
  <c r="CT40" i="1"/>
  <c r="CS40" i="1"/>
  <c r="CU40" i="1" s="1"/>
  <c r="CR40" i="1"/>
  <c r="CO40" i="1"/>
  <c r="CL40" i="1"/>
  <c r="CI40" i="1"/>
  <c r="CE40" i="1"/>
  <c r="CD40" i="1"/>
  <c r="CF40" i="1" s="1"/>
  <c r="BP40" i="1"/>
  <c r="BO40" i="1"/>
  <c r="BQ40" i="1" s="1"/>
  <c r="BN40" i="1"/>
  <c r="BK40" i="1"/>
  <c r="BH40" i="1"/>
  <c r="BE40" i="1"/>
  <c r="BA40" i="1"/>
  <c r="AZ40" i="1"/>
  <c r="BB40" i="1" s="1"/>
  <c r="AY40" i="1"/>
  <c r="AV40" i="1"/>
  <c r="AS40" i="1"/>
  <c r="AP40" i="1"/>
  <c r="AM40" i="1"/>
  <c r="W40" i="1"/>
  <c r="V40" i="1"/>
  <c r="X40" i="1" s="1"/>
  <c r="U40" i="1"/>
  <c r="R40" i="1"/>
  <c r="O40" i="1"/>
  <c r="L40" i="1"/>
  <c r="I40" i="1"/>
  <c r="AAB39" i="1"/>
  <c r="AAA39" i="1"/>
  <c r="AAC39" i="1" s="1"/>
  <c r="ZZ39" i="1"/>
  <c r="ZV39" i="1"/>
  <c r="AAE39" i="1" s="1"/>
  <c r="ZU39" i="1"/>
  <c r="ZT39" i="1"/>
  <c r="ZQ39" i="1"/>
  <c r="ZN39" i="1"/>
  <c r="ZK39" i="1"/>
  <c r="ZG39" i="1"/>
  <c r="ZF39" i="1"/>
  <c r="ZH39" i="1" s="1"/>
  <c r="ZE39" i="1"/>
  <c r="ZB39" i="1"/>
  <c r="YY39" i="1"/>
  <c r="YV39" i="1"/>
  <c r="YR39" i="1"/>
  <c r="YQ39" i="1"/>
  <c r="YS39" i="1" s="1"/>
  <c r="YP39" i="1"/>
  <c r="YM39" i="1"/>
  <c r="YJ39" i="1"/>
  <c r="YG39" i="1"/>
  <c r="YC39" i="1"/>
  <c r="YB39" i="1"/>
  <c r="YD39" i="1" s="1"/>
  <c r="YA39" i="1"/>
  <c r="XX39" i="1"/>
  <c r="XU39" i="1"/>
  <c r="XR39" i="1"/>
  <c r="XN39" i="1"/>
  <c r="XM39" i="1"/>
  <c r="XO39" i="1" s="1"/>
  <c r="XL39" i="1"/>
  <c r="XI39" i="1"/>
  <c r="XF39" i="1"/>
  <c r="XC39" i="1"/>
  <c r="WY39" i="1"/>
  <c r="WX39" i="1"/>
  <c r="WZ39" i="1" s="1"/>
  <c r="WW39" i="1"/>
  <c r="WT39" i="1"/>
  <c r="WQ39" i="1"/>
  <c r="WN39" i="1"/>
  <c r="VU39" i="1"/>
  <c r="VT39" i="1"/>
  <c r="VV39" i="1" s="1"/>
  <c r="VS39" i="1"/>
  <c r="VP39" i="1"/>
  <c r="VM39" i="1"/>
  <c r="VJ39" i="1"/>
  <c r="VF39" i="1"/>
  <c r="VE39" i="1"/>
  <c r="VG39" i="1" s="1"/>
  <c r="UQ39" i="1"/>
  <c r="UP39" i="1"/>
  <c r="UR39" i="1" s="1"/>
  <c r="UO39" i="1"/>
  <c r="UL39" i="1"/>
  <c r="UI39" i="1"/>
  <c r="UF39" i="1"/>
  <c r="UB39" i="1"/>
  <c r="UA39" i="1"/>
  <c r="UC39" i="1" s="1"/>
  <c r="TZ39" i="1"/>
  <c r="TW39" i="1"/>
  <c r="TT39" i="1"/>
  <c r="TQ39" i="1"/>
  <c r="TM39" i="1"/>
  <c r="TL39" i="1"/>
  <c r="TN39" i="1" s="1"/>
  <c r="TK39" i="1"/>
  <c r="TH39" i="1"/>
  <c r="TE39" i="1"/>
  <c r="TB39" i="1"/>
  <c r="SX39" i="1"/>
  <c r="SW39" i="1"/>
  <c r="SY39" i="1" s="1"/>
  <c r="SV39" i="1"/>
  <c r="SS39" i="1"/>
  <c r="SP39" i="1"/>
  <c r="SM39" i="1"/>
  <c r="SI39" i="1"/>
  <c r="SH39" i="1"/>
  <c r="SJ39" i="1" s="1"/>
  <c r="SG39" i="1"/>
  <c r="SD39" i="1"/>
  <c r="SA39" i="1"/>
  <c r="RX39" i="1"/>
  <c r="RT39" i="1"/>
  <c r="RS39" i="1"/>
  <c r="RU39" i="1" s="1"/>
  <c r="RR39" i="1"/>
  <c r="RO39" i="1"/>
  <c r="RL39" i="1"/>
  <c r="RI39" i="1"/>
  <c r="RE39" i="1"/>
  <c r="RD39" i="1"/>
  <c r="RF39" i="1" s="1"/>
  <c r="RC39" i="1"/>
  <c r="QZ39" i="1"/>
  <c r="QW39" i="1"/>
  <c r="QT39" i="1"/>
  <c r="QP39" i="1"/>
  <c r="QO39" i="1"/>
  <c r="QQ39" i="1" s="1"/>
  <c r="QN39" i="1"/>
  <c r="QK39" i="1"/>
  <c r="QH39" i="1"/>
  <c r="QE39" i="1"/>
  <c r="QA39" i="1"/>
  <c r="PZ39" i="1"/>
  <c r="QB39" i="1" s="1"/>
  <c r="PY39" i="1"/>
  <c r="PV39" i="1"/>
  <c r="PS39" i="1"/>
  <c r="PP39" i="1"/>
  <c r="PL39" i="1"/>
  <c r="PK39" i="1"/>
  <c r="PM39" i="1" s="1"/>
  <c r="PJ39" i="1"/>
  <c r="PG39" i="1"/>
  <c r="PD39" i="1"/>
  <c r="PA39" i="1"/>
  <c r="OW39" i="1"/>
  <c r="OV39" i="1"/>
  <c r="OX39" i="1" s="1"/>
  <c r="OU39" i="1"/>
  <c r="OR39" i="1"/>
  <c r="OO39" i="1"/>
  <c r="OL39" i="1"/>
  <c r="OH39" i="1"/>
  <c r="OG39" i="1"/>
  <c r="OI39" i="1" s="1"/>
  <c r="OF39" i="1"/>
  <c r="OC39" i="1"/>
  <c r="NZ39" i="1"/>
  <c r="NW39" i="1"/>
  <c r="NS39" i="1"/>
  <c r="NR39" i="1"/>
  <c r="NT39" i="1" s="1"/>
  <c r="NQ39" i="1"/>
  <c r="NN39" i="1"/>
  <c r="NK39" i="1"/>
  <c r="NH39" i="1"/>
  <c r="ND39" i="1"/>
  <c r="NC39" i="1"/>
  <c r="NE39" i="1" s="1"/>
  <c r="NB39" i="1"/>
  <c r="MY39" i="1"/>
  <c r="MV39" i="1"/>
  <c r="MS39" i="1"/>
  <c r="MO39" i="1"/>
  <c r="MN39" i="1"/>
  <c r="MP39" i="1" s="1"/>
  <c r="MM39" i="1"/>
  <c r="MJ39" i="1"/>
  <c r="MG39" i="1"/>
  <c r="MD39" i="1"/>
  <c r="LZ39" i="1"/>
  <c r="LY39" i="1"/>
  <c r="MA39" i="1" s="1"/>
  <c r="LX39" i="1"/>
  <c r="LU39" i="1"/>
  <c r="LR39" i="1"/>
  <c r="LO39" i="1"/>
  <c r="KV39" i="1"/>
  <c r="KU39" i="1"/>
  <c r="KW39" i="1" s="1"/>
  <c r="KT39" i="1"/>
  <c r="KQ39" i="1"/>
  <c r="KN39" i="1"/>
  <c r="KK39" i="1"/>
  <c r="KG39" i="1"/>
  <c r="KF39" i="1"/>
  <c r="KH39" i="1" s="1"/>
  <c r="KE39" i="1"/>
  <c r="KB39" i="1"/>
  <c r="JY39" i="1"/>
  <c r="JV39" i="1"/>
  <c r="JR39" i="1"/>
  <c r="JQ39" i="1"/>
  <c r="JS39" i="1" s="1"/>
  <c r="JP39" i="1"/>
  <c r="JM39" i="1"/>
  <c r="JJ39" i="1"/>
  <c r="JG39" i="1"/>
  <c r="JC39" i="1"/>
  <c r="JB39" i="1"/>
  <c r="JD39" i="1" s="1"/>
  <c r="JA39" i="1"/>
  <c r="IX39" i="1"/>
  <c r="IU39" i="1"/>
  <c r="IR39" i="1"/>
  <c r="IN39" i="1"/>
  <c r="IM39" i="1"/>
  <c r="IO39" i="1" s="1"/>
  <c r="IL39" i="1"/>
  <c r="II39" i="1"/>
  <c r="IF39" i="1"/>
  <c r="IC39" i="1"/>
  <c r="HY39" i="1"/>
  <c r="HX39" i="1"/>
  <c r="HZ39" i="1" s="1"/>
  <c r="HW39" i="1"/>
  <c r="HT39" i="1"/>
  <c r="HQ39" i="1"/>
  <c r="HN39" i="1"/>
  <c r="HJ39" i="1"/>
  <c r="HI39" i="1"/>
  <c r="HK39" i="1" s="1"/>
  <c r="HH39" i="1"/>
  <c r="HE39" i="1"/>
  <c r="HB39" i="1"/>
  <c r="GY39" i="1"/>
  <c r="GU39" i="1"/>
  <c r="GT39" i="1"/>
  <c r="GV39" i="1" s="1"/>
  <c r="GS39" i="1"/>
  <c r="GP39" i="1"/>
  <c r="GM39" i="1"/>
  <c r="GJ39" i="1"/>
  <c r="GF39" i="1"/>
  <c r="GE39" i="1"/>
  <c r="GG39" i="1" s="1"/>
  <c r="GD39" i="1"/>
  <c r="GA39" i="1"/>
  <c r="FX39" i="1"/>
  <c r="FU39" i="1"/>
  <c r="FQ39" i="1"/>
  <c r="FP39" i="1"/>
  <c r="FR39" i="1" s="1"/>
  <c r="FO39" i="1"/>
  <c r="FL39" i="1"/>
  <c r="FI39" i="1"/>
  <c r="FF39" i="1"/>
  <c r="FB39" i="1"/>
  <c r="FA39" i="1"/>
  <c r="FC39" i="1" s="1"/>
  <c r="EZ39" i="1"/>
  <c r="EW39" i="1"/>
  <c r="ET39" i="1"/>
  <c r="EQ39" i="1"/>
  <c r="EM39" i="1"/>
  <c r="EL39" i="1"/>
  <c r="EN39" i="1" s="1"/>
  <c r="EK39" i="1"/>
  <c r="EH39" i="1"/>
  <c r="EE39" i="1"/>
  <c r="EB39" i="1"/>
  <c r="DX39" i="1"/>
  <c r="DW39" i="1"/>
  <c r="DY39" i="1" s="1"/>
  <c r="DV39" i="1"/>
  <c r="DS39" i="1"/>
  <c r="DP39" i="1"/>
  <c r="DM39" i="1"/>
  <c r="DI39" i="1"/>
  <c r="DH39" i="1"/>
  <c r="DJ39" i="1" s="1"/>
  <c r="DG39" i="1"/>
  <c r="DD39" i="1"/>
  <c r="DA39" i="1"/>
  <c r="CX39" i="1"/>
  <c r="CT39" i="1"/>
  <c r="CS39" i="1"/>
  <c r="CU39" i="1" s="1"/>
  <c r="CR39" i="1"/>
  <c r="CO39" i="1"/>
  <c r="CL39" i="1"/>
  <c r="CI39" i="1"/>
  <c r="CE39" i="1"/>
  <c r="CD39" i="1"/>
  <c r="CF39" i="1" s="1"/>
  <c r="BP39" i="1"/>
  <c r="BO39" i="1"/>
  <c r="BQ39" i="1" s="1"/>
  <c r="BN39" i="1"/>
  <c r="BK39" i="1"/>
  <c r="BH39" i="1"/>
  <c r="BE39" i="1"/>
  <c r="BA39" i="1"/>
  <c r="AZ39" i="1"/>
  <c r="BB39" i="1" s="1"/>
  <c r="AY39" i="1"/>
  <c r="AV39" i="1"/>
  <c r="AS39" i="1"/>
  <c r="AP39" i="1"/>
  <c r="AL39" i="1"/>
  <c r="AK39" i="1"/>
  <c r="AM39" i="1" s="1"/>
  <c r="AJ39" i="1"/>
  <c r="AG39" i="1"/>
  <c r="AD39" i="1"/>
  <c r="AA39" i="1"/>
  <c r="W39" i="1"/>
  <c r="V39" i="1"/>
  <c r="X39" i="1" s="1"/>
  <c r="U39" i="1"/>
  <c r="R39" i="1"/>
  <c r="O39" i="1"/>
  <c r="L39" i="1"/>
  <c r="I39" i="1"/>
  <c r="AAB38" i="1"/>
  <c r="AAA38" i="1"/>
  <c r="AAC38" i="1" s="1"/>
  <c r="ZZ38" i="1"/>
  <c r="ZV38" i="1"/>
  <c r="ZU38" i="1"/>
  <c r="ZT38" i="1"/>
  <c r="ZQ38" i="1"/>
  <c r="ZN38" i="1"/>
  <c r="ZK38" i="1"/>
  <c r="ZG38" i="1"/>
  <c r="ZF38" i="1"/>
  <c r="ZH38" i="1" s="1"/>
  <c r="ZE38" i="1"/>
  <c r="ZB38" i="1"/>
  <c r="YY38" i="1"/>
  <c r="YV38" i="1"/>
  <c r="YR38" i="1"/>
  <c r="YQ38" i="1"/>
  <c r="YS38" i="1" s="1"/>
  <c r="YP38" i="1"/>
  <c r="YM38" i="1"/>
  <c r="YJ38" i="1"/>
  <c r="YG38" i="1"/>
  <c r="YC38" i="1"/>
  <c r="YB38" i="1"/>
  <c r="YD38" i="1" s="1"/>
  <c r="YA38" i="1"/>
  <c r="XX38" i="1"/>
  <c r="XU38" i="1"/>
  <c r="XR38" i="1"/>
  <c r="XN38" i="1"/>
  <c r="XM38" i="1"/>
  <c r="XO38" i="1" s="1"/>
  <c r="XL38" i="1"/>
  <c r="XI38" i="1"/>
  <c r="XF38" i="1"/>
  <c r="XC38" i="1"/>
  <c r="WY38" i="1"/>
  <c r="WX38" i="1"/>
  <c r="WZ38" i="1" s="1"/>
  <c r="WW38" i="1"/>
  <c r="WT38" i="1"/>
  <c r="WQ38" i="1"/>
  <c r="WN38" i="1"/>
  <c r="VU38" i="1"/>
  <c r="VT38" i="1"/>
  <c r="VV38" i="1" s="1"/>
  <c r="VS38" i="1"/>
  <c r="VP38" i="1"/>
  <c r="VM38" i="1"/>
  <c r="VJ38" i="1"/>
  <c r="VF38" i="1"/>
  <c r="VE38" i="1"/>
  <c r="VG38" i="1" s="1"/>
  <c r="UQ38" i="1"/>
  <c r="UP38" i="1"/>
  <c r="UR38" i="1" s="1"/>
  <c r="UO38" i="1"/>
  <c r="UL38" i="1"/>
  <c r="UI38" i="1"/>
  <c r="UF38" i="1"/>
  <c r="UB38" i="1"/>
  <c r="UA38" i="1"/>
  <c r="UC38" i="1" s="1"/>
  <c r="TZ38" i="1"/>
  <c r="TW38" i="1"/>
  <c r="TT38" i="1"/>
  <c r="TQ38" i="1"/>
  <c r="TM38" i="1"/>
  <c r="TL38" i="1"/>
  <c r="TN38" i="1" s="1"/>
  <c r="TK38" i="1"/>
  <c r="TH38" i="1"/>
  <c r="TE38" i="1"/>
  <c r="TB38" i="1"/>
  <c r="SX38" i="1"/>
  <c r="SW38" i="1"/>
  <c r="SY38" i="1" s="1"/>
  <c r="SV38" i="1"/>
  <c r="SS38" i="1"/>
  <c r="SP38" i="1"/>
  <c r="SM38" i="1"/>
  <c r="SH38" i="1"/>
  <c r="SF38" i="1"/>
  <c r="SD38" i="1"/>
  <c r="SA38" i="1"/>
  <c r="RX38" i="1"/>
  <c r="RT38" i="1"/>
  <c r="RS38" i="1"/>
  <c r="RU38" i="1" s="1"/>
  <c r="RR38" i="1"/>
  <c r="RO38" i="1"/>
  <c r="RL38" i="1"/>
  <c r="RI38" i="1"/>
  <c r="RE38" i="1"/>
  <c r="RD38" i="1"/>
  <c r="RF38" i="1" s="1"/>
  <c r="RC38" i="1"/>
  <c r="QZ38" i="1"/>
  <c r="QW38" i="1"/>
  <c r="QT38" i="1"/>
  <c r="QP38" i="1"/>
  <c r="QO38" i="1"/>
  <c r="QQ38" i="1" s="1"/>
  <c r="QN38" i="1"/>
  <c r="QK38" i="1"/>
  <c r="QH38" i="1"/>
  <c r="QE38" i="1"/>
  <c r="QA38" i="1"/>
  <c r="PZ38" i="1"/>
  <c r="QB38" i="1" s="1"/>
  <c r="PY38" i="1"/>
  <c r="PV38" i="1"/>
  <c r="PS38" i="1"/>
  <c r="PP38" i="1"/>
  <c r="PL38" i="1"/>
  <c r="PK38" i="1"/>
  <c r="PM38" i="1" s="1"/>
  <c r="PJ38" i="1"/>
  <c r="PG38" i="1"/>
  <c r="PD38" i="1"/>
  <c r="PA38" i="1"/>
  <c r="OW38" i="1"/>
  <c r="OV38" i="1"/>
  <c r="OX38" i="1" s="1"/>
  <c r="OU38" i="1"/>
  <c r="OR38" i="1"/>
  <c r="OO38" i="1"/>
  <c r="OL38" i="1"/>
  <c r="OH38" i="1"/>
  <c r="OG38" i="1"/>
  <c r="OI38" i="1" s="1"/>
  <c r="OF38" i="1"/>
  <c r="OC38" i="1"/>
  <c r="NZ38" i="1"/>
  <c r="NW38" i="1"/>
  <c r="NS38" i="1"/>
  <c r="NR38" i="1"/>
  <c r="NT38" i="1" s="1"/>
  <c r="NQ38" i="1"/>
  <c r="NN38" i="1"/>
  <c r="NK38" i="1"/>
  <c r="NH38" i="1"/>
  <c r="ND38" i="1"/>
  <c r="NC38" i="1"/>
  <c r="NE38" i="1" s="1"/>
  <c r="NB38" i="1"/>
  <c r="MY38" i="1"/>
  <c r="MV38" i="1"/>
  <c r="MS38" i="1"/>
  <c r="MP38" i="1"/>
  <c r="MO38" i="1"/>
  <c r="MN38" i="1"/>
  <c r="MM38" i="1"/>
  <c r="MJ38" i="1"/>
  <c r="MG38" i="1"/>
  <c r="MD38" i="1"/>
  <c r="LY38" i="1"/>
  <c r="LX38" i="1"/>
  <c r="LU38" i="1"/>
  <c r="LR38" i="1"/>
  <c r="LQ38" i="1"/>
  <c r="LO38" i="1"/>
  <c r="KV38" i="1"/>
  <c r="KU38" i="1"/>
  <c r="KW38" i="1" s="1"/>
  <c r="KT38" i="1"/>
  <c r="KQ38" i="1"/>
  <c r="KN38" i="1"/>
  <c r="KK38" i="1"/>
  <c r="KG38" i="1"/>
  <c r="KF38" i="1"/>
  <c r="KH38" i="1" s="1"/>
  <c r="KE38" i="1"/>
  <c r="KB38" i="1"/>
  <c r="JY38" i="1"/>
  <c r="JV38" i="1"/>
  <c r="JR38" i="1"/>
  <c r="JQ38" i="1"/>
  <c r="JS38" i="1" s="1"/>
  <c r="JP38" i="1"/>
  <c r="JM38" i="1"/>
  <c r="JJ38" i="1"/>
  <c r="JG38" i="1"/>
  <c r="JC38" i="1"/>
  <c r="JB38" i="1"/>
  <c r="JD38" i="1" s="1"/>
  <c r="JA38" i="1"/>
  <c r="IX38" i="1"/>
  <c r="IU38" i="1"/>
  <c r="IR38" i="1"/>
  <c r="IN38" i="1"/>
  <c r="IL38" i="1"/>
  <c r="II38" i="1"/>
  <c r="IF38" i="1"/>
  <c r="IA38" i="1"/>
  <c r="HY38" i="1"/>
  <c r="HX38" i="1"/>
  <c r="HZ38" i="1" s="1"/>
  <c r="HW38" i="1"/>
  <c r="HT38" i="1"/>
  <c r="HQ38" i="1"/>
  <c r="HN38" i="1"/>
  <c r="HJ38" i="1"/>
  <c r="HI38" i="1"/>
  <c r="HK38" i="1" s="1"/>
  <c r="HH38" i="1"/>
  <c r="HE38" i="1"/>
  <c r="HB38" i="1"/>
  <c r="GY38" i="1"/>
  <c r="GU38" i="1"/>
  <c r="GT38" i="1"/>
  <c r="GV38" i="1" s="1"/>
  <c r="GS38" i="1"/>
  <c r="GP38" i="1"/>
  <c r="GM38" i="1"/>
  <c r="GJ38" i="1"/>
  <c r="GF38" i="1"/>
  <c r="GE38" i="1"/>
  <c r="GG38" i="1" s="1"/>
  <c r="GD38" i="1"/>
  <c r="GA38" i="1"/>
  <c r="FX38" i="1"/>
  <c r="FU38" i="1"/>
  <c r="FQ38" i="1"/>
  <c r="FP38" i="1"/>
  <c r="FR38" i="1" s="1"/>
  <c r="FO38" i="1"/>
  <c r="FL38" i="1"/>
  <c r="FI38" i="1"/>
  <c r="FF38" i="1"/>
  <c r="FB38" i="1"/>
  <c r="FA38" i="1"/>
  <c r="FC38" i="1" s="1"/>
  <c r="EZ38" i="1"/>
  <c r="EW38" i="1"/>
  <c r="ET38" i="1"/>
  <c r="EQ38" i="1"/>
  <c r="EM38" i="1"/>
  <c r="EL38" i="1"/>
  <c r="EN38" i="1" s="1"/>
  <c r="EK38" i="1"/>
  <c r="EH38" i="1"/>
  <c r="EE38" i="1"/>
  <c r="EB38" i="1"/>
  <c r="DX38" i="1"/>
  <c r="DW38" i="1"/>
  <c r="DY38" i="1" s="1"/>
  <c r="DV38" i="1"/>
  <c r="DS38" i="1"/>
  <c r="DP38" i="1"/>
  <c r="DM38" i="1"/>
  <c r="DI38" i="1"/>
  <c r="DH38" i="1"/>
  <c r="DJ38" i="1" s="1"/>
  <c r="DG38" i="1"/>
  <c r="DD38" i="1"/>
  <c r="DA38" i="1"/>
  <c r="CX38" i="1"/>
  <c r="CT38" i="1"/>
  <c r="CS38" i="1"/>
  <c r="CU38" i="1" s="1"/>
  <c r="CR38" i="1"/>
  <c r="CO38" i="1"/>
  <c r="CL38" i="1"/>
  <c r="CI38" i="1"/>
  <c r="CE38" i="1"/>
  <c r="CD38" i="1"/>
  <c r="CF38" i="1" s="1"/>
  <c r="BP38" i="1"/>
  <c r="BO38" i="1"/>
  <c r="BQ38" i="1" s="1"/>
  <c r="BN38" i="1"/>
  <c r="BK38" i="1"/>
  <c r="BH38" i="1"/>
  <c r="BE38" i="1"/>
  <c r="BA38" i="1"/>
  <c r="AZ38" i="1"/>
  <c r="BB38" i="1" s="1"/>
  <c r="AY38" i="1"/>
  <c r="AV38" i="1"/>
  <c r="AS38" i="1"/>
  <c r="AP38" i="1"/>
  <c r="AL38" i="1"/>
  <c r="AK38" i="1"/>
  <c r="AM38" i="1" s="1"/>
  <c r="AJ38" i="1"/>
  <c r="AG38" i="1"/>
  <c r="AD38" i="1"/>
  <c r="AA38" i="1"/>
  <c r="V38" i="1"/>
  <c r="U38" i="1"/>
  <c r="R38" i="1"/>
  <c r="O38" i="1"/>
  <c r="K38" i="1"/>
  <c r="I38" i="1"/>
  <c r="AAA37" i="1"/>
  <c r="ZY37" i="1"/>
  <c r="ZU37" i="1"/>
  <c r="ZT37" i="1"/>
  <c r="ZQ37" i="1"/>
  <c r="ZN37" i="1"/>
  <c r="ZJ37" i="1"/>
  <c r="ZG37" i="1"/>
  <c r="ZF37" i="1"/>
  <c r="ZH37" i="1" s="1"/>
  <c r="ZE37" i="1"/>
  <c r="ZB37" i="1"/>
  <c r="YY37" i="1"/>
  <c r="YV37" i="1"/>
  <c r="YR37" i="1"/>
  <c r="YQ37" i="1"/>
  <c r="YS37" i="1" s="1"/>
  <c r="YP37" i="1"/>
  <c r="YM37" i="1"/>
  <c r="YJ37" i="1"/>
  <c r="YG37" i="1"/>
  <c r="YC37" i="1"/>
  <c r="YB37" i="1"/>
  <c r="YD37" i="1" s="1"/>
  <c r="YA37" i="1"/>
  <c r="XX37" i="1"/>
  <c r="XU37" i="1"/>
  <c r="XR37" i="1"/>
  <c r="XN37" i="1"/>
  <c r="XM37" i="1"/>
  <c r="XO37" i="1" s="1"/>
  <c r="XL37" i="1"/>
  <c r="XI37" i="1"/>
  <c r="XF37" i="1"/>
  <c r="XC37" i="1"/>
  <c r="WY37" i="1"/>
  <c r="WX37" i="1"/>
  <c r="WZ37" i="1" s="1"/>
  <c r="WW37" i="1"/>
  <c r="WT37" i="1"/>
  <c r="WQ37" i="1"/>
  <c r="WN37" i="1"/>
  <c r="VU37" i="1"/>
  <c r="VT37" i="1"/>
  <c r="VV37" i="1" s="1"/>
  <c r="VS37" i="1"/>
  <c r="VP37" i="1"/>
  <c r="VM37" i="1"/>
  <c r="VJ37" i="1"/>
  <c r="VF37" i="1"/>
  <c r="VE37" i="1"/>
  <c r="VG37" i="1" s="1"/>
  <c r="UQ37" i="1"/>
  <c r="UP37" i="1"/>
  <c r="UR37" i="1" s="1"/>
  <c r="UO37" i="1"/>
  <c r="UL37" i="1"/>
  <c r="UI37" i="1"/>
  <c r="UF37" i="1"/>
  <c r="UB37" i="1"/>
  <c r="UA37" i="1"/>
  <c r="UC37" i="1" s="1"/>
  <c r="TZ37" i="1"/>
  <c r="TW37" i="1"/>
  <c r="TT37" i="1"/>
  <c r="TQ37" i="1"/>
  <c r="TM37" i="1"/>
  <c r="TL37" i="1"/>
  <c r="TN37" i="1" s="1"/>
  <c r="TK37" i="1"/>
  <c r="TH37" i="1"/>
  <c r="TE37" i="1"/>
  <c r="TB37" i="1"/>
  <c r="SX37" i="1"/>
  <c r="SW37" i="1"/>
  <c r="SY37" i="1" s="1"/>
  <c r="SV37" i="1"/>
  <c r="SS37" i="1"/>
  <c r="SP37" i="1"/>
  <c r="SM37" i="1"/>
  <c r="SI37" i="1"/>
  <c r="SH37" i="1"/>
  <c r="SJ37" i="1" s="1"/>
  <c r="SG37" i="1"/>
  <c r="SD37" i="1"/>
  <c r="SA37" i="1"/>
  <c r="RX37" i="1"/>
  <c r="RT37" i="1"/>
  <c r="RS37" i="1"/>
  <c r="RU37" i="1" s="1"/>
  <c r="RR37" i="1"/>
  <c r="RO37" i="1"/>
  <c r="RL37" i="1"/>
  <c r="RI37" i="1"/>
  <c r="RE37" i="1"/>
  <c r="RD37" i="1"/>
  <c r="RF37" i="1" s="1"/>
  <c r="RC37" i="1"/>
  <c r="QZ37" i="1"/>
  <c r="QW37" i="1"/>
  <c r="QT37" i="1"/>
  <c r="QP37" i="1"/>
  <c r="QO37" i="1"/>
  <c r="QQ37" i="1" s="1"/>
  <c r="QN37" i="1"/>
  <c r="QK37" i="1"/>
  <c r="QH37" i="1"/>
  <c r="QE37" i="1"/>
  <c r="PZ37" i="1"/>
  <c r="PY37" i="1"/>
  <c r="PV37" i="1"/>
  <c r="PS37" i="1"/>
  <c r="PP37" i="1"/>
  <c r="PO37" i="1"/>
  <c r="PL37" i="1"/>
  <c r="PK37" i="1"/>
  <c r="PM37" i="1" s="1"/>
  <c r="PJ37" i="1"/>
  <c r="PG37" i="1"/>
  <c r="PD37" i="1"/>
  <c r="PA37" i="1"/>
  <c r="OW37" i="1"/>
  <c r="OV37" i="1"/>
  <c r="OX37" i="1" s="1"/>
  <c r="OU37" i="1"/>
  <c r="OR37" i="1"/>
  <c r="OO37" i="1"/>
  <c r="OL37" i="1"/>
  <c r="OH37" i="1"/>
  <c r="OF37" i="1"/>
  <c r="OC37" i="1"/>
  <c r="NZ37" i="1"/>
  <c r="NU37" i="1"/>
  <c r="NS37" i="1"/>
  <c r="NR37" i="1"/>
  <c r="NT37" i="1" s="1"/>
  <c r="NQ37" i="1"/>
  <c r="NN37" i="1"/>
  <c r="NK37" i="1"/>
  <c r="NH37" i="1"/>
  <c r="ND37" i="1"/>
  <c r="NC37" i="1"/>
  <c r="NE37" i="1" s="1"/>
  <c r="NB37" i="1"/>
  <c r="MY37" i="1"/>
  <c r="MV37" i="1"/>
  <c r="MS37" i="1"/>
  <c r="MO37" i="1"/>
  <c r="MM37" i="1"/>
  <c r="MJ37" i="1"/>
  <c r="MG37" i="1"/>
  <c r="MB37" i="1"/>
  <c r="LZ37" i="1"/>
  <c r="LY37" i="1"/>
  <c r="MA37" i="1" s="1"/>
  <c r="LX37" i="1"/>
  <c r="LU37" i="1"/>
  <c r="LR37" i="1"/>
  <c r="LO37" i="1"/>
  <c r="KU37" i="1"/>
  <c r="KT37" i="1"/>
  <c r="KQ37" i="1"/>
  <c r="KN37" i="1"/>
  <c r="KJ37" i="1"/>
  <c r="KG37" i="1"/>
  <c r="KF37" i="1"/>
  <c r="KH37" i="1" s="1"/>
  <c r="KE37" i="1"/>
  <c r="KB37" i="1"/>
  <c r="JY37" i="1"/>
  <c r="JV37" i="1"/>
  <c r="JR37" i="1"/>
  <c r="JQ37" i="1"/>
  <c r="JS37" i="1" s="1"/>
  <c r="JP37" i="1"/>
  <c r="JM37" i="1"/>
  <c r="JJ37" i="1"/>
  <c r="JG37" i="1"/>
  <c r="JC37" i="1"/>
  <c r="JB37" i="1"/>
  <c r="JD37" i="1" s="1"/>
  <c r="JA37" i="1"/>
  <c r="IX37" i="1"/>
  <c r="IU37" i="1"/>
  <c r="IR37" i="1"/>
  <c r="IN37" i="1"/>
  <c r="IL37" i="1"/>
  <c r="II37" i="1"/>
  <c r="IF37" i="1"/>
  <c r="IA37" i="1"/>
  <c r="HY37" i="1"/>
  <c r="HX37" i="1"/>
  <c r="HZ37" i="1" s="1"/>
  <c r="HW37" i="1"/>
  <c r="HT37" i="1"/>
  <c r="HQ37" i="1"/>
  <c r="HN37" i="1"/>
  <c r="HJ37" i="1"/>
  <c r="HI37" i="1"/>
  <c r="HK37" i="1" s="1"/>
  <c r="HH37" i="1"/>
  <c r="HE37" i="1"/>
  <c r="HB37" i="1"/>
  <c r="GY37" i="1"/>
  <c r="GU37" i="1"/>
  <c r="GT37" i="1"/>
  <c r="GV37" i="1" s="1"/>
  <c r="GS37" i="1"/>
  <c r="GP37" i="1"/>
  <c r="GM37" i="1"/>
  <c r="GJ37" i="1"/>
  <c r="GF37" i="1"/>
  <c r="GE37" i="1"/>
  <c r="GG37" i="1" s="1"/>
  <c r="GD37" i="1"/>
  <c r="GA37" i="1"/>
  <c r="FX37" i="1"/>
  <c r="FU37" i="1"/>
  <c r="FQ37" i="1"/>
  <c r="FP37" i="1"/>
  <c r="FR37" i="1" s="1"/>
  <c r="FO37" i="1"/>
  <c r="FL37" i="1"/>
  <c r="FI37" i="1"/>
  <c r="FF37" i="1"/>
  <c r="FB37" i="1"/>
  <c r="FA37" i="1"/>
  <c r="FC37" i="1" s="1"/>
  <c r="EZ37" i="1"/>
  <c r="EW37" i="1"/>
  <c r="ET37" i="1"/>
  <c r="EQ37" i="1"/>
  <c r="EM37" i="1"/>
  <c r="EL37" i="1"/>
  <c r="EN37" i="1" s="1"/>
  <c r="EK37" i="1"/>
  <c r="EH37" i="1"/>
  <c r="EE37" i="1"/>
  <c r="EB37" i="1"/>
  <c r="DX37" i="1"/>
  <c r="DW37" i="1"/>
  <c r="DY37" i="1" s="1"/>
  <c r="DV37" i="1"/>
  <c r="DS37" i="1"/>
  <c r="DP37" i="1"/>
  <c r="DM37" i="1"/>
  <c r="DI37" i="1"/>
  <c r="DH37" i="1"/>
  <c r="DJ37" i="1" s="1"/>
  <c r="DG37" i="1"/>
  <c r="DD37" i="1"/>
  <c r="DA37" i="1"/>
  <c r="CX37" i="1"/>
  <c r="CT37" i="1"/>
  <c r="CS37" i="1"/>
  <c r="CU37" i="1" s="1"/>
  <c r="CR37" i="1"/>
  <c r="CO37" i="1"/>
  <c r="CL37" i="1"/>
  <c r="CI37" i="1"/>
  <c r="CE37" i="1"/>
  <c r="CD37" i="1"/>
  <c r="CF37" i="1" s="1"/>
  <c r="BP37" i="1"/>
  <c r="BO37" i="1"/>
  <c r="BQ37" i="1" s="1"/>
  <c r="BN37" i="1"/>
  <c r="BK37" i="1"/>
  <c r="BH37" i="1"/>
  <c r="BE37" i="1"/>
  <c r="BA37" i="1"/>
  <c r="AZ37" i="1"/>
  <c r="BB37" i="1" s="1"/>
  <c r="AY37" i="1"/>
  <c r="AV37" i="1"/>
  <c r="AS37" i="1"/>
  <c r="AP37" i="1"/>
  <c r="AL37" i="1"/>
  <c r="AJ37" i="1"/>
  <c r="AG37" i="1"/>
  <c r="AD37" i="1"/>
  <c r="Y37" i="1"/>
  <c r="W37" i="1"/>
  <c r="U37" i="1"/>
  <c r="R37" i="1"/>
  <c r="O37" i="1"/>
  <c r="L37" i="1"/>
  <c r="G37" i="1"/>
  <c r="AAB36" i="1"/>
  <c r="AAA36" i="1"/>
  <c r="AAC36" i="1" s="1"/>
  <c r="ZZ36" i="1"/>
  <c r="ZV36" i="1"/>
  <c r="ZU36" i="1"/>
  <c r="ZT36" i="1"/>
  <c r="ZQ36" i="1"/>
  <c r="ZN36" i="1"/>
  <c r="ZK36" i="1"/>
  <c r="ZG36" i="1"/>
  <c r="ZF36" i="1"/>
  <c r="ZH36" i="1" s="1"/>
  <c r="ZE36" i="1"/>
  <c r="ZB36" i="1"/>
  <c r="YY36" i="1"/>
  <c r="YV36" i="1"/>
  <c r="YR36" i="1"/>
  <c r="YQ36" i="1"/>
  <c r="YS36" i="1" s="1"/>
  <c r="YP36" i="1"/>
  <c r="YM36" i="1"/>
  <c r="YJ36" i="1"/>
  <c r="YG36" i="1"/>
  <c r="YC36" i="1"/>
  <c r="YB36" i="1"/>
  <c r="YD36" i="1" s="1"/>
  <c r="YA36" i="1"/>
  <c r="XX36" i="1"/>
  <c r="XU36" i="1"/>
  <c r="XR36" i="1"/>
  <c r="XN36" i="1"/>
  <c r="XM36" i="1"/>
  <c r="XO36" i="1" s="1"/>
  <c r="XL36" i="1"/>
  <c r="XI36" i="1"/>
  <c r="XF36" i="1"/>
  <c r="XC36" i="1"/>
  <c r="WY36" i="1"/>
  <c r="WX36" i="1"/>
  <c r="WZ36" i="1" s="1"/>
  <c r="WW36" i="1"/>
  <c r="WT36" i="1"/>
  <c r="WQ36" i="1"/>
  <c r="WN36" i="1"/>
  <c r="VU36" i="1"/>
  <c r="VT36" i="1"/>
  <c r="VV36" i="1" s="1"/>
  <c r="VS36" i="1"/>
  <c r="VP36" i="1"/>
  <c r="VM36" i="1"/>
  <c r="VJ36" i="1"/>
  <c r="VF36" i="1"/>
  <c r="VE36" i="1"/>
  <c r="VG36" i="1" s="1"/>
  <c r="UQ36" i="1"/>
  <c r="UP36" i="1"/>
  <c r="UR36" i="1" s="1"/>
  <c r="UO36" i="1"/>
  <c r="UL36" i="1"/>
  <c r="UI36" i="1"/>
  <c r="UF36" i="1"/>
  <c r="UB36" i="1"/>
  <c r="UA36" i="1"/>
  <c r="UC36" i="1" s="1"/>
  <c r="TZ36" i="1"/>
  <c r="TW36" i="1"/>
  <c r="TT36" i="1"/>
  <c r="TQ36" i="1"/>
  <c r="TM36" i="1"/>
  <c r="TL36" i="1"/>
  <c r="TN36" i="1" s="1"/>
  <c r="TK36" i="1"/>
  <c r="TH36" i="1"/>
  <c r="TE36" i="1"/>
  <c r="TB36" i="1"/>
  <c r="SX36" i="1"/>
  <c r="SW36" i="1"/>
  <c r="SY36" i="1" s="1"/>
  <c r="SV36" i="1"/>
  <c r="SS36" i="1"/>
  <c r="SP36" i="1"/>
  <c r="SM36" i="1"/>
  <c r="SI36" i="1"/>
  <c r="SH36" i="1"/>
  <c r="SJ36" i="1" s="1"/>
  <c r="SG36" i="1"/>
  <c r="SD36" i="1"/>
  <c r="SA36" i="1"/>
  <c r="RX36" i="1"/>
  <c r="RT36" i="1"/>
  <c r="RS36" i="1"/>
  <c r="RU36" i="1" s="1"/>
  <c r="RR36" i="1"/>
  <c r="RO36" i="1"/>
  <c r="RL36" i="1"/>
  <c r="RI36" i="1"/>
  <c r="RE36" i="1"/>
  <c r="RD36" i="1"/>
  <c r="RF36" i="1" s="1"/>
  <c r="RC36" i="1"/>
  <c r="QZ36" i="1"/>
  <c r="QW36" i="1"/>
  <c r="QT36" i="1"/>
  <c r="QP36" i="1"/>
  <c r="QO36" i="1"/>
  <c r="QQ36" i="1" s="1"/>
  <c r="QN36" i="1"/>
  <c r="QK36" i="1"/>
  <c r="QH36" i="1"/>
  <c r="QE36" i="1"/>
  <c r="QA36" i="1"/>
  <c r="PZ36" i="1"/>
  <c r="QB36" i="1" s="1"/>
  <c r="PY36" i="1"/>
  <c r="PV36" i="1"/>
  <c r="PS36" i="1"/>
  <c r="PP36" i="1"/>
  <c r="PL36" i="1"/>
  <c r="PK36" i="1"/>
  <c r="PM36" i="1" s="1"/>
  <c r="PJ36" i="1"/>
  <c r="PG36" i="1"/>
  <c r="PD36" i="1"/>
  <c r="PA36" i="1"/>
  <c r="OW36" i="1"/>
  <c r="OV36" i="1"/>
  <c r="OX36" i="1" s="1"/>
  <c r="OU36" i="1"/>
  <c r="OR36" i="1"/>
  <c r="OO36" i="1"/>
  <c r="OL36" i="1"/>
  <c r="OH36" i="1"/>
  <c r="OF36" i="1"/>
  <c r="OC36" i="1"/>
  <c r="NZ36" i="1"/>
  <c r="NU36" i="1"/>
  <c r="NS36" i="1"/>
  <c r="NR36" i="1"/>
  <c r="NT36" i="1" s="1"/>
  <c r="NQ36" i="1"/>
  <c r="NN36" i="1"/>
  <c r="NK36" i="1"/>
  <c r="NH36" i="1"/>
  <c r="ND36" i="1"/>
  <c r="NC36" i="1"/>
  <c r="NE36" i="1" s="1"/>
  <c r="NB36" i="1"/>
  <c r="MY36" i="1"/>
  <c r="MV36" i="1"/>
  <c r="MS36" i="1"/>
  <c r="ML36" i="1"/>
  <c r="MJ36" i="1"/>
  <c r="MG36" i="1"/>
  <c r="MB36" i="1"/>
  <c r="LZ36" i="1"/>
  <c r="LY36" i="1"/>
  <c r="MA36" i="1" s="1"/>
  <c r="LX36" i="1"/>
  <c r="LU36" i="1"/>
  <c r="LR36" i="1"/>
  <c r="LO36" i="1"/>
  <c r="KV36" i="1"/>
  <c r="KU36" i="1"/>
  <c r="KW36" i="1" s="1"/>
  <c r="KT36" i="1"/>
  <c r="KQ36" i="1"/>
  <c r="KN36" i="1"/>
  <c r="KK36" i="1"/>
  <c r="KG36" i="1"/>
  <c r="KF36" i="1"/>
  <c r="KH36" i="1" s="1"/>
  <c r="KE36" i="1"/>
  <c r="KB36" i="1"/>
  <c r="JY36" i="1"/>
  <c r="JV36" i="1"/>
  <c r="JR36" i="1"/>
  <c r="JQ36" i="1"/>
  <c r="JS36" i="1" s="1"/>
  <c r="JP36" i="1"/>
  <c r="JM36" i="1"/>
  <c r="JJ36" i="1"/>
  <c r="JG36" i="1"/>
  <c r="JC36" i="1"/>
  <c r="JB36" i="1"/>
  <c r="JD36" i="1" s="1"/>
  <c r="JA36" i="1"/>
  <c r="IX36" i="1"/>
  <c r="IU36" i="1"/>
  <c r="IR36" i="1"/>
  <c r="IN36" i="1"/>
  <c r="IL36" i="1"/>
  <c r="II36" i="1"/>
  <c r="IF36" i="1"/>
  <c r="IA36" i="1"/>
  <c r="HY36" i="1"/>
  <c r="HX36" i="1"/>
  <c r="HZ36" i="1" s="1"/>
  <c r="HW36" i="1"/>
  <c r="HT36" i="1"/>
  <c r="HQ36" i="1"/>
  <c r="HN36" i="1"/>
  <c r="HJ36" i="1"/>
  <c r="HI36" i="1"/>
  <c r="HK36" i="1" s="1"/>
  <c r="HH36" i="1"/>
  <c r="HE36" i="1"/>
  <c r="HB36" i="1"/>
  <c r="GY36" i="1"/>
  <c r="GU36" i="1"/>
  <c r="GT36" i="1"/>
  <c r="GV36" i="1" s="1"/>
  <c r="GS36" i="1"/>
  <c r="GP36" i="1"/>
  <c r="GM36" i="1"/>
  <c r="GJ36" i="1"/>
  <c r="GF36" i="1"/>
  <c r="GE36" i="1"/>
  <c r="GG36" i="1" s="1"/>
  <c r="GD36" i="1"/>
  <c r="GA36" i="1"/>
  <c r="FX36" i="1"/>
  <c r="FU36" i="1"/>
  <c r="FQ36" i="1"/>
  <c r="FP36" i="1"/>
  <c r="FR36" i="1" s="1"/>
  <c r="FO36" i="1"/>
  <c r="FL36" i="1"/>
  <c r="FI36" i="1"/>
  <c r="FF36" i="1"/>
  <c r="FB36" i="1"/>
  <c r="FA36" i="1"/>
  <c r="FC36" i="1" s="1"/>
  <c r="EZ36" i="1"/>
  <c r="EW36" i="1"/>
  <c r="ET36" i="1"/>
  <c r="EQ36" i="1"/>
  <c r="EM36" i="1"/>
  <c r="EL36" i="1"/>
  <c r="EN36" i="1" s="1"/>
  <c r="EK36" i="1"/>
  <c r="EH36" i="1"/>
  <c r="EE36" i="1"/>
  <c r="EB36" i="1"/>
  <c r="DX36" i="1"/>
  <c r="DW36" i="1"/>
  <c r="DY36" i="1" s="1"/>
  <c r="DV36" i="1"/>
  <c r="DS36" i="1"/>
  <c r="DP36" i="1"/>
  <c r="DM36" i="1"/>
  <c r="DI36" i="1"/>
  <c r="DH36" i="1"/>
  <c r="DJ36" i="1" s="1"/>
  <c r="DG36" i="1"/>
  <c r="DD36" i="1"/>
  <c r="DA36" i="1"/>
  <c r="CX36" i="1"/>
  <c r="CT36" i="1"/>
  <c r="CS36" i="1"/>
  <c r="CU36" i="1" s="1"/>
  <c r="CR36" i="1"/>
  <c r="CO36" i="1"/>
  <c r="CL36" i="1"/>
  <c r="CI36" i="1"/>
  <c r="CE36" i="1"/>
  <c r="CD36" i="1"/>
  <c r="CF36" i="1" s="1"/>
  <c r="BP36" i="1"/>
  <c r="BO36" i="1"/>
  <c r="BQ36" i="1" s="1"/>
  <c r="BN36" i="1"/>
  <c r="BK36" i="1"/>
  <c r="BH36" i="1"/>
  <c r="BE36" i="1"/>
  <c r="BA36" i="1"/>
  <c r="AZ36" i="1"/>
  <c r="BB36" i="1" s="1"/>
  <c r="AY36" i="1"/>
  <c r="AV36" i="1"/>
  <c r="AS36" i="1"/>
  <c r="AP36" i="1"/>
  <c r="AL36" i="1"/>
  <c r="AK36" i="1"/>
  <c r="AM36" i="1" s="1"/>
  <c r="AJ36" i="1"/>
  <c r="AG36" i="1"/>
  <c r="AD36" i="1"/>
  <c r="AA36" i="1"/>
  <c r="W36" i="1"/>
  <c r="V36" i="1"/>
  <c r="X36" i="1" s="1"/>
  <c r="U36" i="1"/>
  <c r="R36" i="1"/>
  <c r="O36" i="1"/>
  <c r="L36" i="1"/>
  <c r="I36" i="1"/>
  <c r="AAB35" i="1"/>
  <c r="AAA35" i="1"/>
  <c r="AAC35" i="1" s="1"/>
  <c r="ZZ35" i="1"/>
  <c r="ZV35" i="1"/>
  <c r="AAE35" i="1" s="1"/>
  <c r="ZU35" i="1"/>
  <c r="ZT35" i="1"/>
  <c r="ZQ35" i="1"/>
  <c r="ZN35" i="1"/>
  <c r="ZK35" i="1"/>
  <c r="ZG35" i="1"/>
  <c r="ZF35" i="1"/>
  <c r="ZH35" i="1" s="1"/>
  <c r="ZE35" i="1"/>
  <c r="ZB35" i="1"/>
  <c r="YY35" i="1"/>
  <c r="YV35" i="1"/>
  <c r="YR35" i="1"/>
  <c r="YQ35" i="1"/>
  <c r="YS35" i="1" s="1"/>
  <c r="YP35" i="1"/>
  <c r="YM35" i="1"/>
  <c r="YJ35" i="1"/>
  <c r="YG35" i="1"/>
  <c r="YC35" i="1"/>
  <c r="YB35" i="1"/>
  <c r="YD35" i="1" s="1"/>
  <c r="YA35" i="1"/>
  <c r="XX35" i="1"/>
  <c r="XU35" i="1"/>
  <c r="XR35" i="1"/>
  <c r="XN35" i="1"/>
  <c r="XM35" i="1"/>
  <c r="XO35" i="1" s="1"/>
  <c r="XL35" i="1"/>
  <c r="XI35" i="1"/>
  <c r="XF35" i="1"/>
  <c r="XC35" i="1"/>
  <c r="XC43" i="1" s="1"/>
  <c r="WY35" i="1"/>
  <c r="WY43" i="1" s="1"/>
  <c r="WX35" i="1"/>
  <c r="WZ35" i="1" s="1"/>
  <c r="WW35" i="1"/>
  <c r="WW43" i="1" s="1"/>
  <c r="WT35" i="1"/>
  <c r="WT43" i="1" s="1"/>
  <c r="WQ35" i="1"/>
  <c r="WQ43" i="1" s="1"/>
  <c r="WN35" i="1"/>
  <c r="WN43" i="1" s="1"/>
  <c r="VU35" i="1"/>
  <c r="VU43" i="1" s="1"/>
  <c r="VT35" i="1"/>
  <c r="VV35" i="1" s="1"/>
  <c r="VS35" i="1"/>
  <c r="VS43" i="1" s="1"/>
  <c r="VP35" i="1"/>
  <c r="VP43" i="1" s="1"/>
  <c r="VM35" i="1"/>
  <c r="VM43" i="1" s="1"/>
  <c r="VJ35" i="1"/>
  <c r="VJ43" i="1" s="1"/>
  <c r="VF35" i="1"/>
  <c r="VF43" i="1" s="1"/>
  <c r="VE35" i="1"/>
  <c r="VG35" i="1" s="1"/>
  <c r="UQ35" i="1"/>
  <c r="UQ43" i="1" s="1"/>
  <c r="UP35" i="1"/>
  <c r="UR35" i="1" s="1"/>
  <c r="UO35" i="1"/>
  <c r="UO43" i="1" s="1"/>
  <c r="UL35" i="1"/>
  <c r="UL43" i="1" s="1"/>
  <c r="UI35" i="1"/>
  <c r="UI43" i="1" s="1"/>
  <c r="UF35" i="1"/>
  <c r="UF43" i="1" s="1"/>
  <c r="UB35" i="1"/>
  <c r="UB43" i="1" s="1"/>
  <c r="UA35" i="1"/>
  <c r="UC35" i="1" s="1"/>
  <c r="TZ35" i="1"/>
  <c r="TZ43" i="1" s="1"/>
  <c r="TW35" i="1"/>
  <c r="TW43" i="1" s="1"/>
  <c r="TT35" i="1"/>
  <c r="TT43" i="1" s="1"/>
  <c r="TQ35" i="1"/>
  <c r="TQ43" i="1" s="1"/>
  <c r="TM35" i="1"/>
  <c r="TM43" i="1" s="1"/>
  <c r="TL35" i="1"/>
  <c r="TN35" i="1" s="1"/>
  <c r="TK35" i="1"/>
  <c r="TK43" i="1" s="1"/>
  <c r="TH35" i="1"/>
  <c r="TH43" i="1" s="1"/>
  <c r="TE35" i="1"/>
  <c r="TE43" i="1" s="1"/>
  <c r="TB35" i="1"/>
  <c r="TB43" i="1" s="1"/>
  <c r="SX35" i="1"/>
  <c r="SX43" i="1" s="1"/>
  <c r="SW35" i="1"/>
  <c r="SY35" i="1" s="1"/>
  <c r="SV35" i="1"/>
  <c r="SV43" i="1" s="1"/>
  <c r="SS35" i="1"/>
  <c r="SS43" i="1" s="1"/>
  <c r="SP35" i="1"/>
  <c r="SP43" i="1" s="1"/>
  <c r="SM35" i="1"/>
  <c r="SM43" i="1" s="1"/>
  <c r="SI35" i="1"/>
  <c r="SH35" i="1"/>
  <c r="SJ35" i="1" s="1"/>
  <c r="SG35" i="1"/>
  <c r="SD35" i="1"/>
  <c r="SD43" i="1" s="1"/>
  <c r="SA35" i="1"/>
  <c r="SA43" i="1" s="1"/>
  <c r="RX35" i="1"/>
  <c r="RX43" i="1" s="1"/>
  <c r="RT35" i="1"/>
  <c r="RS35" i="1"/>
  <c r="RU35" i="1" s="1"/>
  <c r="RR35" i="1"/>
  <c r="RO35" i="1"/>
  <c r="RO43" i="1" s="1"/>
  <c r="RL35" i="1"/>
  <c r="RL43" i="1" s="1"/>
  <c r="RI35" i="1"/>
  <c r="RI43" i="1" s="1"/>
  <c r="RE35" i="1"/>
  <c r="RE43" i="1" s="1"/>
  <c r="RD35" i="1"/>
  <c r="RF35" i="1" s="1"/>
  <c r="RC35" i="1"/>
  <c r="RC43" i="1" s="1"/>
  <c r="QZ35" i="1"/>
  <c r="QZ43" i="1" s="1"/>
  <c r="QW35" i="1"/>
  <c r="QW43" i="1" s="1"/>
  <c r="QT35" i="1"/>
  <c r="QT43" i="1" s="1"/>
  <c r="QP35" i="1"/>
  <c r="QP43" i="1" s="1"/>
  <c r="QO35" i="1"/>
  <c r="QQ35" i="1" s="1"/>
  <c r="QN35" i="1"/>
  <c r="QN43" i="1" s="1"/>
  <c r="QK35" i="1"/>
  <c r="QK43" i="1" s="1"/>
  <c r="QH35" i="1"/>
  <c r="QH43" i="1" s="1"/>
  <c r="QE35" i="1"/>
  <c r="QE43" i="1" s="1"/>
  <c r="QA35" i="1"/>
  <c r="PZ35" i="1"/>
  <c r="QB35" i="1" s="1"/>
  <c r="PY35" i="1"/>
  <c r="PY43" i="1" s="1"/>
  <c r="PV35" i="1"/>
  <c r="PV43" i="1" s="1"/>
  <c r="PS35" i="1"/>
  <c r="PS43" i="1" s="1"/>
  <c r="PP35" i="1"/>
  <c r="PP43" i="1" s="1"/>
  <c r="PL35" i="1"/>
  <c r="PL43" i="1" s="1"/>
  <c r="PK35" i="1"/>
  <c r="PM35" i="1" s="1"/>
  <c r="PJ35" i="1"/>
  <c r="PJ43" i="1" s="1"/>
  <c r="PG35" i="1"/>
  <c r="PG43" i="1" s="1"/>
  <c r="PD35" i="1"/>
  <c r="PD43" i="1" s="1"/>
  <c r="PA35" i="1"/>
  <c r="PA43" i="1" s="1"/>
  <c r="OW35" i="1"/>
  <c r="OW43" i="1" s="1"/>
  <c r="OV35" i="1"/>
  <c r="OX35" i="1" s="1"/>
  <c r="OU35" i="1"/>
  <c r="OU43" i="1" s="1"/>
  <c r="OR35" i="1"/>
  <c r="OR43" i="1" s="1"/>
  <c r="OO35" i="1"/>
  <c r="OO43" i="1" s="1"/>
  <c r="OL35" i="1"/>
  <c r="OL43" i="1" s="1"/>
  <c r="OH35" i="1"/>
  <c r="OG35" i="1"/>
  <c r="OI35" i="1" s="1"/>
  <c r="OF35" i="1"/>
  <c r="OC35" i="1"/>
  <c r="OC43" i="1" s="1"/>
  <c r="NZ35" i="1"/>
  <c r="NZ43" i="1" s="1"/>
  <c r="NW35" i="1"/>
  <c r="NS35" i="1"/>
  <c r="NR35" i="1"/>
  <c r="NT35" i="1" s="1"/>
  <c r="NQ35" i="1"/>
  <c r="NQ43" i="1" s="1"/>
  <c r="NN35" i="1"/>
  <c r="NN43" i="1" s="1"/>
  <c r="NK35" i="1"/>
  <c r="NH35" i="1"/>
  <c r="NH43" i="1" s="1"/>
  <c r="ND35" i="1"/>
  <c r="ND43" i="1" s="1"/>
  <c r="NC35" i="1"/>
  <c r="NE35" i="1" s="1"/>
  <c r="NB35" i="1"/>
  <c r="NB43" i="1" s="1"/>
  <c r="MY35" i="1"/>
  <c r="MY43" i="1" s="1"/>
  <c r="MV35" i="1"/>
  <c r="MV43" i="1" s="1"/>
  <c r="MS35" i="1"/>
  <c r="MS43" i="1" s="1"/>
  <c r="MO35" i="1"/>
  <c r="MN35" i="1"/>
  <c r="MP35" i="1" s="1"/>
  <c r="MM35" i="1"/>
  <c r="MJ35" i="1"/>
  <c r="MJ43" i="1" s="1"/>
  <c r="MG35" i="1"/>
  <c r="MG43" i="1" s="1"/>
  <c r="MD35" i="1"/>
  <c r="LZ35" i="1"/>
  <c r="LY35" i="1"/>
  <c r="MA35" i="1" s="1"/>
  <c r="LX35" i="1"/>
  <c r="LX43" i="1" s="1"/>
  <c r="LU35" i="1"/>
  <c r="LU43" i="1" s="1"/>
  <c r="LR35" i="1"/>
  <c r="LR43" i="1" s="1"/>
  <c r="LO35" i="1"/>
  <c r="LO43" i="1" s="1"/>
  <c r="KV35" i="1"/>
  <c r="KU35" i="1"/>
  <c r="KW35" i="1" s="1"/>
  <c r="KT35" i="1"/>
  <c r="KT43" i="1" s="1"/>
  <c r="KQ35" i="1"/>
  <c r="KQ43" i="1" s="1"/>
  <c r="KN35" i="1"/>
  <c r="KN43" i="1" s="1"/>
  <c r="KK35" i="1"/>
  <c r="KG35" i="1"/>
  <c r="KF35" i="1"/>
  <c r="KH35" i="1" s="1"/>
  <c r="KE35" i="1"/>
  <c r="KB35" i="1"/>
  <c r="KB43" i="1" s="1"/>
  <c r="JY35" i="1"/>
  <c r="JY43" i="1" s="1"/>
  <c r="JV35" i="1"/>
  <c r="JV43" i="1" s="1"/>
  <c r="JR35" i="1"/>
  <c r="JQ35" i="1"/>
  <c r="JS35" i="1" s="1"/>
  <c r="JP35" i="1"/>
  <c r="JP43" i="1" s="1"/>
  <c r="JM35" i="1"/>
  <c r="JM43" i="1" s="1"/>
  <c r="JJ35" i="1"/>
  <c r="JG35" i="1"/>
  <c r="JG43" i="1" s="1"/>
  <c r="JC35" i="1"/>
  <c r="JC43" i="1" s="1"/>
  <c r="JB35" i="1"/>
  <c r="JD35" i="1" s="1"/>
  <c r="JA35" i="1"/>
  <c r="JA43" i="1" s="1"/>
  <c r="IX35" i="1"/>
  <c r="IX43" i="1" s="1"/>
  <c r="IU35" i="1"/>
  <c r="IU43" i="1" s="1"/>
  <c r="IR35" i="1"/>
  <c r="IR43" i="1" s="1"/>
  <c r="IN35" i="1"/>
  <c r="IN43" i="1" s="1"/>
  <c r="IM35" i="1"/>
  <c r="IO35" i="1" s="1"/>
  <c r="IL35" i="1"/>
  <c r="IL43" i="1" s="1"/>
  <c r="II35" i="1"/>
  <c r="II43" i="1" s="1"/>
  <c r="IF35" i="1"/>
  <c r="IF43" i="1" s="1"/>
  <c r="IC35" i="1"/>
  <c r="HY35" i="1"/>
  <c r="HY43" i="1" s="1"/>
  <c r="HX35" i="1"/>
  <c r="HZ35" i="1" s="1"/>
  <c r="HW35" i="1"/>
  <c r="HW43" i="1" s="1"/>
  <c r="HT35" i="1"/>
  <c r="HT43" i="1" s="1"/>
  <c r="HQ35" i="1"/>
  <c r="HQ43" i="1" s="1"/>
  <c r="HN35" i="1"/>
  <c r="HN43" i="1" s="1"/>
  <c r="HJ35" i="1"/>
  <c r="HJ43" i="1" s="1"/>
  <c r="HI35" i="1"/>
  <c r="HK35" i="1" s="1"/>
  <c r="HH35" i="1"/>
  <c r="HH43" i="1" s="1"/>
  <c r="HE35" i="1"/>
  <c r="HE43" i="1" s="1"/>
  <c r="HB35" i="1"/>
  <c r="HB43" i="1" s="1"/>
  <c r="GY35" i="1"/>
  <c r="GY43" i="1" s="1"/>
  <c r="GU35" i="1"/>
  <c r="GU43" i="1" s="1"/>
  <c r="GT35" i="1"/>
  <c r="GV35" i="1" s="1"/>
  <c r="GS35" i="1"/>
  <c r="GS43" i="1" s="1"/>
  <c r="GP35" i="1"/>
  <c r="GP43" i="1" s="1"/>
  <c r="GM35" i="1"/>
  <c r="GM43" i="1" s="1"/>
  <c r="GJ35" i="1"/>
  <c r="GJ43" i="1" s="1"/>
  <c r="GF35" i="1"/>
  <c r="GF43" i="1" s="1"/>
  <c r="GE35" i="1"/>
  <c r="GG35" i="1" s="1"/>
  <c r="GD35" i="1"/>
  <c r="GD43" i="1" s="1"/>
  <c r="GA35" i="1"/>
  <c r="GA43" i="1" s="1"/>
  <c r="FX35" i="1"/>
  <c r="FX43" i="1" s="1"/>
  <c r="FU35" i="1"/>
  <c r="FU43" i="1" s="1"/>
  <c r="FQ35" i="1"/>
  <c r="FQ43" i="1" s="1"/>
  <c r="FP35" i="1"/>
  <c r="FR35" i="1" s="1"/>
  <c r="FO35" i="1"/>
  <c r="FO43" i="1" s="1"/>
  <c r="FL35" i="1"/>
  <c r="FL43" i="1" s="1"/>
  <c r="FI35" i="1"/>
  <c r="FI43" i="1" s="1"/>
  <c r="FF35" i="1"/>
  <c r="FF43" i="1" s="1"/>
  <c r="FB35" i="1"/>
  <c r="FB43" i="1" s="1"/>
  <c r="FA35" i="1"/>
  <c r="FC35" i="1" s="1"/>
  <c r="EZ35" i="1"/>
  <c r="EZ43" i="1" s="1"/>
  <c r="EW35" i="1"/>
  <c r="EW43" i="1" s="1"/>
  <c r="ET35" i="1"/>
  <c r="ET43" i="1" s="1"/>
  <c r="EQ35" i="1"/>
  <c r="EQ43" i="1" s="1"/>
  <c r="EM35" i="1"/>
  <c r="EL35" i="1"/>
  <c r="EN35" i="1" s="1"/>
  <c r="EK35" i="1"/>
  <c r="EH35" i="1"/>
  <c r="EH43" i="1" s="1"/>
  <c r="EE35" i="1"/>
  <c r="EE43" i="1" s="1"/>
  <c r="EB35" i="1"/>
  <c r="EB43" i="1" s="1"/>
  <c r="DX35" i="1"/>
  <c r="DX43" i="1" s="1"/>
  <c r="DW35" i="1"/>
  <c r="DY35" i="1" s="1"/>
  <c r="DV35" i="1"/>
  <c r="DV43" i="1" s="1"/>
  <c r="DS35" i="1"/>
  <c r="DS43" i="1" s="1"/>
  <c r="DP35" i="1"/>
  <c r="DP43" i="1" s="1"/>
  <c r="DM35" i="1"/>
  <c r="DM43" i="1" s="1"/>
  <c r="DI35" i="1"/>
  <c r="DI43" i="1" s="1"/>
  <c r="DH35" i="1"/>
  <c r="DJ35" i="1" s="1"/>
  <c r="DG35" i="1"/>
  <c r="DG43" i="1" s="1"/>
  <c r="DD35" i="1"/>
  <c r="DD43" i="1" s="1"/>
  <c r="DA35" i="1"/>
  <c r="DA43" i="1" s="1"/>
  <c r="CX35" i="1"/>
  <c r="CX43" i="1" s="1"/>
  <c r="CT35" i="1"/>
  <c r="CT43" i="1" s="1"/>
  <c r="CS35" i="1"/>
  <c r="CU35" i="1" s="1"/>
  <c r="CR35" i="1"/>
  <c r="CR43" i="1" s="1"/>
  <c r="CO35" i="1"/>
  <c r="CO43" i="1" s="1"/>
  <c r="CL35" i="1"/>
  <c r="CL43" i="1" s="1"/>
  <c r="CI35" i="1"/>
  <c r="CI43" i="1" s="1"/>
  <c r="CE35" i="1"/>
  <c r="CD35" i="1"/>
  <c r="CF35" i="1" s="1"/>
  <c r="BP35" i="1"/>
  <c r="BP43" i="1" s="1"/>
  <c r="BO35" i="1"/>
  <c r="BQ35" i="1" s="1"/>
  <c r="BN35" i="1"/>
  <c r="BN43" i="1" s="1"/>
  <c r="BK35" i="1"/>
  <c r="BK43" i="1" s="1"/>
  <c r="BH35" i="1"/>
  <c r="BH43" i="1" s="1"/>
  <c r="BE35" i="1"/>
  <c r="BE43" i="1" s="1"/>
  <c r="BA35" i="1"/>
  <c r="BA43" i="1" s="1"/>
  <c r="AZ35" i="1"/>
  <c r="BB35" i="1" s="1"/>
  <c r="AY35" i="1"/>
  <c r="AY43" i="1" s="1"/>
  <c r="AV35" i="1"/>
  <c r="AV43" i="1" s="1"/>
  <c r="AS35" i="1"/>
  <c r="AS43" i="1" s="1"/>
  <c r="AP35" i="1"/>
  <c r="AP43" i="1" s="1"/>
  <c r="AL35" i="1"/>
  <c r="AK35" i="1"/>
  <c r="AM35" i="1" s="1"/>
  <c r="AJ35" i="1"/>
  <c r="AG35" i="1"/>
  <c r="AD35" i="1"/>
  <c r="AA35" i="1"/>
  <c r="W35" i="1"/>
  <c r="V35" i="1"/>
  <c r="U35" i="1"/>
  <c r="R35" i="1"/>
  <c r="O35" i="1"/>
  <c r="L35" i="1"/>
  <c r="I35" i="1"/>
  <c r="AAB34" i="1"/>
  <c r="AAA34" i="1"/>
  <c r="AAC34" i="1" s="1"/>
  <c r="ZZ34" i="1"/>
  <c r="ZV34" i="1"/>
  <c r="ZU34" i="1"/>
  <c r="ZT34" i="1"/>
  <c r="ZQ34" i="1"/>
  <c r="ZQ43" i="1" s="1"/>
  <c r="ZN34" i="1"/>
  <c r="ZN43" i="1" s="1"/>
  <c r="ZK34" i="1"/>
  <c r="ZG34" i="1"/>
  <c r="ZG43" i="1" s="1"/>
  <c r="ZF34" i="1"/>
  <c r="ZH34" i="1" s="1"/>
  <c r="ZE34" i="1"/>
  <c r="ZE43" i="1" s="1"/>
  <c r="ZB34" i="1"/>
  <c r="ZB43" i="1" s="1"/>
  <c r="YY34" i="1"/>
  <c r="YY43" i="1" s="1"/>
  <c r="YV34" i="1"/>
  <c r="YV43" i="1" s="1"/>
  <c r="YR34" i="1"/>
  <c r="YR43" i="1" s="1"/>
  <c r="YQ34" i="1"/>
  <c r="YS34" i="1" s="1"/>
  <c r="YP34" i="1"/>
  <c r="YP43" i="1" s="1"/>
  <c r="YM34" i="1"/>
  <c r="YM43" i="1" s="1"/>
  <c r="YJ34" i="1"/>
  <c r="YJ43" i="1" s="1"/>
  <c r="YG34" i="1"/>
  <c r="YG43" i="1" s="1"/>
  <c r="YC34" i="1"/>
  <c r="YC43" i="1" s="1"/>
  <c r="YB34" i="1"/>
  <c r="YD34" i="1" s="1"/>
  <c r="YA34" i="1"/>
  <c r="YA43" i="1" s="1"/>
  <c r="XX34" i="1"/>
  <c r="XX43" i="1" s="1"/>
  <c r="XU34" i="1"/>
  <c r="XU43" i="1" s="1"/>
  <c r="XR34" i="1"/>
  <c r="XR43" i="1" s="1"/>
  <c r="XN34" i="1"/>
  <c r="XM34" i="1"/>
  <c r="XO34" i="1" s="1"/>
  <c r="XL34" i="1"/>
  <c r="XI34" i="1"/>
  <c r="XF34" i="1"/>
  <c r="XF43" i="1" s="1"/>
  <c r="XC34" i="1"/>
  <c r="WY34" i="1"/>
  <c r="WX34" i="1"/>
  <c r="WZ34" i="1" s="1"/>
  <c r="WW34" i="1"/>
  <c r="WT34" i="1"/>
  <c r="WQ34" i="1"/>
  <c r="WN34" i="1"/>
  <c r="VU34" i="1"/>
  <c r="VT34" i="1"/>
  <c r="VV34" i="1" s="1"/>
  <c r="VS34" i="1"/>
  <c r="VP34" i="1"/>
  <c r="VM34" i="1"/>
  <c r="VJ34" i="1"/>
  <c r="VF34" i="1"/>
  <c r="VE34" i="1"/>
  <c r="VG34" i="1" s="1"/>
  <c r="UQ34" i="1"/>
  <c r="UP34" i="1"/>
  <c r="UR34" i="1" s="1"/>
  <c r="UO34" i="1"/>
  <c r="UL34" i="1"/>
  <c r="UI34" i="1"/>
  <c r="UF34" i="1"/>
  <c r="UB34" i="1"/>
  <c r="UA34" i="1"/>
  <c r="UC34" i="1" s="1"/>
  <c r="TZ34" i="1"/>
  <c r="TW34" i="1"/>
  <c r="TT34" i="1"/>
  <c r="TQ34" i="1"/>
  <c r="TM34" i="1"/>
  <c r="TL34" i="1"/>
  <c r="TN34" i="1" s="1"/>
  <c r="TK34" i="1"/>
  <c r="TH34" i="1"/>
  <c r="TE34" i="1"/>
  <c r="TB34" i="1"/>
  <c r="SX34" i="1"/>
  <c r="SW34" i="1"/>
  <c r="SY34" i="1" s="1"/>
  <c r="SV34" i="1"/>
  <c r="SS34" i="1"/>
  <c r="SP34" i="1"/>
  <c r="SM34" i="1"/>
  <c r="SI34" i="1"/>
  <c r="SH34" i="1"/>
  <c r="SJ34" i="1" s="1"/>
  <c r="SG34" i="1"/>
  <c r="SD34" i="1"/>
  <c r="SA34" i="1"/>
  <c r="RX34" i="1"/>
  <c r="RT34" i="1"/>
  <c r="RS34" i="1"/>
  <c r="RU34" i="1" s="1"/>
  <c r="RR34" i="1"/>
  <c r="RO34" i="1"/>
  <c r="RL34" i="1"/>
  <c r="RI34" i="1"/>
  <c r="RE34" i="1"/>
  <c r="RD34" i="1"/>
  <c r="RF34" i="1" s="1"/>
  <c r="RC34" i="1"/>
  <c r="QZ34" i="1"/>
  <c r="QW34" i="1"/>
  <c r="QT34" i="1"/>
  <c r="QP34" i="1"/>
  <c r="QO34" i="1"/>
  <c r="QQ34" i="1" s="1"/>
  <c r="QN34" i="1"/>
  <c r="QK34" i="1"/>
  <c r="QH34" i="1"/>
  <c r="QE34" i="1"/>
  <c r="QA34" i="1"/>
  <c r="PZ34" i="1"/>
  <c r="QB34" i="1" s="1"/>
  <c r="PY34" i="1"/>
  <c r="PV34" i="1"/>
  <c r="PS34" i="1"/>
  <c r="PP34" i="1"/>
  <c r="PL34" i="1"/>
  <c r="PK34" i="1"/>
  <c r="PM34" i="1" s="1"/>
  <c r="PJ34" i="1"/>
  <c r="PG34" i="1"/>
  <c r="PD34" i="1"/>
  <c r="PA34" i="1"/>
  <c r="OW34" i="1"/>
  <c r="OV34" i="1"/>
  <c r="OX34" i="1" s="1"/>
  <c r="OU34" i="1"/>
  <c r="OR34" i="1"/>
  <c r="OO34" i="1"/>
  <c r="OL34" i="1"/>
  <c r="OH34" i="1"/>
  <c r="OG34" i="1"/>
  <c r="OI34" i="1" s="1"/>
  <c r="OF34" i="1"/>
  <c r="OC34" i="1"/>
  <c r="NZ34" i="1"/>
  <c r="NW34" i="1"/>
  <c r="NR34" i="1"/>
  <c r="NQ34" i="1"/>
  <c r="NN34" i="1"/>
  <c r="NJ34" i="1"/>
  <c r="NH34" i="1"/>
  <c r="ND34" i="1"/>
  <c r="NC34" i="1"/>
  <c r="NE34" i="1" s="1"/>
  <c r="NB34" i="1"/>
  <c r="MY34" i="1"/>
  <c r="MV34" i="1"/>
  <c r="MS34" i="1"/>
  <c r="MO34" i="1"/>
  <c r="MN34" i="1"/>
  <c r="MP34" i="1" s="1"/>
  <c r="MM34" i="1"/>
  <c r="MJ34" i="1"/>
  <c r="MG34" i="1"/>
  <c r="MD34" i="1"/>
  <c r="LZ34" i="1"/>
  <c r="LY34" i="1"/>
  <c r="MA34" i="1" s="1"/>
  <c r="LX34" i="1"/>
  <c r="LU34" i="1"/>
  <c r="LR34" i="1"/>
  <c r="LO34" i="1"/>
  <c r="KV34" i="1"/>
  <c r="KU34" i="1"/>
  <c r="KW34" i="1" s="1"/>
  <c r="KT34" i="1"/>
  <c r="KQ34" i="1"/>
  <c r="KN34" i="1"/>
  <c r="KK34" i="1"/>
  <c r="KG34" i="1"/>
  <c r="KF34" i="1"/>
  <c r="KH34" i="1" s="1"/>
  <c r="KE34" i="1"/>
  <c r="KB34" i="1"/>
  <c r="JY34" i="1"/>
  <c r="JV34" i="1"/>
  <c r="JQ34" i="1"/>
  <c r="JP34" i="1"/>
  <c r="JM34" i="1"/>
  <c r="JI34" i="1"/>
  <c r="JG34" i="1"/>
  <c r="JC34" i="1"/>
  <c r="JB34" i="1"/>
  <c r="JD34" i="1" s="1"/>
  <c r="JA34" i="1"/>
  <c r="IX34" i="1"/>
  <c r="IU34" i="1"/>
  <c r="IR34" i="1"/>
  <c r="IN34" i="1"/>
  <c r="IM34" i="1"/>
  <c r="IO34" i="1" s="1"/>
  <c r="IL34" i="1"/>
  <c r="II34" i="1"/>
  <c r="IF34" i="1"/>
  <c r="IC34" i="1"/>
  <c r="HY34" i="1"/>
  <c r="HX34" i="1"/>
  <c r="HZ34" i="1" s="1"/>
  <c r="HW34" i="1"/>
  <c r="HT34" i="1"/>
  <c r="HQ34" i="1"/>
  <c r="HN34" i="1"/>
  <c r="HJ34" i="1"/>
  <c r="HI34" i="1"/>
  <c r="HK34" i="1" s="1"/>
  <c r="HH34" i="1"/>
  <c r="HE34" i="1"/>
  <c r="HB34" i="1"/>
  <c r="GY34" i="1"/>
  <c r="GU34" i="1"/>
  <c r="GT34" i="1"/>
  <c r="GV34" i="1" s="1"/>
  <c r="GS34" i="1"/>
  <c r="GP34" i="1"/>
  <c r="GM34" i="1"/>
  <c r="GJ34" i="1"/>
  <c r="GF34" i="1"/>
  <c r="GE34" i="1"/>
  <c r="GG34" i="1" s="1"/>
  <c r="GD34" i="1"/>
  <c r="GA34" i="1"/>
  <c r="FX34" i="1"/>
  <c r="FU34" i="1"/>
  <c r="FQ34" i="1"/>
  <c r="FP34" i="1"/>
  <c r="FR34" i="1" s="1"/>
  <c r="FO34" i="1"/>
  <c r="FL34" i="1"/>
  <c r="FI34" i="1"/>
  <c r="FF34" i="1"/>
  <c r="FB34" i="1"/>
  <c r="FA34" i="1"/>
  <c r="FC34" i="1" s="1"/>
  <c r="EZ34" i="1"/>
  <c r="EW34" i="1"/>
  <c r="ET34" i="1"/>
  <c r="EQ34" i="1"/>
  <c r="EM34" i="1"/>
  <c r="EL34" i="1"/>
  <c r="EN34" i="1" s="1"/>
  <c r="EK34" i="1"/>
  <c r="EH34" i="1"/>
  <c r="EE34" i="1"/>
  <c r="EB34" i="1"/>
  <c r="DX34" i="1"/>
  <c r="DW34" i="1"/>
  <c r="DY34" i="1" s="1"/>
  <c r="DV34" i="1"/>
  <c r="DS34" i="1"/>
  <c r="DP34" i="1"/>
  <c r="DM34" i="1"/>
  <c r="DI34" i="1"/>
  <c r="DH34" i="1"/>
  <c r="DJ34" i="1" s="1"/>
  <c r="DG34" i="1"/>
  <c r="DD34" i="1"/>
  <c r="DA34" i="1"/>
  <c r="CX34" i="1"/>
  <c r="CT34" i="1"/>
  <c r="CS34" i="1"/>
  <c r="CU34" i="1" s="1"/>
  <c r="CR34" i="1"/>
  <c r="CO34" i="1"/>
  <c r="CL34" i="1"/>
  <c r="CI34" i="1"/>
  <c r="CD34" i="1"/>
  <c r="BS34" i="1"/>
  <c r="CE34" i="1" s="1"/>
  <c r="CE43" i="1" s="1"/>
  <c r="BP34" i="1"/>
  <c r="BO34" i="1"/>
  <c r="BQ34" i="1" s="1"/>
  <c r="BN34" i="1"/>
  <c r="BK34" i="1"/>
  <c r="BH34" i="1"/>
  <c r="BE34" i="1"/>
  <c r="BA34" i="1"/>
  <c r="AZ34" i="1"/>
  <c r="BB34" i="1" s="1"/>
  <c r="AY34" i="1"/>
  <c r="AV34" i="1"/>
  <c r="AS34" i="1"/>
  <c r="AP34" i="1"/>
  <c r="AL34" i="1"/>
  <c r="AK34" i="1"/>
  <c r="AM34" i="1" s="1"/>
  <c r="AJ34" i="1"/>
  <c r="AG34" i="1"/>
  <c r="AD34" i="1"/>
  <c r="AA34" i="1"/>
  <c r="W34" i="1"/>
  <c r="V34" i="1"/>
  <c r="X34" i="1" s="1"/>
  <c r="U34" i="1"/>
  <c r="R34" i="1"/>
  <c r="O34" i="1"/>
  <c r="L34" i="1"/>
  <c r="I34" i="1"/>
  <c r="AAB33" i="1"/>
  <c r="AAA33" i="1"/>
  <c r="AAC33" i="1" s="1"/>
  <c r="ZZ33" i="1"/>
  <c r="ZV33" i="1"/>
  <c r="ZU33" i="1"/>
  <c r="ZT33" i="1"/>
  <c r="ZQ33" i="1"/>
  <c r="ZN33" i="1"/>
  <c r="ZK33" i="1"/>
  <c r="ZG33" i="1"/>
  <c r="ZF33" i="1"/>
  <c r="ZH33" i="1" s="1"/>
  <c r="ZE33" i="1"/>
  <c r="ZB33" i="1"/>
  <c r="YY33" i="1"/>
  <c r="YV33" i="1"/>
  <c r="YR33" i="1"/>
  <c r="YQ33" i="1"/>
  <c r="YS33" i="1" s="1"/>
  <c r="YP33" i="1"/>
  <c r="YM33" i="1"/>
  <c r="YJ33" i="1"/>
  <c r="YG33" i="1"/>
  <c r="YC33" i="1"/>
  <c r="YB33" i="1"/>
  <c r="YD33" i="1" s="1"/>
  <c r="YA33" i="1"/>
  <c r="XX33" i="1"/>
  <c r="XU33" i="1"/>
  <c r="XR33" i="1"/>
  <c r="XM33" i="1"/>
  <c r="XL33" i="1"/>
  <c r="XH33" i="1"/>
  <c r="XF33" i="1"/>
  <c r="XC33" i="1"/>
  <c r="WY33" i="1"/>
  <c r="WX33" i="1"/>
  <c r="WZ33" i="1" s="1"/>
  <c r="WW33" i="1"/>
  <c r="WT33" i="1"/>
  <c r="WQ33" i="1"/>
  <c r="WN33" i="1"/>
  <c r="VU33" i="1"/>
  <c r="VT33" i="1"/>
  <c r="VV33" i="1" s="1"/>
  <c r="VS33" i="1"/>
  <c r="VP33" i="1"/>
  <c r="VM33" i="1"/>
  <c r="VJ33" i="1"/>
  <c r="VF33" i="1"/>
  <c r="VE33" i="1"/>
  <c r="VG33" i="1" s="1"/>
  <c r="VD33" i="1"/>
  <c r="VA33" i="1"/>
  <c r="UX33" i="1"/>
  <c r="UU33" i="1"/>
  <c r="UQ33" i="1"/>
  <c r="UP33" i="1"/>
  <c r="UR33" i="1" s="1"/>
  <c r="UO33" i="1"/>
  <c r="UL33" i="1"/>
  <c r="UI33" i="1"/>
  <c r="UF33" i="1"/>
  <c r="UB33" i="1"/>
  <c r="UA33" i="1"/>
  <c r="UC33" i="1" s="1"/>
  <c r="TZ33" i="1"/>
  <c r="TW33" i="1"/>
  <c r="TT33" i="1"/>
  <c r="TQ33" i="1"/>
  <c r="TM33" i="1"/>
  <c r="TL33" i="1"/>
  <c r="TN33" i="1" s="1"/>
  <c r="TK33" i="1"/>
  <c r="TH33" i="1"/>
  <c r="TE33" i="1"/>
  <c r="TB33" i="1"/>
  <c r="SX33" i="1"/>
  <c r="SW33" i="1"/>
  <c r="SY33" i="1" s="1"/>
  <c r="SV33" i="1"/>
  <c r="SS33" i="1"/>
  <c r="SP33" i="1"/>
  <c r="SM33" i="1"/>
  <c r="SI33" i="1"/>
  <c r="SH33" i="1"/>
  <c r="SJ33" i="1" s="1"/>
  <c r="SG33" i="1"/>
  <c r="SD33" i="1"/>
  <c r="SA33" i="1"/>
  <c r="RX33" i="1"/>
  <c r="RT33" i="1"/>
  <c r="RS33" i="1"/>
  <c r="RU33" i="1" s="1"/>
  <c r="RR33" i="1"/>
  <c r="RO33" i="1"/>
  <c r="RL33" i="1"/>
  <c r="RI33" i="1"/>
  <c r="RE33" i="1"/>
  <c r="RD33" i="1"/>
  <c r="RF33" i="1" s="1"/>
  <c r="RC33" i="1"/>
  <c r="QZ33" i="1"/>
  <c r="QW33" i="1"/>
  <c r="QT33" i="1"/>
  <c r="QP33" i="1"/>
  <c r="QO33" i="1"/>
  <c r="QQ33" i="1" s="1"/>
  <c r="QN33" i="1"/>
  <c r="QK33" i="1"/>
  <c r="QH33" i="1"/>
  <c r="QE33" i="1"/>
  <c r="QA33" i="1"/>
  <c r="PZ33" i="1"/>
  <c r="QB33" i="1" s="1"/>
  <c r="PY33" i="1"/>
  <c r="PV33" i="1"/>
  <c r="PS33" i="1"/>
  <c r="PP33" i="1"/>
  <c r="PL33" i="1"/>
  <c r="PK33" i="1"/>
  <c r="PM33" i="1" s="1"/>
  <c r="PJ33" i="1"/>
  <c r="PG33" i="1"/>
  <c r="PD33" i="1"/>
  <c r="PA33" i="1"/>
  <c r="OW33" i="1"/>
  <c r="OV33" i="1"/>
  <c r="OX33" i="1" s="1"/>
  <c r="OU33" i="1"/>
  <c r="OR33" i="1"/>
  <c r="OO33" i="1"/>
  <c r="OL33" i="1"/>
  <c r="OH33" i="1"/>
  <c r="OG33" i="1"/>
  <c r="OI33" i="1" s="1"/>
  <c r="OF33" i="1"/>
  <c r="OC33" i="1"/>
  <c r="NZ33" i="1"/>
  <c r="NW33" i="1"/>
  <c r="NS33" i="1"/>
  <c r="NR33" i="1"/>
  <c r="NT33" i="1" s="1"/>
  <c r="NQ33" i="1"/>
  <c r="NN33" i="1"/>
  <c r="NK33" i="1"/>
  <c r="NH33" i="1"/>
  <c r="ND33" i="1"/>
  <c r="NC33" i="1"/>
  <c r="NE33" i="1" s="1"/>
  <c r="NB33" i="1"/>
  <c r="MY33" i="1"/>
  <c r="MV33" i="1"/>
  <c r="MS33" i="1"/>
  <c r="MO33" i="1"/>
  <c r="MN33" i="1"/>
  <c r="MP33" i="1" s="1"/>
  <c r="MM33" i="1"/>
  <c r="MJ33" i="1"/>
  <c r="MG33" i="1"/>
  <c r="MD33" i="1"/>
  <c r="LZ33" i="1"/>
  <c r="LY33" i="1"/>
  <c r="MA33" i="1" s="1"/>
  <c r="LX33" i="1"/>
  <c r="LU33" i="1"/>
  <c r="LR33" i="1"/>
  <c r="LO33" i="1"/>
  <c r="KV33" i="1"/>
  <c r="KU33" i="1"/>
  <c r="KW33" i="1" s="1"/>
  <c r="KT33" i="1"/>
  <c r="KQ33" i="1"/>
  <c r="KN33" i="1"/>
  <c r="KK33" i="1"/>
  <c r="KG33" i="1"/>
  <c r="KF33" i="1"/>
  <c r="KH33" i="1" s="1"/>
  <c r="KE33" i="1"/>
  <c r="KB33" i="1"/>
  <c r="JY33" i="1"/>
  <c r="JV33" i="1"/>
  <c r="JR33" i="1"/>
  <c r="JQ33" i="1"/>
  <c r="JS33" i="1" s="1"/>
  <c r="JP33" i="1"/>
  <c r="JM33" i="1"/>
  <c r="JJ33" i="1"/>
  <c r="JG33" i="1"/>
  <c r="JC33" i="1"/>
  <c r="JB33" i="1"/>
  <c r="JD33" i="1" s="1"/>
  <c r="JA33" i="1"/>
  <c r="IX33" i="1"/>
  <c r="IU33" i="1"/>
  <c r="IR33" i="1"/>
  <c r="IN33" i="1"/>
  <c r="IM33" i="1"/>
  <c r="IO33" i="1" s="1"/>
  <c r="IL33" i="1"/>
  <c r="II33" i="1"/>
  <c r="IF33" i="1"/>
  <c r="IC33" i="1"/>
  <c r="HY33" i="1"/>
  <c r="HX33" i="1"/>
  <c r="HZ33" i="1" s="1"/>
  <c r="HW33" i="1"/>
  <c r="HT33" i="1"/>
  <c r="HQ33" i="1"/>
  <c r="HN33" i="1"/>
  <c r="HJ33" i="1"/>
  <c r="HI33" i="1"/>
  <c r="HK33" i="1" s="1"/>
  <c r="HH33" i="1"/>
  <c r="HE33" i="1"/>
  <c r="HB33" i="1"/>
  <c r="GY33" i="1"/>
  <c r="GU33" i="1"/>
  <c r="GT33" i="1"/>
  <c r="GV33" i="1" s="1"/>
  <c r="GS33" i="1"/>
  <c r="GP33" i="1"/>
  <c r="GM33" i="1"/>
  <c r="GJ33" i="1"/>
  <c r="GF33" i="1"/>
  <c r="GE33" i="1"/>
  <c r="GG33" i="1" s="1"/>
  <c r="GD33" i="1"/>
  <c r="GA33" i="1"/>
  <c r="FX33" i="1"/>
  <c r="FU33" i="1"/>
  <c r="FQ33" i="1"/>
  <c r="FP33" i="1"/>
  <c r="FR33" i="1" s="1"/>
  <c r="FO33" i="1"/>
  <c r="FL33" i="1"/>
  <c r="FI33" i="1"/>
  <c r="FF33" i="1"/>
  <c r="FB33" i="1"/>
  <c r="FA33" i="1"/>
  <c r="FC33" i="1" s="1"/>
  <c r="EZ33" i="1"/>
  <c r="EW33" i="1"/>
  <c r="ET33" i="1"/>
  <c r="EQ33" i="1"/>
  <c r="EM33" i="1"/>
  <c r="EL33" i="1"/>
  <c r="EN33" i="1" s="1"/>
  <c r="EK33" i="1"/>
  <c r="EH33" i="1"/>
  <c r="EE33" i="1"/>
  <c r="EB33" i="1"/>
  <c r="DX33" i="1"/>
  <c r="DW33" i="1"/>
  <c r="DY33" i="1" s="1"/>
  <c r="DV33" i="1"/>
  <c r="DS33" i="1"/>
  <c r="DP33" i="1"/>
  <c r="DM33" i="1"/>
  <c r="DI33" i="1"/>
  <c r="DH33" i="1"/>
  <c r="DJ33" i="1" s="1"/>
  <c r="DG33" i="1"/>
  <c r="DD33" i="1"/>
  <c r="DA33" i="1"/>
  <c r="CX33" i="1"/>
  <c r="CT33" i="1"/>
  <c r="CS33" i="1"/>
  <c r="CU33" i="1" s="1"/>
  <c r="CR33" i="1"/>
  <c r="CO33" i="1"/>
  <c r="CL33" i="1"/>
  <c r="CI33" i="1"/>
  <c r="CE33" i="1"/>
  <c r="CD33" i="1"/>
  <c r="CF33" i="1" s="1"/>
  <c r="BP33" i="1"/>
  <c r="BO33" i="1"/>
  <c r="BQ33" i="1" s="1"/>
  <c r="BN33" i="1"/>
  <c r="BK33" i="1"/>
  <c r="BH33" i="1"/>
  <c r="BE33" i="1"/>
  <c r="BA33" i="1"/>
  <c r="AZ33" i="1"/>
  <c r="BB33" i="1" s="1"/>
  <c r="AY33" i="1"/>
  <c r="AV33" i="1"/>
  <c r="AS33" i="1"/>
  <c r="AP33" i="1"/>
  <c r="AL33" i="1"/>
  <c r="AK33" i="1"/>
  <c r="AM33" i="1" s="1"/>
  <c r="AJ33" i="1"/>
  <c r="AG33" i="1"/>
  <c r="AD33" i="1"/>
  <c r="AA33" i="1"/>
  <c r="V33" i="1"/>
  <c r="T33" i="1"/>
  <c r="R33" i="1"/>
  <c r="O33" i="1"/>
  <c r="L33" i="1"/>
  <c r="I33" i="1"/>
  <c r="AAB32" i="1"/>
  <c r="AAA32" i="1"/>
  <c r="AAC32" i="1" s="1"/>
  <c r="ZZ32" i="1"/>
  <c r="ZU32" i="1"/>
  <c r="ZS32" i="1"/>
  <c r="ZQ32" i="1"/>
  <c r="ZN32" i="1"/>
  <c r="ZK32" i="1"/>
  <c r="ZG32" i="1"/>
  <c r="ZF32" i="1"/>
  <c r="ZH32" i="1" s="1"/>
  <c r="ZE32" i="1"/>
  <c r="ZB32" i="1"/>
  <c r="YY32" i="1"/>
  <c r="YV32" i="1"/>
  <c r="YR32" i="1"/>
  <c r="YQ32" i="1"/>
  <c r="YS32" i="1" s="1"/>
  <c r="YP32" i="1"/>
  <c r="YM32" i="1"/>
  <c r="YJ32" i="1"/>
  <c r="YG32" i="1"/>
  <c r="YC32" i="1"/>
  <c r="YB32" i="1"/>
  <c r="YD32" i="1" s="1"/>
  <c r="YA32" i="1"/>
  <c r="XX32" i="1"/>
  <c r="XU32" i="1"/>
  <c r="XR32" i="1"/>
  <c r="XN32" i="1"/>
  <c r="XM32" i="1"/>
  <c r="XO32" i="1" s="1"/>
  <c r="XL32" i="1"/>
  <c r="XI32" i="1"/>
  <c r="XF32" i="1"/>
  <c r="XC32" i="1"/>
  <c r="WY32" i="1"/>
  <c r="WX32" i="1"/>
  <c r="WZ32" i="1" s="1"/>
  <c r="WW32" i="1"/>
  <c r="WT32" i="1"/>
  <c r="WQ32" i="1"/>
  <c r="WN32" i="1"/>
  <c r="VU32" i="1"/>
  <c r="VT32" i="1"/>
  <c r="VV32" i="1" s="1"/>
  <c r="VS32" i="1"/>
  <c r="VP32" i="1"/>
  <c r="VM32" i="1"/>
  <c r="VJ32" i="1"/>
  <c r="VF32" i="1"/>
  <c r="VE32" i="1"/>
  <c r="VG32" i="1" s="1"/>
  <c r="VD32" i="1"/>
  <c r="VA32" i="1"/>
  <c r="UX32" i="1"/>
  <c r="UU32" i="1"/>
  <c r="UQ32" i="1"/>
  <c r="UP32" i="1"/>
  <c r="UR32" i="1" s="1"/>
  <c r="UO32" i="1"/>
  <c r="UL32" i="1"/>
  <c r="UI32" i="1"/>
  <c r="UF32" i="1"/>
  <c r="UB32" i="1"/>
  <c r="UA32" i="1"/>
  <c r="UC32" i="1" s="1"/>
  <c r="TZ32" i="1"/>
  <c r="TW32" i="1"/>
  <c r="TT32" i="1"/>
  <c r="TQ32" i="1"/>
  <c r="TM32" i="1"/>
  <c r="TL32" i="1"/>
  <c r="TN32" i="1" s="1"/>
  <c r="TK32" i="1"/>
  <c r="TH32" i="1"/>
  <c r="TE32" i="1"/>
  <c r="TB32" i="1"/>
  <c r="SX32" i="1"/>
  <c r="SW32" i="1"/>
  <c r="SY32" i="1" s="1"/>
  <c r="SV32" i="1"/>
  <c r="SS32" i="1"/>
  <c r="SP32" i="1"/>
  <c r="SM32" i="1"/>
  <c r="SI32" i="1"/>
  <c r="SH32" i="1"/>
  <c r="SJ32" i="1" s="1"/>
  <c r="SG32" i="1"/>
  <c r="SD32" i="1"/>
  <c r="SA32" i="1"/>
  <c r="RX32" i="1"/>
  <c r="RT32" i="1"/>
  <c r="RS32" i="1"/>
  <c r="RU32" i="1" s="1"/>
  <c r="RR32" i="1"/>
  <c r="RO32" i="1"/>
  <c r="RL32" i="1"/>
  <c r="RI32" i="1"/>
  <c r="RE32" i="1"/>
  <c r="RD32" i="1"/>
  <c r="RF32" i="1" s="1"/>
  <c r="RC32" i="1"/>
  <c r="QZ32" i="1"/>
  <c r="QW32" i="1"/>
  <c r="QT32" i="1"/>
  <c r="QP32" i="1"/>
  <c r="QO32" i="1"/>
  <c r="QQ32" i="1" s="1"/>
  <c r="QN32" i="1"/>
  <c r="QK32" i="1"/>
  <c r="QH32" i="1"/>
  <c r="QE32" i="1"/>
  <c r="QA32" i="1"/>
  <c r="PZ32" i="1"/>
  <c r="QB32" i="1" s="1"/>
  <c r="PY32" i="1"/>
  <c r="PV32" i="1"/>
  <c r="PS32" i="1"/>
  <c r="PP32" i="1"/>
  <c r="PL32" i="1"/>
  <c r="PK32" i="1"/>
  <c r="PM32" i="1" s="1"/>
  <c r="PJ32" i="1"/>
  <c r="PG32" i="1"/>
  <c r="PD32" i="1"/>
  <c r="PA32" i="1"/>
  <c r="OW32" i="1"/>
  <c r="OV32" i="1"/>
  <c r="OX32" i="1" s="1"/>
  <c r="OU32" i="1"/>
  <c r="OR32" i="1"/>
  <c r="OO32" i="1"/>
  <c r="OL32" i="1"/>
  <c r="OH32" i="1"/>
  <c r="OG32" i="1"/>
  <c r="OI32" i="1" s="1"/>
  <c r="OF32" i="1"/>
  <c r="OC32" i="1"/>
  <c r="NZ32" i="1"/>
  <c r="NW32" i="1"/>
  <c r="NS32" i="1"/>
  <c r="NR32" i="1"/>
  <c r="NT32" i="1" s="1"/>
  <c r="NQ32" i="1"/>
  <c r="NN32" i="1"/>
  <c r="NK32" i="1"/>
  <c r="NH32" i="1"/>
  <c r="ND32" i="1"/>
  <c r="NC32" i="1"/>
  <c r="NE32" i="1" s="1"/>
  <c r="NB32" i="1"/>
  <c r="MY32" i="1"/>
  <c r="MV32" i="1"/>
  <c r="MS32" i="1"/>
  <c r="MO32" i="1"/>
  <c r="MN32" i="1"/>
  <c r="MP32" i="1" s="1"/>
  <c r="MM32" i="1"/>
  <c r="MJ32" i="1"/>
  <c r="MG32" i="1"/>
  <c r="MD32" i="1"/>
  <c r="LZ32" i="1"/>
  <c r="LY32" i="1"/>
  <c r="MA32" i="1" s="1"/>
  <c r="LX32" i="1"/>
  <c r="LU32" i="1"/>
  <c r="LR32" i="1"/>
  <c r="LO32" i="1"/>
  <c r="KV32" i="1"/>
  <c r="KU32" i="1"/>
  <c r="KW32" i="1" s="1"/>
  <c r="KT32" i="1"/>
  <c r="KQ32" i="1"/>
  <c r="KN32" i="1"/>
  <c r="KK32" i="1"/>
  <c r="KF32" i="1"/>
  <c r="KD32" i="1"/>
  <c r="KB32" i="1"/>
  <c r="JY32" i="1"/>
  <c r="JV32" i="1"/>
  <c r="JR32" i="1"/>
  <c r="JQ32" i="1"/>
  <c r="JS32" i="1" s="1"/>
  <c r="JP32" i="1"/>
  <c r="JM32" i="1"/>
  <c r="JJ32" i="1"/>
  <c r="JG32" i="1"/>
  <c r="JC32" i="1"/>
  <c r="JB32" i="1"/>
  <c r="JD32" i="1" s="1"/>
  <c r="JA32" i="1"/>
  <c r="IX32" i="1"/>
  <c r="IU32" i="1"/>
  <c r="IR32" i="1"/>
  <c r="IN32" i="1"/>
  <c r="IM32" i="1"/>
  <c r="IO32" i="1" s="1"/>
  <c r="IL32" i="1"/>
  <c r="II32" i="1"/>
  <c r="IF32" i="1"/>
  <c r="IC32" i="1"/>
  <c r="HY32" i="1"/>
  <c r="HX32" i="1"/>
  <c r="HZ32" i="1" s="1"/>
  <c r="HW32" i="1"/>
  <c r="HT32" i="1"/>
  <c r="HQ32" i="1"/>
  <c r="HN32" i="1"/>
  <c r="HJ32" i="1"/>
  <c r="HI32" i="1"/>
  <c r="HK32" i="1" s="1"/>
  <c r="HH32" i="1"/>
  <c r="HE32" i="1"/>
  <c r="HB32" i="1"/>
  <c r="GY32" i="1"/>
  <c r="GU32" i="1"/>
  <c r="GT32" i="1"/>
  <c r="GV32" i="1" s="1"/>
  <c r="GS32" i="1"/>
  <c r="GP32" i="1"/>
  <c r="GM32" i="1"/>
  <c r="GJ32" i="1"/>
  <c r="GF32" i="1"/>
  <c r="GE32" i="1"/>
  <c r="GG32" i="1" s="1"/>
  <c r="GD32" i="1"/>
  <c r="GA32" i="1"/>
  <c r="FX32" i="1"/>
  <c r="FU32" i="1"/>
  <c r="FQ32" i="1"/>
  <c r="FP32" i="1"/>
  <c r="FR32" i="1" s="1"/>
  <c r="FO32" i="1"/>
  <c r="FL32" i="1"/>
  <c r="FI32" i="1"/>
  <c r="FF32" i="1"/>
  <c r="FB32" i="1"/>
  <c r="FA32" i="1"/>
  <c r="FC32" i="1" s="1"/>
  <c r="EZ32" i="1"/>
  <c r="EW32" i="1"/>
  <c r="ET32" i="1"/>
  <c r="EQ32" i="1"/>
  <c r="EM32" i="1"/>
  <c r="EL32" i="1"/>
  <c r="EN32" i="1" s="1"/>
  <c r="EK32" i="1"/>
  <c r="EH32" i="1"/>
  <c r="EE32" i="1"/>
  <c r="EB32" i="1"/>
  <c r="DX32" i="1"/>
  <c r="DW32" i="1"/>
  <c r="DY32" i="1" s="1"/>
  <c r="DV32" i="1"/>
  <c r="DS32" i="1"/>
  <c r="DP32" i="1"/>
  <c r="DM32" i="1"/>
  <c r="DI32" i="1"/>
  <c r="DH32" i="1"/>
  <c r="DJ32" i="1" s="1"/>
  <c r="DG32" i="1"/>
  <c r="DD32" i="1"/>
  <c r="DA32" i="1"/>
  <c r="CX32" i="1"/>
  <c r="CT32" i="1"/>
  <c r="CS32" i="1"/>
  <c r="CU32" i="1" s="1"/>
  <c r="CR32" i="1"/>
  <c r="CO32" i="1"/>
  <c r="CL32" i="1"/>
  <c r="CI32" i="1"/>
  <c r="CE32" i="1"/>
  <c r="CD32" i="1"/>
  <c r="CF32" i="1" s="1"/>
  <c r="BP32" i="1"/>
  <c r="BO32" i="1"/>
  <c r="BQ32" i="1" s="1"/>
  <c r="BN32" i="1"/>
  <c r="BK32" i="1"/>
  <c r="BH32" i="1"/>
  <c r="BE32" i="1"/>
  <c r="BA32" i="1"/>
  <c r="AZ32" i="1"/>
  <c r="BB32" i="1" s="1"/>
  <c r="AY32" i="1"/>
  <c r="AV32" i="1"/>
  <c r="AS32" i="1"/>
  <c r="AP32" i="1"/>
  <c r="AL32" i="1"/>
  <c r="AK32" i="1"/>
  <c r="AM32" i="1" s="1"/>
  <c r="AJ32" i="1"/>
  <c r="AG32" i="1"/>
  <c r="AD32" i="1"/>
  <c r="AA32" i="1"/>
  <c r="W32" i="1"/>
  <c r="V32" i="1"/>
  <c r="X32" i="1" s="1"/>
  <c r="U32" i="1"/>
  <c r="R32" i="1"/>
  <c r="O32" i="1"/>
  <c r="L32" i="1"/>
  <c r="I32" i="1"/>
  <c r="AAB31" i="1"/>
  <c r="AAA31" i="1"/>
  <c r="AAC31" i="1" s="1"/>
  <c r="ZZ31" i="1"/>
  <c r="ZV31" i="1"/>
  <c r="ZU31" i="1"/>
  <c r="ZT31" i="1"/>
  <c r="ZQ31" i="1"/>
  <c r="ZN31" i="1"/>
  <c r="ZK31" i="1"/>
  <c r="ZG31" i="1"/>
  <c r="ZF31" i="1"/>
  <c r="ZH31" i="1" s="1"/>
  <c r="ZE31" i="1"/>
  <c r="ZB31" i="1"/>
  <c r="YY31" i="1"/>
  <c r="YV31" i="1"/>
  <c r="YR31" i="1"/>
  <c r="YQ31" i="1"/>
  <c r="YS31" i="1" s="1"/>
  <c r="YP31" i="1"/>
  <c r="YM31" i="1"/>
  <c r="YJ31" i="1"/>
  <c r="YG31" i="1"/>
  <c r="YC31" i="1"/>
  <c r="YB31" i="1"/>
  <c r="YD31" i="1" s="1"/>
  <c r="YA31" i="1"/>
  <c r="XX31" i="1"/>
  <c r="XU31" i="1"/>
  <c r="XR31" i="1"/>
  <c r="XM31" i="1"/>
  <c r="XK31" i="1"/>
  <c r="XI31" i="1"/>
  <c r="XF31" i="1"/>
  <c r="XC31" i="1"/>
  <c r="WY31" i="1"/>
  <c r="WX31" i="1"/>
  <c r="WZ31" i="1" s="1"/>
  <c r="WW31" i="1"/>
  <c r="WT31" i="1"/>
  <c r="WQ31" i="1"/>
  <c r="WN31" i="1"/>
  <c r="VU31" i="1"/>
  <c r="VT31" i="1"/>
  <c r="VV31" i="1" s="1"/>
  <c r="VS31" i="1"/>
  <c r="VP31" i="1"/>
  <c r="VM31" i="1"/>
  <c r="VJ31" i="1"/>
  <c r="VF31" i="1"/>
  <c r="VE31" i="1"/>
  <c r="VG31" i="1" s="1"/>
  <c r="VD31" i="1"/>
  <c r="VA31" i="1"/>
  <c r="UX31" i="1"/>
  <c r="UU31" i="1"/>
  <c r="UQ31" i="1"/>
  <c r="UP31" i="1"/>
  <c r="UR31" i="1" s="1"/>
  <c r="UO31" i="1"/>
  <c r="UL31" i="1"/>
  <c r="UI31" i="1"/>
  <c r="UF31" i="1"/>
  <c r="UB31" i="1"/>
  <c r="UA31" i="1"/>
  <c r="UC31" i="1" s="1"/>
  <c r="TZ31" i="1"/>
  <c r="TW31" i="1"/>
  <c r="TT31" i="1"/>
  <c r="TQ31" i="1"/>
  <c r="TM31" i="1"/>
  <c r="TL31" i="1"/>
  <c r="TN31" i="1" s="1"/>
  <c r="TK31" i="1"/>
  <c r="TH31" i="1"/>
  <c r="TE31" i="1"/>
  <c r="TB31" i="1"/>
  <c r="SX31" i="1"/>
  <c r="SW31" i="1"/>
  <c r="SY31" i="1" s="1"/>
  <c r="SV31" i="1"/>
  <c r="SS31" i="1"/>
  <c r="SP31" i="1"/>
  <c r="SM31" i="1"/>
  <c r="SI31" i="1"/>
  <c r="SH31" i="1"/>
  <c r="SJ31" i="1" s="1"/>
  <c r="SG31" i="1"/>
  <c r="SD31" i="1"/>
  <c r="SA31" i="1"/>
  <c r="RX31" i="1"/>
  <c r="RT31" i="1"/>
  <c r="RS31" i="1"/>
  <c r="RU31" i="1" s="1"/>
  <c r="RR31" i="1"/>
  <c r="RO31" i="1"/>
  <c r="RL31" i="1"/>
  <c r="RI31" i="1"/>
  <c r="RE31" i="1"/>
  <c r="RD31" i="1"/>
  <c r="RF31" i="1" s="1"/>
  <c r="RC31" i="1"/>
  <c r="QZ31" i="1"/>
  <c r="QW31" i="1"/>
  <c r="QT31" i="1"/>
  <c r="QP31" i="1"/>
  <c r="QO31" i="1"/>
  <c r="QQ31" i="1" s="1"/>
  <c r="QN31" i="1"/>
  <c r="QK31" i="1"/>
  <c r="QH31" i="1"/>
  <c r="QE31" i="1"/>
  <c r="QA31" i="1"/>
  <c r="PZ31" i="1"/>
  <c r="QB31" i="1" s="1"/>
  <c r="PY31" i="1"/>
  <c r="PV31" i="1"/>
  <c r="PS31" i="1"/>
  <c r="PP31" i="1"/>
  <c r="PL31" i="1"/>
  <c r="PK31" i="1"/>
  <c r="PM31" i="1" s="1"/>
  <c r="PJ31" i="1"/>
  <c r="PG31" i="1"/>
  <c r="PD31" i="1"/>
  <c r="PA31" i="1"/>
  <c r="OW31" i="1"/>
  <c r="OV31" i="1"/>
  <c r="OX31" i="1" s="1"/>
  <c r="OU31" i="1"/>
  <c r="OR31" i="1"/>
  <c r="OO31" i="1"/>
  <c r="OL31" i="1"/>
  <c r="OG31" i="1"/>
  <c r="OE31" i="1"/>
  <c r="OC31" i="1"/>
  <c r="NZ31" i="1"/>
  <c r="NW31" i="1"/>
  <c r="NS31" i="1"/>
  <c r="NR31" i="1"/>
  <c r="NT31" i="1" s="1"/>
  <c r="NQ31" i="1"/>
  <c r="NN31" i="1"/>
  <c r="NK31" i="1"/>
  <c r="NH31" i="1"/>
  <c r="ND31" i="1"/>
  <c r="NC31" i="1"/>
  <c r="NE31" i="1" s="1"/>
  <c r="NB31" i="1"/>
  <c r="MY31" i="1"/>
  <c r="MV31" i="1"/>
  <c r="MS31" i="1"/>
  <c r="MO31" i="1"/>
  <c r="MN31" i="1"/>
  <c r="MP31" i="1" s="1"/>
  <c r="MM31" i="1"/>
  <c r="MJ31" i="1"/>
  <c r="MG31" i="1"/>
  <c r="MD31" i="1"/>
  <c r="LZ31" i="1"/>
  <c r="LY31" i="1"/>
  <c r="MA31" i="1" s="1"/>
  <c r="LX31" i="1"/>
  <c r="LU31" i="1"/>
  <c r="LR31" i="1"/>
  <c r="LO31" i="1"/>
  <c r="KV31" i="1"/>
  <c r="KU31" i="1"/>
  <c r="KW31" i="1" s="1"/>
  <c r="KT31" i="1"/>
  <c r="KQ31" i="1"/>
  <c r="KN31" i="1"/>
  <c r="KK31" i="1"/>
  <c r="KG31" i="1"/>
  <c r="KF31" i="1"/>
  <c r="KH31" i="1" s="1"/>
  <c r="KE31" i="1"/>
  <c r="KB31" i="1"/>
  <c r="JY31" i="1"/>
  <c r="JV31" i="1"/>
  <c r="JQ31" i="1"/>
  <c r="JP31" i="1"/>
  <c r="JM31" i="1"/>
  <c r="JI31" i="1"/>
  <c r="JG31" i="1"/>
  <c r="JC31" i="1"/>
  <c r="JB31" i="1"/>
  <c r="JD31" i="1" s="1"/>
  <c r="JA31" i="1"/>
  <c r="IX31" i="1"/>
  <c r="IU31" i="1"/>
  <c r="IR31" i="1"/>
  <c r="IN31" i="1"/>
  <c r="IM31" i="1"/>
  <c r="IO31" i="1" s="1"/>
  <c r="IL31" i="1"/>
  <c r="II31" i="1"/>
  <c r="IF31" i="1"/>
  <c r="IC31" i="1"/>
  <c r="HY31" i="1"/>
  <c r="HX31" i="1"/>
  <c r="HZ31" i="1" s="1"/>
  <c r="HW31" i="1"/>
  <c r="HT31" i="1"/>
  <c r="HQ31" i="1"/>
  <c r="HN31" i="1"/>
  <c r="HJ31" i="1"/>
  <c r="HI31" i="1"/>
  <c r="HK31" i="1" s="1"/>
  <c r="HH31" i="1"/>
  <c r="HE31" i="1"/>
  <c r="HB31" i="1"/>
  <c r="GY31" i="1"/>
  <c r="GU31" i="1"/>
  <c r="GT31" i="1"/>
  <c r="GV31" i="1" s="1"/>
  <c r="GS31" i="1"/>
  <c r="GP31" i="1"/>
  <c r="GM31" i="1"/>
  <c r="GJ31" i="1"/>
  <c r="GF31" i="1"/>
  <c r="GE31" i="1"/>
  <c r="GG31" i="1" s="1"/>
  <c r="GD31" i="1"/>
  <c r="GA31" i="1"/>
  <c r="FX31" i="1"/>
  <c r="FU31" i="1"/>
  <c r="FQ31" i="1"/>
  <c r="FP31" i="1"/>
  <c r="FR31" i="1" s="1"/>
  <c r="FO31" i="1"/>
  <c r="FL31" i="1"/>
  <c r="FI31" i="1"/>
  <c r="FF31" i="1"/>
  <c r="FB31" i="1"/>
  <c r="FA31" i="1"/>
  <c r="FC31" i="1" s="1"/>
  <c r="EZ31" i="1"/>
  <c r="EW31" i="1"/>
  <c r="ET31" i="1"/>
  <c r="EQ31" i="1"/>
  <c r="EL31" i="1"/>
  <c r="EJ31" i="1"/>
  <c r="EH31" i="1"/>
  <c r="EE31" i="1"/>
  <c r="EB31" i="1"/>
  <c r="DX31" i="1"/>
  <c r="DW31" i="1"/>
  <c r="DY31" i="1" s="1"/>
  <c r="DV31" i="1"/>
  <c r="DS31" i="1"/>
  <c r="DP31" i="1"/>
  <c r="DM31" i="1"/>
  <c r="DI31" i="1"/>
  <c r="DH31" i="1"/>
  <c r="DJ31" i="1" s="1"/>
  <c r="DG31" i="1"/>
  <c r="DD31" i="1"/>
  <c r="DA31" i="1"/>
  <c r="CX31" i="1"/>
  <c r="CT31" i="1"/>
  <c r="CS31" i="1"/>
  <c r="CU31" i="1" s="1"/>
  <c r="CR31" i="1"/>
  <c r="CO31" i="1"/>
  <c r="CL31" i="1"/>
  <c r="CI31" i="1"/>
  <c r="CE31" i="1"/>
  <c r="CD31" i="1"/>
  <c r="CF31" i="1" s="1"/>
  <c r="BP31" i="1"/>
  <c r="BO31" i="1"/>
  <c r="BQ31" i="1" s="1"/>
  <c r="BN31" i="1"/>
  <c r="BK31" i="1"/>
  <c r="BH31" i="1"/>
  <c r="BE31" i="1"/>
  <c r="BA31" i="1"/>
  <c r="AZ31" i="1"/>
  <c r="BB31" i="1" s="1"/>
  <c r="AY31" i="1"/>
  <c r="AV31" i="1"/>
  <c r="AS31" i="1"/>
  <c r="AP31" i="1"/>
  <c r="AL31" i="1"/>
  <c r="AK31" i="1"/>
  <c r="AM31" i="1" s="1"/>
  <c r="AJ31" i="1"/>
  <c r="AG31" i="1"/>
  <c r="AD31" i="1"/>
  <c r="AA31" i="1"/>
  <c r="V31" i="1"/>
  <c r="U31" i="1"/>
  <c r="Q31" i="1"/>
  <c r="R31" i="1" s="1"/>
  <c r="R43" i="1" s="1"/>
  <c r="N31" i="1"/>
  <c r="L31" i="1"/>
  <c r="I31" i="1"/>
  <c r="ZY30" i="1"/>
  <c r="AAB30" i="1" s="1"/>
  <c r="ZX30" i="1"/>
  <c r="AAA30" i="1" s="1"/>
  <c r="ZS30" i="1"/>
  <c r="ZR30" i="1"/>
  <c r="ZP30" i="1"/>
  <c r="ZO30" i="1"/>
  <c r="ZM30" i="1"/>
  <c r="ZL30" i="1"/>
  <c r="ZJ30" i="1"/>
  <c r="ZI30" i="1"/>
  <c r="ZU30" i="1" s="1"/>
  <c r="ZC30" i="1"/>
  <c r="ZA30" i="1"/>
  <c r="YZ30" i="1"/>
  <c r="YX30" i="1"/>
  <c r="YW30" i="1"/>
  <c r="YU30" i="1"/>
  <c r="YT30" i="1"/>
  <c r="ZF30" i="1" s="1"/>
  <c r="YO30" i="1"/>
  <c r="YN30" i="1"/>
  <c r="YL30" i="1"/>
  <c r="YK30" i="1"/>
  <c r="YI30" i="1"/>
  <c r="YH30" i="1"/>
  <c r="YF30" i="1"/>
  <c r="YE30" i="1"/>
  <c r="YQ30" i="1" s="1"/>
  <c r="XY30" i="1"/>
  <c r="XW30" i="1"/>
  <c r="XV30" i="1"/>
  <c r="XT30" i="1"/>
  <c r="XS30" i="1"/>
  <c r="XQ30" i="1"/>
  <c r="XP30" i="1"/>
  <c r="YB30" i="1" s="1"/>
  <c r="XK30" i="1"/>
  <c r="XJ30" i="1"/>
  <c r="XH30" i="1"/>
  <c r="XG30" i="1"/>
  <c r="XE30" i="1"/>
  <c r="XD30" i="1"/>
  <c r="XB30" i="1"/>
  <c r="XA30" i="1"/>
  <c r="XM30" i="1" s="1"/>
  <c r="WU30" i="1"/>
  <c r="WS30" i="1"/>
  <c r="WR30" i="1"/>
  <c r="WP30" i="1"/>
  <c r="WO30" i="1"/>
  <c r="WM30" i="1"/>
  <c r="WL30" i="1"/>
  <c r="WX30" i="1" s="1"/>
  <c r="WG30" i="1"/>
  <c r="WF30" i="1"/>
  <c r="WD30" i="1"/>
  <c r="WC30" i="1"/>
  <c r="WA30" i="1"/>
  <c r="VZ30" i="1"/>
  <c r="VW30" i="1"/>
  <c r="WI30" i="1" s="1"/>
  <c r="VR30" i="1"/>
  <c r="VQ30" i="1"/>
  <c r="VO30" i="1"/>
  <c r="VN30" i="1"/>
  <c r="VL30" i="1"/>
  <c r="VK30" i="1"/>
  <c r="VI30" i="1"/>
  <c r="VH30" i="1"/>
  <c r="VT30" i="1" s="1"/>
  <c r="VC30" i="1"/>
  <c r="VB30" i="1"/>
  <c r="UZ30" i="1"/>
  <c r="UY30" i="1"/>
  <c r="UW30" i="1"/>
  <c r="UV30" i="1"/>
  <c r="UT30" i="1"/>
  <c r="US30" i="1"/>
  <c r="VE30" i="1" s="1"/>
  <c r="UN30" i="1"/>
  <c r="UM30" i="1"/>
  <c r="UK30" i="1"/>
  <c r="UJ30" i="1"/>
  <c r="UH30" i="1"/>
  <c r="UG30" i="1"/>
  <c r="UE30" i="1"/>
  <c r="UD30" i="1"/>
  <c r="UP30" i="1" s="1"/>
  <c r="TX30" i="1"/>
  <c r="TV30" i="1"/>
  <c r="TU30" i="1"/>
  <c r="TS30" i="1"/>
  <c r="TR30" i="1"/>
  <c r="TP30" i="1"/>
  <c r="TO30" i="1"/>
  <c r="UA30" i="1" s="1"/>
  <c r="TI30" i="1"/>
  <c r="TG30" i="1"/>
  <c r="TF30" i="1"/>
  <c r="TD30" i="1"/>
  <c r="TC30" i="1"/>
  <c r="SZ30" i="1"/>
  <c r="TL30" i="1" s="1"/>
  <c r="SU30" i="1"/>
  <c r="ST30" i="1"/>
  <c r="SR30" i="1"/>
  <c r="SQ30" i="1"/>
  <c r="SO30" i="1"/>
  <c r="SN30" i="1"/>
  <c r="SL30" i="1"/>
  <c r="SK30" i="1"/>
  <c r="SW30" i="1" s="1"/>
  <c r="SF30" i="1"/>
  <c r="SE30" i="1"/>
  <c r="SC30" i="1"/>
  <c r="SB30" i="1"/>
  <c r="RZ30" i="1"/>
  <c r="RY30" i="1"/>
  <c r="RW30" i="1"/>
  <c r="RV30" i="1"/>
  <c r="SH30" i="1" s="1"/>
  <c r="RQ30" i="1"/>
  <c r="RP30" i="1"/>
  <c r="RN30" i="1"/>
  <c r="RM30" i="1"/>
  <c r="RK30" i="1"/>
  <c r="RJ30" i="1"/>
  <c r="RH30" i="1"/>
  <c r="RG30" i="1"/>
  <c r="RS30" i="1" s="1"/>
  <c r="RB30" i="1"/>
  <c r="RA30" i="1"/>
  <c r="QY30" i="1"/>
  <c r="QX30" i="1"/>
  <c r="QV30" i="1"/>
  <c r="QU30" i="1"/>
  <c r="QS30" i="1"/>
  <c r="QR30" i="1"/>
  <c r="RD30" i="1" s="1"/>
  <c r="QM30" i="1"/>
  <c r="QL30" i="1"/>
  <c r="QJ30" i="1"/>
  <c r="QI30" i="1"/>
  <c r="QG30" i="1"/>
  <c r="QF30" i="1"/>
  <c r="QD30" i="1"/>
  <c r="QC30" i="1"/>
  <c r="QO30" i="1" s="1"/>
  <c r="PW30" i="1"/>
  <c r="PU30" i="1"/>
  <c r="PT30" i="1"/>
  <c r="PR30" i="1"/>
  <c r="PQ30" i="1"/>
  <c r="PO30" i="1"/>
  <c r="PN30" i="1"/>
  <c r="PZ30" i="1" s="1"/>
  <c r="PI30" i="1"/>
  <c r="PH30" i="1"/>
  <c r="PF30" i="1"/>
  <c r="PE30" i="1"/>
  <c r="PC30" i="1"/>
  <c r="PB30" i="1"/>
  <c r="OZ30" i="1"/>
  <c r="OY30" i="1"/>
  <c r="PK30" i="1" s="1"/>
  <c r="OS30" i="1"/>
  <c r="OQ30" i="1"/>
  <c r="OP30" i="1"/>
  <c r="ON30" i="1"/>
  <c r="OM30" i="1"/>
  <c r="OK30" i="1"/>
  <c r="OJ30" i="1"/>
  <c r="OV30" i="1" s="1"/>
  <c r="OD30" i="1"/>
  <c r="OB30" i="1"/>
  <c r="OA30" i="1"/>
  <c r="NY30" i="1"/>
  <c r="NX30" i="1"/>
  <c r="NV30" i="1"/>
  <c r="NU30" i="1"/>
  <c r="OG30" i="1" s="1"/>
  <c r="NP30" i="1"/>
  <c r="NO30" i="1"/>
  <c r="NM30" i="1"/>
  <c r="NL30" i="1"/>
  <c r="NJ30" i="1"/>
  <c r="NI30" i="1"/>
  <c r="NG30" i="1"/>
  <c r="NF30" i="1"/>
  <c r="NR30" i="1" s="1"/>
  <c r="NA30" i="1"/>
  <c r="MZ30" i="1"/>
  <c r="MX30" i="1"/>
  <c r="MW30" i="1"/>
  <c r="MU30" i="1"/>
  <c r="MT30" i="1"/>
  <c r="MR30" i="1"/>
  <c r="MQ30" i="1"/>
  <c r="NC30" i="1" s="1"/>
  <c r="ML30" i="1"/>
  <c r="MK30" i="1"/>
  <c r="MI30" i="1"/>
  <c r="MH30" i="1"/>
  <c r="ME30" i="1"/>
  <c r="MC30" i="1"/>
  <c r="MB30" i="1"/>
  <c r="MN30" i="1" s="1"/>
  <c r="LW30" i="1"/>
  <c r="LV30" i="1"/>
  <c r="LT30" i="1"/>
  <c r="LS30" i="1"/>
  <c r="LQ30" i="1"/>
  <c r="LP30" i="1"/>
  <c r="LN30" i="1"/>
  <c r="LM30" i="1"/>
  <c r="LY30" i="1" s="1"/>
  <c r="KS30" i="1"/>
  <c r="KR30" i="1"/>
  <c r="KP30" i="1"/>
  <c r="KO30" i="1"/>
  <c r="KM30" i="1"/>
  <c r="KL30" i="1"/>
  <c r="KJ30" i="1"/>
  <c r="KI30" i="1"/>
  <c r="KU30" i="1" s="1"/>
  <c r="KC30" i="1"/>
  <c r="KA30" i="1"/>
  <c r="JZ30" i="1"/>
  <c r="JX30" i="1"/>
  <c r="JW30" i="1"/>
  <c r="JU30" i="1"/>
  <c r="JT30" i="1"/>
  <c r="KF30" i="1" s="1"/>
  <c r="JN30" i="1"/>
  <c r="JL30" i="1"/>
  <c r="JK30" i="1"/>
  <c r="JI30" i="1"/>
  <c r="JH30" i="1"/>
  <c r="JF30" i="1"/>
  <c r="JE30" i="1"/>
  <c r="JQ30" i="1" s="1"/>
  <c r="IZ30" i="1"/>
  <c r="IY30" i="1"/>
  <c r="IW30" i="1"/>
  <c r="IV30" i="1"/>
  <c r="IT30" i="1"/>
  <c r="IS30" i="1"/>
  <c r="IQ30" i="1"/>
  <c r="IP30" i="1"/>
  <c r="JB30" i="1" s="1"/>
  <c r="IK30" i="1"/>
  <c r="IJ30" i="1"/>
  <c r="IH30" i="1"/>
  <c r="IG30" i="1"/>
  <c r="IE30" i="1"/>
  <c r="ID30" i="1"/>
  <c r="IB30" i="1"/>
  <c r="IA30" i="1"/>
  <c r="IM30" i="1" s="1"/>
  <c r="HV30" i="1"/>
  <c r="HU30" i="1"/>
  <c r="HS30" i="1"/>
  <c r="HR30" i="1"/>
  <c r="HP30" i="1"/>
  <c r="HO30" i="1"/>
  <c r="HM30" i="1"/>
  <c r="HL30" i="1"/>
  <c r="HX30" i="1" s="1"/>
  <c r="HG30" i="1"/>
  <c r="HF30" i="1"/>
  <c r="HD30" i="1"/>
  <c r="HC30" i="1"/>
  <c r="HA30" i="1"/>
  <c r="GZ30" i="1"/>
  <c r="GX30" i="1"/>
  <c r="GW30" i="1"/>
  <c r="HI30" i="1" s="1"/>
  <c r="GR30" i="1"/>
  <c r="GQ30" i="1"/>
  <c r="GO30" i="1"/>
  <c r="GN30" i="1"/>
  <c r="GL30" i="1"/>
  <c r="GK30" i="1"/>
  <c r="GI30" i="1"/>
  <c r="GH30" i="1"/>
  <c r="GT30" i="1" s="1"/>
  <c r="GC30" i="1"/>
  <c r="GB30" i="1"/>
  <c r="FZ30" i="1"/>
  <c r="FY30" i="1"/>
  <c r="FW30" i="1"/>
  <c r="FV30" i="1"/>
  <c r="FT30" i="1"/>
  <c r="FS30" i="1"/>
  <c r="GE30" i="1" s="1"/>
  <c r="FN30" i="1"/>
  <c r="FM30" i="1"/>
  <c r="FK30" i="1"/>
  <c r="FJ30" i="1"/>
  <c r="FH30" i="1"/>
  <c r="FG30" i="1"/>
  <c r="FE30" i="1"/>
  <c r="FD30" i="1"/>
  <c r="FP30" i="1" s="1"/>
  <c r="EY30" i="1"/>
  <c r="EX30" i="1"/>
  <c r="EV30" i="1"/>
  <c r="EU30" i="1"/>
  <c r="ES30" i="1"/>
  <c r="ER30" i="1"/>
  <c r="EP30" i="1"/>
  <c r="EO30" i="1"/>
  <c r="FA30" i="1" s="1"/>
  <c r="EJ30" i="1"/>
  <c r="EI30" i="1"/>
  <c r="EG30" i="1"/>
  <c r="EF30" i="1"/>
  <c r="ED30" i="1"/>
  <c r="EC30" i="1"/>
  <c r="EA30" i="1"/>
  <c r="DZ30" i="1"/>
  <c r="EL30" i="1" s="1"/>
  <c r="DU30" i="1"/>
  <c r="DT30" i="1"/>
  <c r="DR30" i="1"/>
  <c r="DQ30" i="1"/>
  <c r="DO30" i="1"/>
  <c r="DN30" i="1"/>
  <c r="DL30" i="1"/>
  <c r="DK30" i="1"/>
  <c r="DW30" i="1" s="1"/>
  <c r="DF30" i="1"/>
  <c r="DE30" i="1"/>
  <c r="DC30" i="1"/>
  <c r="DB30" i="1"/>
  <c r="CZ30" i="1"/>
  <c r="CY30" i="1"/>
  <c r="CW30" i="1"/>
  <c r="CV30" i="1"/>
  <c r="DH30" i="1" s="1"/>
  <c r="CQ30" i="1"/>
  <c r="CP30" i="1"/>
  <c r="CN30" i="1"/>
  <c r="CK30" i="1"/>
  <c r="CJ30" i="1"/>
  <c r="CH30" i="1"/>
  <c r="CG30" i="1"/>
  <c r="CB30" i="1"/>
  <c r="CA30" i="1"/>
  <c r="BY30" i="1"/>
  <c r="BX30" i="1"/>
  <c r="BV30" i="1"/>
  <c r="BU30" i="1"/>
  <c r="BR30" i="1"/>
  <c r="CD30" i="1" s="1"/>
  <c r="BL30" i="1"/>
  <c r="BJ30" i="1"/>
  <c r="BI30" i="1"/>
  <c r="BG30" i="1"/>
  <c r="BF30" i="1"/>
  <c r="BD30" i="1"/>
  <c r="BC30" i="1"/>
  <c r="BO30" i="1" s="1"/>
  <c r="AX30" i="1"/>
  <c r="AW30" i="1"/>
  <c r="AU30" i="1"/>
  <c r="AT30" i="1"/>
  <c r="AR30" i="1"/>
  <c r="AQ30" i="1"/>
  <c r="AO30" i="1"/>
  <c r="AN30" i="1"/>
  <c r="AZ30" i="1" s="1"/>
  <c r="AI30" i="1"/>
  <c r="AH30" i="1"/>
  <c r="AF30" i="1"/>
  <c r="AE30" i="1"/>
  <c r="AC30" i="1"/>
  <c r="AB30" i="1"/>
  <c r="Z30" i="1"/>
  <c r="S30" i="1"/>
  <c r="Q30" i="1"/>
  <c r="P30" i="1"/>
  <c r="M30" i="1"/>
  <c r="K30" i="1"/>
  <c r="J30" i="1"/>
  <c r="H30" i="1"/>
  <c r="AAB29" i="1"/>
  <c r="AAA29" i="1"/>
  <c r="AAC29" i="1" s="1"/>
  <c r="ZZ29" i="1"/>
  <c r="ZV29" i="1"/>
  <c r="ZU29" i="1"/>
  <c r="ZT29" i="1"/>
  <c r="ZQ29" i="1"/>
  <c r="ZN29" i="1"/>
  <c r="ZK29" i="1"/>
  <c r="ZF29" i="1"/>
  <c r="ZD29" i="1"/>
  <c r="ZB29" i="1"/>
  <c r="YY29" i="1"/>
  <c r="YV29" i="1"/>
  <c r="YR29" i="1"/>
  <c r="YQ29" i="1"/>
  <c r="YS29" i="1" s="1"/>
  <c r="YP29" i="1"/>
  <c r="YM29" i="1"/>
  <c r="YJ29" i="1"/>
  <c r="YG29" i="1"/>
  <c r="YB29" i="1"/>
  <c r="XZ29" i="1"/>
  <c r="XX29" i="1"/>
  <c r="XU29" i="1"/>
  <c r="XR29" i="1"/>
  <c r="XN29" i="1"/>
  <c r="XM29" i="1"/>
  <c r="XO29" i="1" s="1"/>
  <c r="XL29" i="1"/>
  <c r="XI29" i="1"/>
  <c r="XF29" i="1"/>
  <c r="XC29" i="1"/>
  <c r="WX29" i="1"/>
  <c r="WV29" i="1"/>
  <c r="WT29" i="1"/>
  <c r="WQ29" i="1"/>
  <c r="WN29" i="1"/>
  <c r="WI29" i="1"/>
  <c r="WH29" i="1"/>
  <c r="WE29" i="1"/>
  <c r="WB29" i="1"/>
  <c r="VX29" i="1"/>
  <c r="VU29" i="1"/>
  <c r="VT29" i="1"/>
  <c r="VV29" i="1" s="1"/>
  <c r="VS29" i="1"/>
  <c r="VP29" i="1"/>
  <c r="VM29" i="1"/>
  <c r="VJ29" i="1"/>
  <c r="VF29" i="1"/>
  <c r="VE29" i="1"/>
  <c r="VG29" i="1" s="1"/>
  <c r="VD29" i="1"/>
  <c r="VA29" i="1"/>
  <c r="UX29" i="1"/>
  <c r="UU29" i="1"/>
  <c r="UQ29" i="1"/>
  <c r="UP29" i="1"/>
  <c r="UR29" i="1" s="1"/>
  <c r="UO29" i="1"/>
  <c r="UL29" i="1"/>
  <c r="UI29" i="1"/>
  <c r="UF29" i="1"/>
  <c r="UA29" i="1"/>
  <c r="TY29" i="1"/>
  <c r="TW29" i="1"/>
  <c r="TT29" i="1"/>
  <c r="TQ29" i="1"/>
  <c r="TM29" i="1"/>
  <c r="TL29" i="1"/>
  <c r="TN29" i="1" s="1"/>
  <c r="TK29" i="1"/>
  <c r="TH29" i="1"/>
  <c r="TE29" i="1"/>
  <c r="TB29" i="1"/>
  <c r="SX29" i="1"/>
  <c r="SW29" i="1"/>
  <c r="SY29" i="1" s="1"/>
  <c r="SV29" i="1"/>
  <c r="SS29" i="1"/>
  <c r="SP29" i="1"/>
  <c r="SM29" i="1"/>
  <c r="SI29" i="1"/>
  <c r="SH29" i="1"/>
  <c r="SJ29" i="1" s="1"/>
  <c r="SG29" i="1"/>
  <c r="SD29" i="1"/>
  <c r="SA29" i="1"/>
  <c r="RX29" i="1"/>
  <c r="RT29" i="1"/>
  <c r="RS29" i="1"/>
  <c r="RU29" i="1" s="1"/>
  <c r="RR29" i="1"/>
  <c r="RO29" i="1"/>
  <c r="RL29" i="1"/>
  <c r="RI29" i="1"/>
  <c r="RE29" i="1"/>
  <c r="RD29" i="1"/>
  <c r="RF29" i="1" s="1"/>
  <c r="RC29" i="1"/>
  <c r="QZ29" i="1"/>
  <c r="QW29" i="1"/>
  <c r="QT29" i="1"/>
  <c r="QP29" i="1"/>
  <c r="QO29" i="1"/>
  <c r="QQ29" i="1" s="1"/>
  <c r="QN29" i="1"/>
  <c r="QK29" i="1"/>
  <c r="QH29" i="1"/>
  <c r="QE29" i="1"/>
  <c r="PZ29" i="1"/>
  <c r="PX29" i="1"/>
  <c r="PV29" i="1"/>
  <c r="PS29" i="1"/>
  <c r="PP29" i="1"/>
  <c r="PL29" i="1"/>
  <c r="PK29" i="1"/>
  <c r="PM29" i="1" s="1"/>
  <c r="PJ29" i="1"/>
  <c r="PG29" i="1"/>
  <c r="PD29" i="1"/>
  <c r="PA29" i="1"/>
  <c r="OV29" i="1"/>
  <c r="OT29" i="1"/>
  <c r="OR29" i="1"/>
  <c r="OO29" i="1"/>
  <c r="OL29" i="1"/>
  <c r="OG29" i="1"/>
  <c r="OE29" i="1"/>
  <c r="OC29" i="1"/>
  <c r="NZ29" i="1"/>
  <c r="NW29" i="1"/>
  <c r="NS29" i="1"/>
  <c r="NR29" i="1"/>
  <c r="NT29" i="1" s="1"/>
  <c r="NQ29" i="1"/>
  <c r="NN29" i="1"/>
  <c r="NK29" i="1"/>
  <c r="NH29" i="1"/>
  <c r="ND29" i="1"/>
  <c r="NC29" i="1"/>
  <c r="NE29" i="1" s="1"/>
  <c r="NB29" i="1"/>
  <c r="MY29" i="1"/>
  <c r="MV29" i="1"/>
  <c r="MS29" i="1"/>
  <c r="MN29" i="1"/>
  <c r="MM29" i="1"/>
  <c r="MJ29" i="1"/>
  <c r="MF29" i="1"/>
  <c r="MD29" i="1"/>
  <c r="LZ29" i="1"/>
  <c r="LY29" i="1"/>
  <c r="MA29" i="1" s="1"/>
  <c r="LX29" i="1"/>
  <c r="LU29" i="1"/>
  <c r="LR29" i="1"/>
  <c r="LO29" i="1"/>
  <c r="KV29" i="1"/>
  <c r="KU29" i="1"/>
  <c r="KW29" i="1" s="1"/>
  <c r="KT29" i="1"/>
  <c r="KQ29" i="1"/>
  <c r="KN29" i="1"/>
  <c r="KK29" i="1"/>
  <c r="KF29" i="1"/>
  <c r="KD29" i="1"/>
  <c r="KB29" i="1"/>
  <c r="JY29" i="1"/>
  <c r="JV29" i="1"/>
  <c r="JQ29" i="1"/>
  <c r="JO29" i="1"/>
  <c r="JM29" i="1"/>
  <c r="JJ29" i="1"/>
  <c r="JG29" i="1"/>
  <c r="JC29" i="1"/>
  <c r="JB29" i="1"/>
  <c r="JD29" i="1" s="1"/>
  <c r="JA29" i="1"/>
  <c r="IX29" i="1"/>
  <c r="IU29" i="1"/>
  <c r="IR29" i="1"/>
  <c r="IN29" i="1"/>
  <c r="IM29" i="1"/>
  <c r="IO29" i="1" s="1"/>
  <c r="IL29" i="1"/>
  <c r="II29" i="1"/>
  <c r="IF29" i="1"/>
  <c r="IC29" i="1"/>
  <c r="HY29" i="1"/>
  <c r="HX29" i="1"/>
  <c r="HZ29" i="1" s="1"/>
  <c r="HW29" i="1"/>
  <c r="HT29" i="1"/>
  <c r="HQ29" i="1"/>
  <c r="HN29" i="1"/>
  <c r="HJ29" i="1"/>
  <c r="HI29" i="1"/>
  <c r="HK29" i="1" s="1"/>
  <c r="HH29" i="1"/>
  <c r="HE29" i="1"/>
  <c r="HB29" i="1"/>
  <c r="GY29" i="1"/>
  <c r="GU29" i="1"/>
  <c r="GT29" i="1"/>
  <c r="GV29" i="1" s="1"/>
  <c r="GS29" i="1"/>
  <c r="GP29" i="1"/>
  <c r="GM29" i="1"/>
  <c r="GJ29" i="1"/>
  <c r="GF29" i="1"/>
  <c r="GE29" i="1"/>
  <c r="GG29" i="1" s="1"/>
  <c r="GD29" i="1"/>
  <c r="GA29" i="1"/>
  <c r="FX29" i="1"/>
  <c r="FU29" i="1"/>
  <c r="FQ29" i="1"/>
  <c r="FP29" i="1"/>
  <c r="FR29" i="1" s="1"/>
  <c r="FO29" i="1"/>
  <c r="FL29" i="1"/>
  <c r="FI29" i="1"/>
  <c r="FF29" i="1"/>
  <c r="FB29" i="1"/>
  <c r="FA29" i="1"/>
  <c r="FC29" i="1" s="1"/>
  <c r="EZ29" i="1"/>
  <c r="EW29" i="1"/>
  <c r="ET29" i="1"/>
  <c r="EQ29" i="1"/>
  <c r="EM29" i="1"/>
  <c r="EL29" i="1"/>
  <c r="EN29" i="1" s="1"/>
  <c r="EK29" i="1"/>
  <c r="EH29" i="1"/>
  <c r="EE29" i="1"/>
  <c r="EB29" i="1"/>
  <c r="DX29" i="1"/>
  <c r="DW29" i="1"/>
  <c r="DY29" i="1" s="1"/>
  <c r="DV29" i="1"/>
  <c r="DS29" i="1"/>
  <c r="DP29" i="1"/>
  <c r="DM29" i="1"/>
  <c r="DI29" i="1"/>
  <c r="DH29" i="1"/>
  <c r="DJ29" i="1" s="1"/>
  <c r="DG29" i="1"/>
  <c r="DD29" i="1"/>
  <c r="DA29" i="1"/>
  <c r="CX29" i="1"/>
  <c r="CT29" i="1"/>
  <c r="CS29" i="1"/>
  <c r="CU29" i="1" s="1"/>
  <c r="CR29" i="1"/>
  <c r="CO29" i="1"/>
  <c r="CL29" i="1"/>
  <c r="CI29" i="1"/>
  <c r="CD29" i="1"/>
  <c r="CC29" i="1"/>
  <c r="BZ29" i="1"/>
  <c r="BW29" i="1"/>
  <c r="BS29" i="1"/>
  <c r="BP29" i="1"/>
  <c r="BO29" i="1"/>
  <c r="BQ29" i="1" s="1"/>
  <c r="BN29" i="1"/>
  <c r="BK29" i="1"/>
  <c r="BH29" i="1"/>
  <c r="BE29" i="1"/>
  <c r="BA29" i="1"/>
  <c r="AZ29" i="1"/>
  <c r="BB29" i="1" s="1"/>
  <c r="AY29" i="1"/>
  <c r="AV29" i="1"/>
  <c r="AS29" i="1"/>
  <c r="AP29" i="1"/>
  <c r="AL29" i="1"/>
  <c r="AK29" i="1"/>
  <c r="AM29" i="1" s="1"/>
  <c r="AJ29" i="1"/>
  <c r="AG29" i="1"/>
  <c r="AD29" i="1"/>
  <c r="AA29" i="1"/>
  <c r="W29" i="1"/>
  <c r="V29" i="1"/>
  <c r="X29" i="1" s="1"/>
  <c r="U29" i="1"/>
  <c r="R29" i="1"/>
  <c r="O29" i="1"/>
  <c r="L29" i="1"/>
  <c r="I29" i="1"/>
  <c r="AAB28" i="1"/>
  <c r="AAA28" i="1"/>
  <c r="AAC28" i="1" s="1"/>
  <c r="ZZ28" i="1"/>
  <c r="ZV28" i="1"/>
  <c r="ZU28" i="1"/>
  <c r="ZT28" i="1"/>
  <c r="ZQ28" i="1"/>
  <c r="ZN28" i="1"/>
  <c r="ZK28" i="1"/>
  <c r="ZG28" i="1"/>
  <c r="ZF28" i="1"/>
  <c r="ZH28" i="1" s="1"/>
  <c r="ZE28" i="1"/>
  <c r="ZB28" i="1"/>
  <c r="YY28" i="1"/>
  <c r="YV28" i="1"/>
  <c r="YR28" i="1"/>
  <c r="YQ28" i="1"/>
  <c r="YS28" i="1" s="1"/>
  <c r="YP28" i="1"/>
  <c r="YM28" i="1"/>
  <c r="YJ28" i="1"/>
  <c r="YG28" i="1"/>
  <c r="YC28" i="1"/>
  <c r="YB28" i="1"/>
  <c r="YD28" i="1" s="1"/>
  <c r="YA28" i="1"/>
  <c r="XX28" i="1"/>
  <c r="XU28" i="1"/>
  <c r="XR28" i="1"/>
  <c r="XN28" i="1"/>
  <c r="XM28" i="1"/>
  <c r="XO28" i="1" s="1"/>
  <c r="XL28" i="1"/>
  <c r="XI28" i="1"/>
  <c r="XF28" i="1"/>
  <c r="XC28" i="1"/>
  <c r="WY28" i="1"/>
  <c r="WX28" i="1"/>
  <c r="WZ28" i="1" s="1"/>
  <c r="WW28" i="1"/>
  <c r="WT28" i="1"/>
  <c r="WQ28" i="1"/>
  <c r="WN28" i="1"/>
  <c r="WJ28" i="1"/>
  <c r="WI28" i="1"/>
  <c r="WK28" i="1" s="1"/>
  <c r="WH28" i="1"/>
  <c r="WE28" i="1"/>
  <c r="WB28" i="1"/>
  <c r="VY28" i="1"/>
  <c r="VU28" i="1"/>
  <c r="VT28" i="1"/>
  <c r="VV28" i="1" s="1"/>
  <c r="VS28" i="1"/>
  <c r="VP28" i="1"/>
  <c r="VM28" i="1"/>
  <c r="VJ28" i="1"/>
  <c r="VF28" i="1"/>
  <c r="VE28" i="1"/>
  <c r="VG28" i="1" s="1"/>
  <c r="VD28" i="1"/>
  <c r="VA28" i="1"/>
  <c r="UX28" i="1"/>
  <c r="UU28" i="1"/>
  <c r="UQ28" i="1"/>
  <c r="UP28" i="1"/>
  <c r="UR28" i="1" s="1"/>
  <c r="UO28" i="1"/>
  <c r="UL28" i="1"/>
  <c r="UI28" i="1"/>
  <c r="UF28" i="1"/>
  <c r="UB28" i="1"/>
  <c r="UA28" i="1"/>
  <c r="UC28" i="1" s="1"/>
  <c r="TZ28" i="1"/>
  <c r="TW28" i="1"/>
  <c r="TT28" i="1"/>
  <c r="TQ28" i="1"/>
  <c r="TL28" i="1"/>
  <c r="TJ28" i="1"/>
  <c r="TH28" i="1"/>
  <c r="TE28" i="1"/>
  <c r="TB28" i="1"/>
  <c r="SX28" i="1"/>
  <c r="SW28" i="1"/>
  <c r="SY28" i="1" s="1"/>
  <c r="SV28" i="1"/>
  <c r="SS28" i="1"/>
  <c r="SP28" i="1"/>
  <c r="SM28" i="1"/>
  <c r="SI28" i="1"/>
  <c r="SH28" i="1"/>
  <c r="SJ28" i="1" s="1"/>
  <c r="SG28" i="1"/>
  <c r="SD28" i="1"/>
  <c r="SA28" i="1"/>
  <c r="RX28" i="1"/>
  <c r="RT28" i="1"/>
  <c r="RS28" i="1"/>
  <c r="RU28" i="1" s="1"/>
  <c r="RR28" i="1"/>
  <c r="RO28" i="1"/>
  <c r="RL28" i="1"/>
  <c r="RI28" i="1"/>
  <c r="RE28" i="1"/>
  <c r="RD28" i="1"/>
  <c r="RF28" i="1" s="1"/>
  <c r="RC28" i="1"/>
  <c r="QZ28" i="1"/>
  <c r="QW28" i="1"/>
  <c r="QT28" i="1"/>
  <c r="QP28" i="1"/>
  <c r="QO28" i="1"/>
  <c r="QQ28" i="1" s="1"/>
  <c r="QN28" i="1"/>
  <c r="QK28" i="1"/>
  <c r="QH28" i="1"/>
  <c r="QE28" i="1"/>
  <c r="QA28" i="1"/>
  <c r="PZ28" i="1"/>
  <c r="QB28" i="1" s="1"/>
  <c r="PY28" i="1"/>
  <c r="PV28" i="1"/>
  <c r="PS28" i="1"/>
  <c r="PP28" i="1"/>
  <c r="PL28" i="1"/>
  <c r="PK28" i="1"/>
  <c r="PM28" i="1" s="1"/>
  <c r="PJ28" i="1"/>
  <c r="PG28" i="1"/>
  <c r="PD28" i="1"/>
  <c r="PA28" i="1"/>
  <c r="OW28" i="1"/>
  <c r="OV28" i="1"/>
  <c r="OX28" i="1" s="1"/>
  <c r="OU28" i="1"/>
  <c r="OR28" i="1"/>
  <c r="OO28" i="1"/>
  <c r="OL28" i="1"/>
  <c r="OH28" i="1"/>
  <c r="OG28" i="1"/>
  <c r="OI28" i="1" s="1"/>
  <c r="OF28" i="1"/>
  <c r="OC28" i="1"/>
  <c r="NZ28" i="1"/>
  <c r="NW28" i="1"/>
  <c r="NS28" i="1"/>
  <c r="NR28" i="1"/>
  <c r="NT28" i="1" s="1"/>
  <c r="NQ28" i="1"/>
  <c r="NN28" i="1"/>
  <c r="NK28" i="1"/>
  <c r="NH28" i="1"/>
  <c r="ND28" i="1"/>
  <c r="NC28" i="1"/>
  <c r="NE28" i="1" s="1"/>
  <c r="NB28" i="1"/>
  <c r="MY28" i="1"/>
  <c r="MV28" i="1"/>
  <c r="MS28" i="1"/>
  <c r="MO28" i="1"/>
  <c r="MN28" i="1"/>
  <c r="MP28" i="1" s="1"/>
  <c r="MM28" i="1"/>
  <c r="MJ28" i="1"/>
  <c r="MG28" i="1"/>
  <c r="MD28" i="1"/>
  <c r="LZ28" i="1"/>
  <c r="LY28" i="1"/>
  <c r="MA28" i="1" s="1"/>
  <c r="LX28" i="1"/>
  <c r="LU28" i="1"/>
  <c r="LR28" i="1"/>
  <c r="LO28" i="1"/>
  <c r="KV28" i="1"/>
  <c r="KU28" i="1"/>
  <c r="KW28" i="1" s="1"/>
  <c r="KT28" i="1"/>
  <c r="KQ28" i="1"/>
  <c r="KN28" i="1"/>
  <c r="KK28" i="1"/>
  <c r="KG28" i="1"/>
  <c r="KF28" i="1"/>
  <c r="KH28" i="1" s="1"/>
  <c r="KE28" i="1"/>
  <c r="KB28" i="1"/>
  <c r="JY28" i="1"/>
  <c r="JV28" i="1"/>
  <c r="JR28" i="1"/>
  <c r="JQ28" i="1"/>
  <c r="JS28" i="1" s="1"/>
  <c r="JP28" i="1"/>
  <c r="JM28" i="1"/>
  <c r="JJ28" i="1"/>
  <c r="JG28" i="1"/>
  <c r="JC28" i="1"/>
  <c r="JB28" i="1"/>
  <c r="JD28" i="1" s="1"/>
  <c r="JA28" i="1"/>
  <c r="IX28" i="1"/>
  <c r="IU28" i="1"/>
  <c r="IR28" i="1"/>
  <c r="IN28" i="1"/>
  <c r="IM28" i="1"/>
  <c r="IO28" i="1" s="1"/>
  <c r="IL28" i="1"/>
  <c r="II28" i="1"/>
  <c r="IF28" i="1"/>
  <c r="IC28" i="1"/>
  <c r="HY28" i="1"/>
  <c r="HX28" i="1"/>
  <c r="HZ28" i="1" s="1"/>
  <c r="HW28" i="1"/>
  <c r="HT28" i="1"/>
  <c r="HQ28" i="1"/>
  <c r="HN28" i="1"/>
  <c r="HJ28" i="1"/>
  <c r="HI28" i="1"/>
  <c r="HK28" i="1" s="1"/>
  <c r="HH28" i="1"/>
  <c r="HE28" i="1"/>
  <c r="HB28" i="1"/>
  <c r="GY28" i="1"/>
  <c r="GU28" i="1"/>
  <c r="GT28" i="1"/>
  <c r="GV28" i="1" s="1"/>
  <c r="GS28" i="1"/>
  <c r="GP28" i="1"/>
  <c r="GM28" i="1"/>
  <c r="GJ28" i="1"/>
  <c r="GF28" i="1"/>
  <c r="GE28" i="1"/>
  <c r="GG28" i="1" s="1"/>
  <c r="GD28" i="1"/>
  <c r="GA28" i="1"/>
  <c r="FX28" i="1"/>
  <c r="FU28" i="1"/>
  <c r="FQ28" i="1"/>
  <c r="FP28" i="1"/>
  <c r="FR28" i="1" s="1"/>
  <c r="FO28" i="1"/>
  <c r="FL28" i="1"/>
  <c r="FI28" i="1"/>
  <c r="FF28" i="1"/>
  <c r="FB28" i="1"/>
  <c r="FA28" i="1"/>
  <c r="FC28" i="1" s="1"/>
  <c r="EZ28" i="1"/>
  <c r="EW28" i="1"/>
  <c r="ET28" i="1"/>
  <c r="EQ28" i="1"/>
  <c r="EM28" i="1"/>
  <c r="EL28" i="1"/>
  <c r="EN28" i="1" s="1"/>
  <c r="EK28" i="1"/>
  <c r="EH28" i="1"/>
  <c r="EE28" i="1"/>
  <c r="EB28" i="1"/>
  <c r="DX28" i="1"/>
  <c r="DW28" i="1"/>
  <c r="DY28" i="1" s="1"/>
  <c r="DV28" i="1"/>
  <c r="DS28" i="1"/>
  <c r="DP28" i="1"/>
  <c r="DM28" i="1"/>
  <c r="DI28" i="1"/>
  <c r="DH28" i="1"/>
  <c r="DJ28" i="1" s="1"/>
  <c r="DG28" i="1"/>
  <c r="DD28" i="1"/>
  <c r="DA28" i="1"/>
  <c r="CX28" i="1"/>
  <c r="CT28" i="1"/>
  <c r="CS28" i="1"/>
  <c r="CU28" i="1" s="1"/>
  <c r="CR28" i="1"/>
  <c r="CO28" i="1"/>
  <c r="CL28" i="1"/>
  <c r="CI28" i="1"/>
  <c r="CE28" i="1"/>
  <c r="CD28" i="1"/>
  <c r="CF28" i="1" s="1"/>
  <c r="CC28" i="1"/>
  <c r="BZ28" i="1"/>
  <c r="BW28" i="1"/>
  <c r="BT28" i="1"/>
  <c r="BP28" i="1"/>
  <c r="BO28" i="1"/>
  <c r="BQ28" i="1" s="1"/>
  <c r="BN28" i="1"/>
  <c r="BK28" i="1"/>
  <c r="BH28" i="1"/>
  <c r="BE28" i="1"/>
  <c r="BA28" i="1"/>
  <c r="AZ28" i="1"/>
  <c r="BB28" i="1" s="1"/>
  <c r="AY28" i="1"/>
  <c r="AV28" i="1"/>
  <c r="AS28" i="1"/>
  <c r="AP28" i="1"/>
  <c r="AL28" i="1"/>
  <c r="AK28" i="1"/>
  <c r="AM28" i="1" s="1"/>
  <c r="AJ28" i="1"/>
  <c r="AG28" i="1"/>
  <c r="AD28" i="1"/>
  <c r="AA28" i="1"/>
  <c r="V28" i="1"/>
  <c r="T28" i="1"/>
  <c r="R28" i="1"/>
  <c r="O28" i="1"/>
  <c r="L28" i="1"/>
  <c r="I28" i="1"/>
  <c r="AAB27" i="1"/>
  <c r="AAA27" i="1"/>
  <c r="AAC27" i="1" s="1"/>
  <c r="ZZ27" i="1"/>
  <c r="ZV27" i="1"/>
  <c r="AAE27" i="1" s="1"/>
  <c r="ZU27" i="1"/>
  <c r="ZT27" i="1"/>
  <c r="ZQ27" i="1"/>
  <c r="ZN27" i="1"/>
  <c r="ZK27" i="1"/>
  <c r="ZG27" i="1"/>
  <c r="ZF27" i="1"/>
  <c r="ZH27" i="1" s="1"/>
  <c r="ZE27" i="1"/>
  <c r="ZB27" i="1"/>
  <c r="YY27" i="1"/>
  <c r="YV27" i="1"/>
  <c r="YR27" i="1"/>
  <c r="YQ27" i="1"/>
  <c r="YS27" i="1" s="1"/>
  <c r="YP27" i="1"/>
  <c r="YM27" i="1"/>
  <c r="YJ27" i="1"/>
  <c r="YG27" i="1"/>
  <c r="YC27" i="1"/>
  <c r="YB27" i="1"/>
  <c r="YD27" i="1" s="1"/>
  <c r="YA27" i="1"/>
  <c r="XX27" i="1"/>
  <c r="XU27" i="1"/>
  <c r="XR27" i="1"/>
  <c r="XN27" i="1"/>
  <c r="XM27" i="1"/>
  <c r="XO27" i="1" s="1"/>
  <c r="XL27" i="1"/>
  <c r="XI27" i="1"/>
  <c r="XF27" i="1"/>
  <c r="XC27" i="1"/>
  <c r="WY27" i="1"/>
  <c r="WX27" i="1"/>
  <c r="WZ27" i="1" s="1"/>
  <c r="WW27" i="1"/>
  <c r="WT27" i="1"/>
  <c r="WQ27" i="1"/>
  <c r="WN27" i="1"/>
  <c r="WJ27" i="1"/>
  <c r="WI27" i="1"/>
  <c r="WK27" i="1" s="1"/>
  <c r="WH27" i="1"/>
  <c r="WE27" i="1"/>
  <c r="WB27" i="1"/>
  <c r="VY27" i="1"/>
  <c r="VU27" i="1"/>
  <c r="VT27" i="1"/>
  <c r="VV27" i="1" s="1"/>
  <c r="VS27" i="1"/>
  <c r="VP27" i="1"/>
  <c r="VM27" i="1"/>
  <c r="VJ27" i="1"/>
  <c r="VF27" i="1"/>
  <c r="VE27" i="1"/>
  <c r="VG27" i="1" s="1"/>
  <c r="VD27" i="1"/>
  <c r="VA27" i="1"/>
  <c r="UX27" i="1"/>
  <c r="UU27" i="1"/>
  <c r="UQ27" i="1"/>
  <c r="UP27" i="1"/>
  <c r="UR27" i="1" s="1"/>
  <c r="UO27" i="1"/>
  <c r="UL27" i="1"/>
  <c r="UI27" i="1"/>
  <c r="UF27" i="1"/>
  <c r="UB27" i="1"/>
  <c r="UA27" i="1"/>
  <c r="UC27" i="1" s="1"/>
  <c r="TZ27" i="1"/>
  <c r="TW27" i="1"/>
  <c r="TT27" i="1"/>
  <c r="TQ27" i="1"/>
  <c r="TM27" i="1"/>
  <c r="TL27" i="1"/>
  <c r="TN27" i="1" s="1"/>
  <c r="TK27" i="1"/>
  <c r="TH27" i="1"/>
  <c r="TE27" i="1"/>
  <c r="TB27" i="1"/>
  <c r="SX27" i="1"/>
  <c r="SW27" i="1"/>
  <c r="SY27" i="1" s="1"/>
  <c r="SV27" i="1"/>
  <c r="SS27" i="1"/>
  <c r="SP27" i="1"/>
  <c r="SM27" i="1"/>
  <c r="SI27" i="1"/>
  <c r="SH27" i="1"/>
  <c r="SJ27" i="1" s="1"/>
  <c r="SG27" i="1"/>
  <c r="SD27" i="1"/>
  <c r="SA27" i="1"/>
  <c r="RX27" i="1"/>
  <c r="RT27" i="1"/>
  <c r="RS27" i="1"/>
  <c r="RU27" i="1" s="1"/>
  <c r="RR27" i="1"/>
  <c r="RO27" i="1"/>
  <c r="RL27" i="1"/>
  <c r="RI27" i="1"/>
  <c r="RE27" i="1"/>
  <c r="RD27" i="1"/>
  <c r="RF27" i="1" s="1"/>
  <c r="RC27" i="1"/>
  <c r="QZ27" i="1"/>
  <c r="QW27" i="1"/>
  <c r="QT27" i="1"/>
  <c r="QP27" i="1"/>
  <c r="QO27" i="1"/>
  <c r="QQ27" i="1" s="1"/>
  <c r="QN27" i="1"/>
  <c r="QK27" i="1"/>
  <c r="QH27" i="1"/>
  <c r="QE27" i="1"/>
  <c r="QA27" i="1"/>
  <c r="PZ27" i="1"/>
  <c r="QB27" i="1" s="1"/>
  <c r="PY27" i="1"/>
  <c r="PV27" i="1"/>
  <c r="PS27" i="1"/>
  <c r="PP27" i="1"/>
  <c r="PL27" i="1"/>
  <c r="PK27" i="1"/>
  <c r="PM27" i="1" s="1"/>
  <c r="PJ27" i="1"/>
  <c r="PG27" i="1"/>
  <c r="PD27" i="1"/>
  <c r="PA27" i="1"/>
  <c r="OW27" i="1"/>
  <c r="OV27" i="1"/>
  <c r="OX27" i="1" s="1"/>
  <c r="OU27" i="1"/>
  <c r="OR27" i="1"/>
  <c r="OO27" i="1"/>
  <c r="OL27" i="1"/>
  <c r="OH27" i="1"/>
  <c r="OG27" i="1"/>
  <c r="OI27" i="1" s="1"/>
  <c r="OF27" i="1"/>
  <c r="OC27" i="1"/>
  <c r="NZ27" i="1"/>
  <c r="NW27" i="1"/>
  <c r="NS27" i="1"/>
  <c r="NR27" i="1"/>
  <c r="NT27" i="1" s="1"/>
  <c r="NQ27" i="1"/>
  <c r="NN27" i="1"/>
  <c r="NK27" i="1"/>
  <c r="NH27" i="1"/>
  <c r="ND27" i="1"/>
  <c r="NC27" i="1"/>
  <c r="NE27" i="1" s="1"/>
  <c r="NB27" i="1"/>
  <c r="MY27" i="1"/>
  <c r="MV27" i="1"/>
  <c r="MS27" i="1"/>
  <c r="MO27" i="1"/>
  <c r="MN27" i="1"/>
  <c r="MP27" i="1" s="1"/>
  <c r="MM27" i="1"/>
  <c r="MJ27" i="1"/>
  <c r="MG27" i="1"/>
  <c r="MD27" i="1"/>
  <c r="LZ27" i="1"/>
  <c r="LY27" i="1"/>
  <c r="MA27" i="1" s="1"/>
  <c r="LX27" i="1"/>
  <c r="LU27" i="1"/>
  <c r="LR27" i="1"/>
  <c r="LO27" i="1"/>
  <c r="KV27" i="1"/>
  <c r="KU27" i="1"/>
  <c r="KW27" i="1" s="1"/>
  <c r="KT27" i="1"/>
  <c r="KQ27" i="1"/>
  <c r="KN27" i="1"/>
  <c r="KK27" i="1"/>
  <c r="KG27" i="1"/>
  <c r="KF27" i="1"/>
  <c r="KH27" i="1" s="1"/>
  <c r="KE27" i="1"/>
  <c r="KB27" i="1"/>
  <c r="JY27" i="1"/>
  <c r="JV27" i="1"/>
  <c r="JR27" i="1"/>
  <c r="JQ27" i="1"/>
  <c r="JS27" i="1" s="1"/>
  <c r="JP27" i="1"/>
  <c r="JM27" i="1"/>
  <c r="JJ27" i="1"/>
  <c r="JG27" i="1"/>
  <c r="JC27" i="1"/>
  <c r="JB27" i="1"/>
  <c r="JD27" i="1" s="1"/>
  <c r="JA27" i="1"/>
  <c r="IX27" i="1"/>
  <c r="IU27" i="1"/>
  <c r="IR27" i="1"/>
  <c r="IN27" i="1"/>
  <c r="IM27" i="1"/>
  <c r="IO27" i="1" s="1"/>
  <c r="IL27" i="1"/>
  <c r="II27" i="1"/>
  <c r="IF27" i="1"/>
  <c r="IC27" i="1"/>
  <c r="HY27" i="1"/>
  <c r="HX27" i="1"/>
  <c r="HZ27" i="1" s="1"/>
  <c r="HW27" i="1"/>
  <c r="HT27" i="1"/>
  <c r="HQ27" i="1"/>
  <c r="HN27" i="1"/>
  <c r="HJ27" i="1"/>
  <c r="HI27" i="1"/>
  <c r="HK27" i="1" s="1"/>
  <c r="HH27" i="1"/>
  <c r="HE27" i="1"/>
  <c r="HB27" i="1"/>
  <c r="GY27" i="1"/>
  <c r="GU27" i="1"/>
  <c r="GT27" i="1"/>
  <c r="GV27" i="1" s="1"/>
  <c r="GS27" i="1"/>
  <c r="GP27" i="1"/>
  <c r="GM27" i="1"/>
  <c r="GJ27" i="1"/>
  <c r="GF27" i="1"/>
  <c r="GE27" i="1"/>
  <c r="GG27" i="1" s="1"/>
  <c r="GD27" i="1"/>
  <c r="GA27" i="1"/>
  <c r="FX27" i="1"/>
  <c r="FU27" i="1"/>
  <c r="FQ27" i="1"/>
  <c r="FP27" i="1"/>
  <c r="FR27" i="1" s="1"/>
  <c r="FO27" i="1"/>
  <c r="FL27" i="1"/>
  <c r="FI27" i="1"/>
  <c r="FF27" i="1"/>
  <c r="FB27" i="1"/>
  <c r="FA27" i="1"/>
  <c r="FC27" i="1" s="1"/>
  <c r="EZ27" i="1"/>
  <c r="EW27" i="1"/>
  <c r="ET27" i="1"/>
  <c r="EQ27" i="1"/>
  <c r="EM27" i="1"/>
  <c r="EL27" i="1"/>
  <c r="EN27" i="1" s="1"/>
  <c r="EK27" i="1"/>
  <c r="EH27" i="1"/>
  <c r="EE27" i="1"/>
  <c r="EB27" i="1"/>
  <c r="DX27" i="1"/>
  <c r="DW27" i="1"/>
  <c r="DY27" i="1" s="1"/>
  <c r="DV27" i="1"/>
  <c r="DS27" i="1"/>
  <c r="DP27" i="1"/>
  <c r="DM27" i="1"/>
  <c r="DI27" i="1"/>
  <c r="DH27" i="1"/>
  <c r="DJ27" i="1" s="1"/>
  <c r="DG27" i="1"/>
  <c r="DD27" i="1"/>
  <c r="DA27" i="1"/>
  <c r="CX27" i="1"/>
  <c r="CT27" i="1"/>
  <c r="CS27" i="1"/>
  <c r="CU27" i="1" s="1"/>
  <c r="CR27" i="1"/>
  <c r="CO27" i="1"/>
  <c r="CL27" i="1"/>
  <c r="CI27" i="1"/>
  <c r="CE27" i="1"/>
  <c r="CD27" i="1"/>
  <c r="CF27" i="1" s="1"/>
  <c r="CC27" i="1"/>
  <c r="BZ27" i="1"/>
  <c r="BW27" i="1"/>
  <c r="BT27" i="1"/>
  <c r="BP27" i="1"/>
  <c r="BO27" i="1"/>
  <c r="BQ27" i="1" s="1"/>
  <c r="BN27" i="1"/>
  <c r="BK27" i="1"/>
  <c r="BH27" i="1"/>
  <c r="BE27" i="1"/>
  <c r="BA27" i="1"/>
  <c r="AZ27" i="1"/>
  <c r="BB27" i="1" s="1"/>
  <c r="AY27" i="1"/>
  <c r="AV27" i="1"/>
  <c r="AS27" i="1"/>
  <c r="AP27" i="1"/>
  <c r="AL27" i="1"/>
  <c r="AK27" i="1"/>
  <c r="AM27" i="1" s="1"/>
  <c r="AJ27" i="1"/>
  <c r="AG27" i="1"/>
  <c r="AD27" i="1"/>
  <c r="AA27" i="1"/>
  <c r="W27" i="1"/>
  <c r="V27" i="1"/>
  <c r="X27" i="1" s="1"/>
  <c r="U27" i="1"/>
  <c r="R27" i="1"/>
  <c r="O27" i="1"/>
  <c r="L27" i="1"/>
  <c r="I27" i="1"/>
  <c r="AAB26" i="1"/>
  <c r="AAA26" i="1"/>
  <c r="AAC26" i="1" s="1"/>
  <c r="ZZ26" i="1"/>
  <c r="ZV26" i="1"/>
  <c r="ZU26" i="1"/>
  <c r="ZT26" i="1"/>
  <c r="ZQ26" i="1"/>
  <c r="ZN26" i="1"/>
  <c r="ZK26" i="1"/>
  <c r="ZG26" i="1"/>
  <c r="ZF26" i="1"/>
  <c r="ZH26" i="1" s="1"/>
  <c r="ZE26" i="1"/>
  <c r="ZB26" i="1"/>
  <c r="YY26" i="1"/>
  <c r="YV26" i="1"/>
  <c r="YR26" i="1"/>
  <c r="YQ26" i="1"/>
  <c r="YS26" i="1" s="1"/>
  <c r="YP26" i="1"/>
  <c r="YM26" i="1"/>
  <c r="YJ26" i="1"/>
  <c r="YG26" i="1"/>
  <c r="YC26" i="1"/>
  <c r="YB26" i="1"/>
  <c r="YD26" i="1" s="1"/>
  <c r="YA26" i="1"/>
  <c r="XX26" i="1"/>
  <c r="XU26" i="1"/>
  <c r="XR26" i="1"/>
  <c r="XN26" i="1"/>
  <c r="XM26" i="1"/>
  <c r="XO26" i="1" s="1"/>
  <c r="XL26" i="1"/>
  <c r="XI26" i="1"/>
  <c r="XF26" i="1"/>
  <c r="XC26" i="1"/>
  <c r="WY26" i="1"/>
  <c r="WX26" i="1"/>
  <c r="WZ26" i="1" s="1"/>
  <c r="WW26" i="1"/>
  <c r="WT26" i="1"/>
  <c r="WQ26" i="1"/>
  <c r="WN26" i="1"/>
  <c r="WJ26" i="1"/>
  <c r="WI26" i="1"/>
  <c r="WK26" i="1" s="1"/>
  <c r="WH26" i="1"/>
  <c r="WE26" i="1"/>
  <c r="WB26" i="1"/>
  <c r="VY26" i="1"/>
  <c r="VU26" i="1"/>
  <c r="VT26" i="1"/>
  <c r="VV26" i="1" s="1"/>
  <c r="VS26" i="1"/>
  <c r="VP26" i="1"/>
  <c r="VM26" i="1"/>
  <c r="VJ26" i="1"/>
  <c r="VF26" i="1"/>
  <c r="VE26" i="1"/>
  <c r="VG26" i="1" s="1"/>
  <c r="VD26" i="1"/>
  <c r="VA26" i="1"/>
  <c r="UX26" i="1"/>
  <c r="UU26" i="1"/>
  <c r="UQ26" i="1"/>
  <c r="UP26" i="1"/>
  <c r="UR26" i="1" s="1"/>
  <c r="UO26" i="1"/>
  <c r="UL26" i="1"/>
  <c r="UI26" i="1"/>
  <c r="UF26" i="1"/>
  <c r="UB26" i="1"/>
  <c r="UA26" i="1"/>
  <c r="UC26" i="1" s="1"/>
  <c r="TZ26" i="1"/>
  <c r="TW26" i="1"/>
  <c r="TT26" i="1"/>
  <c r="TQ26" i="1"/>
  <c r="TM26" i="1"/>
  <c r="TL26" i="1"/>
  <c r="TN26" i="1" s="1"/>
  <c r="TK26" i="1"/>
  <c r="TH26" i="1"/>
  <c r="TE26" i="1"/>
  <c r="TB26" i="1"/>
  <c r="SX26" i="1"/>
  <c r="SW26" i="1"/>
  <c r="SY26" i="1" s="1"/>
  <c r="SV26" i="1"/>
  <c r="SS26" i="1"/>
  <c r="SP26" i="1"/>
  <c r="SM26" i="1"/>
  <c r="SI26" i="1"/>
  <c r="SH26" i="1"/>
  <c r="SJ26" i="1" s="1"/>
  <c r="SG26" i="1"/>
  <c r="SD26" i="1"/>
  <c r="SA26" i="1"/>
  <c r="RX26" i="1"/>
  <c r="RT26" i="1"/>
  <c r="RS26" i="1"/>
  <c r="RU26" i="1" s="1"/>
  <c r="RR26" i="1"/>
  <c r="RO26" i="1"/>
  <c r="RL26" i="1"/>
  <c r="RI26" i="1"/>
  <c r="RE26" i="1"/>
  <c r="RD26" i="1"/>
  <c r="RF26" i="1" s="1"/>
  <c r="RC26" i="1"/>
  <c r="QZ26" i="1"/>
  <c r="QW26" i="1"/>
  <c r="QT26" i="1"/>
  <c r="QP26" i="1"/>
  <c r="QO26" i="1"/>
  <c r="QQ26" i="1" s="1"/>
  <c r="QN26" i="1"/>
  <c r="QK26" i="1"/>
  <c r="QH26" i="1"/>
  <c r="QE26" i="1"/>
  <c r="QA26" i="1"/>
  <c r="PZ26" i="1"/>
  <c r="QB26" i="1" s="1"/>
  <c r="PY26" i="1"/>
  <c r="PV26" i="1"/>
  <c r="PS26" i="1"/>
  <c r="PP26" i="1"/>
  <c r="PL26" i="1"/>
  <c r="PK26" i="1"/>
  <c r="PM26" i="1" s="1"/>
  <c r="PJ26" i="1"/>
  <c r="PG26" i="1"/>
  <c r="PD26" i="1"/>
  <c r="PA26" i="1"/>
  <c r="OW26" i="1"/>
  <c r="OV26" i="1"/>
  <c r="OX26" i="1" s="1"/>
  <c r="OU26" i="1"/>
  <c r="OR26" i="1"/>
  <c r="OO26" i="1"/>
  <c r="OL26" i="1"/>
  <c r="OH26" i="1"/>
  <c r="OG26" i="1"/>
  <c r="OI26" i="1" s="1"/>
  <c r="OF26" i="1"/>
  <c r="OC26" i="1"/>
  <c r="NZ26" i="1"/>
  <c r="NW26" i="1"/>
  <c r="NS26" i="1"/>
  <c r="NR26" i="1"/>
  <c r="NT26" i="1" s="1"/>
  <c r="NQ26" i="1"/>
  <c r="NN26" i="1"/>
  <c r="NK26" i="1"/>
  <c r="NH26" i="1"/>
  <c r="ND26" i="1"/>
  <c r="NC26" i="1"/>
  <c r="NE26" i="1" s="1"/>
  <c r="NB26" i="1"/>
  <c r="MY26" i="1"/>
  <c r="MV26" i="1"/>
  <c r="MS26" i="1"/>
  <c r="MO26" i="1"/>
  <c r="MN26" i="1"/>
  <c r="MP26" i="1" s="1"/>
  <c r="MM26" i="1"/>
  <c r="MJ26" i="1"/>
  <c r="MG26" i="1"/>
  <c r="MD26" i="1"/>
  <c r="LZ26" i="1"/>
  <c r="LY26" i="1"/>
  <c r="MA26" i="1" s="1"/>
  <c r="LX26" i="1"/>
  <c r="LU26" i="1"/>
  <c r="LR26" i="1"/>
  <c r="LO26" i="1"/>
  <c r="KV26" i="1"/>
  <c r="KU26" i="1"/>
  <c r="KW26" i="1" s="1"/>
  <c r="KT26" i="1"/>
  <c r="KQ26" i="1"/>
  <c r="KN26" i="1"/>
  <c r="KK26" i="1"/>
  <c r="KG26" i="1"/>
  <c r="KF26" i="1"/>
  <c r="KH26" i="1" s="1"/>
  <c r="KE26" i="1"/>
  <c r="KB26" i="1"/>
  <c r="JY26" i="1"/>
  <c r="JV26" i="1"/>
  <c r="JR26" i="1"/>
  <c r="JQ26" i="1"/>
  <c r="JS26" i="1" s="1"/>
  <c r="JP26" i="1"/>
  <c r="JM26" i="1"/>
  <c r="JJ26" i="1"/>
  <c r="JG26" i="1"/>
  <c r="JC26" i="1"/>
  <c r="JB26" i="1"/>
  <c r="JD26" i="1" s="1"/>
  <c r="JA26" i="1"/>
  <c r="IX26" i="1"/>
  <c r="IU26" i="1"/>
  <c r="IR26" i="1"/>
  <c r="IN26" i="1"/>
  <c r="IM26" i="1"/>
  <c r="IO26" i="1" s="1"/>
  <c r="IL26" i="1"/>
  <c r="II26" i="1"/>
  <c r="IF26" i="1"/>
  <c r="IC26" i="1"/>
  <c r="HY26" i="1"/>
  <c r="HX26" i="1"/>
  <c r="HZ26" i="1" s="1"/>
  <c r="HW26" i="1"/>
  <c r="HT26" i="1"/>
  <c r="HQ26" i="1"/>
  <c r="HN26" i="1"/>
  <c r="HJ26" i="1"/>
  <c r="HI26" i="1"/>
  <c r="HK26" i="1" s="1"/>
  <c r="HH26" i="1"/>
  <c r="HE26" i="1"/>
  <c r="HB26" i="1"/>
  <c r="GY26" i="1"/>
  <c r="GU26" i="1"/>
  <c r="GT26" i="1"/>
  <c r="GV26" i="1" s="1"/>
  <c r="GS26" i="1"/>
  <c r="GP26" i="1"/>
  <c r="GM26" i="1"/>
  <c r="GJ26" i="1"/>
  <c r="GF26" i="1"/>
  <c r="GE26" i="1"/>
  <c r="GG26" i="1" s="1"/>
  <c r="GD26" i="1"/>
  <c r="GA26" i="1"/>
  <c r="FX26" i="1"/>
  <c r="FU26" i="1"/>
  <c r="FQ26" i="1"/>
  <c r="FP26" i="1"/>
  <c r="FR26" i="1" s="1"/>
  <c r="FO26" i="1"/>
  <c r="FL26" i="1"/>
  <c r="FI26" i="1"/>
  <c r="FF26" i="1"/>
  <c r="FB26" i="1"/>
  <c r="FA26" i="1"/>
  <c r="FC26" i="1" s="1"/>
  <c r="EZ26" i="1"/>
  <c r="EW26" i="1"/>
  <c r="ET26" i="1"/>
  <c r="EQ26" i="1"/>
  <c r="EM26" i="1"/>
  <c r="EL26" i="1"/>
  <c r="EN26" i="1" s="1"/>
  <c r="EK26" i="1"/>
  <c r="EH26" i="1"/>
  <c r="EE26" i="1"/>
  <c r="EB26" i="1"/>
  <c r="DX26" i="1"/>
  <c r="DW26" i="1"/>
  <c r="DY26" i="1" s="1"/>
  <c r="DV26" i="1"/>
  <c r="DV30" i="1" s="1"/>
  <c r="DS26" i="1"/>
  <c r="DS30" i="1" s="1"/>
  <c r="DP26" i="1"/>
  <c r="DP30" i="1" s="1"/>
  <c r="DM26" i="1"/>
  <c r="DM30" i="1" s="1"/>
  <c r="DI26" i="1"/>
  <c r="DH26" i="1"/>
  <c r="DJ26" i="1" s="1"/>
  <c r="DG26" i="1"/>
  <c r="DG30" i="1" s="1"/>
  <c r="DD26" i="1"/>
  <c r="DD30" i="1" s="1"/>
  <c r="DA26" i="1"/>
  <c r="DA30" i="1" s="1"/>
  <c r="CX26" i="1"/>
  <c r="CX30" i="1" s="1"/>
  <c r="CT26" i="1"/>
  <c r="CS26" i="1"/>
  <c r="CU26" i="1" s="1"/>
  <c r="CR26" i="1"/>
  <c r="CO26" i="1"/>
  <c r="CL26" i="1"/>
  <c r="CI26" i="1"/>
  <c r="CE26" i="1"/>
  <c r="CD26" i="1"/>
  <c r="CF26" i="1" s="1"/>
  <c r="CC26" i="1"/>
  <c r="BZ26" i="1"/>
  <c r="BW26" i="1"/>
  <c r="BT26" i="1"/>
  <c r="BO26" i="1"/>
  <c r="BM26" i="1"/>
  <c r="BK26" i="1"/>
  <c r="BH26" i="1"/>
  <c r="BE26" i="1"/>
  <c r="BA26" i="1"/>
  <c r="AZ26" i="1"/>
  <c r="BB26" i="1" s="1"/>
  <c r="AY26" i="1"/>
  <c r="AV26" i="1"/>
  <c r="AS26" i="1"/>
  <c r="AP26" i="1"/>
  <c r="AL26" i="1"/>
  <c r="AK26" i="1"/>
  <c r="AM26" i="1" s="1"/>
  <c r="AJ26" i="1"/>
  <c r="AG26" i="1"/>
  <c r="AD26" i="1"/>
  <c r="AA26" i="1"/>
  <c r="W26" i="1"/>
  <c r="V26" i="1"/>
  <c r="X26" i="1" s="1"/>
  <c r="U26" i="1"/>
  <c r="R26" i="1"/>
  <c r="O26" i="1"/>
  <c r="L26" i="1"/>
  <c r="I26" i="1"/>
  <c r="AAB25" i="1"/>
  <c r="AAA25" i="1"/>
  <c r="AAC25" i="1" s="1"/>
  <c r="ZZ25" i="1"/>
  <c r="ZV25" i="1"/>
  <c r="AAE25" i="1" s="1"/>
  <c r="ZU25" i="1"/>
  <c r="ZT25" i="1"/>
  <c r="ZQ25" i="1"/>
  <c r="ZN25" i="1"/>
  <c r="ZK25" i="1"/>
  <c r="ZG25" i="1"/>
  <c r="ZF25" i="1"/>
  <c r="ZH25" i="1" s="1"/>
  <c r="ZE25" i="1"/>
  <c r="ZB25" i="1"/>
  <c r="YY25" i="1"/>
  <c r="YV25" i="1"/>
  <c r="YR25" i="1"/>
  <c r="YQ25" i="1"/>
  <c r="YS25" i="1" s="1"/>
  <c r="YP25" i="1"/>
  <c r="YM25" i="1"/>
  <c r="YJ25" i="1"/>
  <c r="YG25" i="1"/>
  <c r="YC25" i="1"/>
  <c r="YB25" i="1"/>
  <c r="YD25" i="1" s="1"/>
  <c r="YA25" i="1"/>
  <c r="XX25" i="1"/>
  <c r="XU25" i="1"/>
  <c r="XR25" i="1"/>
  <c r="XN25" i="1"/>
  <c r="XM25" i="1"/>
  <c r="XO25" i="1" s="1"/>
  <c r="XL25" i="1"/>
  <c r="XI25" i="1"/>
  <c r="XF25" i="1"/>
  <c r="XC25" i="1"/>
  <c r="WY25" i="1"/>
  <c r="WX25" i="1"/>
  <c r="WZ25" i="1" s="1"/>
  <c r="WW25" i="1"/>
  <c r="WT25" i="1"/>
  <c r="WQ25" i="1"/>
  <c r="WN25" i="1"/>
  <c r="WJ25" i="1"/>
  <c r="WI25" i="1"/>
  <c r="WK25" i="1" s="1"/>
  <c r="WH25" i="1"/>
  <c r="WE25" i="1"/>
  <c r="WB25" i="1"/>
  <c r="VY25" i="1"/>
  <c r="VU25" i="1"/>
  <c r="VT25" i="1"/>
  <c r="VV25" i="1" s="1"/>
  <c r="VS25" i="1"/>
  <c r="VP25" i="1"/>
  <c r="VM25" i="1"/>
  <c r="VJ25" i="1"/>
  <c r="VF25" i="1"/>
  <c r="VE25" i="1"/>
  <c r="VG25" i="1" s="1"/>
  <c r="VD25" i="1"/>
  <c r="VA25" i="1"/>
  <c r="UX25" i="1"/>
  <c r="UU25" i="1"/>
  <c r="UQ25" i="1"/>
  <c r="UP25" i="1"/>
  <c r="UR25" i="1" s="1"/>
  <c r="UO25" i="1"/>
  <c r="UL25" i="1"/>
  <c r="UI25" i="1"/>
  <c r="UF25" i="1"/>
  <c r="UB25" i="1"/>
  <c r="UA25" i="1"/>
  <c r="UC25" i="1" s="1"/>
  <c r="TZ25" i="1"/>
  <c r="TW25" i="1"/>
  <c r="TT25" i="1"/>
  <c r="TQ25" i="1"/>
  <c r="TM25" i="1"/>
  <c r="TL25" i="1"/>
  <c r="TN25" i="1" s="1"/>
  <c r="TK25" i="1"/>
  <c r="TH25" i="1"/>
  <c r="TE25" i="1"/>
  <c r="TB25" i="1"/>
  <c r="SX25" i="1"/>
  <c r="SW25" i="1"/>
  <c r="SY25" i="1" s="1"/>
  <c r="SV25" i="1"/>
  <c r="SS25" i="1"/>
  <c r="SP25" i="1"/>
  <c r="SM25" i="1"/>
  <c r="SI25" i="1"/>
  <c r="SH25" i="1"/>
  <c r="SJ25" i="1" s="1"/>
  <c r="SG25" i="1"/>
  <c r="SD25" i="1"/>
  <c r="SA25" i="1"/>
  <c r="RX25" i="1"/>
  <c r="RT25" i="1"/>
  <c r="RS25" i="1"/>
  <c r="RU25" i="1" s="1"/>
  <c r="RR25" i="1"/>
  <c r="RO25" i="1"/>
  <c r="RL25" i="1"/>
  <c r="RI25" i="1"/>
  <c r="RE25" i="1"/>
  <c r="RD25" i="1"/>
  <c r="RF25" i="1" s="1"/>
  <c r="RC25" i="1"/>
  <c r="QZ25" i="1"/>
  <c r="QW25" i="1"/>
  <c r="QT25" i="1"/>
  <c r="QP25" i="1"/>
  <c r="QO25" i="1"/>
  <c r="QQ25" i="1" s="1"/>
  <c r="QN25" i="1"/>
  <c r="QK25" i="1"/>
  <c r="QH25" i="1"/>
  <c r="QE25" i="1"/>
  <c r="QA25" i="1"/>
  <c r="PZ25" i="1"/>
  <c r="QB25" i="1" s="1"/>
  <c r="PY25" i="1"/>
  <c r="PV25" i="1"/>
  <c r="PS25" i="1"/>
  <c r="PP25" i="1"/>
  <c r="PL25" i="1"/>
  <c r="PK25" i="1"/>
  <c r="PM25" i="1" s="1"/>
  <c r="PJ25" i="1"/>
  <c r="PG25" i="1"/>
  <c r="PD25" i="1"/>
  <c r="PA25" i="1"/>
  <c r="OW25" i="1"/>
  <c r="OV25" i="1"/>
  <c r="OX25" i="1" s="1"/>
  <c r="OU25" i="1"/>
  <c r="OR25" i="1"/>
  <c r="OO25" i="1"/>
  <c r="OL25" i="1"/>
  <c r="OH25" i="1"/>
  <c r="OG25" i="1"/>
  <c r="OI25" i="1" s="1"/>
  <c r="OF25" i="1"/>
  <c r="OC25" i="1"/>
  <c r="NZ25" i="1"/>
  <c r="NW25" i="1"/>
  <c r="NS25" i="1"/>
  <c r="NR25" i="1"/>
  <c r="NT25" i="1" s="1"/>
  <c r="NQ25" i="1"/>
  <c r="NN25" i="1"/>
  <c r="NK25" i="1"/>
  <c r="NH25" i="1"/>
  <c r="ND25" i="1"/>
  <c r="NC25" i="1"/>
  <c r="NE25" i="1" s="1"/>
  <c r="NB25" i="1"/>
  <c r="MY25" i="1"/>
  <c r="MV25" i="1"/>
  <c r="MS25" i="1"/>
  <c r="MO25" i="1"/>
  <c r="MN25" i="1"/>
  <c r="MP25" i="1" s="1"/>
  <c r="MM25" i="1"/>
  <c r="MJ25" i="1"/>
  <c r="MG25" i="1"/>
  <c r="MD25" i="1"/>
  <c r="LZ25" i="1"/>
  <c r="LY25" i="1"/>
  <c r="MA25" i="1" s="1"/>
  <c r="LX25" i="1"/>
  <c r="LU25" i="1"/>
  <c r="LR25" i="1"/>
  <c r="LO25" i="1"/>
  <c r="KV25" i="1"/>
  <c r="KU25" i="1"/>
  <c r="KW25" i="1" s="1"/>
  <c r="KT25" i="1"/>
  <c r="KQ25" i="1"/>
  <c r="KN25" i="1"/>
  <c r="KK25" i="1"/>
  <c r="KG25" i="1"/>
  <c r="KF25" i="1"/>
  <c r="KH25" i="1" s="1"/>
  <c r="KE25" i="1"/>
  <c r="KB25" i="1"/>
  <c r="JY25" i="1"/>
  <c r="JV25" i="1"/>
  <c r="JR25" i="1"/>
  <c r="JQ25" i="1"/>
  <c r="JS25" i="1" s="1"/>
  <c r="JP25" i="1"/>
  <c r="JM25" i="1"/>
  <c r="JJ25" i="1"/>
  <c r="JG25" i="1"/>
  <c r="JC25" i="1"/>
  <c r="JB25" i="1"/>
  <c r="JD25" i="1" s="1"/>
  <c r="JA25" i="1"/>
  <c r="IX25" i="1"/>
  <c r="IU25" i="1"/>
  <c r="IR25" i="1"/>
  <c r="IN25" i="1"/>
  <c r="IM25" i="1"/>
  <c r="IO25" i="1" s="1"/>
  <c r="IL25" i="1"/>
  <c r="II25" i="1"/>
  <c r="IF25" i="1"/>
  <c r="IC25" i="1"/>
  <c r="HY25" i="1"/>
  <c r="HX25" i="1"/>
  <c r="HZ25" i="1" s="1"/>
  <c r="HW25" i="1"/>
  <c r="HT25" i="1"/>
  <c r="HQ25" i="1"/>
  <c r="HN25" i="1"/>
  <c r="HJ25" i="1"/>
  <c r="HI25" i="1"/>
  <c r="HK25" i="1" s="1"/>
  <c r="HH25" i="1"/>
  <c r="HE25" i="1"/>
  <c r="HB25" i="1"/>
  <c r="GY25" i="1"/>
  <c r="GU25" i="1"/>
  <c r="GT25" i="1"/>
  <c r="GV25" i="1" s="1"/>
  <c r="GS25" i="1"/>
  <c r="GP25" i="1"/>
  <c r="GM25" i="1"/>
  <c r="GJ25" i="1"/>
  <c r="GF25" i="1"/>
  <c r="GE25" i="1"/>
  <c r="GG25" i="1" s="1"/>
  <c r="GD25" i="1"/>
  <c r="GA25" i="1"/>
  <c r="FX25" i="1"/>
  <c r="FU25" i="1"/>
  <c r="FQ25" i="1"/>
  <c r="FP25" i="1"/>
  <c r="FR25" i="1" s="1"/>
  <c r="FO25" i="1"/>
  <c r="FL25" i="1"/>
  <c r="FI25" i="1"/>
  <c r="FF25" i="1"/>
  <c r="FB25" i="1"/>
  <c r="FA25" i="1"/>
  <c r="FC25" i="1" s="1"/>
  <c r="EZ25" i="1"/>
  <c r="EW25" i="1"/>
  <c r="ET25" i="1"/>
  <c r="EQ25" i="1"/>
  <c r="EM25" i="1"/>
  <c r="EL25" i="1"/>
  <c r="EN25" i="1" s="1"/>
  <c r="EK25" i="1"/>
  <c r="EH25" i="1"/>
  <c r="EE25" i="1"/>
  <c r="EB25" i="1"/>
  <c r="DX25" i="1"/>
  <c r="DW25" i="1"/>
  <c r="DY25" i="1" s="1"/>
  <c r="DI25" i="1"/>
  <c r="DH25" i="1"/>
  <c r="DJ25" i="1" s="1"/>
  <c r="CT25" i="1"/>
  <c r="CR25" i="1"/>
  <c r="CM25" i="1"/>
  <c r="CL25" i="1"/>
  <c r="CI25" i="1"/>
  <c r="CE25" i="1"/>
  <c r="CD25" i="1"/>
  <c r="CF25" i="1" s="1"/>
  <c r="CC25" i="1"/>
  <c r="BZ25" i="1"/>
  <c r="BW25" i="1"/>
  <c r="BT25" i="1"/>
  <c r="BP25" i="1"/>
  <c r="BO25" i="1"/>
  <c r="BQ25" i="1" s="1"/>
  <c r="BN25" i="1"/>
  <c r="BK25" i="1"/>
  <c r="BH25" i="1"/>
  <c r="BE25" i="1"/>
  <c r="BA25" i="1"/>
  <c r="AZ25" i="1"/>
  <c r="BB25" i="1" s="1"/>
  <c r="AY25" i="1"/>
  <c r="AV25" i="1"/>
  <c r="AS25" i="1"/>
  <c r="AP25" i="1"/>
  <c r="AL25" i="1"/>
  <c r="AK25" i="1"/>
  <c r="AM25" i="1" s="1"/>
  <c r="AJ25" i="1"/>
  <c r="AG25" i="1"/>
  <c r="AD25" i="1"/>
  <c r="AA25" i="1"/>
  <c r="W25" i="1"/>
  <c r="V25" i="1"/>
  <c r="X25" i="1" s="1"/>
  <c r="U25" i="1"/>
  <c r="R25" i="1"/>
  <c r="O25" i="1"/>
  <c r="L25" i="1"/>
  <c r="I25" i="1"/>
  <c r="AAB24" i="1"/>
  <c r="AAA24" i="1"/>
  <c r="AAC24" i="1" s="1"/>
  <c r="ZZ24" i="1"/>
  <c r="ZV24" i="1"/>
  <c r="ZU24" i="1"/>
  <c r="ZT24" i="1"/>
  <c r="ZQ24" i="1"/>
  <c r="ZN24" i="1"/>
  <c r="ZK24" i="1"/>
  <c r="ZG24" i="1"/>
  <c r="ZF24" i="1"/>
  <c r="ZH24" i="1" s="1"/>
  <c r="ZE24" i="1"/>
  <c r="ZB24" i="1"/>
  <c r="YY24" i="1"/>
  <c r="YV24" i="1"/>
  <c r="YR24" i="1"/>
  <c r="YQ24" i="1"/>
  <c r="YS24" i="1" s="1"/>
  <c r="YP24" i="1"/>
  <c r="YM24" i="1"/>
  <c r="YJ24" i="1"/>
  <c r="YG24" i="1"/>
  <c r="YC24" i="1"/>
  <c r="YB24" i="1"/>
  <c r="YD24" i="1" s="1"/>
  <c r="YA24" i="1"/>
  <c r="XX24" i="1"/>
  <c r="XU24" i="1"/>
  <c r="XR24" i="1"/>
  <c r="XN24" i="1"/>
  <c r="XM24" i="1"/>
  <c r="XO24" i="1" s="1"/>
  <c r="XL24" i="1"/>
  <c r="XI24" i="1"/>
  <c r="XF24" i="1"/>
  <c r="XC24" i="1"/>
  <c r="WY24" i="1"/>
  <c r="WX24" i="1"/>
  <c r="WZ24" i="1" s="1"/>
  <c r="WW24" i="1"/>
  <c r="WT24" i="1"/>
  <c r="WQ24" i="1"/>
  <c r="WN24" i="1"/>
  <c r="WJ24" i="1"/>
  <c r="WI24" i="1"/>
  <c r="WK24" i="1" s="1"/>
  <c r="WH24" i="1"/>
  <c r="WE24" i="1"/>
  <c r="WB24" i="1"/>
  <c r="VY24" i="1"/>
  <c r="VU24" i="1"/>
  <c r="VT24" i="1"/>
  <c r="VV24" i="1" s="1"/>
  <c r="VS24" i="1"/>
  <c r="VP24" i="1"/>
  <c r="VM24" i="1"/>
  <c r="VJ24" i="1"/>
  <c r="VF24" i="1"/>
  <c r="VE24" i="1"/>
  <c r="VG24" i="1" s="1"/>
  <c r="VD24" i="1"/>
  <c r="VA24" i="1"/>
  <c r="UX24" i="1"/>
  <c r="UU24" i="1"/>
  <c r="UQ24" i="1"/>
  <c r="UP24" i="1"/>
  <c r="UR24" i="1" s="1"/>
  <c r="UO24" i="1"/>
  <c r="UL24" i="1"/>
  <c r="UI24" i="1"/>
  <c r="UF24" i="1"/>
  <c r="UB24" i="1"/>
  <c r="UA24" i="1"/>
  <c r="UC24" i="1" s="1"/>
  <c r="TZ24" i="1"/>
  <c r="TW24" i="1"/>
  <c r="TT24" i="1"/>
  <c r="TQ24" i="1"/>
  <c r="TM24" i="1"/>
  <c r="TL24" i="1"/>
  <c r="TN24" i="1" s="1"/>
  <c r="TK24" i="1"/>
  <c r="TH24" i="1"/>
  <c r="TE24" i="1"/>
  <c r="TB24" i="1"/>
  <c r="SX24" i="1"/>
  <c r="SW24" i="1"/>
  <c r="SY24" i="1" s="1"/>
  <c r="SV24" i="1"/>
  <c r="SS24" i="1"/>
  <c r="SP24" i="1"/>
  <c r="SM24" i="1"/>
  <c r="SI24" i="1"/>
  <c r="SH24" i="1"/>
  <c r="SJ24" i="1" s="1"/>
  <c r="SG24" i="1"/>
  <c r="SD24" i="1"/>
  <c r="SA24" i="1"/>
  <c r="RX24" i="1"/>
  <c r="RT24" i="1"/>
  <c r="RS24" i="1"/>
  <c r="RU24" i="1" s="1"/>
  <c r="RR24" i="1"/>
  <c r="RO24" i="1"/>
  <c r="RL24" i="1"/>
  <c r="RI24" i="1"/>
  <c r="RE24" i="1"/>
  <c r="RD24" i="1"/>
  <c r="RF24" i="1" s="1"/>
  <c r="RC24" i="1"/>
  <c r="QZ24" i="1"/>
  <c r="QW24" i="1"/>
  <c r="QT24" i="1"/>
  <c r="QP24" i="1"/>
  <c r="QO24" i="1"/>
  <c r="QQ24" i="1" s="1"/>
  <c r="QN24" i="1"/>
  <c r="QK24" i="1"/>
  <c r="QH24" i="1"/>
  <c r="QE24" i="1"/>
  <c r="QA24" i="1"/>
  <c r="PZ24" i="1"/>
  <c r="QB24" i="1" s="1"/>
  <c r="PY24" i="1"/>
  <c r="PV24" i="1"/>
  <c r="PS24" i="1"/>
  <c r="PP24" i="1"/>
  <c r="PL24" i="1"/>
  <c r="PK24" i="1"/>
  <c r="PM24" i="1" s="1"/>
  <c r="PJ24" i="1"/>
  <c r="PG24" i="1"/>
  <c r="PD24" i="1"/>
  <c r="PA24" i="1"/>
  <c r="OW24" i="1"/>
  <c r="OV24" i="1"/>
  <c r="OX24" i="1" s="1"/>
  <c r="OU24" i="1"/>
  <c r="OR24" i="1"/>
  <c r="OO24" i="1"/>
  <c r="OL24" i="1"/>
  <c r="OH24" i="1"/>
  <c r="OG24" i="1"/>
  <c r="OI24" i="1" s="1"/>
  <c r="OF24" i="1"/>
  <c r="OC24" i="1"/>
  <c r="NZ24" i="1"/>
  <c r="NW24" i="1"/>
  <c r="NS24" i="1"/>
  <c r="NR24" i="1"/>
  <c r="NT24" i="1" s="1"/>
  <c r="NQ24" i="1"/>
  <c r="NN24" i="1"/>
  <c r="NK24" i="1"/>
  <c r="NH24" i="1"/>
  <c r="ND24" i="1"/>
  <c r="NC24" i="1"/>
  <c r="NE24" i="1" s="1"/>
  <c r="NB24" i="1"/>
  <c r="MY24" i="1"/>
  <c r="MV24" i="1"/>
  <c r="MS24" i="1"/>
  <c r="MO24" i="1"/>
  <c r="MN24" i="1"/>
  <c r="MP24" i="1" s="1"/>
  <c r="MM24" i="1"/>
  <c r="MJ24" i="1"/>
  <c r="MG24" i="1"/>
  <c r="MD24" i="1"/>
  <c r="LZ24" i="1"/>
  <c r="LY24" i="1"/>
  <c r="MA24" i="1" s="1"/>
  <c r="LX24" i="1"/>
  <c r="LU24" i="1"/>
  <c r="LU30" i="1" s="1"/>
  <c r="LR24" i="1"/>
  <c r="LR30" i="1" s="1"/>
  <c r="LO24" i="1"/>
  <c r="LO30" i="1" s="1"/>
  <c r="KV24" i="1"/>
  <c r="KU24" i="1"/>
  <c r="KW24" i="1" s="1"/>
  <c r="KT24" i="1"/>
  <c r="KQ24" i="1"/>
  <c r="KQ30" i="1" s="1"/>
  <c r="KN24" i="1"/>
  <c r="KN30" i="1" s="1"/>
  <c r="KK24" i="1"/>
  <c r="KK30" i="1" s="1"/>
  <c r="KG24" i="1"/>
  <c r="KF24" i="1"/>
  <c r="KH24" i="1" s="1"/>
  <c r="KE24" i="1"/>
  <c r="KB24" i="1"/>
  <c r="JY24" i="1"/>
  <c r="JV24" i="1"/>
  <c r="JR24" i="1"/>
  <c r="JQ24" i="1"/>
  <c r="JS24" i="1" s="1"/>
  <c r="JP24" i="1"/>
  <c r="JM24" i="1"/>
  <c r="JJ24" i="1"/>
  <c r="JG24" i="1"/>
  <c r="JC24" i="1"/>
  <c r="JB24" i="1"/>
  <c r="JD24" i="1" s="1"/>
  <c r="JA24" i="1"/>
  <c r="IX24" i="1"/>
  <c r="IU24" i="1"/>
  <c r="IR24" i="1"/>
  <c r="IN24" i="1"/>
  <c r="IM24" i="1"/>
  <c r="IO24" i="1" s="1"/>
  <c r="IL24" i="1"/>
  <c r="II24" i="1"/>
  <c r="IF24" i="1"/>
  <c r="IC24" i="1"/>
  <c r="HY24" i="1"/>
  <c r="HX24" i="1"/>
  <c r="HZ24" i="1" s="1"/>
  <c r="HW24" i="1"/>
  <c r="HT24" i="1"/>
  <c r="HQ24" i="1"/>
  <c r="HN24" i="1"/>
  <c r="HJ24" i="1"/>
  <c r="HI24" i="1"/>
  <c r="HK24" i="1" s="1"/>
  <c r="HH24" i="1"/>
  <c r="HH30" i="1" s="1"/>
  <c r="HE24" i="1"/>
  <c r="HE30" i="1" s="1"/>
  <c r="HB24" i="1"/>
  <c r="HB30" i="1" s="1"/>
  <c r="GY24" i="1"/>
  <c r="GY30" i="1" s="1"/>
  <c r="GU24" i="1"/>
  <c r="GT24" i="1"/>
  <c r="GV24" i="1" s="1"/>
  <c r="GS24" i="1"/>
  <c r="GP24" i="1"/>
  <c r="GM24" i="1"/>
  <c r="GJ24" i="1"/>
  <c r="GF24" i="1"/>
  <c r="GE24" i="1"/>
  <c r="GG24" i="1" s="1"/>
  <c r="GD24" i="1"/>
  <c r="GA24" i="1"/>
  <c r="FX24" i="1"/>
  <c r="FU24" i="1"/>
  <c r="FQ24" i="1"/>
  <c r="FP24" i="1"/>
  <c r="FR24" i="1" s="1"/>
  <c r="FO24" i="1"/>
  <c r="FL24" i="1"/>
  <c r="FI24" i="1"/>
  <c r="FF24" i="1"/>
  <c r="FB24" i="1"/>
  <c r="FA24" i="1"/>
  <c r="FC24" i="1" s="1"/>
  <c r="EZ24" i="1"/>
  <c r="EW24" i="1"/>
  <c r="ET24" i="1"/>
  <c r="EQ24" i="1"/>
  <c r="EM24" i="1"/>
  <c r="EL24" i="1"/>
  <c r="EN24" i="1" s="1"/>
  <c r="EK24" i="1"/>
  <c r="EH24" i="1"/>
  <c r="EE24" i="1"/>
  <c r="EB24" i="1"/>
  <c r="DX24" i="1"/>
  <c r="DW24" i="1"/>
  <c r="DY24" i="1" s="1"/>
  <c r="DI24" i="1"/>
  <c r="DH24" i="1"/>
  <c r="DJ24" i="1" s="1"/>
  <c r="CT24" i="1"/>
  <c r="CS24" i="1"/>
  <c r="CU24" i="1" s="1"/>
  <c r="CR24" i="1"/>
  <c r="CO24" i="1"/>
  <c r="CL24" i="1"/>
  <c r="CI24" i="1"/>
  <c r="CE24" i="1"/>
  <c r="CD24" i="1"/>
  <c r="CF24" i="1" s="1"/>
  <c r="CC24" i="1"/>
  <c r="BZ24" i="1"/>
  <c r="BW24" i="1"/>
  <c r="BT24" i="1"/>
  <c r="BP24" i="1"/>
  <c r="BO24" i="1"/>
  <c r="BQ24" i="1" s="1"/>
  <c r="BN24" i="1"/>
  <c r="BK24" i="1"/>
  <c r="BH24" i="1"/>
  <c r="BE24" i="1"/>
  <c r="BA24" i="1"/>
  <c r="AZ24" i="1"/>
  <c r="BB24" i="1" s="1"/>
  <c r="AY24" i="1"/>
  <c r="AV24" i="1"/>
  <c r="AS24" i="1"/>
  <c r="AP24" i="1"/>
  <c r="AL24" i="1"/>
  <c r="AJ24" i="1"/>
  <c r="AG24" i="1"/>
  <c r="AD24" i="1"/>
  <c r="Y24" i="1"/>
  <c r="U24" i="1"/>
  <c r="R24" i="1"/>
  <c r="N24" i="1"/>
  <c r="L24" i="1"/>
  <c r="G24" i="1"/>
  <c r="AAB23" i="1"/>
  <c r="AAA23" i="1"/>
  <c r="AAC23" i="1" s="1"/>
  <c r="ZZ23" i="1"/>
  <c r="ZV23" i="1"/>
  <c r="AAE23" i="1" s="1"/>
  <c r="ZU23" i="1"/>
  <c r="ZT23" i="1"/>
  <c r="ZQ23" i="1"/>
  <c r="ZN23" i="1"/>
  <c r="ZK23" i="1"/>
  <c r="ZG23" i="1"/>
  <c r="ZF23" i="1"/>
  <c r="ZH23" i="1" s="1"/>
  <c r="ZE23" i="1"/>
  <c r="ZB23" i="1"/>
  <c r="YY23" i="1"/>
  <c r="YV23" i="1"/>
  <c r="YR23" i="1"/>
  <c r="YQ23" i="1"/>
  <c r="YS23" i="1" s="1"/>
  <c r="YP23" i="1"/>
  <c r="YM23" i="1"/>
  <c r="YJ23" i="1"/>
  <c r="YG23" i="1"/>
  <c r="YC23" i="1"/>
  <c r="YB23" i="1"/>
  <c r="YD23" i="1" s="1"/>
  <c r="YA23" i="1"/>
  <c r="XX23" i="1"/>
  <c r="XU23" i="1"/>
  <c r="XR23" i="1"/>
  <c r="XN23" i="1"/>
  <c r="XM23" i="1"/>
  <c r="XO23" i="1" s="1"/>
  <c r="XL23" i="1"/>
  <c r="XI23" i="1"/>
  <c r="XF23" i="1"/>
  <c r="XC23" i="1"/>
  <c r="WY23" i="1"/>
  <c r="WX23" i="1"/>
  <c r="WZ23" i="1" s="1"/>
  <c r="WW23" i="1"/>
  <c r="WT23" i="1"/>
  <c r="WQ23" i="1"/>
  <c r="WN23" i="1"/>
  <c r="WJ23" i="1"/>
  <c r="WI23" i="1"/>
  <c r="WK23" i="1" s="1"/>
  <c r="WH23" i="1"/>
  <c r="WE23" i="1"/>
  <c r="WB23" i="1"/>
  <c r="VY23" i="1"/>
  <c r="VU23" i="1"/>
  <c r="VT23" i="1"/>
  <c r="VV23" i="1" s="1"/>
  <c r="VS23" i="1"/>
  <c r="VP23" i="1"/>
  <c r="VM23" i="1"/>
  <c r="VJ23" i="1"/>
  <c r="VF23" i="1"/>
  <c r="VE23" i="1"/>
  <c r="VG23" i="1" s="1"/>
  <c r="VD23" i="1"/>
  <c r="VA23" i="1"/>
  <c r="UX23" i="1"/>
  <c r="UU23" i="1"/>
  <c r="UQ23" i="1"/>
  <c r="UP23" i="1"/>
  <c r="UR23" i="1" s="1"/>
  <c r="UO23" i="1"/>
  <c r="UL23" i="1"/>
  <c r="UI23" i="1"/>
  <c r="UF23" i="1"/>
  <c r="UB23" i="1"/>
  <c r="UA23" i="1"/>
  <c r="UC23" i="1" s="1"/>
  <c r="TZ23" i="1"/>
  <c r="TW23" i="1"/>
  <c r="TT23" i="1"/>
  <c r="TQ23" i="1"/>
  <c r="TM23" i="1"/>
  <c r="TL23" i="1"/>
  <c r="TN23" i="1" s="1"/>
  <c r="TK23" i="1"/>
  <c r="TH23" i="1"/>
  <c r="TE23" i="1"/>
  <c r="TB23" i="1"/>
  <c r="SX23" i="1"/>
  <c r="SW23" i="1"/>
  <c r="SY23" i="1" s="1"/>
  <c r="SV23" i="1"/>
  <c r="SS23" i="1"/>
  <c r="SP23" i="1"/>
  <c r="SM23" i="1"/>
  <c r="SI23" i="1"/>
  <c r="SH23" i="1"/>
  <c r="SJ23" i="1" s="1"/>
  <c r="SG23" i="1"/>
  <c r="SD23" i="1"/>
  <c r="SA23" i="1"/>
  <c r="RX23" i="1"/>
  <c r="RT23" i="1"/>
  <c r="RS23" i="1"/>
  <c r="RU23" i="1" s="1"/>
  <c r="RR23" i="1"/>
  <c r="RO23" i="1"/>
  <c r="RL23" i="1"/>
  <c r="RI23" i="1"/>
  <c r="RE23" i="1"/>
  <c r="RD23" i="1"/>
  <c r="RF23" i="1" s="1"/>
  <c r="RC23" i="1"/>
  <c r="QZ23" i="1"/>
  <c r="QW23" i="1"/>
  <c r="QT23" i="1"/>
  <c r="QP23" i="1"/>
  <c r="QO23" i="1"/>
  <c r="QQ23" i="1" s="1"/>
  <c r="QN23" i="1"/>
  <c r="QK23" i="1"/>
  <c r="QH23" i="1"/>
  <c r="QE23" i="1"/>
  <c r="QA23" i="1"/>
  <c r="PZ23" i="1"/>
  <c r="QB23" i="1" s="1"/>
  <c r="PY23" i="1"/>
  <c r="PV23" i="1"/>
  <c r="PS23" i="1"/>
  <c r="PP23" i="1"/>
  <c r="PL23" i="1"/>
  <c r="PK23" i="1"/>
  <c r="PM23" i="1" s="1"/>
  <c r="PJ23" i="1"/>
  <c r="PG23" i="1"/>
  <c r="PD23" i="1"/>
  <c r="PA23" i="1"/>
  <c r="OW23" i="1"/>
  <c r="OV23" i="1"/>
  <c r="OX23" i="1" s="1"/>
  <c r="OU23" i="1"/>
  <c r="OR23" i="1"/>
  <c r="OO23" i="1"/>
  <c r="OL23" i="1"/>
  <c r="OH23" i="1"/>
  <c r="OG23" i="1"/>
  <c r="OI23" i="1" s="1"/>
  <c r="OF23" i="1"/>
  <c r="OC23" i="1"/>
  <c r="NZ23" i="1"/>
  <c r="NW23" i="1"/>
  <c r="NS23" i="1"/>
  <c r="NR23" i="1"/>
  <c r="NT23" i="1" s="1"/>
  <c r="NQ23" i="1"/>
  <c r="NN23" i="1"/>
  <c r="NK23" i="1"/>
  <c r="NH23" i="1"/>
  <c r="ND23" i="1"/>
  <c r="NC23" i="1"/>
  <c r="NE23" i="1" s="1"/>
  <c r="NB23" i="1"/>
  <c r="MY23" i="1"/>
  <c r="MV23" i="1"/>
  <c r="MS23" i="1"/>
  <c r="MO23" i="1"/>
  <c r="MN23" i="1"/>
  <c r="MP23" i="1" s="1"/>
  <c r="MM23" i="1"/>
  <c r="MJ23" i="1"/>
  <c r="MG23" i="1"/>
  <c r="MD23" i="1"/>
  <c r="LZ23" i="1"/>
  <c r="LY23" i="1"/>
  <c r="MA23" i="1" s="1"/>
  <c r="LX23" i="1"/>
  <c r="KV23" i="1"/>
  <c r="KU23" i="1"/>
  <c r="KW23" i="1" s="1"/>
  <c r="KT23" i="1"/>
  <c r="KG23" i="1"/>
  <c r="KF23" i="1"/>
  <c r="KH23" i="1" s="1"/>
  <c r="KE23" i="1"/>
  <c r="KB23" i="1"/>
  <c r="JY23" i="1"/>
  <c r="JV23" i="1"/>
  <c r="JR23" i="1"/>
  <c r="JQ23" i="1"/>
  <c r="JS23" i="1" s="1"/>
  <c r="JP23" i="1"/>
  <c r="JM23" i="1"/>
  <c r="JJ23" i="1"/>
  <c r="JG23" i="1"/>
  <c r="JC23" i="1"/>
  <c r="JB23" i="1"/>
  <c r="JD23" i="1" s="1"/>
  <c r="JA23" i="1"/>
  <c r="IX23" i="1"/>
  <c r="IU23" i="1"/>
  <c r="IR23" i="1"/>
  <c r="IN23" i="1"/>
  <c r="IM23" i="1"/>
  <c r="IO23" i="1" s="1"/>
  <c r="IL23" i="1"/>
  <c r="II23" i="1"/>
  <c r="IF23" i="1"/>
  <c r="IC23" i="1"/>
  <c r="HY23" i="1"/>
  <c r="HX23" i="1"/>
  <c r="HZ23" i="1" s="1"/>
  <c r="HW23" i="1"/>
  <c r="HT23" i="1"/>
  <c r="HQ23" i="1"/>
  <c r="HN23" i="1"/>
  <c r="HJ23" i="1"/>
  <c r="HI23" i="1"/>
  <c r="HK23" i="1" s="1"/>
  <c r="GU23" i="1"/>
  <c r="GT23" i="1"/>
  <c r="GV23" i="1" s="1"/>
  <c r="GS23" i="1"/>
  <c r="GP23" i="1"/>
  <c r="GM23" i="1"/>
  <c r="GJ23" i="1"/>
  <c r="GF23" i="1"/>
  <c r="GE23" i="1"/>
  <c r="GG23" i="1" s="1"/>
  <c r="GD23" i="1"/>
  <c r="GA23" i="1"/>
  <c r="FX23" i="1"/>
  <c r="FU23" i="1"/>
  <c r="FQ23" i="1"/>
  <c r="FP23" i="1"/>
  <c r="FR23" i="1" s="1"/>
  <c r="FO23" i="1"/>
  <c r="FL23" i="1"/>
  <c r="FI23" i="1"/>
  <c r="FF23" i="1"/>
  <c r="FB23" i="1"/>
  <c r="FA23" i="1"/>
  <c r="FC23" i="1" s="1"/>
  <c r="EZ23" i="1"/>
  <c r="EW23" i="1"/>
  <c r="ET23" i="1"/>
  <c r="EQ23" i="1"/>
  <c r="EM23" i="1"/>
  <c r="EL23" i="1"/>
  <c r="EN23" i="1" s="1"/>
  <c r="EK23" i="1"/>
  <c r="EH23" i="1"/>
  <c r="EE23" i="1"/>
  <c r="EB23" i="1"/>
  <c r="DX23" i="1"/>
  <c r="DW23" i="1"/>
  <c r="DY23" i="1" s="1"/>
  <c r="DI23" i="1"/>
  <c r="DH23" i="1"/>
  <c r="DJ23" i="1" s="1"/>
  <c r="CT23" i="1"/>
  <c r="CS23" i="1"/>
  <c r="CU23" i="1" s="1"/>
  <c r="CR23" i="1"/>
  <c r="CO23" i="1"/>
  <c r="CL23" i="1"/>
  <c r="CI23" i="1"/>
  <c r="CE23" i="1"/>
  <c r="CD23" i="1"/>
  <c r="CF23" i="1" s="1"/>
  <c r="CC23" i="1"/>
  <c r="BZ23" i="1"/>
  <c r="BW23" i="1"/>
  <c r="BT23" i="1"/>
  <c r="BP23" i="1"/>
  <c r="BO23" i="1"/>
  <c r="BQ23" i="1" s="1"/>
  <c r="BN23" i="1"/>
  <c r="BK23" i="1"/>
  <c r="BH23" i="1"/>
  <c r="BE23" i="1"/>
  <c r="BA23" i="1"/>
  <c r="AZ23" i="1"/>
  <c r="BB23" i="1" s="1"/>
  <c r="AY23" i="1"/>
  <c r="AV23" i="1"/>
  <c r="AS23" i="1"/>
  <c r="AP23" i="1"/>
  <c r="AL23" i="1"/>
  <c r="AK23" i="1"/>
  <c r="AM23" i="1" s="1"/>
  <c r="AJ23" i="1"/>
  <c r="AG23" i="1"/>
  <c r="AD23" i="1"/>
  <c r="AA23" i="1"/>
  <c r="W23" i="1"/>
  <c r="V23" i="1"/>
  <c r="X23" i="1" s="1"/>
  <c r="U23" i="1"/>
  <c r="R23" i="1"/>
  <c r="O23" i="1"/>
  <c r="L23" i="1"/>
  <c r="I23" i="1"/>
  <c r="AAB22" i="1"/>
  <c r="AAA22" i="1"/>
  <c r="AAC22" i="1" s="1"/>
  <c r="ZZ22" i="1"/>
  <c r="ZV22" i="1"/>
  <c r="AAE22" i="1" s="1"/>
  <c r="ZU22" i="1"/>
  <c r="ZT22" i="1"/>
  <c r="ZQ22" i="1"/>
  <c r="ZN22" i="1"/>
  <c r="ZK22" i="1"/>
  <c r="ZG22" i="1"/>
  <c r="ZF22" i="1"/>
  <c r="ZH22" i="1" s="1"/>
  <c r="ZE22" i="1"/>
  <c r="ZB22" i="1"/>
  <c r="YY22" i="1"/>
  <c r="YV22" i="1"/>
  <c r="YR22" i="1"/>
  <c r="YQ22" i="1"/>
  <c r="YS22" i="1" s="1"/>
  <c r="YP22" i="1"/>
  <c r="YM22" i="1"/>
  <c r="YJ22" i="1"/>
  <c r="YG22" i="1"/>
  <c r="YC22" i="1"/>
  <c r="YB22" i="1"/>
  <c r="YD22" i="1" s="1"/>
  <c r="YA22" i="1"/>
  <c r="XX22" i="1"/>
  <c r="XU22" i="1"/>
  <c r="XR22" i="1"/>
  <c r="XN22" i="1"/>
  <c r="XM22" i="1"/>
  <c r="XO22" i="1" s="1"/>
  <c r="XL22" i="1"/>
  <c r="XI22" i="1"/>
  <c r="XF22" i="1"/>
  <c r="XC22" i="1"/>
  <c r="WY22" i="1"/>
  <c r="WX22" i="1"/>
  <c r="WZ22" i="1" s="1"/>
  <c r="WW22" i="1"/>
  <c r="WT22" i="1"/>
  <c r="WQ22" i="1"/>
  <c r="WN22" i="1"/>
  <c r="WJ22" i="1"/>
  <c r="WI22" i="1"/>
  <c r="WK22" i="1" s="1"/>
  <c r="WH22" i="1"/>
  <c r="WE22" i="1"/>
  <c r="WB22" i="1"/>
  <c r="VY22" i="1"/>
  <c r="VU22" i="1"/>
  <c r="VT22" i="1"/>
  <c r="VV22" i="1" s="1"/>
  <c r="VS22" i="1"/>
  <c r="VP22" i="1"/>
  <c r="VM22" i="1"/>
  <c r="VJ22" i="1"/>
  <c r="VF22" i="1"/>
  <c r="VE22" i="1"/>
  <c r="VG22" i="1" s="1"/>
  <c r="VD22" i="1"/>
  <c r="VA22" i="1"/>
  <c r="UX22" i="1"/>
  <c r="UU22" i="1"/>
  <c r="UQ22" i="1"/>
  <c r="UP22" i="1"/>
  <c r="UR22" i="1" s="1"/>
  <c r="UO22" i="1"/>
  <c r="UL22" i="1"/>
  <c r="UI22" i="1"/>
  <c r="UF22" i="1"/>
  <c r="UB22" i="1"/>
  <c r="UA22" i="1"/>
  <c r="UC22" i="1" s="1"/>
  <c r="TZ22" i="1"/>
  <c r="TW22" i="1"/>
  <c r="TT22" i="1"/>
  <c r="TQ22" i="1"/>
  <c r="TM22" i="1"/>
  <c r="TL22" i="1"/>
  <c r="TN22" i="1" s="1"/>
  <c r="TK22" i="1"/>
  <c r="TH22" i="1"/>
  <c r="TE22" i="1"/>
  <c r="TB22" i="1"/>
  <c r="SX22" i="1"/>
  <c r="SW22" i="1"/>
  <c r="SY22" i="1" s="1"/>
  <c r="SV22" i="1"/>
  <c r="SS22" i="1"/>
  <c r="SP22" i="1"/>
  <c r="SM22" i="1"/>
  <c r="SI22" i="1"/>
  <c r="SH22" i="1"/>
  <c r="SJ22" i="1" s="1"/>
  <c r="SG22" i="1"/>
  <c r="SD22" i="1"/>
  <c r="SA22" i="1"/>
  <c r="RX22" i="1"/>
  <c r="RT22" i="1"/>
  <c r="RS22" i="1"/>
  <c r="RU22" i="1" s="1"/>
  <c r="RR22" i="1"/>
  <c r="RO22" i="1"/>
  <c r="RL22" i="1"/>
  <c r="RI22" i="1"/>
  <c r="RE22" i="1"/>
  <c r="RD22" i="1"/>
  <c r="RF22" i="1" s="1"/>
  <c r="RC22" i="1"/>
  <c r="QZ22" i="1"/>
  <c r="QW22" i="1"/>
  <c r="QT22" i="1"/>
  <c r="QP22" i="1"/>
  <c r="QO22" i="1"/>
  <c r="QQ22" i="1" s="1"/>
  <c r="QN22" i="1"/>
  <c r="QK22" i="1"/>
  <c r="QH22" i="1"/>
  <c r="QE22" i="1"/>
  <c r="QA22" i="1"/>
  <c r="PZ22" i="1"/>
  <c r="QB22" i="1" s="1"/>
  <c r="PY22" i="1"/>
  <c r="PV22" i="1"/>
  <c r="PS22" i="1"/>
  <c r="PP22" i="1"/>
  <c r="PL22" i="1"/>
  <c r="PK22" i="1"/>
  <c r="PM22" i="1" s="1"/>
  <c r="PJ22" i="1"/>
  <c r="PG22" i="1"/>
  <c r="PD22" i="1"/>
  <c r="PA22" i="1"/>
  <c r="OW22" i="1"/>
  <c r="OV22" i="1"/>
  <c r="OX22" i="1" s="1"/>
  <c r="OU22" i="1"/>
  <c r="OR22" i="1"/>
  <c r="OO22" i="1"/>
  <c r="OL22" i="1"/>
  <c r="OH22" i="1"/>
  <c r="OG22" i="1"/>
  <c r="OI22" i="1" s="1"/>
  <c r="OF22" i="1"/>
  <c r="OC22" i="1"/>
  <c r="NZ22" i="1"/>
  <c r="NW22" i="1"/>
  <c r="NS22" i="1"/>
  <c r="NR22" i="1"/>
  <c r="NT22" i="1" s="1"/>
  <c r="NQ22" i="1"/>
  <c r="NN22" i="1"/>
  <c r="NK22" i="1"/>
  <c r="NH22" i="1"/>
  <c r="ND22" i="1"/>
  <c r="NC22" i="1"/>
  <c r="NE22" i="1" s="1"/>
  <c r="NB22" i="1"/>
  <c r="MY22" i="1"/>
  <c r="MV22" i="1"/>
  <c r="MS22" i="1"/>
  <c r="MO22" i="1"/>
  <c r="MN22" i="1"/>
  <c r="MP22" i="1" s="1"/>
  <c r="MM22" i="1"/>
  <c r="MJ22" i="1"/>
  <c r="MG22" i="1"/>
  <c r="MD22" i="1"/>
  <c r="LZ22" i="1"/>
  <c r="LY22" i="1"/>
  <c r="MA22" i="1" s="1"/>
  <c r="LX22" i="1"/>
  <c r="KV22" i="1"/>
  <c r="KU22" i="1"/>
  <c r="KW22" i="1" s="1"/>
  <c r="KT22" i="1"/>
  <c r="KG22" i="1"/>
  <c r="KF22" i="1"/>
  <c r="KH22" i="1" s="1"/>
  <c r="KE22" i="1"/>
  <c r="KB22" i="1"/>
  <c r="JY22" i="1"/>
  <c r="JV22" i="1"/>
  <c r="JR22" i="1"/>
  <c r="JQ22" i="1"/>
  <c r="JS22" i="1" s="1"/>
  <c r="JP22" i="1"/>
  <c r="JM22" i="1"/>
  <c r="JJ22" i="1"/>
  <c r="JG22" i="1"/>
  <c r="JC22" i="1"/>
  <c r="JB22" i="1"/>
  <c r="JD22" i="1" s="1"/>
  <c r="JA22" i="1"/>
  <c r="IX22" i="1"/>
  <c r="IU22" i="1"/>
  <c r="IR22" i="1"/>
  <c r="IN22" i="1"/>
  <c r="IM22" i="1"/>
  <c r="IO22" i="1" s="1"/>
  <c r="IL22" i="1"/>
  <c r="II22" i="1"/>
  <c r="IF22" i="1"/>
  <c r="IC22" i="1"/>
  <c r="HY22" i="1"/>
  <c r="HX22" i="1"/>
  <c r="HZ22" i="1" s="1"/>
  <c r="HW22" i="1"/>
  <c r="HT22" i="1"/>
  <c r="HQ22" i="1"/>
  <c r="HN22" i="1"/>
  <c r="HJ22" i="1"/>
  <c r="HI22" i="1"/>
  <c r="HK22" i="1" s="1"/>
  <c r="GU22" i="1"/>
  <c r="GT22" i="1"/>
  <c r="GV22" i="1" s="1"/>
  <c r="GS22" i="1"/>
  <c r="GP22" i="1"/>
  <c r="GM22" i="1"/>
  <c r="GJ22" i="1"/>
  <c r="GF22" i="1"/>
  <c r="GE22" i="1"/>
  <c r="GG22" i="1" s="1"/>
  <c r="GD22" i="1"/>
  <c r="GA22" i="1"/>
  <c r="FX22" i="1"/>
  <c r="FU22" i="1"/>
  <c r="FQ22" i="1"/>
  <c r="FP22" i="1"/>
  <c r="FR22" i="1" s="1"/>
  <c r="FO22" i="1"/>
  <c r="FL22" i="1"/>
  <c r="FI22" i="1"/>
  <c r="FF22" i="1"/>
  <c r="FB22" i="1"/>
  <c r="FA22" i="1"/>
  <c r="FC22" i="1" s="1"/>
  <c r="EZ22" i="1"/>
  <c r="EW22" i="1"/>
  <c r="ET22" i="1"/>
  <c r="EQ22" i="1"/>
  <c r="EM22" i="1"/>
  <c r="EL22" i="1"/>
  <c r="EN22" i="1" s="1"/>
  <c r="EK22" i="1"/>
  <c r="EH22" i="1"/>
  <c r="EE22" i="1"/>
  <c r="EB22" i="1"/>
  <c r="DX22" i="1"/>
  <c r="DW22" i="1"/>
  <c r="DY22" i="1" s="1"/>
  <c r="DI22" i="1"/>
  <c r="DH22" i="1"/>
  <c r="DJ22" i="1" s="1"/>
  <c r="CT22" i="1"/>
  <c r="CS22" i="1"/>
  <c r="CU22" i="1" s="1"/>
  <c r="CR22" i="1"/>
  <c r="CO22" i="1"/>
  <c r="CL22" i="1"/>
  <c r="CI22" i="1"/>
  <c r="CE22" i="1"/>
  <c r="CD22" i="1"/>
  <c r="CF22" i="1" s="1"/>
  <c r="CC22" i="1"/>
  <c r="BZ22" i="1"/>
  <c r="BW22" i="1"/>
  <c r="BT22" i="1"/>
  <c r="BP22" i="1"/>
  <c r="BO22" i="1"/>
  <c r="BQ22" i="1" s="1"/>
  <c r="BN22" i="1"/>
  <c r="BK22" i="1"/>
  <c r="BH22" i="1"/>
  <c r="BE22" i="1"/>
  <c r="BA22" i="1"/>
  <c r="AZ22" i="1"/>
  <c r="BB22" i="1" s="1"/>
  <c r="AY22" i="1"/>
  <c r="AV22" i="1"/>
  <c r="AS22" i="1"/>
  <c r="AP22" i="1"/>
  <c r="AL22" i="1"/>
  <c r="AK22" i="1"/>
  <c r="AM22" i="1" s="1"/>
  <c r="AJ22" i="1"/>
  <c r="AG22" i="1"/>
  <c r="AD22" i="1"/>
  <c r="AA22" i="1"/>
  <c r="W22" i="1"/>
  <c r="V22" i="1"/>
  <c r="X22" i="1" s="1"/>
  <c r="U22" i="1"/>
  <c r="R22" i="1"/>
  <c r="O22" i="1"/>
  <c r="L22" i="1"/>
  <c r="I22" i="1"/>
  <c r="AAB21" i="1"/>
  <c r="AAA21" i="1"/>
  <c r="AAC21" i="1" s="1"/>
  <c r="ZZ21" i="1"/>
  <c r="ZV21" i="1"/>
  <c r="ZU21" i="1"/>
  <c r="ZT21" i="1"/>
  <c r="ZQ21" i="1"/>
  <c r="ZN21" i="1"/>
  <c r="ZK21" i="1"/>
  <c r="ZG21" i="1"/>
  <c r="ZF21" i="1"/>
  <c r="ZH21" i="1" s="1"/>
  <c r="ZE21" i="1"/>
  <c r="ZB21" i="1"/>
  <c r="YY21" i="1"/>
  <c r="YV21" i="1"/>
  <c r="YR21" i="1"/>
  <c r="YQ21" i="1"/>
  <c r="YS21" i="1" s="1"/>
  <c r="YP21" i="1"/>
  <c r="YM21" i="1"/>
  <c r="YJ21" i="1"/>
  <c r="YG21" i="1"/>
  <c r="YC21" i="1"/>
  <c r="YB21" i="1"/>
  <c r="YD21" i="1" s="1"/>
  <c r="YA21" i="1"/>
  <c r="XX21" i="1"/>
  <c r="XU21" i="1"/>
  <c r="XR21" i="1"/>
  <c r="XN21" i="1"/>
  <c r="XM21" i="1"/>
  <c r="XO21" i="1" s="1"/>
  <c r="XL21" i="1"/>
  <c r="XI21" i="1"/>
  <c r="XF21" i="1"/>
  <c r="XC21" i="1"/>
  <c r="WY21" i="1"/>
  <c r="WX21" i="1"/>
  <c r="WZ21" i="1" s="1"/>
  <c r="WW21" i="1"/>
  <c r="WT21" i="1"/>
  <c r="WQ21" i="1"/>
  <c r="WN21" i="1"/>
  <c r="WJ21" i="1"/>
  <c r="WI21" i="1"/>
  <c r="WK21" i="1" s="1"/>
  <c r="WH21" i="1"/>
  <c r="WE21" i="1"/>
  <c r="WB21" i="1"/>
  <c r="VY21" i="1"/>
  <c r="VU21" i="1"/>
  <c r="VT21" i="1"/>
  <c r="VV21" i="1" s="1"/>
  <c r="VS21" i="1"/>
  <c r="VP21" i="1"/>
  <c r="VM21" i="1"/>
  <c r="VJ21" i="1"/>
  <c r="VF21" i="1"/>
  <c r="VE21" i="1"/>
  <c r="VG21" i="1" s="1"/>
  <c r="VD21" i="1"/>
  <c r="VA21" i="1"/>
  <c r="UX21" i="1"/>
  <c r="UU21" i="1"/>
  <c r="UQ21" i="1"/>
  <c r="UP21" i="1"/>
  <c r="UR21" i="1" s="1"/>
  <c r="UO21" i="1"/>
  <c r="UL21" i="1"/>
  <c r="UI21" i="1"/>
  <c r="UF21" i="1"/>
  <c r="UB21" i="1"/>
  <c r="UA21" i="1"/>
  <c r="UC21" i="1" s="1"/>
  <c r="TZ21" i="1"/>
  <c r="TW21" i="1"/>
  <c r="TT21" i="1"/>
  <c r="TQ21" i="1"/>
  <c r="TL21" i="1"/>
  <c r="TK21" i="1"/>
  <c r="TH21" i="1"/>
  <c r="TE21" i="1"/>
  <c r="TA21" i="1"/>
  <c r="SX21" i="1"/>
  <c r="SW21" i="1"/>
  <c r="SY21" i="1" s="1"/>
  <c r="SV21" i="1"/>
  <c r="SS21" i="1"/>
  <c r="SP21" i="1"/>
  <c r="SM21" i="1"/>
  <c r="SI21" i="1"/>
  <c r="SH21" i="1"/>
  <c r="SJ21" i="1" s="1"/>
  <c r="SG21" i="1"/>
  <c r="SD21" i="1"/>
  <c r="SA21" i="1"/>
  <c r="RX21" i="1"/>
  <c r="RT21" i="1"/>
  <c r="RS21" i="1"/>
  <c r="RU21" i="1" s="1"/>
  <c r="RR21" i="1"/>
  <c r="RO21" i="1"/>
  <c r="RL21" i="1"/>
  <c r="RI21" i="1"/>
  <c r="RE21" i="1"/>
  <c r="RD21" i="1"/>
  <c r="RF21" i="1" s="1"/>
  <c r="RC21" i="1"/>
  <c r="QZ21" i="1"/>
  <c r="QW21" i="1"/>
  <c r="QT21" i="1"/>
  <c r="QP21" i="1"/>
  <c r="QO21" i="1"/>
  <c r="QQ21" i="1" s="1"/>
  <c r="QN21" i="1"/>
  <c r="QK21" i="1"/>
  <c r="QH21" i="1"/>
  <c r="QE21" i="1"/>
  <c r="QA21" i="1"/>
  <c r="PZ21" i="1"/>
  <c r="QB21" i="1" s="1"/>
  <c r="PY21" i="1"/>
  <c r="PV21" i="1"/>
  <c r="PS21" i="1"/>
  <c r="PP21" i="1"/>
  <c r="PL21" i="1"/>
  <c r="PK21" i="1"/>
  <c r="PM21" i="1" s="1"/>
  <c r="PJ21" i="1"/>
  <c r="PG21" i="1"/>
  <c r="PD21" i="1"/>
  <c r="PA21" i="1"/>
  <c r="OW21" i="1"/>
  <c r="OV21" i="1"/>
  <c r="OX21" i="1" s="1"/>
  <c r="OU21" i="1"/>
  <c r="OR21" i="1"/>
  <c r="OO21" i="1"/>
  <c r="OL21" i="1"/>
  <c r="OH21" i="1"/>
  <c r="OG21" i="1"/>
  <c r="OI21" i="1" s="1"/>
  <c r="OF21" i="1"/>
  <c r="OC21" i="1"/>
  <c r="NZ21" i="1"/>
  <c r="NW21" i="1"/>
  <c r="NS21" i="1"/>
  <c r="NR21" i="1"/>
  <c r="NT21" i="1" s="1"/>
  <c r="NQ21" i="1"/>
  <c r="NN21" i="1"/>
  <c r="NK21" i="1"/>
  <c r="NH21" i="1"/>
  <c r="ND21" i="1"/>
  <c r="NC21" i="1"/>
  <c r="NE21" i="1" s="1"/>
  <c r="NB21" i="1"/>
  <c r="MY21" i="1"/>
  <c r="MV21" i="1"/>
  <c r="MS21" i="1"/>
  <c r="MN21" i="1"/>
  <c r="MM21" i="1"/>
  <c r="MJ21" i="1"/>
  <c r="MF21" i="1"/>
  <c r="MD21" i="1"/>
  <c r="LZ21" i="1"/>
  <c r="LY21" i="1"/>
  <c r="MA21" i="1" s="1"/>
  <c r="LX21" i="1"/>
  <c r="KV21" i="1"/>
  <c r="KU21" i="1"/>
  <c r="KW21" i="1" s="1"/>
  <c r="KT21" i="1"/>
  <c r="KG21" i="1"/>
  <c r="KF21" i="1"/>
  <c r="KH21" i="1" s="1"/>
  <c r="KE21" i="1"/>
  <c r="KB21" i="1"/>
  <c r="JY21" i="1"/>
  <c r="JV21" i="1"/>
  <c r="JR21" i="1"/>
  <c r="JQ21" i="1"/>
  <c r="JS21" i="1" s="1"/>
  <c r="JP21" i="1"/>
  <c r="JM21" i="1"/>
  <c r="JJ21" i="1"/>
  <c r="JG21" i="1"/>
  <c r="JC21" i="1"/>
  <c r="JB21" i="1"/>
  <c r="JD21" i="1" s="1"/>
  <c r="JA21" i="1"/>
  <c r="IX21" i="1"/>
  <c r="IU21" i="1"/>
  <c r="IR21" i="1"/>
  <c r="IN21" i="1"/>
  <c r="IM21" i="1"/>
  <c r="IO21" i="1" s="1"/>
  <c r="IL21" i="1"/>
  <c r="II21" i="1"/>
  <c r="IF21" i="1"/>
  <c r="IC21" i="1"/>
  <c r="HY21" i="1"/>
  <c r="HX21" i="1"/>
  <c r="HZ21" i="1" s="1"/>
  <c r="HW21" i="1"/>
  <c r="HT21" i="1"/>
  <c r="HQ21" i="1"/>
  <c r="HN21" i="1"/>
  <c r="HJ21" i="1"/>
  <c r="HI21" i="1"/>
  <c r="HK21" i="1" s="1"/>
  <c r="GU21" i="1"/>
  <c r="GT21" i="1"/>
  <c r="GV21" i="1" s="1"/>
  <c r="GS21" i="1"/>
  <c r="GP21" i="1"/>
  <c r="GM21" i="1"/>
  <c r="GJ21" i="1"/>
  <c r="GF21" i="1"/>
  <c r="GE21" i="1"/>
  <c r="GG21" i="1" s="1"/>
  <c r="GD21" i="1"/>
  <c r="GA21" i="1"/>
  <c r="FX21" i="1"/>
  <c r="FU21" i="1"/>
  <c r="FQ21" i="1"/>
  <c r="FP21" i="1"/>
  <c r="FR21" i="1" s="1"/>
  <c r="FO21" i="1"/>
  <c r="FL21" i="1"/>
  <c r="FI21" i="1"/>
  <c r="FF21" i="1"/>
  <c r="FB21" i="1"/>
  <c r="FA21" i="1"/>
  <c r="FC21" i="1" s="1"/>
  <c r="EZ21" i="1"/>
  <c r="EW21" i="1"/>
  <c r="ET21" i="1"/>
  <c r="EQ21" i="1"/>
  <c r="EM21" i="1"/>
  <c r="EL21" i="1"/>
  <c r="EN21" i="1" s="1"/>
  <c r="EK21" i="1"/>
  <c r="EH21" i="1"/>
  <c r="EE21" i="1"/>
  <c r="EB21" i="1"/>
  <c r="DX21" i="1"/>
  <c r="DW21" i="1"/>
  <c r="DY21" i="1" s="1"/>
  <c r="DI21" i="1"/>
  <c r="DH21" i="1"/>
  <c r="DJ21" i="1" s="1"/>
  <c r="CT21" i="1"/>
  <c r="CS21" i="1"/>
  <c r="CU21" i="1" s="1"/>
  <c r="CR21" i="1"/>
  <c r="CO21" i="1"/>
  <c r="CL21" i="1"/>
  <c r="CI21" i="1"/>
  <c r="CE21" i="1"/>
  <c r="CD21" i="1"/>
  <c r="CF21" i="1" s="1"/>
  <c r="CC21" i="1"/>
  <c r="BZ21" i="1"/>
  <c r="BW21" i="1"/>
  <c r="BT21" i="1"/>
  <c r="BP21" i="1"/>
  <c r="BO21" i="1"/>
  <c r="BQ21" i="1" s="1"/>
  <c r="BN21" i="1"/>
  <c r="BK21" i="1"/>
  <c r="BH21" i="1"/>
  <c r="BE21" i="1"/>
  <c r="BA21" i="1"/>
  <c r="AZ21" i="1"/>
  <c r="BB21" i="1" s="1"/>
  <c r="AY21" i="1"/>
  <c r="AV21" i="1"/>
  <c r="AS21" i="1"/>
  <c r="AP21" i="1"/>
  <c r="AL21" i="1"/>
  <c r="AK21" i="1"/>
  <c r="AM21" i="1" s="1"/>
  <c r="AJ21" i="1"/>
  <c r="AG21" i="1"/>
  <c r="AD21" i="1"/>
  <c r="AA21" i="1"/>
  <c r="W21" i="1"/>
  <c r="V21" i="1"/>
  <c r="X21" i="1" s="1"/>
  <c r="U21" i="1"/>
  <c r="R21" i="1"/>
  <c r="O21" i="1"/>
  <c r="L21" i="1"/>
  <c r="I21" i="1"/>
  <c r="AAB20" i="1"/>
  <c r="AAA20" i="1"/>
  <c r="AAC20" i="1" s="1"/>
  <c r="ZZ20" i="1"/>
  <c r="ZV20" i="1"/>
  <c r="AAE20" i="1" s="1"/>
  <c r="ZU20" i="1"/>
  <c r="ZT20" i="1"/>
  <c r="ZQ20" i="1"/>
  <c r="ZN20" i="1"/>
  <c r="ZK20" i="1"/>
  <c r="ZG20" i="1"/>
  <c r="ZF20" i="1"/>
  <c r="ZH20" i="1" s="1"/>
  <c r="ZE20" i="1"/>
  <c r="ZB20" i="1"/>
  <c r="YY20" i="1"/>
  <c r="YV20" i="1"/>
  <c r="YR20" i="1"/>
  <c r="YQ20" i="1"/>
  <c r="YS20" i="1" s="1"/>
  <c r="YP20" i="1"/>
  <c r="YM20" i="1"/>
  <c r="YJ20" i="1"/>
  <c r="YG20" i="1"/>
  <c r="YC20" i="1"/>
  <c r="YB20" i="1"/>
  <c r="YD20" i="1" s="1"/>
  <c r="YA20" i="1"/>
  <c r="XX20" i="1"/>
  <c r="XU20" i="1"/>
  <c r="XR20" i="1"/>
  <c r="XN20" i="1"/>
  <c r="XM20" i="1"/>
  <c r="XO20" i="1" s="1"/>
  <c r="XL20" i="1"/>
  <c r="XI20" i="1"/>
  <c r="XF20" i="1"/>
  <c r="XC20" i="1"/>
  <c r="WY20" i="1"/>
  <c r="WX20" i="1"/>
  <c r="WZ20" i="1" s="1"/>
  <c r="WW20" i="1"/>
  <c r="WT20" i="1"/>
  <c r="WQ20" i="1"/>
  <c r="WN20" i="1"/>
  <c r="WJ20" i="1"/>
  <c r="WI20" i="1"/>
  <c r="WK20" i="1" s="1"/>
  <c r="WH20" i="1"/>
  <c r="WE20" i="1"/>
  <c r="WB20" i="1"/>
  <c r="VY20" i="1"/>
  <c r="VU20" i="1"/>
  <c r="VT20" i="1"/>
  <c r="VV20" i="1" s="1"/>
  <c r="VS20" i="1"/>
  <c r="VP20" i="1"/>
  <c r="VM20" i="1"/>
  <c r="VJ20" i="1"/>
  <c r="VF20" i="1"/>
  <c r="VE20" i="1"/>
  <c r="VG20" i="1" s="1"/>
  <c r="VD20" i="1"/>
  <c r="VA20" i="1"/>
  <c r="UX20" i="1"/>
  <c r="UU20" i="1"/>
  <c r="UQ20" i="1"/>
  <c r="UP20" i="1"/>
  <c r="UR20" i="1" s="1"/>
  <c r="UO20" i="1"/>
  <c r="UL20" i="1"/>
  <c r="UI20" i="1"/>
  <c r="UF20" i="1"/>
  <c r="UB20" i="1"/>
  <c r="UA20" i="1"/>
  <c r="UC20" i="1" s="1"/>
  <c r="TZ20" i="1"/>
  <c r="TW20" i="1"/>
  <c r="TT20" i="1"/>
  <c r="TQ20" i="1"/>
  <c r="TM20" i="1"/>
  <c r="TL20" i="1"/>
  <c r="TN20" i="1" s="1"/>
  <c r="TK20" i="1"/>
  <c r="TH20" i="1"/>
  <c r="TE20" i="1"/>
  <c r="TB20" i="1"/>
  <c r="SX20" i="1"/>
  <c r="SW20" i="1"/>
  <c r="SY20" i="1" s="1"/>
  <c r="SV20" i="1"/>
  <c r="SS20" i="1"/>
  <c r="SP20" i="1"/>
  <c r="SM20" i="1"/>
  <c r="SI20" i="1"/>
  <c r="SH20" i="1"/>
  <c r="SJ20" i="1" s="1"/>
  <c r="SG20" i="1"/>
  <c r="SD20" i="1"/>
  <c r="SA20" i="1"/>
  <c r="RX20" i="1"/>
  <c r="RT20" i="1"/>
  <c r="RS20" i="1"/>
  <c r="RU20" i="1" s="1"/>
  <c r="RR20" i="1"/>
  <c r="RO20" i="1"/>
  <c r="RL20" i="1"/>
  <c r="RI20" i="1"/>
  <c r="RE20" i="1"/>
  <c r="RD20" i="1"/>
  <c r="RF20" i="1" s="1"/>
  <c r="RC20" i="1"/>
  <c r="QZ20" i="1"/>
  <c r="QW20" i="1"/>
  <c r="QT20" i="1"/>
  <c r="QP20" i="1"/>
  <c r="QO20" i="1"/>
  <c r="QQ20" i="1" s="1"/>
  <c r="QN20" i="1"/>
  <c r="QK20" i="1"/>
  <c r="QH20" i="1"/>
  <c r="QE20" i="1"/>
  <c r="QA20" i="1"/>
  <c r="PZ20" i="1"/>
  <c r="QB20" i="1" s="1"/>
  <c r="PY20" i="1"/>
  <c r="PV20" i="1"/>
  <c r="PS20" i="1"/>
  <c r="PP20" i="1"/>
  <c r="PL20" i="1"/>
  <c r="PK20" i="1"/>
  <c r="PM20" i="1" s="1"/>
  <c r="PJ20" i="1"/>
  <c r="PG20" i="1"/>
  <c r="PD20" i="1"/>
  <c r="PA20" i="1"/>
  <c r="OW20" i="1"/>
  <c r="OV20" i="1"/>
  <c r="OX20" i="1" s="1"/>
  <c r="OU20" i="1"/>
  <c r="OR20" i="1"/>
  <c r="OO20" i="1"/>
  <c r="OL20" i="1"/>
  <c r="OH20" i="1"/>
  <c r="OG20" i="1"/>
  <c r="OI20" i="1" s="1"/>
  <c r="OF20" i="1"/>
  <c r="OC20" i="1"/>
  <c r="NZ20" i="1"/>
  <c r="NW20" i="1"/>
  <c r="NS20" i="1"/>
  <c r="NR20" i="1"/>
  <c r="NT20" i="1" s="1"/>
  <c r="NQ20" i="1"/>
  <c r="NN20" i="1"/>
  <c r="NK20" i="1"/>
  <c r="NH20" i="1"/>
  <c r="ND20" i="1"/>
  <c r="NC20" i="1"/>
  <c r="NE20" i="1" s="1"/>
  <c r="NB20" i="1"/>
  <c r="MY20" i="1"/>
  <c r="MV20" i="1"/>
  <c r="MS20" i="1"/>
  <c r="MO20" i="1"/>
  <c r="MN20" i="1"/>
  <c r="MP20" i="1" s="1"/>
  <c r="MM20" i="1"/>
  <c r="MJ20" i="1"/>
  <c r="MG20" i="1"/>
  <c r="MD20" i="1"/>
  <c r="LZ20" i="1"/>
  <c r="LY20" i="1"/>
  <c r="MA20" i="1" s="1"/>
  <c r="LX20" i="1"/>
  <c r="KV20" i="1"/>
  <c r="KU20" i="1"/>
  <c r="KW20" i="1" s="1"/>
  <c r="KT20" i="1"/>
  <c r="KG20" i="1"/>
  <c r="KF20" i="1"/>
  <c r="KH20" i="1" s="1"/>
  <c r="KE20" i="1"/>
  <c r="KB20" i="1"/>
  <c r="JY20" i="1"/>
  <c r="JV20" i="1"/>
  <c r="JR20" i="1"/>
  <c r="JQ20" i="1"/>
  <c r="JS20" i="1" s="1"/>
  <c r="JP20" i="1"/>
  <c r="JM20" i="1"/>
  <c r="JJ20" i="1"/>
  <c r="JG20" i="1"/>
  <c r="JC20" i="1"/>
  <c r="JB20" i="1"/>
  <c r="JD20" i="1" s="1"/>
  <c r="JA20" i="1"/>
  <c r="IX20" i="1"/>
  <c r="IU20" i="1"/>
  <c r="IR20" i="1"/>
  <c r="IN20" i="1"/>
  <c r="IM20" i="1"/>
  <c r="IO20" i="1" s="1"/>
  <c r="IL20" i="1"/>
  <c r="II20" i="1"/>
  <c r="IF20" i="1"/>
  <c r="IC20" i="1"/>
  <c r="HY20" i="1"/>
  <c r="HX20" i="1"/>
  <c r="HZ20" i="1" s="1"/>
  <c r="HW20" i="1"/>
  <c r="HT20" i="1"/>
  <c r="HQ20" i="1"/>
  <c r="HN20" i="1"/>
  <c r="HJ20" i="1"/>
  <c r="HI20" i="1"/>
  <c r="HK20" i="1" s="1"/>
  <c r="GU20" i="1"/>
  <c r="GT20" i="1"/>
  <c r="GV20" i="1" s="1"/>
  <c r="GS20" i="1"/>
  <c r="GP20" i="1"/>
  <c r="GM20" i="1"/>
  <c r="GJ20" i="1"/>
  <c r="GF20" i="1"/>
  <c r="GE20" i="1"/>
  <c r="GG20" i="1" s="1"/>
  <c r="GD20" i="1"/>
  <c r="GA20" i="1"/>
  <c r="FX20" i="1"/>
  <c r="FU20" i="1"/>
  <c r="FQ20" i="1"/>
  <c r="FP20" i="1"/>
  <c r="FR20" i="1" s="1"/>
  <c r="FO20" i="1"/>
  <c r="FL20" i="1"/>
  <c r="FI20" i="1"/>
  <c r="FF20" i="1"/>
  <c r="FB20" i="1"/>
  <c r="FA20" i="1"/>
  <c r="FC20" i="1" s="1"/>
  <c r="EZ20" i="1"/>
  <c r="EW20" i="1"/>
  <c r="ET20" i="1"/>
  <c r="EQ20" i="1"/>
  <c r="EM20" i="1"/>
  <c r="EL20" i="1"/>
  <c r="EN20" i="1" s="1"/>
  <c r="EK20" i="1"/>
  <c r="EH20" i="1"/>
  <c r="EE20" i="1"/>
  <c r="EB20" i="1"/>
  <c r="DX20" i="1"/>
  <c r="DW20" i="1"/>
  <c r="DY20" i="1" s="1"/>
  <c r="DI20" i="1"/>
  <c r="DH20" i="1"/>
  <c r="DJ20" i="1" s="1"/>
  <c r="CT20" i="1"/>
  <c r="CS20" i="1"/>
  <c r="CU20" i="1" s="1"/>
  <c r="CR20" i="1"/>
  <c r="CO20" i="1"/>
  <c r="CL20" i="1"/>
  <c r="CI20" i="1"/>
  <c r="CE20" i="1"/>
  <c r="CD20" i="1"/>
  <c r="CF20" i="1" s="1"/>
  <c r="CC20" i="1"/>
  <c r="BZ20" i="1"/>
  <c r="BW20" i="1"/>
  <c r="BT20" i="1"/>
  <c r="BP20" i="1"/>
  <c r="BO20" i="1"/>
  <c r="BQ20" i="1" s="1"/>
  <c r="BN20" i="1"/>
  <c r="BK20" i="1"/>
  <c r="BH20" i="1"/>
  <c r="BE20" i="1"/>
  <c r="BA20" i="1"/>
  <c r="AZ20" i="1"/>
  <c r="BB20" i="1" s="1"/>
  <c r="AY20" i="1"/>
  <c r="AV20" i="1"/>
  <c r="AS20" i="1"/>
  <c r="AP20" i="1"/>
  <c r="AL20" i="1"/>
  <c r="AK20" i="1"/>
  <c r="AM20" i="1" s="1"/>
  <c r="AJ20" i="1"/>
  <c r="AG20" i="1"/>
  <c r="AD20" i="1"/>
  <c r="AA20" i="1"/>
  <c r="W20" i="1"/>
  <c r="V20" i="1"/>
  <c r="X20" i="1" s="1"/>
  <c r="U20" i="1"/>
  <c r="R20" i="1"/>
  <c r="O20" i="1"/>
  <c r="L20" i="1"/>
  <c r="I20" i="1"/>
  <c r="AAB19" i="1"/>
  <c r="AAA19" i="1"/>
  <c r="AAC19" i="1" s="1"/>
  <c r="ZZ19" i="1"/>
  <c r="ZV19" i="1"/>
  <c r="AAE19" i="1" s="1"/>
  <c r="ZU19" i="1"/>
  <c r="ZT19" i="1"/>
  <c r="ZQ19" i="1"/>
  <c r="ZN19" i="1"/>
  <c r="ZK19" i="1"/>
  <c r="ZG19" i="1"/>
  <c r="ZF19" i="1"/>
  <c r="ZH19" i="1" s="1"/>
  <c r="ZE19" i="1"/>
  <c r="ZB19" i="1"/>
  <c r="YY19" i="1"/>
  <c r="YV19" i="1"/>
  <c r="YR19" i="1"/>
  <c r="YQ19" i="1"/>
  <c r="YS19" i="1" s="1"/>
  <c r="YP19" i="1"/>
  <c r="YM19" i="1"/>
  <c r="YJ19" i="1"/>
  <c r="YG19" i="1"/>
  <c r="YC19" i="1"/>
  <c r="YB19" i="1"/>
  <c r="YD19" i="1" s="1"/>
  <c r="YA19" i="1"/>
  <c r="XX19" i="1"/>
  <c r="XU19" i="1"/>
  <c r="XR19" i="1"/>
  <c r="XN19" i="1"/>
  <c r="XM19" i="1"/>
  <c r="XO19" i="1" s="1"/>
  <c r="XL19" i="1"/>
  <c r="XI19" i="1"/>
  <c r="XF19" i="1"/>
  <c r="XC19" i="1"/>
  <c r="WY19" i="1"/>
  <c r="WX19" i="1"/>
  <c r="WZ19" i="1" s="1"/>
  <c r="WW19" i="1"/>
  <c r="WT19" i="1"/>
  <c r="WQ19" i="1"/>
  <c r="WN19" i="1"/>
  <c r="WJ19" i="1"/>
  <c r="WI19" i="1"/>
  <c r="WK19" i="1" s="1"/>
  <c r="WH19" i="1"/>
  <c r="WE19" i="1"/>
  <c r="WB19" i="1"/>
  <c r="VY19" i="1"/>
  <c r="VU19" i="1"/>
  <c r="VT19" i="1"/>
  <c r="VV19" i="1" s="1"/>
  <c r="VS19" i="1"/>
  <c r="VP19" i="1"/>
  <c r="VM19" i="1"/>
  <c r="VJ19" i="1"/>
  <c r="VF19" i="1"/>
  <c r="VE19" i="1"/>
  <c r="VG19" i="1" s="1"/>
  <c r="VD19" i="1"/>
  <c r="VA19" i="1"/>
  <c r="UX19" i="1"/>
  <c r="UU19" i="1"/>
  <c r="UQ19" i="1"/>
  <c r="UP19" i="1"/>
  <c r="UR19" i="1" s="1"/>
  <c r="UO19" i="1"/>
  <c r="UL19" i="1"/>
  <c r="UI19" i="1"/>
  <c r="UF19" i="1"/>
  <c r="UB19" i="1"/>
  <c r="UA19" i="1"/>
  <c r="UC19" i="1" s="1"/>
  <c r="TZ19" i="1"/>
  <c r="TW19" i="1"/>
  <c r="TT19" i="1"/>
  <c r="TQ19" i="1"/>
  <c r="TM19" i="1"/>
  <c r="TL19" i="1"/>
  <c r="TN19" i="1" s="1"/>
  <c r="TK19" i="1"/>
  <c r="TH19" i="1"/>
  <c r="TE19" i="1"/>
  <c r="TB19" i="1"/>
  <c r="SX19" i="1"/>
  <c r="SW19" i="1"/>
  <c r="SY19" i="1" s="1"/>
  <c r="SV19" i="1"/>
  <c r="SS19" i="1"/>
  <c r="SP19" i="1"/>
  <c r="SM19" i="1"/>
  <c r="SI19" i="1"/>
  <c r="SH19" i="1"/>
  <c r="SJ19" i="1" s="1"/>
  <c r="SG19" i="1"/>
  <c r="SD19" i="1"/>
  <c r="SA19" i="1"/>
  <c r="RX19" i="1"/>
  <c r="RT19" i="1"/>
  <c r="RS19" i="1"/>
  <c r="RU19" i="1" s="1"/>
  <c r="RR19" i="1"/>
  <c r="RO19" i="1"/>
  <c r="RL19" i="1"/>
  <c r="RI19" i="1"/>
  <c r="RE19" i="1"/>
  <c r="RD19" i="1"/>
  <c r="RF19" i="1" s="1"/>
  <c r="RC19" i="1"/>
  <c r="QZ19" i="1"/>
  <c r="QW19" i="1"/>
  <c r="QT19" i="1"/>
  <c r="QP19" i="1"/>
  <c r="QO19" i="1"/>
  <c r="QQ19" i="1" s="1"/>
  <c r="QN19" i="1"/>
  <c r="QK19" i="1"/>
  <c r="QH19" i="1"/>
  <c r="QE19" i="1"/>
  <c r="QA19" i="1"/>
  <c r="PZ19" i="1"/>
  <c r="QB19" i="1" s="1"/>
  <c r="PY19" i="1"/>
  <c r="PV19" i="1"/>
  <c r="PS19" i="1"/>
  <c r="PP19" i="1"/>
  <c r="PL19" i="1"/>
  <c r="PK19" i="1"/>
  <c r="PM19" i="1" s="1"/>
  <c r="PJ19" i="1"/>
  <c r="PG19" i="1"/>
  <c r="PD19" i="1"/>
  <c r="PA19" i="1"/>
  <c r="OW19" i="1"/>
  <c r="OV19" i="1"/>
  <c r="OX19" i="1" s="1"/>
  <c r="OU19" i="1"/>
  <c r="OR19" i="1"/>
  <c r="OO19" i="1"/>
  <c r="OL19" i="1"/>
  <c r="OH19" i="1"/>
  <c r="OG19" i="1"/>
  <c r="OI19" i="1" s="1"/>
  <c r="OF19" i="1"/>
  <c r="OC19" i="1"/>
  <c r="NZ19" i="1"/>
  <c r="NW19" i="1"/>
  <c r="NS19" i="1"/>
  <c r="NR19" i="1"/>
  <c r="NT19" i="1" s="1"/>
  <c r="NQ19" i="1"/>
  <c r="NN19" i="1"/>
  <c r="NK19" i="1"/>
  <c r="NH19" i="1"/>
  <c r="ND19" i="1"/>
  <c r="NC19" i="1"/>
  <c r="NE19" i="1" s="1"/>
  <c r="NB19" i="1"/>
  <c r="MY19" i="1"/>
  <c r="MV19" i="1"/>
  <c r="MS19" i="1"/>
  <c r="MO19" i="1"/>
  <c r="MN19" i="1"/>
  <c r="MP19" i="1" s="1"/>
  <c r="MM19" i="1"/>
  <c r="MJ19" i="1"/>
  <c r="MG19" i="1"/>
  <c r="MD19" i="1"/>
  <c r="LZ19" i="1"/>
  <c r="LY19" i="1"/>
  <c r="MA19" i="1" s="1"/>
  <c r="LX19" i="1"/>
  <c r="KV19" i="1"/>
  <c r="KU19" i="1"/>
  <c r="KW19" i="1" s="1"/>
  <c r="KT19" i="1"/>
  <c r="KG19" i="1"/>
  <c r="KF19" i="1"/>
  <c r="KH19" i="1" s="1"/>
  <c r="KE19" i="1"/>
  <c r="KB19" i="1"/>
  <c r="JY19" i="1"/>
  <c r="JV19" i="1"/>
  <c r="JR19" i="1"/>
  <c r="JQ19" i="1"/>
  <c r="JS19" i="1" s="1"/>
  <c r="JP19" i="1"/>
  <c r="JM19" i="1"/>
  <c r="JJ19" i="1"/>
  <c r="JG19" i="1"/>
  <c r="JC19" i="1"/>
  <c r="JB19" i="1"/>
  <c r="JD19" i="1" s="1"/>
  <c r="JA19" i="1"/>
  <c r="IX19" i="1"/>
  <c r="IU19" i="1"/>
  <c r="IR19" i="1"/>
  <c r="IN19" i="1"/>
  <c r="IM19" i="1"/>
  <c r="IO19" i="1" s="1"/>
  <c r="IL19" i="1"/>
  <c r="II19" i="1"/>
  <c r="IF19" i="1"/>
  <c r="IC19" i="1"/>
  <c r="HY19" i="1"/>
  <c r="HX19" i="1"/>
  <c r="HZ19" i="1" s="1"/>
  <c r="HW19" i="1"/>
  <c r="HT19" i="1"/>
  <c r="HQ19" i="1"/>
  <c r="HN19" i="1"/>
  <c r="HJ19" i="1"/>
  <c r="HI19" i="1"/>
  <c r="HK19" i="1" s="1"/>
  <c r="GU19" i="1"/>
  <c r="GT19" i="1"/>
  <c r="GV19" i="1" s="1"/>
  <c r="GS19" i="1"/>
  <c r="GP19" i="1"/>
  <c r="GM19" i="1"/>
  <c r="GJ19" i="1"/>
  <c r="GF19" i="1"/>
  <c r="GE19" i="1"/>
  <c r="GG19" i="1" s="1"/>
  <c r="GD19" i="1"/>
  <c r="GA19" i="1"/>
  <c r="FX19" i="1"/>
  <c r="FU19" i="1"/>
  <c r="FQ19" i="1"/>
  <c r="FP19" i="1"/>
  <c r="FR19" i="1" s="1"/>
  <c r="FO19" i="1"/>
  <c r="FL19" i="1"/>
  <c r="FI19" i="1"/>
  <c r="FF19" i="1"/>
  <c r="FB19" i="1"/>
  <c r="FA19" i="1"/>
  <c r="FC19" i="1" s="1"/>
  <c r="EZ19" i="1"/>
  <c r="EW19" i="1"/>
  <c r="ET19" i="1"/>
  <c r="EQ19" i="1"/>
  <c r="EM19" i="1"/>
  <c r="EL19" i="1"/>
  <c r="EN19" i="1" s="1"/>
  <c r="EK19" i="1"/>
  <c r="EH19" i="1"/>
  <c r="EE19" i="1"/>
  <c r="EB19" i="1"/>
  <c r="DX19" i="1"/>
  <c r="DW19" i="1"/>
  <c r="DY19" i="1" s="1"/>
  <c r="DI19" i="1"/>
  <c r="DH19" i="1"/>
  <c r="DJ19" i="1" s="1"/>
  <c r="CT19" i="1"/>
  <c r="CS19" i="1"/>
  <c r="CU19" i="1" s="1"/>
  <c r="CR19" i="1"/>
  <c r="CO19" i="1"/>
  <c r="CL19" i="1"/>
  <c r="CI19" i="1"/>
  <c r="CE19" i="1"/>
  <c r="CD19" i="1"/>
  <c r="CF19" i="1" s="1"/>
  <c r="CC19" i="1"/>
  <c r="BZ19" i="1"/>
  <c r="BW19" i="1"/>
  <c r="BT19" i="1"/>
  <c r="BP19" i="1"/>
  <c r="BO19" i="1"/>
  <c r="BQ19" i="1" s="1"/>
  <c r="BN19" i="1"/>
  <c r="BK19" i="1"/>
  <c r="BH19" i="1"/>
  <c r="BE19" i="1"/>
  <c r="BA19" i="1"/>
  <c r="AZ19" i="1"/>
  <c r="BB19" i="1" s="1"/>
  <c r="AY19" i="1"/>
  <c r="AV19" i="1"/>
  <c r="AS19" i="1"/>
  <c r="AP19" i="1"/>
  <c r="AL19" i="1"/>
  <c r="AK19" i="1"/>
  <c r="AM19" i="1" s="1"/>
  <c r="AJ19" i="1"/>
  <c r="AG19" i="1"/>
  <c r="AD19" i="1"/>
  <c r="AA19" i="1"/>
  <c r="W19" i="1"/>
  <c r="V19" i="1"/>
  <c r="X19" i="1" s="1"/>
  <c r="U19" i="1"/>
  <c r="R19" i="1"/>
  <c r="O19" i="1"/>
  <c r="L19" i="1"/>
  <c r="I19" i="1"/>
  <c r="AAB18" i="1"/>
  <c r="AAA18" i="1"/>
  <c r="AAC18" i="1" s="1"/>
  <c r="AAC30" i="1" s="1"/>
  <c r="ZZ18" i="1"/>
  <c r="ZZ30" i="1" s="1"/>
  <c r="ZV18" i="1"/>
  <c r="ZU18" i="1"/>
  <c r="ZT18" i="1"/>
  <c r="ZT30" i="1" s="1"/>
  <c r="ZQ18" i="1"/>
  <c r="ZQ30" i="1" s="1"/>
  <c r="ZN18" i="1"/>
  <c r="ZN30" i="1" s="1"/>
  <c r="ZK18" i="1"/>
  <c r="ZK30" i="1" s="1"/>
  <c r="ZG18" i="1"/>
  <c r="ZF18" i="1"/>
  <c r="ZH18" i="1" s="1"/>
  <c r="ZE18" i="1"/>
  <c r="ZB18" i="1"/>
  <c r="ZB30" i="1" s="1"/>
  <c r="YY18" i="1"/>
  <c r="YY30" i="1" s="1"/>
  <c r="YV18" i="1"/>
  <c r="YV30" i="1" s="1"/>
  <c r="YR18" i="1"/>
  <c r="YR30" i="1" s="1"/>
  <c r="YQ18" i="1"/>
  <c r="YS18" i="1" s="1"/>
  <c r="YS30" i="1" s="1"/>
  <c r="YP18" i="1"/>
  <c r="YP30" i="1" s="1"/>
  <c r="YM18" i="1"/>
  <c r="YM30" i="1" s="1"/>
  <c r="YJ18" i="1"/>
  <c r="YJ30" i="1" s="1"/>
  <c r="YG18" i="1"/>
  <c r="YG30" i="1" s="1"/>
  <c r="YC18" i="1"/>
  <c r="YB18" i="1"/>
  <c r="YD18" i="1" s="1"/>
  <c r="YA18" i="1"/>
  <c r="XX18" i="1"/>
  <c r="XX30" i="1" s="1"/>
  <c r="XU18" i="1"/>
  <c r="XU30" i="1" s="1"/>
  <c r="XR18" i="1"/>
  <c r="XR30" i="1" s="1"/>
  <c r="XN18" i="1"/>
  <c r="XN30" i="1" s="1"/>
  <c r="XM18" i="1"/>
  <c r="XO18" i="1" s="1"/>
  <c r="XO30" i="1" s="1"/>
  <c r="XL18" i="1"/>
  <c r="XL30" i="1" s="1"/>
  <c r="XI18" i="1"/>
  <c r="XI30" i="1" s="1"/>
  <c r="XF18" i="1"/>
  <c r="XF30" i="1" s="1"/>
  <c r="XC18" i="1"/>
  <c r="XC30" i="1" s="1"/>
  <c r="WY18" i="1"/>
  <c r="WX18" i="1"/>
  <c r="WZ18" i="1" s="1"/>
  <c r="WW18" i="1"/>
  <c r="WT18" i="1"/>
  <c r="WT30" i="1" s="1"/>
  <c r="WQ18" i="1"/>
  <c r="WQ30" i="1" s="1"/>
  <c r="WN18" i="1"/>
  <c r="WN30" i="1" s="1"/>
  <c r="WJ18" i="1"/>
  <c r="WI18" i="1"/>
  <c r="WK18" i="1" s="1"/>
  <c r="WH18" i="1"/>
  <c r="WH30" i="1" s="1"/>
  <c r="WE18" i="1"/>
  <c r="WE30" i="1" s="1"/>
  <c r="WB18" i="1"/>
  <c r="WB30" i="1" s="1"/>
  <c r="VY18" i="1"/>
  <c r="VU18" i="1"/>
  <c r="VU30" i="1" s="1"/>
  <c r="VT18" i="1"/>
  <c r="VV18" i="1" s="1"/>
  <c r="VV30" i="1" s="1"/>
  <c r="VS18" i="1"/>
  <c r="VS30" i="1" s="1"/>
  <c r="VP18" i="1"/>
  <c r="VP30" i="1" s="1"/>
  <c r="VM18" i="1"/>
  <c r="VM30" i="1" s="1"/>
  <c r="VJ18" i="1"/>
  <c r="VJ30" i="1" s="1"/>
  <c r="VF18" i="1"/>
  <c r="VF30" i="1" s="1"/>
  <c r="VE18" i="1"/>
  <c r="VG18" i="1" s="1"/>
  <c r="VG30" i="1" s="1"/>
  <c r="VD18" i="1"/>
  <c r="VD30" i="1" s="1"/>
  <c r="VA18" i="1"/>
  <c r="VA30" i="1" s="1"/>
  <c r="UX18" i="1"/>
  <c r="UX30" i="1" s="1"/>
  <c r="UU18" i="1"/>
  <c r="UU30" i="1" s="1"/>
  <c r="UQ18" i="1"/>
  <c r="UQ30" i="1" s="1"/>
  <c r="UP18" i="1"/>
  <c r="UR18" i="1" s="1"/>
  <c r="UR30" i="1" s="1"/>
  <c r="UO18" i="1"/>
  <c r="UO30" i="1" s="1"/>
  <c r="UL18" i="1"/>
  <c r="UL30" i="1" s="1"/>
  <c r="UI18" i="1"/>
  <c r="UI30" i="1" s="1"/>
  <c r="UF18" i="1"/>
  <c r="UF30" i="1" s="1"/>
  <c r="UB18" i="1"/>
  <c r="UA18" i="1"/>
  <c r="UC18" i="1" s="1"/>
  <c r="TZ18" i="1"/>
  <c r="TW18" i="1"/>
  <c r="TW30" i="1" s="1"/>
  <c r="TT18" i="1"/>
  <c r="TT30" i="1" s="1"/>
  <c r="TQ18" i="1"/>
  <c r="TQ30" i="1" s="1"/>
  <c r="TM18" i="1"/>
  <c r="TL18" i="1"/>
  <c r="TN18" i="1" s="1"/>
  <c r="TK18" i="1"/>
  <c r="TH18" i="1"/>
  <c r="TH30" i="1" s="1"/>
  <c r="TE18" i="1"/>
  <c r="TE30" i="1" s="1"/>
  <c r="TB18" i="1"/>
  <c r="SX18" i="1"/>
  <c r="SX30" i="1" s="1"/>
  <c r="SW18" i="1"/>
  <c r="SY18" i="1" s="1"/>
  <c r="SY30" i="1" s="1"/>
  <c r="SV18" i="1"/>
  <c r="SV30" i="1" s="1"/>
  <c r="SS18" i="1"/>
  <c r="SS30" i="1" s="1"/>
  <c r="SP18" i="1"/>
  <c r="SP30" i="1" s="1"/>
  <c r="SM18" i="1"/>
  <c r="SM30" i="1" s="1"/>
  <c r="SI18" i="1"/>
  <c r="SI30" i="1" s="1"/>
  <c r="SH18" i="1"/>
  <c r="SJ18" i="1" s="1"/>
  <c r="SJ30" i="1" s="1"/>
  <c r="SG18" i="1"/>
  <c r="SG30" i="1" s="1"/>
  <c r="SD18" i="1"/>
  <c r="SD30" i="1" s="1"/>
  <c r="SA18" i="1"/>
  <c r="SA30" i="1" s="1"/>
  <c r="RX18" i="1"/>
  <c r="RX30" i="1" s="1"/>
  <c r="RT18" i="1"/>
  <c r="RT30" i="1" s="1"/>
  <c r="RS18" i="1"/>
  <c r="RU18" i="1" s="1"/>
  <c r="RU30" i="1" s="1"/>
  <c r="RR18" i="1"/>
  <c r="RR30" i="1" s="1"/>
  <c r="RO18" i="1"/>
  <c r="RO30" i="1" s="1"/>
  <c r="RL18" i="1"/>
  <c r="RL30" i="1" s="1"/>
  <c r="RI18" i="1"/>
  <c r="RI30" i="1" s="1"/>
  <c r="RE18" i="1"/>
  <c r="RE30" i="1" s="1"/>
  <c r="RD18" i="1"/>
  <c r="RF18" i="1" s="1"/>
  <c r="RF30" i="1" s="1"/>
  <c r="RC18" i="1"/>
  <c r="RC30" i="1" s="1"/>
  <c r="QZ18" i="1"/>
  <c r="QZ30" i="1" s="1"/>
  <c r="QW18" i="1"/>
  <c r="QW30" i="1" s="1"/>
  <c r="QT18" i="1"/>
  <c r="QT30" i="1" s="1"/>
  <c r="QP18" i="1"/>
  <c r="QP30" i="1" s="1"/>
  <c r="QO18" i="1"/>
  <c r="QQ18" i="1" s="1"/>
  <c r="QQ30" i="1" s="1"/>
  <c r="QN18" i="1"/>
  <c r="QN30" i="1" s="1"/>
  <c r="QK18" i="1"/>
  <c r="QK30" i="1" s="1"/>
  <c r="QH18" i="1"/>
  <c r="QH30" i="1" s="1"/>
  <c r="QE18" i="1"/>
  <c r="QE30" i="1" s="1"/>
  <c r="QA18" i="1"/>
  <c r="PZ18" i="1"/>
  <c r="QB18" i="1" s="1"/>
  <c r="PY18" i="1"/>
  <c r="PV18" i="1"/>
  <c r="PV30" i="1" s="1"/>
  <c r="PS18" i="1"/>
  <c r="PS30" i="1" s="1"/>
  <c r="PP18" i="1"/>
  <c r="PP30" i="1" s="1"/>
  <c r="PL18" i="1"/>
  <c r="PL30" i="1" s="1"/>
  <c r="PK18" i="1"/>
  <c r="PM18" i="1" s="1"/>
  <c r="PM30" i="1" s="1"/>
  <c r="PJ18" i="1"/>
  <c r="PJ30" i="1" s="1"/>
  <c r="PG18" i="1"/>
  <c r="PG30" i="1" s="1"/>
  <c r="PD18" i="1"/>
  <c r="PD30" i="1" s="1"/>
  <c r="PA18" i="1"/>
  <c r="PA30" i="1" s="1"/>
  <c r="OW18" i="1"/>
  <c r="OV18" i="1"/>
  <c r="OX18" i="1" s="1"/>
  <c r="OU18" i="1"/>
  <c r="OR18" i="1"/>
  <c r="OR30" i="1" s="1"/>
  <c r="OO18" i="1"/>
  <c r="OO30" i="1" s="1"/>
  <c r="OL18" i="1"/>
  <c r="OL30" i="1" s="1"/>
  <c r="OH18" i="1"/>
  <c r="OG18" i="1"/>
  <c r="OI18" i="1" s="1"/>
  <c r="OF18" i="1"/>
  <c r="OC18" i="1"/>
  <c r="OC30" i="1" s="1"/>
  <c r="NZ18" i="1"/>
  <c r="NZ30" i="1" s="1"/>
  <c r="NW18" i="1"/>
  <c r="NW30" i="1" s="1"/>
  <c r="NS18" i="1"/>
  <c r="NS30" i="1" s="1"/>
  <c r="NR18" i="1"/>
  <c r="NT18" i="1" s="1"/>
  <c r="NT30" i="1" s="1"/>
  <c r="NQ18" i="1"/>
  <c r="NQ30" i="1" s="1"/>
  <c r="NN18" i="1"/>
  <c r="NN30" i="1" s="1"/>
  <c r="NK18" i="1"/>
  <c r="NK30" i="1" s="1"/>
  <c r="NH18" i="1"/>
  <c r="NH30" i="1" s="1"/>
  <c r="ND18" i="1"/>
  <c r="ND30" i="1" s="1"/>
  <c r="NC18" i="1"/>
  <c r="NE18" i="1" s="1"/>
  <c r="NE30" i="1" s="1"/>
  <c r="NB18" i="1"/>
  <c r="NB30" i="1" s="1"/>
  <c r="MY18" i="1"/>
  <c r="MY30" i="1" s="1"/>
  <c r="MV18" i="1"/>
  <c r="MV30" i="1" s="1"/>
  <c r="MS18" i="1"/>
  <c r="MS30" i="1" s="1"/>
  <c r="MO18" i="1"/>
  <c r="MN18" i="1"/>
  <c r="MP18" i="1" s="1"/>
  <c r="MM18" i="1"/>
  <c r="MM30" i="1" s="1"/>
  <c r="MJ18" i="1"/>
  <c r="MJ30" i="1" s="1"/>
  <c r="MG18" i="1"/>
  <c r="MD18" i="1"/>
  <c r="MD30" i="1" s="1"/>
  <c r="LZ18" i="1"/>
  <c r="LZ30" i="1" s="1"/>
  <c r="LY18" i="1"/>
  <c r="MA18" i="1" s="1"/>
  <c r="MA30" i="1" s="1"/>
  <c r="LX18" i="1"/>
  <c r="LX30" i="1" s="1"/>
  <c r="KV18" i="1"/>
  <c r="KV30" i="1" s="1"/>
  <c r="KU18" i="1"/>
  <c r="KW18" i="1" s="1"/>
  <c r="KW30" i="1" s="1"/>
  <c r="KT18" i="1"/>
  <c r="KT30" i="1" s="1"/>
  <c r="KG18" i="1"/>
  <c r="KF18" i="1"/>
  <c r="KH18" i="1" s="1"/>
  <c r="KE18" i="1"/>
  <c r="KB18" i="1"/>
  <c r="KB30" i="1" s="1"/>
  <c r="JY18" i="1"/>
  <c r="JY30" i="1" s="1"/>
  <c r="JV18" i="1"/>
  <c r="JV30" i="1" s="1"/>
  <c r="JR18" i="1"/>
  <c r="JQ18" i="1"/>
  <c r="JS18" i="1" s="1"/>
  <c r="JP18" i="1"/>
  <c r="JM18" i="1"/>
  <c r="JM30" i="1" s="1"/>
  <c r="JJ18" i="1"/>
  <c r="JJ30" i="1" s="1"/>
  <c r="JG18" i="1"/>
  <c r="JG30" i="1" s="1"/>
  <c r="JC18" i="1"/>
  <c r="JC30" i="1" s="1"/>
  <c r="JB18" i="1"/>
  <c r="JD18" i="1" s="1"/>
  <c r="JD30" i="1" s="1"/>
  <c r="JA18" i="1"/>
  <c r="JA30" i="1" s="1"/>
  <c r="IX18" i="1"/>
  <c r="IX30" i="1" s="1"/>
  <c r="IU18" i="1"/>
  <c r="IU30" i="1" s="1"/>
  <c r="IR18" i="1"/>
  <c r="IR30" i="1" s="1"/>
  <c r="IN18" i="1"/>
  <c r="IN30" i="1" s="1"/>
  <c r="IM18" i="1"/>
  <c r="IO18" i="1" s="1"/>
  <c r="IO30" i="1" s="1"/>
  <c r="IL18" i="1"/>
  <c r="IL30" i="1" s="1"/>
  <c r="II18" i="1"/>
  <c r="II30" i="1" s="1"/>
  <c r="IF18" i="1"/>
  <c r="IF30" i="1" s="1"/>
  <c r="IC18" i="1"/>
  <c r="IC30" i="1" s="1"/>
  <c r="HY18" i="1"/>
  <c r="HY30" i="1" s="1"/>
  <c r="HX18" i="1"/>
  <c r="HZ18" i="1" s="1"/>
  <c r="HZ30" i="1" s="1"/>
  <c r="HW18" i="1"/>
  <c r="HW30" i="1" s="1"/>
  <c r="HT18" i="1"/>
  <c r="HT30" i="1" s="1"/>
  <c r="HQ18" i="1"/>
  <c r="HQ30" i="1" s="1"/>
  <c r="HN18" i="1"/>
  <c r="HN30" i="1" s="1"/>
  <c r="HJ18" i="1"/>
  <c r="HJ30" i="1" s="1"/>
  <c r="HI18" i="1"/>
  <c r="HK18" i="1" s="1"/>
  <c r="HK30" i="1" s="1"/>
  <c r="GU18" i="1"/>
  <c r="GU30" i="1" s="1"/>
  <c r="GT18" i="1"/>
  <c r="GV18" i="1" s="1"/>
  <c r="GV30" i="1" s="1"/>
  <c r="GS18" i="1"/>
  <c r="GS30" i="1" s="1"/>
  <c r="GP18" i="1"/>
  <c r="GP30" i="1" s="1"/>
  <c r="GM18" i="1"/>
  <c r="GM30" i="1" s="1"/>
  <c r="GJ18" i="1"/>
  <c r="GJ30" i="1" s="1"/>
  <c r="GF18" i="1"/>
  <c r="GF30" i="1" s="1"/>
  <c r="GE18" i="1"/>
  <c r="GG18" i="1" s="1"/>
  <c r="GG30" i="1" s="1"/>
  <c r="GD18" i="1"/>
  <c r="GD30" i="1" s="1"/>
  <c r="GA18" i="1"/>
  <c r="GA30" i="1" s="1"/>
  <c r="FX18" i="1"/>
  <c r="FX30" i="1" s="1"/>
  <c r="FU18" i="1"/>
  <c r="FU30" i="1" s="1"/>
  <c r="FQ18" i="1"/>
  <c r="FQ30" i="1" s="1"/>
  <c r="FP18" i="1"/>
  <c r="FR18" i="1" s="1"/>
  <c r="FR30" i="1" s="1"/>
  <c r="FO18" i="1"/>
  <c r="FO30" i="1" s="1"/>
  <c r="FL18" i="1"/>
  <c r="FL30" i="1" s="1"/>
  <c r="FI18" i="1"/>
  <c r="FI30" i="1" s="1"/>
  <c r="FF18" i="1"/>
  <c r="FF30" i="1" s="1"/>
  <c r="FB18" i="1"/>
  <c r="FB30" i="1" s="1"/>
  <c r="FA18" i="1"/>
  <c r="FC18" i="1" s="1"/>
  <c r="FC30" i="1" s="1"/>
  <c r="EZ18" i="1"/>
  <c r="EZ30" i="1" s="1"/>
  <c r="EW18" i="1"/>
  <c r="EW30" i="1" s="1"/>
  <c r="ET18" i="1"/>
  <c r="ET30" i="1" s="1"/>
  <c r="EQ18" i="1"/>
  <c r="EQ30" i="1" s="1"/>
  <c r="EM18" i="1"/>
  <c r="EM30" i="1" s="1"/>
  <c r="EL18" i="1"/>
  <c r="EN18" i="1" s="1"/>
  <c r="EN30" i="1" s="1"/>
  <c r="EK18" i="1"/>
  <c r="EK30" i="1" s="1"/>
  <c r="EH18" i="1"/>
  <c r="EH30" i="1" s="1"/>
  <c r="EE18" i="1"/>
  <c r="EE30" i="1" s="1"/>
  <c r="EB18" i="1"/>
  <c r="EB30" i="1" s="1"/>
  <c r="DX18" i="1"/>
  <c r="DX30" i="1" s="1"/>
  <c r="DW18" i="1"/>
  <c r="DY18" i="1" s="1"/>
  <c r="DY30" i="1" s="1"/>
  <c r="DI18" i="1"/>
  <c r="DI30" i="1" s="1"/>
  <c r="DH18" i="1"/>
  <c r="DJ18" i="1" s="1"/>
  <c r="DJ30" i="1" s="1"/>
  <c r="CT18" i="1"/>
  <c r="CT30" i="1" s="1"/>
  <c r="CS18" i="1"/>
  <c r="CU18" i="1" s="1"/>
  <c r="CR18" i="1"/>
  <c r="CR30" i="1" s="1"/>
  <c r="CO18" i="1"/>
  <c r="CL18" i="1"/>
  <c r="CL30" i="1" s="1"/>
  <c r="CI18" i="1"/>
  <c r="CI30" i="1" s="1"/>
  <c r="CE18" i="1"/>
  <c r="CD18" i="1"/>
  <c r="CF18" i="1" s="1"/>
  <c r="CC18" i="1"/>
  <c r="CC30" i="1" s="1"/>
  <c r="BZ18" i="1"/>
  <c r="BZ30" i="1" s="1"/>
  <c r="BW18" i="1"/>
  <c r="BW30" i="1" s="1"/>
  <c r="BT18" i="1"/>
  <c r="BP18" i="1"/>
  <c r="BO18" i="1"/>
  <c r="BQ18" i="1" s="1"/>
  <c r="BN18" i="1"/>
  <c r="BK18" i="1"/>
  <c r="BK30" i="1" s="1"/>
  <c r="BH18" i="1"/>
  <c r="BH30" i="1" s="1"/>
  <c r="BE18" i="1"/>
  <c r="BE30" i="1" s="1"/>
  <c r="BA18" i="1"/>
  <c r="BA30" i="1" s="1"/>
  <c r="AZ18" i="1"/>
  <c r="BB18" i="1" s="1"/>
  <c r="BB30" i="1" s="1"/>
  <c r="AY18" i="1"/>
  <c r="AY30" i="1" s="1"/>
  <c r="AV18" i="1"/>
  <c r="AV30" i="1" s="1"/>
  <c r="AS18" i="1"/>
  <c r="AS30" i="1" s="1"/>
  <c r="AP18" i="1"/>
  <c r="AP30" i="1" s="1"/>
  <c r="AL18" i="1"/>
  <c r="AL30" i="1" s="1"/>
  <c r="AK18" i="1"/>
  <c r="AM18" i="1" s="1"/>
  <c r="AJ18" i="1"/>
  <c r="AJ30" i="1" s="1"/>
  <c r="AG18" i="1"/>
  <c r="AG30" i="1" s="1"/>
  <c r="AD18" i="1"/>
  <c r="AD30" i="1" s="1"/>
  <c r="AA18" i="1"/>
  <c r="W18" i="1"/>
  <c r="V18" i="1"/>
  <c r="U18" i="1"/>
  <c r="R18" i="1"/>
  <c r="R30" i="1" s="1"/>
  <c r="O18" i="1"/>
  <c r="L18" i="1"/>
  <c r="L30" i="1" s="1"/>
  <c r="I18" i="1"/>
  <c r="ZY17" i="1"/>
  <c r="AAB17" i="1" s="1"/>
  <c r="ZX17" i="1"/>
  <c r="AAA17" i="1" s="1"/>
  <c r="ZS17" i="1"/>
  <c r="ZR17" i="1"/>
  <c r="ZP17" i="1"/>
  <c r="ZO17" i="1"/>
  <c r="ZM17" i="1"/>
  <c r="ZL17" i="1"/>
  <c r="ZJ17" i="1"/>
  <c r="ZI17" i="1"/>
  <c r="ZU17" i="1" s="1"/>
  <c r="ZD17" i="1"/>
  <c r="ZC17" i="1"/>
  <c r="ZA17" i="1"/>
  <c r="YZ17" i="1"/>
  <c r="YX17" i="1"/>
  <c r="YW17" i="1"/>
  <c r="YU17" i="1"/>
  <c r="YT17" i="1"/>
  <c r="ZF17" i="1" s="1"/>
  <c r="YO17" i="1"/>
  <c r="YN17" i="1"/>
  <c r="YL17" i="1"/>
  <c r="YK17" i="1"/>
  <c r="YI17" i="1"/>
  <c r="YH17" i="1"/>
  <c r="YF17" i="1"/>
  <c r="YE17" i="1"/>
  <c r="YQ17" i="1" s="1"/>
  <c r="XZ17" i="1"/>
  <c r="XY17" i="1"/>
  <c r="XW17" i="1"/>
  <c r="XV17" i="1"/>
  <c r="XT17" i="1"/>
  <c r="XS17" i="1"/>
  <c r="XQ17" i="1"/>
  <c r="XP17" i="1"/>
  <c r="YB17" i="1" s="1"/>
  <c r="XK17" i="1"/>
  <c r="XJ17" i="1"/>
  <c r="XH17" i="1"/>
  <c r="XG17" i="1"/>
  <c r="XE17" i="1"/>
  <c r="XD17" i="1"/>
  <c r="XB17" i="1"/>
  <c r="XA17" i="1"/>
  <c r="XM17" i="1" s="1"/>
  <c r="WV17" i="1"/>
  <c r="WU17" i="1"/>
  <c r="WS17" i="1"/>
  <c r="WR17" i="1"/>
  <c r="WP17" i="1"/>
  <c r="WO17" i="1"/>
  <c r="WM17" i="1"/>
  <c r="WL17" i="1"/>
  <c r="WX17" i="1" s="1"/>
  <c r="WG17" i="1"/>
  <c r="WF17" i="1"/>
  <c r="WD17" i="1"/>
  <c r="WC17" i="1"/>
  <c r="WA17" i="1"/>
  <c r="VZ17" i="1"/>
  <c r="VX17" i="1"/>
  <c r="VW17" i="1"/>
  <c r="WI17" i="1" s="1"/>
  <c r="VR17" i="1"/>
  <c r="VQ17" i="1"/>
  <c r="VO17" i="1"/>
  <c r="VN17" i="1"/>
  <c r="VL17" i="1"/>
  <c r="VK17" i="1"/>
  <c r="VI17" i="1"/>
  <c r="VH17" i="1"/>
  <c r="VT17" i="1" s="1"/>
  <c r="VC17" i="1"/>
  <c r="VB17" i="1"/>
  <c r="UZ17" i="1"/>
  <c r="UY17" i="1"/>
  <c r="UW17" i="1"/>
  <c r="UV17" i="1"/>
  <c r="UT17" i="1"/>
  <c r="US17" i="1"/>
  <c r="VE17" i="1" s="1"/>
  <c r="UN17" i="1"/>
  <c r="UM17" i="1"/>
  <c r="UL17" i="1"/>
  <c r="UK17" i="1"/>
  <c r="UJ17" i="1"/>
  <c r="UI17" i="1"/>
  <c r="UH17" i="1"/>
  <c r="UG17" i="1"/>
  <c r="UF17" i="1"/>
  <c r="UE17" i="1"/>
  <c r="UD17" i="1"/>
  <c r="UP17" i="1" s="1"/>
  <c r="TY17" i="1"/>
  <c r="TX17" i="1"/>
  <c r="TV17" i="1"/>
  <c r="TU17" i="1"/>
  <c r="TS17" i="1"/>
  <c r="TR17" i="1"/>
  <c r="TP17" i="1"/>
  <c r="TO17" i="1"/>
  <c r="UA17" i="1" s="1"/>
  <c r="TJ17" i="1"/>
  <c r="TI17" i="1"/>
  <c r="TG17" i="1"/>
  <c r="TF17" i="1"/>
  <c r="TD17" i="1"/>
  <c r="TC17" i="1"/>
  <c r="TA17" i="1"/>
  <c r="SZ17" i="1"/>
  <c r="TL17" i="1" s="1"/>
  <c r="SU17" i="1"/>
  <c r="ST17" i="1"/>
  <c r="SR17" i="1"/>
  <c r="SQ17" i="1"/>
  <c r="SO17" i="1"/>
  <c r="SN17" i="1"/>
  <c r="SL17" i="1"/>
  <c r="SK17" i="1"/>
  <c r="SW17" i="1" s="1"/>
  <c r="SF17" i="1"/>
  <c r="SE17" i="1"/>
  <c r="SC17" i="1"/>
  <c r="SB17" i="1"/>
  <c r="RZ17" i="1"/>
  <c r="RY17" i="1"/>
  <c r="RW17" i="1"/>
  <c r="RV17" i="1"/>
  <c r="SH17" i="1" s="1"/>
  <c r="RQ17" i="1"/>
  <c r="RP17" i="1"/>
  <c r="RN17" i="1"/>
  <c r="RM17" i="1"/>
  <c r="RK17" i="1"/>
  <c r="RJ17" i="1"/>
  <c r="RH17" i="1"/>
  <c r="RG17" i="1"/>
  <c r="RS17" i="1" s="1"/>
  <c r="RB17" i="1"/>
  <c r="RA17" i="1"/>
  <c r="QY17" i="1"/>
  <c r="QX17" i="1"/>
  <c r="QV17" i="1"/>
  <c r="QU17" i="1"/>
  <c r="QS17" i="1"/>
  <c r="QR17" i="1"/>
  <c r="RD17" i="1" s="1"/>
  <c r="QM17" i="1"/>
  <c r="QL17" i="1"/>
  <c r="QJ17" i="1"/>
  <c r="QI17" i="1"/>
  <c r="QG17" i="1"/>
  <c r="QF17" i="1"/>
  <c r="QD17" i="1"/>
  <c r="QC17" i="1"/>
  <c r="QO17" i="1" s="1"/>
  <c r="PX17" i="1"/>
  <c r="PW17" i="1"/>
  <c r="PU17" i="1"/>
  <c r="PT17" i="1"/>
  <c r="PR17" i="1"/>
  <c r="PQ17" i="1"/>
  <c r="PO17" i="1"/>
  <c r="PN17" i="1"/>
  <c r="PZ17" i="1" s="1"/>
  <c r="PI17" i="1"/>
  <c r="PH17" i="1"/>
  <c r="PF17" i="1"/>
  <c r="PE17" i="1"/>
  <c r="PC17" i="1"/>
  <c r="PB17" i="1"/>
  <c r="OZ17" i="1"/>
  <c r="OY17" i="1"/>
  <c r="PK17" i="1" s="1"/>
  <c r="OT17" i="1"/>
  <c r="OS17" i="1"/>
  <c r="OQ17" i="1"/>
  <c r="OP17" i="1"/>
  <c r="ON17" i="1"/>
  <c r="OM17" i="1"/>
  <c r="OK17" i="1"/>
  <c r="OJ17" i="1"/>
  <c r="OV17" i="1" s="1"/>
  <c r="OE17" i="1"/>
  <c r="OD17" i="1"/>
  <c r="OB17" i="1"/>
  <c r="OA17" i="1"/>
  <c r="NY17" i="1"/>
  <c r="NX17" i="1"/>
  <c r="NV17" i="1"/>
  <c r="NU17" i="1"/>
  <c r="OG17" i="1" s="1"/>
  <c r="NP17" i="1"/>
  <c r="NO17" i="1"/>
  <c r="NM17" i="1"/>
  <c r="NL17" i="1"/>
  <c r="NJ17" i="1"/>
  <c r="NI17" i="1"/>
  <c r="NG17" i="1"/>
  <c r="NF17" i="1"/>
  <c r="NR17" i="1" s="1"/>
  <c r="NA17" i="1"/>
  <c r="MZ17" i="1"/>
  <c r="MX17" i="1"/>
  <c r="MW17" i="1"/>
  <c r="MU17" i="1"/>
  <c r="MT17" i="1"/>
  <c r="MR17" i="1"/>
  <c r="MQ17" i="1"/>
  <c r="NC17" i="1" s="1"/>
  <c r="ML17" i="1"/>
  <c r="MK17" i="1"/>
  <c r="MH17" i="1"/>
  <c r="MF17" i="1"/>
  <c r="ME17" i="1"/>
  <c r="MC17" i="1"/>
  <c r="MB17" i="1"/>
  <c r="MN17" i="1" s="1"/>
  <c r="LW17" i="1"/>
  <c r="LV17" i="1"/>
  <c r="LU17" i="1"/>
  <c r="LT17" i="1"/>
  <c r="LS17" i="1"/>
  <c r="LR17" i="1"/>
  <c r="LQ17" i="1"/>
  <c r="LP17" i="1"/>
  <c r="LO17" i="1"/>
  <c r="LN17" i="1"/>
  <c r="LM17" i="1"/>
  <c r="LY17" i="1" s="1"/>
  <c r="KS17" i="1"/>
  <c r="KR17" i="1"/>
  <c r="KQ17" i="1"/>
  <c r="KP17" i="1"/>
  <c r="KO17" i="1"/>
  <c r="KN17" i="1"/>
  <c r="KM17" i="1"/>
  <c r="KL17" i="1"/>
  <c r="KK17" i="1"/>
  <c r="KJ17" i="1"/>
  <c r="KI17" i="1"/>
  <c r="KU17" i="1" s="1"/>
  <c r="KD17" i="1"/>
  <c r="KC17" i="1"/>
  <c r="KA17" i="1"/>
  <c r="JZ17" i="1"/>
  <c r="JX17" i="1"/>
  <c r="JW17" i="1"/>
  <c r="JU17" i="1"/>
  <c r="JT17" i="1"/>
  <c r="KF17" i="1" s="1"/>
  <c r="JO17" i="1"/>
  <c r="JN17" i="1"/>
  <c r="JL17" i="1"/>
  <c r="JK17" i="1"/>
  <c r="JI17" i="1"/>
  <c r="JH17" i="1"/>
  <c r="JF17" i="1"/>
  <c r="JE17" i="1"/>
  <c r="JQ17" i="1" s="1"/>
  <c r="IZ17" i="1"/>
  <c r="IY17" i="1"/>
  <c r="IW17" i="1"/>
  <c r="IV17" i="1"/>
  <c r="IT17" i="1"/>
  <c r="IS17" i="1"/>
  <c r="IQ17" i="1"/>
  <c r="IP17" i="1"/>
  <c r="JB17" i="1" s="1"/>
  <c r="IK17" i="1"/>
  <c r="IJ17" i="1"/>
  <c r="IH17" i="1"/>
  <c r="IG17" i="1"/>
  <c r="IE17" i="1"/>
  <c r="ID17" i="1"/>
  <c r="IB17" i="1"/>
  <c r="IA17" i="1"/>
  <c r="IM17" i="1" s="1"/>
  <c r="HV17" i="1"/>
  <c r="HU17" i="1"/>
  <c r="HS17" i="1"/>
  <c r="HR17" i="1"/>
  <c r="HP17" i="1"/>
  <c r="HO17" i="1"/>
  <c r="HM17" i="1"/>
  <c r="HL17" i="1"/>
  <c r="HX17" i="1" s="1"/>
  <c r="HH17" i="1"/>
  <c r="HG17" i="1"/>
  <c r="HF17" i="1"/>
  <c r="HE17" i="1"/>
  <c r="HD17" i="1"/>
  <c r="HC17" i="1"/>
  <c r="HB17" i="1"/>
  <c r="HA17" i="1"/>
  <c r="GZ17" i="1"/>
  <c r="GY17" i="1"/>
  <c r="GX17" i="1"/>
  <c r="GW17" i="1"/>
  <c r="HI17" i="1" s="1"/>
  <c r="GR17" i="1"/>
  <c r="GQ17" i="1"/>
  <c r="GO17" i="1"/>
  <c r="GN17" i="1"/>
  <c r="GL17" i="1"/>
  <c r="GK17" i="1"/>
  <c r="GI17" i="1"/>
  <c r="GH17" i="1"/>
  <c r="GT17" i="1" s="1"/>
  <c r="GC17" i="1"/>
  <c r="GB17" i="1"/>
  <c r="FZ17" i="1"/>
  <c r="FY17" i="1"/>
  <c r="FW17" i="1"/>
  <c r="FV17" i="1"/>
  <c r="FT17" i="1"/>
  <c r="FS17" i="1"/>
  <c r="GE17" i="1" s="1"/>
  <c r="FN17" i="1"/>
  <c r="FM17" i="1"/>
  <c r="FK17" i="1"/>
  <c r="FJ17" i="1"/>
  <c r="FH17" i="1"/>
  <c r="FG17" i="1"/>
  <c r="FE17" i="1"/>
  <c r="FD17" i="1"/>
  <c r="FP17" i="1" s="1"/>
  <c r="EY17" i="1"/>
  <c r="EX17" i="1"/>
  <c r="EV17" i="1"/>
  <c r="EU17" i="1"/>
  <c r="ES17" i="1"/>
  <c r="ER17" i="1"/>
  <c r="EP17" i="1"/>
  <c r="EO17" i="1"/>
  <c r="FA17" i="1" s="1"/>
  <c r="EJ17" i="1"/>
  <c r="EI17" i="1"/>
  <c r="EG17" i="1"/>
  <c r="EF17" i="1"/>
  <c r="ED17" i="1"/>
  <c r="EC17" i="1"/>
  <c r="EA17" i="1"/>
  <c r="DZ17" i="1"/>
  <c r="EL17" i="1" s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W17" i="1" s="1"/>
  <c r="DG17" i="1"/>
  <c r="DF17" i="1"/>
  <c r="DE17" i="1"/>
  <c r="DD17" i="1"/>
  <c r="DC17" i="1"/>
  <c r="DB17" i="1"/>
  <c r="DA17" i="1"/>
  <c r="CZ17" i="1"/>
  <c r="CY17" i="1"/>
  <c r="CX17" i="1"/>
  <c r="CW17" i="1"/>
  <c r="CV17" i="1"/>
  <c r="DH17" i="1" s="1"/>
  <c r="CQ17" i="1"/>
  <c r="CP17" i="1"/>
  <c r="CN17" i="1"/>
  <c r="CK17" i="1"/>
  <c r="CJ17" i="1"/>
  <c r="CH17" i="1"/>
  <c r="CG17" i="1"/>
  <c r="CB17" i="1"/>
  <c r="CA17" i="1"/>
  <c r="BY17" i="1"/>
  <c r="BX17" i="1"/>
  <c r="BV17" i="1"/>
  <c r="BU17" i="1"/>
  <c r="BS17" i="1"/>
  <c r="BR17" i="1"/>
  <c r="CD17" i="1" s="1"/>
  <c r="BM17" i="1"/>
  <c r="BL17" i="1"/>
  <c r="BJ17" i="1"/>
  <c r="BI17" i="1"/>
  <c r="BG17" i="1"/>
  <c r="BF17" i="1"/>
  <c r="BD17" i="1"/>
  <c r="BC17" i="1"/>
  <c r="BO17" i="1" s="1"/>
  <c r="AX17" i="1"/>
  <c r="AW17" i="1"/>
  <c r="AU17" i="1"/>
  <c r="AT17" i="1"/>
  <c r="AR17" i="1"/>
  <c r="AQ17" i="1"/>
  <c r="AO17" i="1"/>
  <c r="AN17" i="1"/>
  <c r="AZ17" i="1" s="1"/>
  <c r="AI17" i="1"/>
  <c r="AH17" i="1"/>
  <c r="AF17" i="1"/>
  <c r="AE17" i="1"/>
  <c r="AC17" i="1"/>
  <c r="AB17" i="1"/>
  <c r="Z17" i="1"/>
  <c r="Y17" i="1"/>
  <c r="AK17" i="1" s="1"/>
  <c r="T17" i="1"/>
  <c r="S17" i="1"/>
  <c r="Q17" i="1"/>
  <c r="P17" i="1"/>
  <c r="N17" i="1"/>
  <c r="M17" i="1"/>
  <c r="K17" i="1"/>
  <c r="J17" i="1"/>
  <c r="H17" i="1"/>
  <c r="G17" i="1"/>
  <c r="AAB16" i="1"/>
  <c r="AAA16" i="1"/>
  <c r="AAC16" i="1" s="1"/>
  <c r="ZZ16" i="1"/>
  <c r="ZV16" i="1"/>
  <c r="AAE16" i="1" s="1"/>
  <c r="ZU16" i="1"/>
  <c r="ZT16" i="1"/>
  <c r="ZQ16" i="1"/>
  <c r="ZN16" i="1"/>
  <c r="ZK16" i="1"/>
  <c r="ZG16" i="1"/>
  <c r="ZF16" i="1"/>
  <c r="ZH16" i="1" s="1"/>
  <c r="ZE16" i="1"/>
  <c r="ZB16" i="1"/>
  <c r="YY16" i="1"/>
  <c r="YV16" i="1"/>
  <c r="YR16" i="1"/>
  <c r="YQ16" i="1"/>
  <c r="YS16" i="1" s="1"/>
  <c r="YP16" i="1"/>
  <c r="YM16" i="1"/>
  <c r="YJ16" i="1"/>
  <c r="YG16" i="1"/>
  <c r="YC16" i="1"/>
  <c r="YB16" i="1"/>
  <c r="YD16" i="1" s="1"/>
  <c r="YA16" i="1"/>
  <c r="XX16" i="1"/>
  <c r="XU16" i="1"/>
  <c r="XR16" i="1"/>
  <c r="XN16" i="1"/>
  <c r="XM16" i="1"/>
  <c r="XO16" i="1" s="1"/>
  <c r="XL16" i="1"/>
  <c r="XI16" i="1"/>
  <c r="XF16" i="1"/>
  <c r="XC16" i="1"/>
  <c r="WY16" i="1"/>
  <c r="WX16" i="1"/>
  <c r="WZ16" i="1" s="1"/>
  <c r="WW16" i="1"/>
  <c r="WT16" i="1"/>
  <c r="WQ16" i="1"/>
  <c r="WN16" i="1"/>
  <c r="WJ16" i="1"/>
  <c r="WI16" i="1"/>
  <c r="WK16" i="1" s="1"/>
  <c r="WH16" i="1"/>
  <c r="WE16" i="1"/>
  <c r="WB16" i="1"/>
  <c r="VY16" i="1"/>
  <c r="VU16" i="1"/>
  <c r="VT16" i="1"/>
  <c r="VV16" i="1" s="1"/>
  <c r="VS16" i="1"/>
  <c r="VP16" i="1"/>
  <c r="VM16" i="1"/>
  <c r="VJ16" i="1"/>
  <c r="VF16" i="1"/>
  <c r="VE16" i="1"/>
  <c r="VG16" i="1" s="1"/>
  <c r="VD16" i="1"/>
  <c r="VA16" i="1"/>
  <c r="UX16" i="1"/>
  <c r="UU16" i="1"/>
  <c r="UQ16" i="1"/>
  <c r="UP16" i="1"/>
  <c r="UR16" i="1" s="1"/>
  <c r="UO16" i="1"/>
  <c r="UB16" i="1"/>
  <c r="UA16" i="1"/>
  <c r="UC16" i="1" s="1"/>
  <c r="TZ16" i="1"/>
  <c r="TW16" i="1"/>
  <c r="TT16" i="1"/>
  <c r="TQ16" i="1"/>
  <c r="TM16" i="1"/>
  <c r="TL16" i="1"/>
  <c r="TN16" i="1" s="1"/>
  <c r="TK16" i="1"/>
  <c r="TH16" i="1"/>
  <c r="TE16" i="1"/>
  <c r="TB16" i="1"/>
  <c r="SX16" i="1"/>
  <c r="SW16" i="1"/>
  <c r="SY16" i="1" s="1"/>
  <c r="SV16" i="1"/>
  <c r="SS16" i="1"/>
  <c r="SP16" i="1"/>
  <c r="SM16" i="1"/>
  <c r="SI16" i="1"/>
  <c r="SH16" i="1"/>
  <c r="SJ16" i="1" s="1"/>
  <c r="SG16" i="1"/>
  <c r="SD16" i="1"/>
  <c r="SA16" i="1"/>
  <c r="RX16" i="1"/>
  <c r="RT16" i="1"/>
  <c r="RS16" i="1"/>
  <c r="RU16" i="1" s="1"/>
  <c r="RR16" i="1"/>
  <c r="RO16" i="1"/>
  <c r="RL16" i="1"/>
  <c r="RI16" i="1"/>
  <c r="RE16" i="1"/>
  <c r="RD16" i="1"/>
  <c r="RF16" i="1" s="1"/>
  <c r="RC16" i="1"/>
  <c r="QZ16" i="1"/>
  <c r="QW16" i="1"/>
  <c r="QT16" i="1"/>
  <c r="QP16" i="1"/>
  <c r="QO16" i="1"/>
  <c r="QQ16" i="1" s="1"/>
  <c r="QN16" i="1"/>
  <c r="QK16" i="1"/>
  <c r="QH16" i="1"/>
  <c r="QE16" i="1"/>
  <c r="QA16" i="1"/>
  <c r="PZ16" i="1"/>
  <c r="QB16" i="1" s="1"/>
  <c r="PY16" i="1"/>
  <c r="PV16" i="1"/>
  <c r="PS16" i="1"/>
  <c r="PP16" i="1"/>
  <c r="PL16" i="1"/>
  <c r="PK16" i="1"/>
  <c r="PM16" i="1" s="1"/>
  <c r="PJ16" i="1"/>
  <c r="PG16" i="1"/>
  <c r="PD16" i="1"/>
  <c r="PA16" i="1"/>
  <c r="OW16" i="1"/>
  <c r="OV16" i="1"/>
  <c r="OX16" i="1" s="1"/>
  <c r="OU16" i="1"/>
  <c r="OR16" i="1"/>
  <c r="OO16" i="1"/>
  <c r="OL16" i="1"/>
  <c r="OH16" i="1"/>
  <c r="OG16" i="1"/>
  <c r="OI16" i="1" s="1"/>
  <c r="OF16" i="1"/>
  <c r="OC16" i="1"/>
  <c r="NZ16" i="1"/>
  <c r="NW16" i="1"/>
  <c r="NS16" i="1"/>
  <c r="NR16" i="1"/>
  <c r="NT16" i="1" s="1"/>
  <c r="NQ16" i="1"/>
  <c r="NN16" i="1"/>
  <c r="NK16" i="1"/>
  <c r="NH16" i="1"/>
  <c r="ND16" i="1"/>
  <c r="NC16" i="1"/>
  <c r="NE16" i="1" s="1"/>
  <c r="NB16" i="1"/>
  <c r="MY16" i="1"/>
  <c r="MV16" i="1"/>
  <c r="MS16" i="1"/>
  <c r="MO16" i="1"/>
  <c r="MN16" i="1"/>
  <c r="MP16" i="1" s="1"/>
  <c r="MM16" i="1"/>
  <c r="MJ16" i="1"/>
  <c r="MG16" i="1"/>
  <c r="MD16" i="1"/>
  <c r="LZ16" i="1"/>
  <c r="LY16" i="1"/>
  <c r="MA16" i="1" s="1"/>
  <c r="LX16" i="1"/>
  <c r="KV16" i="1"/>
  <c r="KU16" i="1"/>
  <c r="KW16" i="1" s="1"/>
  <c r="KT16" i="1"/>
  <c r="KG16" i="1"/>
  <c r="KF16" i="1"/>
  <c r="KH16" i="1" s="1"/>
  <c r="KE16" i="1"/>
  <c r="KB16" i="1"/>
  <c r="JY16" i="1"/>
  <c r="JV16" i="1"/>
  <c r="JR16" i="1"/>
  <c r="JQ16" i="1"/>
  <c r="JS16" i="1" s="1"/>
  <c r="JP16" i="1"/>
  <c r="JM16" i="1"/>
  <c r="JJ16" i="1"/>
  <c r="JG16" i="1"/>
  <c r="JC16" i="1"/>
  <c r="JB16" i="1"/>
  <c r="JD16" i="1" s="1"/>
  <c r="JA16" i="1"/>
  <c r="IX16" i="1"/>
  <c r="IU16" i="1"/>
  <c r="IR16" i="1"/>
  <c r="IN16" i="1"/>
  <c r="IM16" i="1"/>
  <c r="IO16" i="1" s="1"/>
  <c r="IL16" i="1"/>
  <c r="II16" i="1"/>
  <c r="IF16" i="1"/>
  <c r="IC16" i="1"/>
  <c r="HY16" i="1"/>
  <c r="HX16" i="1"/>
  <c r="HZ16" i="1" s="1"/>
  <c r="HW16" i="1"/>
  <c r="HT16" i="1"/>
  <c r="HQ16" i="1"/>
  <c r="HN16" i="1"/>
  <c r="HJ16" i="1"/>
  <c r="HI16" i="1"/>
  <c r="HK16" i="1" s="1"/>
  <c r="GU16" i="1"/>
  <c r="GT16" i="1"/>
  <c r="GV16" i="1" s="1"/>
  <c r="GS16" i="1"/>
  <c r="GP16" i="1"/>
  <c r="GM16" i="1"/>
  <c r="GJ16" i="1"/>
  <c r="GF16" i="1"/>
  <c r="GE16" i="1"/>
  <c r="GG16" i="1" s="1"/>
  <c r="GD16" i="1"/>
  <c r="GA16" i="1"/>
  <c r="FX16" i="1"/>
  <c r="FU16" i="1"/>
  <c r="FQ16" i="1"/>
  <c r="FP16" i="1"/>
  <c r="FR16" i="1" s="1"/>
  <c r="FO16" i="1"/>
  <c r="FL16" i="1"/>
  <c r="FI16" i="1"/>
  <c r="FF16" i="1"/>
  <c r="FB16" i="1"/>
  <c r="FA16" i="1"/>
  <c r="FC16" i="1" s="1"/>
  <c r="EZ16" i="1"/>
  <c r="EW16" i="1"/>
  <c r="ET16" i="1"/>
  <c r="EQ16" i="1"/>
  <c r="EM16" i="1"/>
  <c r="EL16" i="1"/>
  <c r="EN16" i="1" s="1"/>
  <c r="EK16" i="1"/>
  <c r="EH16" i="1"/>
  <c r="EE16" i="1"/>
  <c r="EB16" i="1"/>
  <c r="DX16" i="1"/>
  <c r="DW16" i="1"/>
  <c r="DY16" i="1" s="1"/>
  <c r="DI16" i="1"/>
  <c r="DH16" i="1"/>
  <c r="DJ16" i="1" s="1"/>
  <c r="CT16" i="1"/>
  <c r="CS16" i="1"/>
  <c r="CU16" i="1" s="1"/>
  <c r="CR16" i="1"/>
  <c r="CO16" i="1"/>
  <c r="CL16" i="1"/>
  <c r="CI16" i="1"/>
  <c r="CE16" i="1"/>
  <c r="CD16" i="1"/>
  <c r="CF16" i="1" s="1"/>
  <c r="CC16" i="1"/>
  <c r="BZ16" i="1"/>
  <c r="BW16" i="1"/>
  <c r="BT16" i="1"/>
  <c r="BP16" i="1"/>
  <c r="BO16" i="1"/>
  <c r="BQ16" i="1" s="1"/>
  <c r="BN16" i="1"/>
  <c r="BK16" i="1"/>
  <c r="BH16" i="1"/>
  <c r="BE16" i="1"/>
  <c r="BA16" i="1"/>
  <c r="AZ16" i="1"/>
  <c r="BB16" i="1" s="1"/>
  <c r="AY16" i="1"/>
  <c r="AV16" i="1"/>
  <c r="AS16" i="1"/>
  <c r="AP16" i="1"/>
  <c r="AL16" i="1"/>
  <c r="AK16" i="1"/>
  <c r="AM16" i="1" s="1"/>
  <c r="AJ16" i="1"/>
  <c r="AG16" i="1"/>
  <c r="AD16" i="1"/>
  <c r="AA16" i="1"/>
  <c r="W16" i="1"/>
  <c r="V16" i="1"/>
  <c r="X16" i="1" s="1"/>
  <c r="U16" i="1"/>
  <c r="R16" i="1"/>
  <c r="O16" i="1"/>
  <c r="L16" i="1"/>
  <c r="I16" i="1"/>
  <c r="AAB15" i="1"/>
  <c r="AAA15" i="1"/>
  <c r="AAC15" i="1" s="1"/>
  <c r="ZZ15" i="1"/>
  <c r="ZV15" i="1"/>
  <c r="AAE15" i="1" s="1"/>
  <c r="ZU15" i="1"/>
  <c r="ZT15" i="1"/>
  <c r="ZQ15" i="1"/>
  <c r="ZN15" i="1"/>
  <c r="ZK15" i="1"/>
  <c r="ZG15" i="1"/>
  <c r="ZF15" i="1"/>
  <c r="ZH15" i="1" s="1"/>
  <c r="ZE15" i="1"/>
  <c r="ZB15" i="1"/>
  <c r="YY15" i="1"/>
  <c r="YV15" i="1"/>
  <c r="YR15" i="1"/>
  <c r="YQ15" i="1"/>
  <c r="YS15" i="1" s="1"/>
  <c r="YP15" i="1"/>
  <c r="YM15" i="1"/>
  <c r="YJ15" i="1"/>
  <c r="YG15" i="1"/>
  <c r="YC15" i="1"/>
  <c r="YB15" i="1"/>
  <c r="YD15" i="1" s="1"/>
  <c r="YA15" i="1"/>
  <c r="XX15" i="1"/>
  <c r="XU15" i="1"/>
  <c r="XR15" i="1"/>
  <c r="XN15" i="1"/>
  <c r="XM15" i="1"/>
  <c r="XO15" i="1" s="1"/>
  <c r="XL15" i="1"/>
  <c r="XI15" i="1"/>
  <c r="XF15" i="1"/>
  <c r="XC15" i="1"/>
  <c r="WY15" i="1"/>
  <c r="WX15" i="1"/>
  <c r="WZ15" i="1" s="1"/>
  <c r="WW15" i="1"/>
  <c r="WT15" i="1"/>
  <c r="WQ15" i="1"/>
  <c r="WN15" i="1"/>
  <c r="WJ15" i="1"/>
  <c r="WI15" i="1"/>
  <c r="WK15" i="1" s="1"/>
  <c r="WH15" i="1"/>
  <c r="WE15" i="1"/>
  <c r="WB15" i="1"/>
  <c r="VY15" i="1"/>
  <c r="VU15" i="1"/>
  <c r="VT15" i="1"/>
  <c r="VV15" i="1" s="1"/>
  <c r="VS15" i="1"/>
  <c r="VP15" i="1"/>
  <c r="VM15" i="1"/>
  <c r="VJ15" i="1"/>
  <c r="VF15" i="1"/>
  <c r="VE15" i="1"/>
  <c r="VG15" i="1" s="1"/>
  <c r="VD15" i="1"/>
  <c r="VA15" i="1"/>
  <c r="UX15" i="1"/>
  <c r="UU15" i="1"/>
  <c r="UQ15" i="1"/>
  <c r="UP15" i="1"/>
  <c r="UR15" i="1" s="1"/>
  <c r="UO15" i="1"/>
  <c r="UB15" i="1"/>
  <c r="UA15" i="1"/>
  <c r="UC15" i="1" s="1"/>
  <c r="TZ15" i="1"/>
  <c r="TW15" i="1"/>
  <c r="TT15" i="1"/>
  <c r="TQ15" i="1"/>
  <c r="TM15" i="1"/>
  <c r="TL15" i="1"/>
  <c r="TN15" i="1" s="1"/>
  <c r="TK15" i="1"/>
  <c r="TH15" i="1"/>
  <c r="TE15" i="1"/>
  <c r="TB15" i="1"/>
  <c r="SX15" i="1"/>
  <c r="SW15" i="1"/>
  <c r="SY15" i="1" s="1"/>
  <c r="SV15" i="1"/>
  <c r="SS15" i="1"/>
  <c r="SP15" i="1"/>
  <c r="SM15" i="1"/>
  <c r="SI15" i="1"/>
  <c r="SH15" i="1"/>
  <c r="SJ15" i="1" s="1"/>
  <c r="SG15" i="1"/>
  <c r="SD15" i="1"/>
  <c r="SA15" i="1"/>
  <c r="RX15" i="1"/>
  <c r="RT15" i="1"/>
  <c r="RS15" i="1"/>
  <c r="RU15" i="1" s="1"/>
  <c r="RR15" i="1"/>
  <c r="RO15" i="1"/>
  <c r="RL15" i="1"/>
  <c r="RI15" i="1"/>
  <c r="RE15" i="1"/>
  <c r="RD15" i="1"/>
  <c r="RF15" i="1" s="1"/>
  <c r="RC15" i="1"/>
  <c r="QZ15" i="1"/>
  <c r="QW15" i="1"/>
  <c r="QT15" i="1"/>
  <c r="QP15" i="1"/>
  <c r="QO15" i="1"/>
  <c r="QQ15" i="1" s="1"/>
  <c r="QN15" i="1"/>
  <c r="QK15" i="1"/>
  <c r="QH15" i="1"/>
  <c r="QE15" i="1"/>
  <c r="QA15" i="1"/>
  <c r="PZ15" i="1"/>
  <c r="QB15" i="1" s="1"/>
  <c r="PY15" i="1"/>
  <c r="PV15" i="1"/>
  <c r="PS15" i="1"/>
  <c r="PP15" i="1"/>
  <c r="PL15" i="1"/>
  <c r="PK15" i="1"/>
  <c r="PM15" i="1" s="1"/>
  <c r="PJ15" i="1"/>
  <c r="PG15" i="1"/>
  <c r="PD15" i="1"/>
  <c r="PA15" i="1"/>
  <c r="OW15" i="1"/>
  <c r="OV15" i="1"/>
  <c r="OX15" i="1" s="1"/>
  <c r="OU15" i="1"/>
  <c r="OR15" i="1"/>
  <c r="OO15" i="1"/>
  <c r="OL15" i="1"/>
  <c r="OH15" i="1"/>
  <c r="OG15" i="1"/>
  <c r="OI15" i="1" s="1"/>
  <c r="OF15" i="1"/>
  <c r="OC15" i="1"/>
  <c r="NZ15" i="1"/>
  <c r="NW15" i="1"/>
  <c r="NS15" i="1"/>
  <c r="NR15" i="1"/>
  <c r="NT15" i="1" s="1"/>
  <c r="NQ15" i="1"/>
  <c r="NN15" i="1"/>
  <c r="NK15" i="1"/>
  <c r="NH15" i="1"/>
  <c r="ND15" i="1"/>
  <c r="NC15" i="1"/>
  <c r="NE15" i="1" s="1"/>
  <c r="NB15" i="1"/>
  <c r="MY15" i="1"/>
  <c r="MV15" i="1"/>
  <c r="MS15" i="1"/>
  <c r="MO15" i="1"/>
  <c r="MN15" i="1"/>
  <c r="MP15" i="1" s="1"/>
  <c r="MM15" i="1"/>
  <c r="MJ15" i="1"/>
  <c r="MG15" i="1"/>
  <c r="MD15" i="1"/>
  <c r="LZ15" i="1"/>
  <c r="LY15" i="1"/>
  <c r="MA15" i="1" s="1"/>
  <c r="LX15" i="1"/>
  <c r="KV15" i="1"/>
  <c r="KU15" i="1"/>
  <c r="KW15" i="1" s="1"/>
  <c r="KT15" i="1"/>
  <c r="KG15" i="1"/>
  <c r="KF15" i="1"/>
  <c r="KH15" i="1" s="1"/>
  <c r="KE15" i="1"/>
  <c r="KB15" i="1"/>
  <c r="JY15" i="1"/>
  <c r="JV15" i="1"/>
  <c r="JR15" i="1"/>
  <c r="JQ15" i="1"/>
  <c r="JS15" i="1" s="1"/>
  <c r="JP15" i="1"/>
  <c r="JM15" i="1"/>
  <c r="JJ15" i="1"/>
  <c r="JG15" i="1"/>
  <c r="JC15" i="1"/>
  <c r="JB15" i="1"/>
  <c r="JD15" i="1" s="1"/>
  <c r="JA15" i="1"/>
  <c r="IX15" i="1"/>
  <c r="IU15" i="1"/>
  <c r="IR15" i="1"/>
  <c r="IN15" i="1"/>
  <c r="IM15" i="1"/>
  <c r="IO15" i="1" s="1"/>
  <c r="IL15" i="1"/>
  <c r="II15" i="1"/>
  <c r="IF15" i="1"/>
  <c r="IC15" i="1"/>
  <c r="HY15" i="1"/>
  <c r="HX15" i="1"/>
  <c r="HZ15" i="1" s="1"/>
  <c r="HW15" i="1"/>
  <c r="HT15" i="1"/>
  <c r="HQ15" i="1"/>
  <c r="HN15" i="1"/>
  <c r="HJ15" i="1"/>
  <c r="HI15" i="1"/>
  <c r="HK15" i="1" s="1"/>
  <c r="GU15" i="1"/>
  <c r="GT15" i="1"/>
  <c r="GV15" i="1" s="1"/>
  <c r="GS15" i="1"/>
  <c r="GP15" i="1"/>
  <c r="GM15" i="1"/>
  <c r="GJ15" i="1"/>
  <c r="GF15" i="1"/>
  <c r="GE15" i="1"/>
  <c r="GG15" i="1" s="1"/>
  <c r="GD15" i="1"/>
  <c r="GA15" i="1"/>
  <c r="FX15" i="1"/>
  <c r="FU15" i="1"/>
  <c r="FQ15" i="1"/>
  <c r="FP15" i="1"/>
  <c r="FR15" i="1" s="1"/>
  <c r="FO15" i="1"/>
  <c r="FL15" i="1"/>
  <c r="FI15" i="1"/>
  <c r="FF15" i="1"/>
  <c r="FB15" i="1"/>
  <c r="FA15" i="1"/>
  <c r="FC15" i="1" s="1"/>
  <c r="EZ15" i="1"/>
  <c r="EW15" i="1"/>
  <c r="ET15" i="1"/>
  <c r="EQ15" i="1"/>
  <c r="EM15" i="1"/>
  <c r="EL15" i="1"/>
  <c r="EN15" i="1" s="1"/>
  <c r="EK15" i="1"/>
  <c r="EH15" i="1"/>
  <c r="EE15" i="1"/>
  <c r="EB15" i="1"/>
  <c r="DX15" i="1"/>
  <c r="DW15" i="1"/>
  <c r="DY15" i="1" s="1"/>
  <c r="DI15" i="1"/>
  <c r="DH15" i="1"/>
  <c r="DJ15" i="1" s="1"/>
  <c r="CT15" i="1"/>
  <c r="CS15" i="1"/>
  <c r="CU15" i="1" s="1"/>
  <c r="CR15" i="1"/>
  <c r="CO15" i="1"/>
  <c r="CL15" i="1"/>
  <c r="CI15" i="1"/>
  <c r="CE15" i="1"/>
  <c r="CD15" i="1"/>
  <c r="CF15" i="1" s="1"/>
  <c r="CC15" i="1"/>
  <c r="BZ15" i="1"/>
  <c r="BW15" i="1"/>
  <c r="BT15" i="1"/>
  <c r="BP15" i="1"/>
  <c r="BO15" i="1"/>
  <c r="BQ15" i="1" s="1"/>
  <c r="BN15" i="1"/>
  <c r="BK15" i="1"/>
  <c r="BH15" i="1"/>
  <c r="BE15" i="1"/>
  <c r="BA15" i="1"/>
  <c r="AZ15" i="1"/>
  <c r="BB15" i="1" s="1"/>
  <c r="AY15" i="1"/>
  <c r="AV15" i="1"/>
  <c r="AS15" i="1"/>
  <c r="AP15" i="1"/>
  <c r="AL15" i="1"/>
  <c r="AK15" i="1"/>
  <c r="AM15" i="1" s="1"/>
  <c r="AJ15" i="1"/>
  <c r="AG15" i="1"/>
  <c r="AD15" i="1"/>
  <c r="AA15" i="1"/>
  <c r="W15" i="1"/>
  <c r="V15" i="1"/>
  <c r="X15" i="1" s="1"/>
  <c r="U15" i="1"/>
  <c r="R15" i="1"/>
  <c r="O15" i="1"/>
  <c r="L15" i="1"/>
  <c r="I15" i="1"/>
  <c r="AAB14" i="1"/>
  <c r="AAA14" i="1"/>
  <c r="AAC14" i="1" s="1"/>
  <c r="ZZ14" i="1"/>
  <c r="ZV14" i="1"/>
  <c r="AAE14" i="1" s="1"/>
  <c r="ZU14" i="1"/>
  <c r="ZT14" i="1"/>
  <c r="ZQ14" i="1"/>
  <c r="ZN14" i="1"/>
  <c r="ZK14" i="1"/>
  <c r="ZG14" i="1"/>
  <c r="ZF14" i="1"/>
  <c r="ZH14" i="1" s="1"/>
  <c r="ZE14" i="1"/>
  <c r="ZB14" i="1"/>
  <c r="YY14" i="1"/>
  <c r="YV14" i="1"/>
  <c r="YR14" i="1"/>
  <c r="YQ14" i="1"/>
  <c r="YS14" i="1" s="1"/>
  <c r="YP14" i="1"/>
  <c r="YM14" i="1"/>
  <c r="YJ14" i="1"/>
  <c r="YG14" i="1"/>
  <c r="YC14" i="1"/>
  <c r="YB14" i="1"/>
  <c r="YD14" i="1" s="1"/>
  <c r="YA14" i="1"/>
  <c r="XX14" i="1"/>
  <c r="XU14" i="1"/>
  <c r="XR14" i="1"/>
  <c r="XN14" i="1"/>
  <c r="XM14" i="1"/>
  <c r="XO14" i="1" s="1"/>
  <c r="XL14" i="1"/>
  <c r="XI14" i="1"/>
  <c r="XF14" i="1"/>
  <c r="XC14" i="1"/>
  <c r="WY14" i="1"/>
  <c r="WX14" i="1"/>
  <c r="WZ14" i="1" s="1"/>
  <c r="WW14" i="1"/>
  <c r="WT14" i="1"/>
  <c r="WQ14" i="1"/>
  <c r="WN14" i="1"/>
  <c r="WJ14" i="1"/>
  <c r="WI14" i="1"/>
  <c r="WK14" i="1" s="1"/>
  <c r="WH14" i="1"/>
  <c r="WE14" i="1"/>
  <c r="WB14" i="1"/>
  <c r="VY14" i="1"/>
  <c r="VU14" i="1"/>
  <c r="VT14" i="1"/>
  <c r="VV14" i="1" s="1"/>
  <c r="VS14" i="1"/>
  <c r="VP14" i="1"/>
  <c r="VM14" i="1"/>
  <c r="VJ14" i="1"/>
  <c r="VF14" i="1"/>
  <c r="VE14" i="1"/>
  <c r="VG14" i="1" s="1"/>
  <c r="VD14" i="1"/>
  <c r="VA14" i="1"/>
  <c r="UX14" i="1"/>
  <c r="UU14" i="1"/>
  <c r="UQ14" i="1"/>
  <c r="UP14" i="1"/>
  <c r="UR14" i="1" s="1"/>
  <c r="UO14" i="1"/>
  <c r="UB14" i="1"/>
  <c r="UA14" i="1"/>
  <c r="UC14" i="1" s="1"/>
  <c r="TZ14" i="1"/>
  <c r="TW14" i="1"/>
  <c r="TT14" i="1"/>
  <c r="TQ14" i="1"/>
  <c r="TM14" i="1"/>
  <c r="TL14" i="1"/>
  <c r="TN14" i="1" s="1"/>
  <c r="TK14" i="1"/>
  <c r="TH14" i="1"/>
  <c r="TE14" i="1"/>
  <c r="TB14" i="1"/>
  <c r="SX14" i="1"/>
  <c r="SW14" i="1"/>
  <c r="SY14" i="1" s="1"/>
  <c r="SV14" i="1"/>
  <c r="SS14" i="1"/>
  <c r="SP14" i="1"/>
  <c r="SM14" i="1"/>
  <c r="SI14" i="1"/>
  <c r="SH14" i="1"/>
  <c r="SJ14" i="1" s="1"/>
  <c r="SG14" i="1"/>
  <c r="SD14" i="1"/>
  <c r="SA14" i="1"/>
  <c r="RX14" i="1"/>
  <c r="RT14" i="1"/>
  <c r="RS14" i="1"/>
  <c r="RU14" i="1" s="1"/>
  <c r="RR14" i="1"/>
  <c r="RO14" i="1"/>
  <c r="RL14" i="1"/>
  <c r="RI14" i="1"/>
  <c r="RE14" i="1"/>
  <c r="RD14" i="1"/>
  <c r="RF14" i="1" s="1"/>
  <c r="RC14" i="1"/>
  <c r="QZ14" i="1"/>
  <c r="QW14" i="1"/>
  <c r="QT14" i="1"/>
  <c r="QP14" i="1"/>
  <c r="QO14" i="1"/>
  <c r="QQ14" i="1" s="1"/>
  <c r="QN14" i="1"/>
  <c r="QK14" i="1"/>
  <c r="QH14" i="1"/>
  <c r="QE14" i="1"/>
  <c r="QA14" i="1"/>
  <c r="PZ14" i="1"/>
  <c r="QB14" i="1" s="1"/>
  <c r="PY14" i="1"/>
  <c r="PV14" i="1"/>
  <c r="PS14" i="1"/>
  <c r="PP14" i="1"/>
  <c r="PL14" i="1"/>
  <c r="PK14" i="1"/>
  <c r="PM14" i="1" s="1"/>
  <c r="PJ14" i="1"/>
  <c r="PG14" i="1"/>
  <c r="PD14" i="1"/>
  <c r="PA14" i="1"/>
  <c r="OW14" i="1"/>
  <c r="OV14" i="1"/>
  <c r="OX14" i="1" s="1"/>
  <c r="OU14" i="1"/>
  <c r="OR14" i="1"/>
  <c r="OO14" i="1"/>
  <c r="OL14" i="1"/>
  <c r="OH14" i="1"/>
  <c r="OG14" i="1"/>
  <c r="OI14" i="1" s="1"/>
  <c r="OF14" i="1"/>
  <c r="OC14" i="1"/>
  <c r="NZ14" i="1"/>
  <c r="NW14" i="1"/>
  <c r="NS14" i="1"/>
  <c r="NR14" i="1"/>
  <c r="NT14" i="1" s="1"/>
  <c r="NQ14" i="1"/>
  <c r="NN14" i="1"/>
  <c r="NK14" i="1"/>
  <c r="NH14" i="1"/>
  <c r="ND14" i="1"/>
  <c r="NC14" i="1"/>
  <c r="NE14" i="1" s="1"/>
  <c r="NB14" i="1"/>
  <c r="MY14" i="1"/>
  <c r="MV14" i="1"/>
  <c r="MS14" i="1"/>
  <c r="MO14" i="1"/>
  <c r="MN14" i="1"/>
  <c r="MP14" i="1" s="1"/>
  <c r="MM14" i="1"/>
  <c r="MJ14" i="1"/>
  <c r="MG14" i="1"/>
  <c r="MD14" i="1"/>
  <c r="LZ14" i="1"/>
  <c r="LY14" i="1"/>
  <c r="MA14" i="1" s="1"/>
  <c r="LX14" i="1"/>
  <c r="KV14" i="1"/>
  <c r="KU14" i="1"/>
  <c r="KW14" i="1" s="1"/>
  <c r="KT14" i="1"/>
  <c r="KG14" i="1"/>
  <c r="KF14" i="1"/>
  <c r="KH14" i="1" s="1"/>
  <c r="KE14" i="1"/>
  <c r="KB14" i="1"/>
  <c r="JY14" i="1"/>
  <c r="JV14" i="1"/>
  <c r="JR14" i="1"/>
  <c r="JQ14" i="1"/>
  <c r="JS14" i="1" s="1"/>
  <c r="JP14" i="1"/>
  <c r="JM14" i="1"/>
  <c r="JJ14" i="1"/>
  <c r="JG14" i="1"/>
  <c r="JC14" i="1"/>
  <c r="JB14" i="1"/>
  <c r="JD14" i="1" s="1"/>
  <c r="JA14" i="1"/>
  <c r="IX14" i="1"/>
  <c r="IU14" i="1"/>
  <c r="IR14" i="1"/>
  <c r="IN14" i="1"/>
  <c r="IM14" i="1"/>
  <c r="IO14" i="1" s="1"/>
  <c r="IL14" i="1"/>
  <c r="II14" i="1"/>
  <c r="IF14" i="1"/>
  <c r="IC14" i="1"/>
  <c r="HY14" i="1"/>
  <c r="HX14" i="1"/>
  <c r="HZ14" i="1" s="1"/>
  <c r="HW14" i="1"/>
  <c r="HT14" i="1"/>
  <c r="HQ14" i="1"/>
  <c r="HN14" i="1"/>
  <c r="HJ14" i="1"/>
  <c r="HI14" i="1"/>
  <c r="HK14" i="1" s="1"/>
  <c r="GU14" i="1"/>
  <c r="GT14" i="1"/>
  <c r="GV14" i="1" s="1"/>
  <c r="GS14" i="1"/>
  <c r="GP14" i="1"/>
  <c r="GM14" i="1"/>
  <c r="GJ14" i="1"/>
  <c r="GF14" i="1"/>
  <c r="GE14" i="1"/>
  <c r="GG14" i="1" s="1"/>
  <c r="GD14" i="1"/>
  <c r="GA14" i="1"/>
  <c r="FX14" i="1"/>
  <c r="FU14" i="1"/>
  <c r="FQ14" i="1"/>
  <c r="FP14" i="1"/>
  <c r="FR14" i="1" s="1"/>
  <c r="FO14" i="1"/>
  <c r="FL14" i="1"/>
  <c r="FI14" i="1"/>
  <c r="FF14" i="1"/>
  <c r="FB14" i="1"/>
  <c r="FA14" i="1"/>
  <c r="FC14" i="1" s="1"/>
  <c r="EZ14" i="1"/>
  <c r="EW14" i="1"/>
  <c r="ET14" i="1"/>
  <c r="EQ14" i="1"/>
  <c r="EM14" i="1"/>
  <c r="EL14" i="1"/>
  <c r="EN14" i="1" s="1"/>
  <c r="EK14" i="1"/>
  <c r="EH14" i="1"/>
  <c r="EE14" i="1"/>
  <c r="EB14" i="1"/>
  <c r="DX14" i="1"/>
  <c r="DW14" i="1"/>
  <c r="DY14" i="1" s="1"/>
  <c r="DI14" i="1"/>
  <c r="DH14" i="1"/>
  <c r="DJ14" i="1" s="1"/>
  <c r="CT14" i="1"/>
  <c r="CS14" i="1"/>
  <c r="CU14" i="1" s="1"/>
  <c r="CR14" i="1"/>
  <c r="CO14" i="1"/>
  <c r="CL14" i="1"/>
  <c r="CI14" i="1"/>
  <c r="CE14" i="1"/>
  <c r="CD14" i="1"/>
  <c r="CF14" i="1" s="1"/>
  <c r="CC14" i="1"/>
  <c r="CC17" i="1" s="1"/>
  <c r="BZ14" i="1"/>
  <c r="BZ17" i="1" s="1"/>
  <c r="BW14" i="1"/>
  <c r="BW17" i="1" s="1"/>
  <c r="BT14" i="1"/>
  <c r="BT17" i="1" s="1"/>
  <c r="BP14" i="1"/>
  <c r="BO14" i="1"/>
  <c r="BQ14" i="1" s="1"/>
  <c r="BN14" i="1"/>
  <c r="BK14" i="1"/>
  <c r="BH14" i="1"/>
  <c r="BE14" i="1"/>
  <c r="BA14" i="1"/>
  <c r="AZ14" i="1"/>
  <c r="BB14" i="1" s="1"/>
  <c r="AY14" i="1"/>
  <c r="AV14" i="1"/>
  <c r="AS14" i="1"/>
  <c r="AP14" i="1"/>
  <c r="AL14" i="1"/>
  <c r="AK14" i="1"/>
  <c r="AM14" i="1" s="1"/>
  <c r="AJ14" i="1"/>
  <c r="AG14" i="1"/>
  <c r="AD14" i="1"/>
  <c r="AA14" i="1"/>
  <c r="W14" i="1"/>
  <c r="V14" i="1"/>
  <c r="X14" i="1" s="1"/>
  <c r="U14" i="1"/>
  <c r="R14" i="1"/>
  <c r="O14" i="1"/>
  <c r="L14" i="1"/>
  <c r="I14" i="1"/>
  <c r="AAB13" i="1"/>
  <c r="AAA13" i="1"/>
  <c r="AAC13" i="1" s="1"/>
  <c r="ZZ13" i="1"/>
  <c r="ZV13" i="1"/>
  <c r="AAE13" i="1" s="1"/>
  <c r="ZU13" i="1"/>
  <c r="ZT13" i="1"/>
  <c r="ZQ13" i="1"/>
  <c r="ZN13" i="1"/>
  <c r="ZK13" i="1"/>
  <c r="ZG13" i="1"/>
  <c r="ZF13" i="1"/>
  <c r="ZH13" i="1" s="1"/>
  <c r="ZE13" i="1"/>
  <c r="ZB13" i="1"/>
  <c r="YY13" i="1"/>
  <c r="YV13" i="1"/>
  <c r="YR13" i="1"/>
  <c r="YQ13" i="1"/>
  <c r="YS13" i="1" s="1"/>
  <c r="YP13" i="1"/>
  <c r="YM13" i="1"/>
  <c r="YJ13" i="1"/>
  <c r="YG13" i="1"/>
  <c r="YC13" i="1"/>
  <c r="YB13" i="1"/>
  <c r="YD13" i="1" s="1"/>
  <c r="YA13" i="1"/>
  <c r="XX13" i="1"/>
  <c r="XU13" i="1"/>
  <c r="XR13" i="1"/>
  <c r="XN13" i="1"/>
  <c r="XM13" i="1"/>
  <c r="XO13" i="1" s="1"/>
  <c r="XL13" i="1"/>
  <c r="XI13" i="1"/>
  <c r="XF13" i="1"/>
  <c r="XC13" i="1"/>
  <c r="WY13" i="1"/>
  <c r="WX13" i="1"/>
  <c r="WZ13" i="1" s="1"/>
  <c r="WW13" i="1"/>
  <c r="WT13" i="1"/>
  <c r="WQ13" i="1"/>
  <c r="WN13" i="1"/>
  <c r="WJ13" i="1"/>
  <c r="WI13" i="1"/>
  <c r="WK13" i="1" s="1"/>
  <c r="WH13" i="1"/>
  <c r="WE13" i="1"/>
  <c r="WB13" i="1"/>
  <c r="VY13" i="1"/>
  <c r="VU13" i="1"/>
  <c r="VT13" i="1"/>
  <c r="VV13" i="1" s="1"/>
  <c r="VS13" i="1"/>
  <c r="VP13" i="1"/>
  <c r="VM13" i="1"/>
  <c r="VJ13" i="1"/>
  <c r="VF13" i="1"/>
  <c r="VE13" i="1"/>
  <c r="VG13" i="1" s="1"/>
  <c r="VD13" i="1"/>
  <c r="VA13" i="1"/>
  <c r="UX13" i="1"/>
  <c r="UU13" i="1"/>
  <c r="UQ13" i="1"/>
  <c r="UP13" i="1"/>
  <c r="UR13" i="1" s="1"/>
  <c r="UO13" i="1"/>
  <c r="UB13" i="1"/>
  <c r="UA13" i="1"/>
  <c r="UC13" i="1" s="1"/>
  <c r="TZ13" i="1"/>
  <c r="TW13" i="1"/>
  <c r="TT13" i="1"/>
  <c r="TQ13" i="1"/>
  <c r="TM13" i="1"/>
  <c r="TL13" i="1"/>
  <c r="TN13" i="1" s="1"/>
  <c r="TK13" i="1"/>
  <c r="TH13" i="1"/>
  <c r="TE13" i="1"/>
  <c r="TB13" i="1"/>
  <c r="SX13" i="1"/>
  <c r="SW13" i="1"/>
  <c r="SY13" i="1" s="1"/>
  <c r="SV13" i="1"/>
  <c r="SS13" i="1"/>
  <c r="SP13" i="1"/>
  <c r="SM13" i="1"/>
  <c r="SI13" i="1"/>
  <c r="SH13" i="1"/>
  <c r="SJ13" i="1" s="1"/>
  <c r="SG13" i="1"/>
  <c r="SD13" i="1"/>
  <c r="SA13" i="1"/>
  <c r="RX13" i="1"/>
  <c r="RT13" i="1"/>
  <c r="RS13" i="1"/>
  <c r="RU13" i="1" s="1"/>
  <c r="RR13" i="1"/>
  <c r="RO13" i="1"/>
  <c r="RL13" i="1"/>
  <c r="RI13" i="1"/>
  <c r="RE13" i="1"/>
  <c r="RD13" i="1"/>
  <c r="RF13" i="1" s="1"/>
  <c r="RC13" i="1"/>
  <c r="QZ13" i="1"/>
  <c r="QW13" i="1"/>
  <c r="QT13" i="1"/>
  <c r="QP13" i="1"/>
  <c r="QO13" i="1"/>
  <c r="QQ13" i="1" s="1"/>
  <c r="QN13" i="1"/>
  <c r="QK13" i="1"/>
  <c r="QH13" i="1"/>
  <c r="QE13" i="1"/>
  <c r="QA13" i="1"/>
  <c r="PZ13" i="1"/>
  <c r="QB13" i="1" s="1"/>
  <c r="PY13" i="1"/>
  <c r="PV13" i="1"/>
  <c r="PS13" i="1"/>
  <c r="PP13" i="1"/>
  <c r="PL13" i="1"/>
  <c r="PK13" i="1"/>
  <c r="PM13" i="1" s="1"/>
  <c r="PJ13" i="1"/>
  <c r="PG13" i="1"/>
  <c r="PD13" i="1"/>
  <c r="PA13" i="1"/>
  <c r="OW13" i="1"/>
  <c r="OV13" i="1"/>
  <c r="OX13" i="1" s="1"/>
  <c r="OU13" i="1"/>
  <c r="OR13" i="1"/>
  <c r="OO13" i="1"/>
  <c r="OL13" i="1"/>
  <c r="OH13" i="1"/>
  <c r="OG13" i="1"/>
  <c r="OI13" i="1" s="1"/>
  <c r="OF13" i="1"/>
  <c r="OC13" i="1"/>
  <c r="NZ13" i="1"/>
  <c r="NW13" i="1"/>
  <c r="NS13" i="1"/>
  <c r="NR13" i="1"/>
  <c r="NT13" i="1" s="1"/>
  <c r="NQ13" i="1"/>
  <c r="NN13" i="1"/>
  <c r="NK13" i="1"/>
  <c r="NH13" i="1"/>
  <c r="ND13" i="1"/>
  <c r="NC13" i="1"/>
  <c r="NE13" i="1" s="1"/>
  <c r="NB13" i="1"/>
  <c r="MY13" i="1"/>
  <c r="MV13" i="1"/>
  <c r="MS13" i="1"/>
  <c r="MO13" i="1"/>
  <c r="MN13" i="1"/>
  <c r="MP13" i="1" s="1"/>
  <c r="MM13" i="1"/>
  <c r="MJ13" i="1"/>
  <c r="MG13" i="1"/>
  <c r="MD13" i="1"/>
  <c r="LZ13" i="1"/>
  <c r="LY13" i="1"/>
  <c r="MA13" i="1" s="1"/>
  <c r="LX13" i="1"/>
  <c r="KV13" i="1"/>
  <c r="KU13" i="1"/>
  <c r="KW13" i="1" s="1"/>
  <c r="KT13" i="1"/>
  <c r="KG13" i="1"/>
  <c r="KF13" i="1"/>
  <c r="KH13" i="1" s="1"/>
  <c r="KE13" i="1"/>
  <c r="KB13" i="1"/>
  <c r="JY13" i="1"/>
  <c r="JV13" i="1"/>
  <c r="JR13" i="1"/>
  <c r="JQ13" i="1"/>
  <c r="JS13" i="1" s="1"/>
  <c r="JP13" i="1"/>
  <c r="JM13" i="1"/>
  <c r="JJ13" i="1"/>
  <c r="JG13" i="1"/>
  <c r="JC13" i="1"/>
  <c r="JB13" i="1"/>
  <c r="JD13" i="1" s="1"/>
  <c r="JA13" i="1"/>
  <c r="IX13" i="1"/>
  <c r="IU13" i="1"/>
  <c r="IR13" i="1"/>
  <c r="IN13" i="1"/>
  <c r="IM13" i="1"/>
  <c r="IO13" i="1" s="1"/>
  <c r="IL13" i="1"/>
  <c r="II13" i="1"/>
  <c r="IF13" i="1"/>
  <c r="IC13" i="1"/>
  <c r="HY13" i="1"/>
  <c r="HX13" i="1"/>
  <c r="HZ13" i="1" s="1"/>
  <c r="HW13" i="1"/>
  <c r="HT13" i="1"/>
  <c r="HQ13" i="1"/>
  <c r="HN13" i="1"/>
  <c r="HJ13" i="1"/>
  <c r="HI13" i="1"/>
  <c r="HK13" i="1" s="1"/>
  <c r="GU13" i="1"/>
  <c r="GT13" i="1"/>
  <c r="GV13" i="1" s="1"/>
  <c r="GS13" i="1"/>
  <c r="GP13" i="1"/>
  <c r="GM13" i="1"/>
  <c r="GJ13" i="1"/>
  <c r="GF13" i="1"/>
  <c r="GE13" i="1"/>
  <c r="GG13" i="1" s="1"/>
  <c r="GD13" i="1"/>
  <c r="GA13" i="1"/>
  <c r="FX13" i="1"/>
  <c r="FU13" i="1"/>
  <c r="FQ13" i="1"/>
  <c r="FP13" i="1"/>
  <c r="FR13" i="1" s="1"/>
  <c r="FO13" i="1"/>
  <c r="FL13" i="1"/>
  <c r="FI13" i="1"/>
  <c r="FF13" i="1"/>
  <c r="FB13" i="1"/>
  <c r="FA13" i="1"/>
  <c r="FC13" i="1" s="1"/>
  <c r="EZ13" i="1"/>
  <c r="EW13" i="1"/>
  <c r="ET13" i="1"/>
  <c r="EQ13" i="1"/>
  <c r="EM13" i="1"/>
  <c r="EL13" i="1"/>
  <c r="EN13" i="1" s="1"/>
  <c r="EK13" i="1"/>
  <c r="EH13" i="1"/>
  <c r="EE13" i="1"/>
  <c r="EB13" i="1"/>
  <c r="DX13" i="1"/>
  <c r="DW13" i="1"/>
  <c r="DY13" i="1" s="1"/>
  <c r="DI13" i="1"/>
  <c r="DH13" i="1"/>
  <c r="DJ13" i="1" s="1"/>
  <c r="CT13" i="1"/>
  <c r="CS13" i="1"/>
  <c r="CU13" i="1" s="1"/>
  <c r="CR13" i="1"/>
  <c r="CO13" i="1"/>
  <c r="CL13" i="1"/>
  <c r="CI13" i="1"/>
  <c r="CE13" i="1"/>
  <c r="CD13" i="1"/>
  <c r="CF13" i="1" s="1"/>
  <c r="BP13" i="1"/>
  <c r="BO13" i="1"/>
  <c r="BQ13" i="1" s="1"/>
  <c r="BN13" i="1"/>
  <c r="BK13" i="1"/>
  <c r="BH13" i="1"/>
  <c r="BE13" i="1"/>
  <c r="BA13" i="1"/>
  <c r="AZ13" i="1"/>
  <c r="BB13" i="1" s="1"/>
  <c r="AY13" i="1"/>
  <c r="AV13" i="1"/>
  <c r="AS13" i="1"/>
  <c r="AP13" i="1"/>
  <c r="AL13" i="1"/>
  <c r="AK13" i="1"/>
  <c r="AM13" i="1" s="1"/>
  <c r="AJ13" i="1"/>
  <c r="AG13" i="1"/>
  <c r="AD13" i="1"/>
  <c r="AA13" i="1"/>
  <c r="W13" i="1"/>
  <c r="V13" i="1"/>
  <c r="X13" i="1" s="1"/>
  <c r="U13" i="1"/>
  <c r="R13" i="1"/>
  <c r="O13" i="1"/>
  <c r="L13" i="1"/>
  <c r="I13" i="1"/>
  <c r="AAB12" i="1"/>
  <c r="AAA12" i="1"/>
  <c r="AAC12" i="1" s="1"/>
  <c r="ZZ12" i="1"/>
  <c r="ZV12" i="1"/>
  <c r="AAE12" i="1" s="1"/>
  <c r="ZU12" i="1"/>
  <c r="ZT12" i="1"/>
  <c r="ZQ12" i="1"/>
  <c r="ZN12" i="1"/>
  <c r="ZK12" i="1"/>
  <c r="ZG12" i="1"/>
  <c r="ZF12" i="1"/>
  <c r="ZH12" i="1" s="1"/>
  <c r="ZE12" i="1"/>
  <c r="ZB12" i="1"/>
  <c r="YY12" i="1"/>
  <c r="YV12" i="1"/>
  <c r="YR12" i="1"/>
  <c r="YQ12" i="1"/>
  <c r="YS12" i="1" s="1"/>
  <c r="YP12" i="1"/>
  <c r="YM12" i="1"/>
  <c r="YJ12" i="1"/>
  <c r="YG12" i="1"/>
  <c r="YC12" i="1"/>
  <c r="YB12" i="1"/>
  <c r="YD12" i="1" s="1"/>
  <c r="YA12" i="1"/>
  <c r="XX12" i="1"/>
  <c r="XU12" i="1"/>
  <c r="XR12" i="1"/>
  <c r="XN12" i="1"/>
  <c r="XM12" i="1"/>
  <c r="XO12" i="1" s="1"/>
  <c r="XL12" i="1"/>
  <c r="XI12" i="1"/>
  <c r="XF12" i="1"/>
  <c r="XC12" i="1"/>
  <c r="WY12" i="1"/>
  <c r="WX12" i="1"/>
  <c r="WZ12" i="1" s="1"/>
  <c r="WW12" i="1"/>
  <c r="WT12" i="1"/>
  <c r="WQ12" i="1"/>
  <c r="WN12" i="1"/>
  <c r="WJ12" i="1"/>
  <c r="WI12" i="1"/>
  <c r="WK12" i="1" s="1"/>
  <c r="WH12" i="1"/>
  <c r="WE12" i="1"/>
  <c r="WB12" i="1"/>
  <c r="VY12" i="1"/>
  <c r="VU12" i="1"/>
  <c r="VT12" i="1"/>
  <c r="VV12" i="1" s="1"/>
  <c r="VS12" i="1"/>
  <c r="VP12" i="1"/>
  <c r="VM12" i="1"/>
  <c r="VJ12" i="1"/>
  <c r="VF12" i="1"/>
  <c r="VE12" i="1"/>
  <c r="VG12" i="1" s="1"/>
  <c r="VD12" i="1"/>
  <c r="VA12" i="1"/>
  <c r="UX12" i="1"/>
  <c r="UU12" i="1"/>
  <c r="UQ12" i="1"/>
  <c r="UP12" i="1"/>
  <c r="UR12" i="1" s="1"/>
  <c r="UO12" i="1"/>
  <c r="UB12" i="1"/>
  <c r="UA12" i="1"/>
  <c r="UC12" i="1" s="1"/>
  <c r="TZ12" i="1"/>
  <c r="TW12" i="1"/>
  <c r="TT12" i="1"/>
  <c r="TQ12" i="1"/>
  <c r="TM12" i="1"/>
  <c r="TL12" i="1"/>
  <c r="TN12" i="1" s="1"/>
  <c r="TK12" i="1"/>
  <c r="TH12" i="1"/>
  <c r="TE12" i="1"/>
  <c r="TB12" i="1"/>
  <c r="SX12" i="1"/>
  <c r="SW12" i="1"/>
  <c r="SY12" i="1" s="1"/>
  <c r="SV12" i="1"/>
  <c r="SS12" i="1"/>
  <c r="SP12" i="1"/>
  <c r="SM12" i="1"/>
  <c r="SI12" i="1"/>
  <c r="SH12" i="1"/>
  <c r="SJ12" i="1" s="1"/>
  <c r="SG12" i="1"/>
  <c r="SD12" i="1"/>
  <c r="SA12" i="1"/>
  <c r="RX12" i="1"/>
  <c r="RT12" i="1"/>
  <c r="RS12" i="1"/>
  <c r="RU12" i="1" s="1"/>
  <c r="RR12" i="1"/>
  <c r="RO12" i="1"/>
  <c r="RL12" i="1"/>
  <c r="RI12" i="1"/>
  <c r="RE12" i="1"/>
  <c r="RD12" i="1"/>
  <c r="RF12" i="1" s="1"/>
  <c r="RC12" i="1"/>
  <c r="QZ12" i="1"/>
  <c r="QW12" i="1"/>
  <c r="QT12" i="1"/>
  <c r="QP12" i="1"/>
  <c r="QO12" i="1"/>
  <c r="QQ12" i="1" s="1"/>
  <c r="QN12" i="1"/>
  <c r="QK12" i="1"/>
  <c r="QH12" i="1"/>
  <c r="QE12" i="1"/>
  <c r="QA12" i="1"/>
  <c r="PZ12" i="1"/>
  <c r="QB12" i="1" s="1"/>
  <c r="PY12" i="1"/>
  <c r="PV12" i="1"/>
  <c r="PS12" i="1"/>
  <c r="PP12" i="1"/>
  <c r="PL12" i="1"/>
  <c r="PK12" i="1"/>
  <c r="PM12" i="1" s="1"/>
  <c r="PJ12" i="1"/>
  <c r="PG12" i="1"/>
  <c r="PD12" i="1"/>
  <c r="PA12" i="1"/>
  <c r="OW12" i="1"/>
  <c r="OV12" i="1"/>
  <c r="OX12" i="1" s="1"/>
  <c r="OU12" i="1"/>
  <c r="OR12" i="1"/>
  <c r="OO12" i="1"/>
  <c r="OL12" i="1"/>
  <c r="OH12" i="1"/>
  <c r="OG12" i="1"/>
  <c r="OI12" i="1" s="1"/>
  <c r="OF12" i="1"/>
  <c r="OC12" i="1"/>
  <c r="NZ12" i="1"/>
  <c r="NW12" i="1"/>
  <c r="NS12" i="1"/>
  <c r="NR12" i="1"/>
  <c r="NT12" i="1" s="1"/>
  <c r="NQ12" i="1"/>
  <c r="NN12" i="1"/>
  <c r="NK12" i="1"/>
  <c r="NH12" i="1"/>
  <c r="ND12" i="1"/>
  <c r="NC12" i="1"/>
  <c r="NE12" i="1" s="1"/>
  <c r="NB12" i="1"/>
  <c r="MY12" i="1"/>
  <c r="MV12" i="1"/>
  <c r="MS12" i="1"/>
  <c r="MO12" i="1"/>
  <c r="MN12" i="1"/>
  <c r="MP12" i="1" s="1"/>
  <c r="MM12" i="1"/>
  <c r="MJ12" i="1"/>
  <c r="MG12" i="1"/>
  <c r="MD12" i="1"/>
  <c r="LZ12" i="1"/>
  <c r="LY12" i="1"/>
  <c r="MA12" i="1" s="1"/>
  <c r="LX12" i="1"/>
  <c r="KV12" i="1"/>
  <c r="KU12" i="1"/>
  <c r="KW12" i="1" s="1"/>
  <c r="KT12" i="1"/>
  <c r="KG12" i="1"/>
  <c r="KF12" i="1"/>
  <c r="KH12" i="1" s="1"/>
  <c r="KE12" i="1"/>
  <c r="KB12" i="1"/>
  <c r="JY12" i="1"/>
  <c r="JV12" i="1"/>
  <c r="JR12" i="1"/>
  <c r="JQ12" i="1"/>
  <c r="JS12" i="1" s="1"/>
  <c r="JP12" i="1"/>
  <c r="JM12" i="1"/>
  <c r="JJ12" i="1"/>
  <c r="JG12" i="1"/>
  <c r="JC12" i="1"/>
  <c r="JB12" i="1"/>
  <c r="JD12" i="1" s="1"/>
  <c r="JA12" i="1"/>
  <c r="IX12" i="1"/>
  <c r="IU12" i="1"/>
  <c r="IR12" i="1"/>
  <c r="IN12" i="1"/>
  <c r="IM12" i="1"/>
  <c r="IO12" i="1" s="1"/>
  <c r="IL12" i="1"/>
  <c r="II12" i="1"/>
  <c r="IF12" i="1"/>
  <c r="IC12" i="1"/>
  <c r="HY12" i="1"/>
  <c r="HX12" i="1"/>
  <c r="HZ12" i="1" s="1"/>
  <c r="HW12" i="1"/>
  <c r="HT12" i="1"/>
  <c r="HQ12" i="1"/>
  <c r="HN12" i="1"/>
  <c r="HJ12" i="1"/>
  <c r="HI12" i="1"/>
  <c r="HK12" i="1" s="1"/>
  <c r="GU12" i="1"/>
  <c r="GT12" i="1"/>
  <c r="GV12" i="1" s="1"/>
  <c r="GS12" i="1"/>
  <c r="GP12" i="1"/>
  <c r="GM12" i="1"/>
  <c r="GJ12" i="1"/>
  <c r="GF12" i="1"/>
  <c r="GE12" i="1"/>
  <c r="GG12" i="1" s="1"/>
  <c r="GD12" i="1"/>
  <c r="GA12" i="1"/>
  <c r="FX12" i="1"/>
  <c r="FU12" i="1"/>
  <c r="FQ12" i="1"/>
  <c r="FP12" i="1"/>
  <c r="FR12" i="1" s="1"/>
  <c r="FO12" i="1"/>
  <c r="FL12" i="1"/>
  <c r="FI12" i="1"/>
  <c r="FF12" i="1"/>
  <c r="FB12" i="1"/>
  <c r="FA12" i="1"/>
  <c r="FC12" i="1" s="1"/>
  <c r="EZ12" i="1"/>
  <c r="EW12" i="1"/>
  <c r="ET12" i="1"/>
  <c r="EQ12" i="1"/>
  <c r="EM12" i="1"/>
  <c r="EL12" i="1"/>
  <c r="EN12" i="1" s="1"/>
  <c r="EK12" i="1"/>
  <c r="EH12" i="1"/>
  <c r="EE12" i="1"/>
  <c r="EB12" i="1"/>
  <c r="DX12" i="1"/>
  <c r="DW12" i="1"/>
  <c r="DY12" i="1" s="1"/>
  <c r="DI12" i="1"/>
  <c r="DH12" i="1"/>
  <c r="DJ12" i="1" s="1"/>
  <c r="CT12" i="1"/>
  <c r="CR12" i="1"/>
  <c r="CM12" i="1"/>
  <c r="CL12" i="1"/>
  <c r="CI12" i="1"/>
  <c r="CE12" i="1"/>
  <c r="CD12" i="1"/>
  <c r="CF12" i="1" s="1"/>
  <c r="BP12" i="1"/>
  <c r="BO12" i="1"/>
  <c r="BQ12" i="1" s="1"/>
  <c r="BN12" i="1"/>
  <c r="BK12" i="1"/>
  <c r="BH12" i="1"/>
  <c r="BE12" i="1"/>
  <c r="BA12" i="1"/>
  <c r="AZ12" i="1"/>
  <c r="BB12" i="1" s="1"/>
  <c r="AY12" i="1"/>
  <c r="AV12" i="1"/>
  <c r="AS12" i="1"/>
  <c r="AP12" i="1"/>
  <c r="AL12" i="1"/>
  <c r="AK12" i="1"/>
  <c r="AM12" i="1" s="1"/>
  <c r="AJ12" i="1"/>
  <c r="AG12" i="1"/>
  <c r="AD12" i="1"/>
  <c r="AA12" i="1"/>
  <c r="W12" i="1"/>
  <c r="V12" i="1"/>
  <c r="X12" i="1" s="1"/>
  <c r="U12" i="1"/>
  <c r="R12" i="1"/>
  <c r="O12" i="1"/>
  <c r="L12" i="1"/>
  <c r="I12" i="1"/>
  <c r="AAB11" i="1"/>
  <c r="AAA11" i="1"/>
  <c r="AAC11" i="1" s="1"/>
  <c r="ZZ11" i="1"/>
  <c r="ZV11" i="1"/>
  <c r="AAE11" i="1" s="1"/>
  <c r="ZU11" i="1"/>
  <c r="ZT11" i="1"/>
  <c r="ZQ11" i="1"/>
  <c r="ZN11" i="1"/>
  <c r="ZK11" i="1"/>
  <c r="ZG11" i="1"/>
  <c r="ZF11" i="1"/>
  <c r="ZH11" i="1" s="1"/>
  <c r="ZE11" i="1"/>
  <c r="ZB11" i="1"/>
  <c r="YY11" i="1"/>
  <c r="YV11" i="1"/>
  <c r="YR11" i="1"/>
  <c r="YQ11" i="1"/>
  <c r="YS11" i="1" s="1"/>
  <c r="YP11" i="1"/>
  <c r="YM11" i="1"/>
  <c r="YJ11" i="1"/>
  <c r="YG11" i="1"/>
  <c r="YC11" i="1"/>
  <c r="YB11" i="1"/>
  <c r="YD11" i="1" s="1"/>
  <c r="YA11" i="1"/>
  <c r="XX11" i="1"/>
  <c r="XU11" i="1"/>
  <c r="XR11" i="1"/>
  <c r="XN11" i="1"/>
  <c r="XM11" i="1"/>
  <c r="XO11" i="1" s="1"/>
  <c r="XL11" i="1"/>
  <c r="XI11" i="1"/>
  <c r="XF11" i="1"/>
  <c r="XC11" i="1"/>
  <c r="WY11" i="1"/>
  <c r="WX11" i="1"/>
  <c r="WZ11" i="1" s="1"/>
  <c r="WW11" i="1"/>
  <c r="WT11" i="1"/>
  <c r="WQ11" i="1"/>
  <c r="WN11" i="1"/>
  <c r="WJ11" i="1"/>
  <c r="WI11" i="1"/>
  <c r="WK11" i="1" s="1"/>
  <c r="WH11" i="1"/>
  <c r="WE11" i="1"/>
  <c r="WB11" i="1"/>
  <c r="VY11" i="1"/>
  <c r="VU11" i="1"/>
  <c r="VT11" i="1"/>
  <c r="VV11" i="1" s="1"/>
  <c r="VS11" i="1"/>
  <c r="VP11" i="1"/>
  <c r="VM11" i="1"/>
  <c r="VJ11" i="1"/>
  <c r="VF11" i="1"/>
  <c r="VE11" i="1"/>
  <c r="VG11" i="1" s="1"/>
  <c r="VD11" i="1"/>
  <c r="VA11" i="1"/>
  <c r="UX11" i="1"/>
  <c r="UU11" i="1"/>
  <c r="UQ11" i="1"/>
  <c r="UP11" i="1"/>
  <c r="UR11" i="1" s="1"/>
  <c r="UO11" i="1"/>
  <c r="UB11" i="1"/>
  <c r="UA11" i="1"/>
  <c r="UC11" i="1" s="1"/>
  <c r="TZ11" i="1"/>
  <c r="TW11" i="1"/>
  <c r="TT11" i="1"/>
  <c r="TQ11" i="1"/>
  <c r="TM11" i="1"/>
  <c r="TL11" i="1"/>
  <c r="TN11" i="1" s="1"/>
  <c r="TK11" i="1"/>
  <c r="TH11" i="1"/>
  <c r="TE11" i="1"/>
  <c r="TB11" i="1"/>
  <c r="SX11" i="1"/>
  <c r="SW11" i="1"/>
  <c r="SY11" i="1" s="1"/>
  <c r="SV11" i="1"/>
  <c r="SS11" i="1"/>
  <c r="SP11" i="1"/>
  <c r="SM11" i="1"/>
  <c r="SI11" i="1"/>
  <c r="SH11" i="1"/>
  <c r="SJ11" i="1" s="1"/>
  <c r="SG11" i="1"/>
  <c r="SD11" i="1"/>
  <c r="SA11" i="1"/>
  <c r="RX11" i="1"/>
  <c r="RT11" i="1"/>
  <c r="RS11" i="1"/>
  <c r="RU11" i="1" s="1"/>
  <c r="RR11" i="1"/>
  <c r="RO11" i="1"/>
  <c r="RL11" i="1"/>
  <c r="RI11" i="1"/>
  <c r="RE11" i="1"/>
  <c r="RD11" i="1"/>
  <c r="RF11" i="1" s="1"/>
  <c r="RC11" i="1"/>
  <c r="QZ11" i="1"/>
  <c r="QW11" i="1"/>
  <c r="QT11" i="1"/>
  <c r="QP11" i="1"/>
  <c r="QO11" i="1"/>
  <c r="QQ11" i="1" s="1"/>
  <c r="QN11" i="1"/>
  <c r="QK11" i="1"/>
  <c r="QH11" i="1"/>
  <c r="QE11" i="1"/>
  <c r="QA11" i="1"/>
  <c r="PZ11" i="1"/>
  <c r="QB11" i="1" s="1"/>
  <c r="PY11" i="1"/>
  <c r="PV11" i="1"/>
  <c r="PS11" i="1"/>
  <c r="PP11" i="1"/>
  <c r="PL11" i="1"/>
  <c r="PK11" i="1"/>
  <c r="PM11" i="1" s="1"/>
  <c r="PJ11" i="1"/>
  <c r="PG11" i="1"/>
  <c r="PD11" i="1"/>
  <c r="PA11" i="1"/>
  <c r="OW11" i="1"/>
  <c r="OV11" i="1"/>
  <c r="OX11" i="1" s="1"/>
  <c r="OU11" i="1"/>
  <c r="OR11" i="1"/>
  <c r="OO11" i="1"/>
  <c r="OL11" i="1"/>
  <c r="OH11" i="1"/>
  <c r="OG11" i="1"/>
  <c r="OI11" i="1" s="1"/>
  <c r="OF11" i="1"/>
  <c r="OC11" i="1"/>
  <c r="NZ11" i="1"/>
  <c r="NW11" i="1"/>
  <c r="NS11" i="1"/>
  <c r="NR11" i="1"/>
  <c r="NT11" i="1" s="1"/>
  <c r="NQ11" i="1"/>
  <c r="NN11" i="1"/>
  <c r="NK11" i="1"/>
  <c r="NH11" i="1"/>
  <c r="ND11" i="1"/>
  <c r="NC11" i="1"/>
  <c r="NE11" i="1" s="1"/>
  <c r="NB11" i="1"/>
  <c r="MY11" i="1"/>
  <c r="MV11" i="1"/>
  <c r="MS11" i="1"/>
  <c r="MO11" i="1"/>
  <c r="MN11" i="1"/>
  <c r="MP11" i="1" s="1"/>
  <c r="MM11" i="1"/>
  <c r="MJ11" i="1"/>
  <c r="MG11" i="1"/>
  <c r="MD11" i="1"/>
  <c r="LZ11" i="1"/>
  <c r="LY11" i="1"/>
  <c r="MA11" i="1" s="1"/>
  <c r="LX11" i="1"/>
  <c r="KV11" i="1"/>
  <c r="KU11" i="1"/>
  <c r="KW11" i="1" s="1"/>
  <c r="KT11" i="1"/>
  <c r="KG11" i="1"/>
  <c r="KF11" i="1"/>
  <c r="KH11" i="1" s="1"/>
  <c r="KE11" i="1"/>
  <c r="KB11" i="1"/>
  <c r="JY11" i="1"/>
  <c r="JV11" i="1"/>
  <c r="JR11" i="1"/>
  <c r="JQ11" i="1"/>
  <c r="JS11" i="1" s="1"/>
  <c r="JP11" i="1"/>
  <c r="JM11" i="1"/>
  <c r="JJ11" i="1"/>
  <c r="JG11" i="1"/>
  <c r="JC11" i="1"/>
  <c r="JB11" i="1"/>
  <c r="JD11" i="1" s="1"/>
  <c r="JA11" i="1"/>
  <c r="IX11" i="1"/>
  <c r="IU11" i="1"/>
  <c r="IR11" i="1"/>
  <c r="IN11" i="1"/>
  <c r="IM11" i="1"/>
  <c r="IO11" i="1" s="1"/>
  <c r="IL11" i="1"/>
  <c r="II11" i="1"/>
  <c r="IF11" i="1"/>
  <c r="IC11" i="1"/>
  <c r="HY11" i="1"/>
  <c r="HX11" i="1"/>
  <c r="HZ11" i="1" s="1"/>
  <c r="HW11" i="1"/>
  <c r="HT11" i="1"/>
  <c r="HQ11" i="1"/>
  <c r="HN11" i="1"/>
  <c r="HJ11" i="1"/>
  <c r="HI11" i="1"/>
  <c r="HK11" i="1" s="1"/>
  <c r="GU11" i="1"/>
  <c r="GT11" i="1"/>
  <c r="GV11" i="1" s="1"/>
  <c r="GS11" i="1"/>
  <c r="GP11" i="1"/>
  <c r="GM11" i="1"/>
  <c r="GJ11" i="1"/>
  <c r="GF11" i="1"/>
  <c r="GE11" i="1"/>
  <c r="GG11" i="1" s="1"/>
  <c r="GD11" i="1"/>
  <c r="GA11" i="1"/>
  <c r="FX11" i="1"/>
  <c r="FU11" i="1"/>
  <c r="FQ11" i="1"/>
  <c r="FP11" i="1"/>
  <c r="FR11" i="1" s="1"/>
  <c r="FO11" i="1"/>
  <c r="FL11" i="1"/>
  <c r="FI11" i="1"/>
  <c r="FF11" i="1"/>
  <c r="FB11" i="1"/>
  <c r="FA11" i="1"/>
  <c r="FC11" i="1" s="1"/>
  <c r="EZ11" i="1"/>
  <c r="EW11" i="1"/>
  <c r="ET11" i="1"/>
  <c r="EQ11" i="1"/>
  <c r="EM11" i="1"/>
  <c r="EL11" i="1"/>
  <c r="EN11" i="1" s="1"/>
  <c r="EK11" i="1"/>
  <c r="EH11" i="1"/>
  <c r="EE11" i="1"/>
  <c r="EB11" i="1"/>
  <c r="DX11" i="1"/>
  <c r="DW11" i="1"/>
  <c r="DY11" i="1" s="1"/>
  <c r="DI11" i="1"/>
  <c r="DH11" i="1"/>
  <c r="DJ11" i="1" s="1"/>
  <c r="CT11" i="1"/>
  <c r="CS11" i="1"/>
  <c r="CU11" i="1" s="1"/>
  <c r="CR11" i="1"/>
  <c r="CO11" i="1"/>
  <c r="CL11" i="1"/>
  <c r="CI11" i="1"/>
  <c r="CE11" i="1"/>
  <c r="CD11" i="1"/>
  <c r="CF11" i="1" s="1"/>
  <c r="BP11" i="1"/>
  <c r="BO11" i="1"/>
  <c r="BQ11" i="1" s="1"/>
  <c r="BN11" i="1"/>
  <c r="BK11" i="1"/>
  <c r="BH11" i="1"/>
  <c r="BE11" i="1"/>
  <c r="BA11" i="1"/>
  <c r="AZ11" i="1"/>
  <c r="BB11" i="1" s="1"/>
  <c r="AY11" i="1"/>
  <c r="AV11" i="1"/>
  <c r="AS11" i="1"/>
  <c r="AP11" i="1"/>
  <c r="AL11" i="1"/>
  <c r="AK11" i="1"/>
  <c r="AM11" i="1" s="1"/>
  <c r="AJ11" i="1"/>
  <c r="AG11" i="1"/>
  <c r="AD11" i="1"/>
  <c r="AA11" i="1"/>
  <c r="W11" i="1"/>
  <c r="V11" i="1"/>
  <c r="X11" i="1" s="1"/>
  <c r="U11" i="1"/>
  <c r="R11" i="1"/>
  <c r="O11" i="1"/>
  <c r="L11" i="1"/>
  <c r="I11" i="1"/>
  <c r="AAB10" i="1"/>
  <c r="AAA10" i="1"/>
  <c r="AAC10" i="1" s="1"/>
  <c r="ZZ10" i="1"/>
  <c r="ZV10" i="1"/>
  <c r="AAE10" i="1" s="1"/>
  <c r="ZU10" i="1"/>
  <c r="ZT10" i="1"/>
  <c r="ZQ10" i="1"/>
  <c r="ZN10" i="1"/>
  <c r="ZK10" i="1"/>
  <c r="ZG10" i="1"/>
  <c r="ZF10" i="1"/>
  <c r="ZH10" i="1" s="1"/>
  <c r="ZE10" i="1"/>
  <c r="ZB10" i="1"/>
  <c r="YY10" i="1"/>
  <c r="YV10" i="1"/>
  <c r="YR10" i="1"/>
  <c r="YQ10" i="1"/>
  <c r="YS10" i="1" s="1"/>
  <c r="YP10" i="1"/>
  <c r="YM10" i="1"/>
  <c r="YJ10" i="1"/>
  <c r="YG10" i="1"/>
  <c r="YC10" i="1"/>
  <c r="YB10" i="1"/>
  <c r="YD10" i="1" s="1"/>
  <c r="YA10" i="1"/>
  <c r="XX10" i="1"/>
  <c r="XU10" i="1"/>
  <c r="XR10" i="1"/>
  <c r="XN10" i="1"/>
  <c r="XM10" i="1"/>
  <c r="XO10" i="1" s="1"/>
  <c r="XL10" i="1"/>
  <c r="XI10" i="1"/>
  <c r="XF10" i="1"/>
  <c r="XC10" i="1"/>
  <c r="WY10" i="1"/>
  <c r="WX10" i="1"/>
  <c r="WZ10" i="1" s="1"/>
  <c r="WW10" i="1"/>
  <c r="WT10" i="1"/>
  <c r="WQ10" i="1"/>
  <c r="WN10" i="1"/>
  <c r="WJ10" i="1"/>
  <c r="WI10" i="1"/>
  <c r="WK10" i="1" s="1"/>
  <c r="WH10" i="1"/>
  <c r="WE10" i="1"/>
  <c r="WB10" i="1"/>
  <c r="VY10" i="1"/>
  <c r="VU10" i="1"/>
  <c r="VT10" i="1"/>
  <c r="VV10" i="1" s="1"/>
  <c r="VS10" i="1"/>
  <c r="VP10" i="1"/>
  <c r="VM10" i="1"/>
  <c r="VJ10" i="1"/>
  <c r="VF10" i="1"/>
  <c r="VE10" i="1"/>
  <c r="VG10" i="1" s="1"/>
  <c r="VD10" i="1"/>
  <c r="VA10" i="1"/>
  <c r="UX10" i="1"/>
  <c r="UU10" i="1"/>
  <c r="UQ10" i="1"/>
  <c r="UP10" i="1"/>
  <c r="UR10" i="1" s="1"/>
  <c r="UO10" i="1"/>
  <c r="UB10" i="1"/>
  <c r="UA10" i="1"/>
  <c r="UC10" i="1" s="1"/>
  <c r="TZ10" i="1"/>
  <c r="TW10" i="1"/>
  <c r="TT10" i="1"/>
  <c r="TQ10" i="1"/>
  <c r="TM10" i="1"/>
  <c r="TL10" i="1"/>
  <c r="TN10" i="1" s="1"/>
  <c r="TK10" i="1"/>
  <c r="TH10" i="1"/>
  <c r="TE10" i="1"/>
  <c r="TB10" i="1"/>
  <c r="SX10" i="1"/>
  <c r="SW10" i="1"/>
  <c r="SY10" i="1" s="1"/>
  <c r="SV10" i="1"/>
  <c r="SS10" i="1"/>
  <c r="SP10" i="1"/>
  <c r="SM10" i="1"/>
  <c r="SI10" i="1"/>
  <c r="SH10" i="1"/>
  <c r="SJ10" i="1" s="1"/>
  <c r="SG10" i="1"/>
  <c r="SD10" i="1"/>
  <c r="SA10" i="1"/>
  <c r="RX10" i="1"/>
  <c r="RT10" i="1"/>
  <c r="RS10" i="1"/>
  <c r="RU10" i="1" s="1"/>
  <c r="RR10" i="1"/>
  <c r="RO10" i="1"/>
  <c r="RL10" i="1"/>
  <c r="RI10" i="1"/>
  <c r="RE10" i="1"/>
  <c r="RD10" i="1"/>
  <c r="RF10" i="1" s="1"/>
  <c r="RC10" i="1"/>
  <c r="QZ10" i="1"/>
  <c r="QW10" i="1"/>
  <c r="QT10" i="1"/>
  <c r="QP10" i="1"/>
  <c r="QO10" i="1"/>
  <c r="QQ10" i="1" s="1"/>
  <c r="QN10" i="1"/>
  <c r="QK10" i="1"/>
  <c r="QH10" i="1"/>
  <c r="QE10" i="1"/>
  <c r="QA10" i="1"/>
  <c r="PZ10" i="1"/>
  <c r="QB10" i="1" s="1"/>
  <c r="PY10" i="1"/>
  <c r="PV10" i="1"/>
  <c r="PS10" i="1"/>
  <c r="PP10" i="1"/>
  <c r="PL10" i="1"/>
  <c r="PK10" i="1"/>
  <c r="PM10" i="1" s="1"/>
  <c r="PJ10" i="1"/>
  <c r="PG10" i="1"/>
  <c r="PD10" i="1"/>
  <c r="PA10" i="1"/>
  <c r="OW10" i="1"/>
  <c r="OV10" i="1"/>
  <c r="OX10" i="1" s="1"/>
  <c r="OU10" i="1"/>
  <c r="OR10" i="1"/>
  <c r="OO10" i="1"/>
  <c r="OL10" i="1"/>
  <c r="OH10" i="1"/>
  <c r="OG10" i="1"/>
  <c r="OI10" i="1" s="1"/>
  <c r="OF10" i="1"/>
  <c r="OC10" i="1"/>
  <c r="NZ10" i="1"/>
  <c r="NW10" i="1"/>
  <c r="NS10" i="1"/>
  <c r="NR10" i="1"/>
  <c r="NT10" i="1" s="1"/>
  <c r="NQ10" i="1"/>
  <c r="NN10" i="1"/>
  <c r="NK10" i="1"/>
  <c r="NH10" i="1"/>
  <c r="ND10" i="1"/>
  <c r="NC10" i="1"/>
  <c r="NE10" i="1" s="1"/>
  <c r="NB10" i="1"/>
  <c r="MY10" i="1"/>
  <c r="MV10" i="1"/>
  <c r="MS10" i="1"/>
  <c r="MO10" i="1"/>
  <c r="MN10" i="1"/>
  <c r="MP10" i="1" s="1"/>
  <c r="MM10" i="1"/>
  <c r="MJ10" i="1"/>
  <c r="MG10" i="1"/>
  <c r="MD10" i="1"/>
  <c r="LZ10" i="1"/>
  <c r="LY10" i="1"/>
  <c r="MA10" i="1" s="1"/>
  <c r="LX10" i="1"/>
  <c r="KV10" i="1"/>
  <c r="KU10" i="1"/>
  <c r="KW10" i="1" s="1"/>
  <c r="KT10" i="1"/>
  <c r="KG10" i="1"/>
  <c r="KF10" i="1"/>
  <c r="KH10" i="1" s="1"/>
  <c r="KE10" i="1"/>
  <c r="KB10" i="1"/>
  <c r="JY10" i="1"/>
  <c r="JV10" i="1"/>
  <c r="JR10" i="1"/>
  <c r="JQ10" i="1"/>
  <c r="JS10" i="1" s="1"/>
  <c r="JP10" i="1"/>
  <c r="JM10" i="1"/>
  <c r="JJ10" i="1"/>
  <c r="JG10" i="1"/>
  <c r="JC10" i="1"/>
  <c r="JB10" i="1"/>
  <c r="JD10" i="1" s="1"/>
  <c r="JA10" i="1"/>
  <c r="IX10" i="1"/>
  <c r="IU10" i="1"/>
  <c r="IR10" i="1"/>
  <c r="IN10" i="1"/>
  <c r="IM10" i="1"/>
  <c r="IO10" i="1" s="1"/>
  <c r="IL10" i="1"/>
  <c r="II10" i="1"/>
  <c r="IF10" i="1"/>
  <c r="IC10" i="1"/>
  <c r="HY10" i="1"/>
  <c r="HX10" i="1"/>
  <c r="HZ10" i="1" s="1"/>
  <c r="HW10" i="1"/>
  <c r="HT10" i="1"/>
  <c r="HQ10" i="1"/>
  <c r="HN10" i="1"/>
  <c r="HJ10" i="1"/>
  <c r="HI10" i="1"/>
  <c r="HK10" i="1" s="1"/>
  <c r="GU10" i="1"/>
  <c r="GT10" i="1"/>
  <c r="GV10" i="1" s="1"/>
  <c r="GS10" i="1"/>
  <c r="GP10" i="1"/>
  <c r="GM10" i="1"/>
  <c r="GJ10" i="1"/>
  <c r="GF10" i="1"/>
  <c r="GE10" i="1"/>
  <c r="GG10" i="1" s="1"/>
  <c r="GD10" i="1"/>
  <c r="GA10" i="1"/>
  <c r="FX10" i="1"/>
  <c r="FU10" i="1"/>
  <c r="FQ10" i="1"/>
  <c r="FP10" i="1"/>
  <c r="FR10" i="1" s="1"/>
  <c r="FO10" i="1"/>
  <c r="FL10" i="1"/>
  <c r="FI10" i="1"/>
  <c r="FF10" i="1"/>
  <c r="FB10" i="1"/>
  <c r="FA10" i="1"/>
  <c r="FC10" i="1" s="1"/>
  <c r="EZ10" i="1"/>
  <c r="EW10" i="1"/>
  <c r="ET10" i="1"/>
  <c r="EQ10" i="1"/>
  <c r="EM10" i="1"/>
  <c r="EL10" i="1"/>
  <c r="EN10" i="1" s="1"/>
  <c r="EK10" i="1"/>
  <c r="EH10" i="1"/>
  <c r="EE10" i="1"/>
  <c r="EB10" i="1"/>
  <c r="DX10" i="1"/>
  <c r="DW10" i="1"/>
  <c r="DY10" i="1" s="1"/>
  <c r="DI10" i="1"/>
  <c r="DH10" i="1"/>
  <c r="DJ10" i="1" s="1"/>
  <c r="CT10" i="1"/>
  <c r="CS10" i="1"/>
  <c r="CU10" i="1" s="1"/>
  <c r="CR10" i="1"/>
  <c r="CO10" i="1"/>
  <c r="CL10" i="1"/>
  <c r="CI10" i="1"/>
  <c r="CE10" i="1"/>
  <c r="CD10" i="1"/>
  <c r="CF10" i="1" s="1"/>
  <c r="BP10" i="1"/>
  <c r="BO10" i="1"/>
  <c r="BQ10" i="1" s="1"/>
  <c r="BN10" i="1"/>
  <c r="BK10" i="1"/>
  <c r="BH10" i="1"/>
  <c r="BE10" i="1"/>
  <c r="BA10" i="1"/>
  <c r="AZ10" i="1"/>
  <c r="BB10" i="1" s="1"/>
  <c r="AY10" i="1"/>
  <c r="AV10" i="1"/>
  <c r="AS10" i="1"/>
  <c r="AP10" i="1"/>
  <c r="AL10" i="1"/>
  <c r="AK10" i="1"/>
  <c r="AM10" i="1" s="1"/>
  <c r="AJ10" i="1"/>
  <c r="AG10" i="1"/>
  <c r="AD10" i="1"/>
  <c r="AA10" i="1"/>
  <c r="W10" i="1"/>
  <c r="V10" i="1"/>
  <c r="X10" i="1" s="1"/>
  <c r="U10" i="1"/>
  <c r="R10" i="1"/>
  <c r="O10" i="1"/>
  <c r="L10" i="1"/>
  <c r="I10" i="1"/>
  <c r="AAB9" i="1"/>
  <c r="AAA9" i="1"/>
  <c r="AAC9" i="1" s="1"/>
  <c r="ZZ9" i="1"/>
  <c r="ZV9" i="1"/>
  <c r="AAE9" i="1" s="1"/>
  <c r="ZU9" i="1"/>
  <c r="ZT9" i="1"/>
  <c r="ZQ9" i="1"/>
  <c r="ZN9" i="1"/>
  <c r="ZK9" i="1"/>
  <c r="ZG9" i="1"/>
  <c r="ZF9" i="1"/>
  <c r="ZH9" i="1" s="1"/>
  <c r="ZE9" i="1"/>
  <c r="ZB9" i="1"/>
  <c r="YY9" i="1"/>
  <c r="YV9" i="1"/>
  <c r="YR9" i="1"/>
  <c r="YQ9" i="1"/>
  <c r="YS9" i="1" s="1"/>
  <c r="YP9" i="1"/>
  <c r="YM9" i="1"/>
  <c r="YJ9" i="1"/>
  <c r="YG9" i="1"/>
  <c r="YC9" i="1"/>
  <c r="YB9" i="1"/>
  <c r="YD9" i="1" s="1"/>
  <c r="YA9" i="1"/>
  <c r="XX9" i="1"/>
  <c r="XU9" i="1"/>
  <c r="XR9" i="1"/>
  <c r="XN9" i="1"/>
  <c r="XM9" i="1"/>
  <c r="XO9" i="1" s="1"/>
  <c r="XL9" i="1"/>
  <c r="XI9" i="1"/>
  <c r="XF9" i="1"/>
  <c r="XC9" i="1"/>
  <c r="WY9" i="1"/>
  <c r="WX9" i="1"/>
  <c r="WZ9" i="1" s="1"/>
  <c r="WW9" i="1"/>
  <c r="WT9" i="1"/>
  <c r="WQ9" i="1"/>
  <c r="WN9" i="1"/>
  <c r="WJ9" i="1"/>
  <c r="WI9" i="1"/>
  <c r="WK9" i="1" s="1"/>
  <c r="WH9" i="1"/>
  <c r="WE9" i="1"/>
  <c r="WB9" i="1"/>
  <c r="VY9" i="1"/>
  <c r="VU9" i="1"/>
  <c r="VT9" i="1"/>
  <c r="VV9" i="1" s="1"/>
  <c r="VS9" i="1"/>
  <c r="VP9" i="1"/>
  <c r="VM9" i="1"/>
  <c r="VJ9" i="1"/>
  <c r="VF9" i="1"/>
  <c r="VE9" i="1"/>
  <c r="VG9" i="1" s="1"/>
  <c r="VD9" i="1"/>
  <c r="VA9" i="1"/>
  <c r="UX9" i="1"/>
  <c r="UU9" i="1"/>
  <c r="UQ9" i="1"/>
  <c r="UP9" i="1"/>
  <c r="UR9" i="1" s="1"/>
  <c r="UO9" i="1"/>
  <c r="UB9" i="1"/>
  <c r="UA9" i="1"/>
  <c r="UC9" i="1" s="1"/>
  <c r="TZ9" i="1"/>
  <c r="TW9" i="1"/>
  <c r="TT9" i="1"/>
  <c r="TQ9" i="1"/>
  <c r="TM9" i="1"/>
  <c r="TL9" i="1"/>
  <c r="TN9" i="1" s="1"/>
  <c r="TK9" i="1"/>
  <c r="TH9" i="1"/>
  <c r="TE9" i="1"/>
  <c r="TB9" i="1"/>
  <c r="SX9" i="1"/>
  <c r="SW9" i="1"/>
  <c r="SY9" i="1" s="1"/>
  <c r="SV9" i="1"/>
  <c r="SS9" i="1"/>
  <c r="SP9" i="1"/>
  <c r="SM9" i="1"/>
  <c r="SI9" i="1"/>
  <c r="SH9" i="1"/>
  <c r="SJ9" i="1" s="1"/>
  <c r="SG9" i="1"/>
  <c r="SD9" i="1"/>
  <c r="SA9" i="1"/>
  <c r="RX9" i="1"/>
  <c r="RT9" i="1"/>
  <c r="RS9" i="1"/>
  <c r="RU9" i="1" s="1"/>
  <c r="RR9" i="1"/>
  <c r="RO9" i="1"/>
  <c r="RL9" i="1"/>
  <c r="RI9" i="1"/>
  <c r="RE9" i="1"/>
  <c r="RD9" i="1"/>
  <c r="RF9" i="1" s="1"/>
  <c r="RC9" i="1"/>
  <c r="QZ9" i="1"/>
  <c r="QW9" i="1"/>
  <c r="QT9" i="1"/>
  <c r="QP9" i="1"/>
  <c r="QO9" i="1"/>
  <c r="QQ9" i="1" s="1"/>
  <c r="QN9" i="1"/>
  <c r="QK9" i="1"/>
  <c r="QH9" i="1"/>
  <c r="QE9" i="1"/>
  <c r="QA9" i="1"/>
  <c r="PZ9" i="1"/>
  <c r="QB9" i="1" s="1"/>
  <c r="PY9" i="1"/>
  <c r="PV9" i="1"/>
  <c r="PS9" i="1"/>
  <c r="PP9" i="1"/>
  <c r="PL9" i="1"/>
  <c r="PK9" i="1"/>
  <c r="PM9" i="1" s="1"/>
  <c r="PJ9" i="1"/>
  <c r="PG9" i="1"/>
  <c r="PD9" i="1"/>
  <c r="PA9" i="1"/>
  <c r="OW9" i="1"/>
  <c r="OV9" i="1"/>
  <c r="OX9" i="1" s="1"/>
  <c r="OU9" i="1"/>
  <c r="OR9" i="1"/>
  <c r="OO9" i="1"/>
  <c r="OL9" i="1"/>
  <c r="OH9" i="1"/>
  <c r="OG9" i="1"/>
  <c r="OI9" i="1" s="1"/>
  <c r="OF9" i="1"/>
  <c r="OC9" i="1"/>
  <c r="NZ9" i="1"/>
  <c r="NW9" i="1"/>
  <c r="NS9" i="1"/>
  <c r="NR9" i="1"/>
  <c r="NT9" i="1" s="1"/>
  <c r="NQ9" i="1"/>
  <c r="NN9" i="1"/>
  <c r="NK9" i="1"/>
  <c r="NH9" i="1"/>
  <c r="ND9" i="1"/>
  <c r="NC9" i="1"/>
  <c r="NE9" i="1" s="1"/>
  <c r="NB9" i="1"/>
  <c r="MY9" i="1"/>
  <c r="MV9" i="1"/>
  <c r="MS9" i="1"/>
  <c r="MO9" i="1"/>
  <c r="MN9" i="1"/>
  <c r="MP9" i="1" s="1"/>
  <c r="MM9" i="1"/>
  <c r="MJ9" i="1"/>
  <c r="MG9" i="1"/>
  <c r="MD9" i="1"/>
  <c r="LZ9" i="1"/>
  <c r="LY9" i="1"/>
  <c r="MA9" i="1" s="1"/>
  <c r="LX9" i="1"/>
  <c r="KV9" i="1"/>
  <c r="KU9" i="1"/>
  <c r="KW9" i="1" s="1"/>
  <c r="KT9" i="1"/>
  <c r="KG9" i="1"/>
  <c r="KF9" i="1"/>
  <c r="KH9" i="1" s="1"/>
  <c r="KE9" i="1"/>
  <c r="KB9" i="1"/>
  <c r="JY9" i="1"/>
  <c r="JV9" i="1"/>
  <c r="JR9" i="1"/>
  <c r="JQ9" i="1"/>
  <c r="JS9" i="1" s="1"/>
  <c r="JP9" i="1"/>
  <c r="JM9" i="1"/>
  <c r="JJ9" i="1"/>
  <c r="JG9" i="1"/>
  <c r="JC9" i="1"/>
  <c r="JB9" i="1"/>
  <c r="JD9" i="1" s="1"/>
  <c r="JA9" i="1"/>
  <c r="IX9" i="1"/>
  <c r="IU9" i="1"/>
  <c r="IR9" i="1"/>
  <c r="IN9" i="1"/>
  <c r="IM9" i="1"/>
  <c r="IO9" i="1" s="1"/>
  <c r="IL9" i="1"/>
  <c r="II9" i="1"/>
  <c r="IF9" i="1"/>
  <c r="IC9" i="1"/>
  <c r="HY9" i="1"/>
  <c r="HX9" i="1"/>
  <c r="HZ9" i="1" s="1"/>
  <c r="HW9" i="1"/>
  <c r="HT9" i="1"/>
  <c r="HQ9" i="1"/>
  <c r="HN9" i="1"/>
  <c r="HJ9" i="1"/>
  <c r="HI9" i="1"/>
  <c r="HK9" i="1" s="1"/>
  <c r="GU9" i="1"/>
  <c r="GT9" i="1"/>
  <c r="GV9" i="1" s="1"/>
  <c r="GS9" i="1"/>
  <c r="GP9" i="1"/>
  <c r="GM9" i="1"/>
  <c r="GJ9" i="1"/>
  <c r="GF9" i="1"/>
  <c r="GE9" i="1"/>
  <c r="GG9" i="1" s="1"/>
  <c r="GD9" i="1"/>
  <c r="GA9" i="1"/>
  <c r="FX9" i="1"/>
  <c r="FU9" i="1"/>
  <c r="FQ9" i="1"/>
  <c r="FP9" i="1"/>
  <c r="FR9" i="1" s="1"/>
  <c r="FO9" i="1"/>
  <c r="FL9" i="1"/>
  <c r="FI9" i="1"/>
  <c r="FF9" i="1"/>
  <c r="FB9" i="1"/>
  <c r="FA9" i="1"/>
  <c r="FC9" i="1" s="1"/>
  <c r="EZ9" i="1"/>
  <c r="EW9" i="1"/>
  <c r="ET9" i="1"/>
  <c r="EQ9" i="1"/>
  <c r="EM9" i="1"/>
  <c r="EL9" i="1"/>
  <c r="EN9" i="1" s="1"/>
  <c r="EK9" i="1"/>
  <c r="EH9" i="1"/>
  <c r="EE9" i="1"/>
  <c r="EB9" i="1"/>
  <c r="DX9" i="1"/>
  <c r="DW9" i="1"/>
  <c r="DY9" i="1" s="1"/>
  <c r="DI9" i="1"/>
  <c r="DH9" i="1"/>
  <c r="DJ9" i="1" s="1"/>
  <c r="CT9" i="1"/>
  <c r="CS9" i="1"/>
  <c r="CU9" i="1" s="1"/>
  <c r="CR9" i="1"/>
  <c r="CO9" i="1"/>
  <c r="CL9" i="1"/>
  <c r="CI9" i="1"/>
  <c r="CE9" i="1"/>
  <c r="CD9" i="1"/>
  <c r="CF9" i="1" s="1"/>
  <c r="BP9" i="1"/>
  <c r="BO9" i="1"/>
  <c r="BQ9" i="1" s="1"/>
  <c r="BN9" i="1"/>
  <c r="BK9" i="1"/>
  <c r="BH9" i="1"/>
  <c r="BE9" i="1"/>
  <c r="BA9" i="1"/>
  <c r="AZ9" i="1"/>
  <c r="BB9" i="1" s="1"/>
  <c r="AY9" i="1"/>
  <c r="AV9" i="1"/>
  <c r="AS9" i="1"/>
  <c r="AP9" i="1"/>
  <c r="AL9" i="1"/>
  <c r="AK9" i="1"/>
  <c r="AM9" i="1" s="1"/>
  <c r="AJ9" i="1"/>
  <c r="AG9" i="1"/>
  <c r="AD9" i="1"/>
  <c r="AA9" i="1"/>
  <c r="W9" i="1"/>
  <c r="V9" i="1"/>
  <c r="X9" i="1" s="1"/>
  <c r="U9" i="1"/>
  <c r="R9" i="1"/>
  <c r="O9" i="1"/>
  <c r="L9" i="1"/>
  <c r="I9" i="1"/>
  <c r="AAB8" i="1"/>
  <c r="AAA8" i="1"/>
  <c r="AAC8" i="1" s="1"/>
  <c r="ZZ8" i="1"/>
  <c r="ZV8" i="1"/>
  <c r="AAE8" i="1" s="1"/>
  <c r="ZU8" i="1"/>
  <c r="ZT8" i="1"/>
  <c r="ZQ8" i="1"/>
  <c r="ZN8" i="1"/>
  <c r="ZK8" i="1"/>
  <c r="ZG8" i="1"/>
  <c r="ZF8" i="1"/>
  <c r="ZH8" i="1" s="1"/>
  <c r="ZE8" i="1"/>
  <c r="ZB8" i="1"/>
  <c r="YY8" i="1"/>
  <c r="YV8" i="1"/>
  <c r="YR8" i="1"/>
  <c r="YQ8" i="1"/>
  <c r="YS8" i="1" s="1"/>
  <c r="YP8" i="1"/>
  <c r="YM8" i="1"/>
  <c r="YJ8" i="1"/>
  <c r="YG8" i="1"/>
  <c r="YC8" i="1"/>
  <c r="YB8" i="1"/>
  <c r="YD8" i="1" s="1"/>
  <c r="YA8" i="1"/>
  <c r="XX8" i="1"/>
  <c r="XU8" i="1"/>
  <c r="XR8" i="1"/>
  <c r="XN8" i="1"/>
  <c r="XM8" i="1"/>
  <c r="XO8" i="1" s="1"/>
  <c r="XL8" i="1"/>
  <c r="XI8" i="1"/>
  <c r="XF8" i="1"/>
  <c r="XC8" i="1"/>
  <c r="WY8" i="1"/>
  <c r="WX8" i="1"/>
  <c r="WZ8" i="1" s="1"/>
  <c r="WW8" i="1"/>
  <c r="WT8" i="1"/>
  <c r="WQ8" i="1"/>
  <c r="WN8" i="1"/>
  <c r="WJ8" i="1"/>
  <c r="WI8" i="1"/>
  <c r="WK8" i="1" s="1"/>
  <c r="WH8" i="1"/>
  <c r="WE8" i="1"/>
  <c r="WB8" i="1"/>
  <c r="VY8" i="1"/>
  <c r="VU8" i="1"/>
  <c r="VT8" i="1"/>
  <c r="VV8" i="1" s="1"/>
  <c r="VS8" i="1"/>
  <c r="VP8" i="1"/>
  <c r="VM8" i="1"/>
  <c r="VJ8" i="1"/>
  <c r="VF8" i="1"/>
  <c r="VE8" i="1"/>
  <c r="VG8" i="1" s="1"/>
  <c r="VD8" i="1"/>
  <c r="VA8" i="1"/>
  <c r="UX8" i="1"/>
  <c r="UU8" i="1"/>
  <c r="UQ8" i="1"/>
  <c r="UP8" i="1"/>
  <c r="UR8" i="1" s="1"/>
  <c r="UO8" i="1"/>
  <c r="UB8" i="1"/>
  <c r="UA8" i="1"/>
  <c r="UC8" i="1" s="1"/>
  <c r="TZ8" i="1"/>
  <c r="TW8" i="1"/>
  <c r="TT8" i="1"/>
  <c r="TQ8" i="1"/>
  <c r="TM8" i="1"/>
  <c r="TL8" i="1"/>
  <c r="TN8" i="1" s="1"/>
  <c r="TK8" i="1"/>
  <c r="TH8" i="1"/>
  <c r="TE8" i="1"/>
  <c r="TB8" i="1"/>
  <c r="SX8" i="1"/>
  <c r="SW8" i="1"/>
  <c r="SY8" i="1" s="1"/>
  <c r="SV8" i="1"/>
  <c r="SS8" i="1"/>
  <c r="SP8" i="1"/>
  <c r="SM8" i="1"/>
  <c r="SI8" i="1"/>
  <c r="SH8" i="1"/>
  <c r="SJ8" i="1" s="1"/>
  <c r="SG8" i="1"/>
  <c r="SD8" i="1"/>
  <c r="SA8" i="1"/>
  <c r="RX8" i="1"/>
  <c r="RT8" i="1"/>
  <c r="RS8" i="1"/>
  <c r="RU8" i="1" s="1"/>
  <c r="RR8" i="1"/>
  <c r="RO8" i="1"/>
  <c r="RL8" i="1"/>
  <c r="RI8" i="1"/>
  <c r="RE8" i="1"/>
  <c r="RD8" i="1"/>
  <c r="RF8" i="1" s="1"/>
  <c r="RC8" i="1"/>
  <c r="QZ8" i="1"/>
  <c r="QW8" i="1"/>
  <c r="QT8" i="1"/>
  <c r="QP8" i="1"/>
  <c r="QO8" i="1"/>
  <c r="QQ8" i="1" s="1"/>
  <c r="QN8" i="1"/>
  <c r="QK8" i="1"/>
  <c r="QH8" i="1"/>
  <c r="QE8" i="1"/>
  <c r="QA8" i="1"/>
  <c r="PZ8" i="1"/>
  <c r="QB8" i="1" s="1"/>
  <c r="PY8" i="1"/>
  <c r="PV8" i="1"/>
  <c r="PS8" i="1"/>
  <c r="PP8" i="1"/>
  <c r="PL8" i="1"/>
  <c r="PK8" i="1"/>
  <c r="PM8" i="1" s="1"/>
  <c r="PJ8" i="1"/>
  <c r="PG8" i="1"/>
  <c r="PD8" i="1"/>
  <c r="PA8" i="1"/>
  <c r="OW8" i="1"/>
  <c r="OV8" i="1"/>
  <c r="OX8" i="1" s="1"/>
  <c r="OU8" i="1"/>
  <c r="OR8" i="1"/>
  <c r="OO8" i="1"/>
  <c r="OL8" i="1"/>
  <c r="OH8" i="1"/>
  <c r="OG8" i="1"/>
  <c r="OI8" i="1" s="1"/>
  <c r="OF8" i="1"/>
  <c r="OC8" i="1"/>
  <c r="NZ8" i="1"/>
  <c r="NW8" i="1"/>
  <c r="NS8" i="1"/>
  <c r="NR8" i="1"/>
  <c r="NT8" i="1" s="1"/>
  <c r="NQ8" i="1"/>
  <c r="NN8" i="1"/>
  <c r="NK8" i="1"/>
  <c r="NH8" i="1"/>
  <c r="ND8" i="1"/>
  <c r="NC8" i="1"/>
  <c r="NE8" i="1" s="1"/>
  <c r="NB8" i="1"/>
  <c r="MY8" i="1"/>
  <c r="MV8" i="1"/>
  <c r="MS8" i="1"/>
  <c r="MO8" i="1"/>
  <c r="MN8" i="1"/>
  <c r="MP8" i="1" s="1"/>
  <c r="MM8" i="1"/>
  <c r="MJ8" i="1"/>
  <c r="MG8" i="1"/>
  <c r="MD8" i="1"/>
  <c r="LZ8" i="1"/>
  <c r="LY8" i="1"/>
  <c r="MA8" i="1" s="1"/>
  <c r="LX8" i="1"/>
  <c r="KV8" i="1"/>
  <c r="KU8" i="1"/>
  <c r="KW8" i="1" s="1"/>
  <c r="KT8" i="1"/>
  <c r="KG8" i="1"/>
  <c r="KF8" i="1"/>
  <c r="KH8" i="1" s="1"/>
  <c r="KE8" i="1"/>
  <c r="KB8" i="1"/>
  <c r="JY8" i="1"/>
  <c r="JV8" i="1"/>
  <c r="JR8" i="1"/>
  <c r="JQ8" i="1"/>
  <c r="JS8" i="1" s="1"/>
  <c r="JP8" i="1"/>
  <c r="JM8" i="1"/>
  <c r="JJ8" i="1"/>
  <c r="JG8" i="1"/>
  <c r="JC8" i="1"/>
  <c r="JB8" i="1"/>
  <c r="JD8" i="1" s="1"/>
  <c r="JA8" i="1"/>
  <c r="IX8" i="1"/>
  <c r="IU8" i="1"/>
  <c r="IR8" i="1"/>
  <c r="IN8" i="1"/>
  <c r="IM8" i="1"/>
  <c r="IO8" i="1" s="1"/>
  <c r="IL8" i="1"/>
  <c r="II8" i="1"/>
  <c r="IF8" i="1"/>
  <c r="IC8" i="1"/>
  <c r="HY8" i="1"/>
  <c r="HX8" i="1"/>
  <c r="HZ8" i="1" s="1"/>
  <c r="HW8" i="1"/>
  <c r="HT8" i="1"/>
  <c r="HQ8" i="1"/>
  <c r="HN8" i="1"/>
  <c r="HJ8" i="1"/>
  <c r="HI8" i="1"/>
  <c r="HK8" i="1" s="1"/>
  <c r="GU8" i="1"/>
  <c r="GT8" i="1"/>
  <c r="GV8" i="1" s="1"/>
  <c r="GS8" i="1"/>
  <c r="GP8" i="1"/>
  <c r="GM8" i="1"/>
  <c r="GJ8" i="1"/>
  <c r="GF8" i="1"/>
  <c r="GE8" i="1"/>
  <c r="GG8" i="1" s="1"/>
  <c r="GD8" i="1"/>
  <c r="GA8" i="1"/>
  <c r="FX8" i="1"/>
  <c r="FU8" i="1"/>
  <c r="FQ8" i="1"/>
  <c r="FP8" i="1"/>
  <c r="FR8" i="1" s="1"/>
  <c r="FO8" i="1"/>
  <c r="FL8" i="1"/>
  <c r="FI8" i="1"/>
  <c r="FF8" i="1"/>
  <c r="FB8" i="1"/>
  <c r="FA8" i="1"/>
  <c r="FC8" i="1" s="1"/>
  <c r="EZ8" i="1"/>
  <c r="EW8" i="1"/>
  <c r="ET8" i="1"/>
  <c r="EQ8" i="1"/>
  <c r="EM8" i="1"/>
  <c r="EL8" i="1"/>
  <c r="EN8" i="1" s="1"/>
  <c r="EK8" i="1"/>
  <c r="EH8" i="1"/>
  <c r="EE8" i="1"/>
  <c r="EB8" i="1"/>
  <c r="DX8" i="1"/>
  <c r="DW8" i="1"/>
  <c r="DY8" i="1" s="1"/>
  <c r="DI8" i="1"/>
  <c r="DH8" i="1"/>
  <c r="DJ8" i="1" s="1"/>
  <c r="CT8" i="1"/>
  <c r="CS8" i="1"/>
  <c r="CU8" i="1" s="1"/>
  <c r="CR8" i="1"/>
  <c r="CO8" i="1"/>
  <c r="CL8" i="1"/>
  <c r="CI8" i="1"/>
  <c r="CE8" i="1"/>
  <c r="CD8" i="1"/>
  <c r="CF8" i="1" s="1"/>
  <c r="BP8" i="1"/>
  <c r="BO8" i="1"/>
  <c r="BQ8" i="1" s="1"/>
  <c r="BN8" i="1"/>
  <c r="BK8" i="1"/>
  <c r="BH8" i="1"/>
  <c r="BE8" i="1"/>
  <c r="BA8" i="1"/>
  <c r="AZ8" i="1"/>
  <c r="BB8" i="1" s="1"/>
  <c r="AY8" i="1"/>
  <c r="AV8" i="1"/>
  <c r="AS8" i="1"/>
  <c r="AP8" i="1"/>
  <c r="AL8" i="1"/>
  <c r="AK8" i="1"/>
  <c r="AM8" i="1" s="1"/>
  <c r="AJ8" i="1"/>
  <c r="AG8" i="1"/>
  <c r="AD8" i="1"/>
  <c r="AA8" i="1"/>
  <c r="W8" i="1"/>
  <c r="V8" i="1"/>
  <c r="X8" i="1" s="1"/>
  <c r="U8" i="1"/>
  <c r="R8" i="1"/>
  <c r="O8" i="1"/>
  <c r="L8" i="1"/>
  <c r="I8" i="1"/>
  <c r="AAB7" i="1"/>
  <c r="AAA7" i="1"/>
  <c r="AAC7" i="1" s="1"/>
  <c r="ZZ7" i="1"/>
  <c r="ZV7" i="1"/>
  <c r="ZU7" i="1"/>
  <c r="ZT7" i="1"/>
  <c r="ZQ7" i="1"/>
  <c r="ZN7" i="1"/>
  <c r="ZK7" i="1"/>
  <c r="ZG7" i="1"/>
  <c r="ZF7" i="1"/>
  <c r="ZH7" i="1" s="1"/>
  <c r="ZE7" i="1"/>
  <c r="ZB7" i="1"/>
  <c r="YY7" i="1"/>
  <c r="YV7" i="1"/>
  <c r="YR7" i="1"/>
  <c r="YQ7" i="1"/>
  <c r="YS7" i="1" s="1"/>
  <c r="YP7" i="1"/>
  <c r="YM7" i="1"/>
  <c r="YJ7" i="1"/>
  <c r="YG7" i="1"/>
  <c r="YC7" i="1"/>
  <c r="YB7" i="1"/>
  <c r="YD7" i="1" s="1"/>
  <c r="YA7" i="1"/>
  <c r="XX7" i="1"/>
  <c r="XU7" i="1"/>
  <c r="XR7" i="1"/>
  <c r="XN7" i="1"/>
  <c r="XM7" i="1"/>
  <c r="XO7" i="1" s="1"/>
  <c r="XL7" i="1"/>
  <c r="XI7" i="1"/>
  <c r="XF7" i="1"/>
  <c r="XC7" i="1"/>
  <c r="WY7" i="1"/>
  <c r="WX7" i="1"/>
  <c r="WZ7" i="1" s="1"/>
  <c r="WW7" i="1"/>
  <c r="WT7" i="1"/>
  <c r="WQ7" i="1"/>
  <c r="WN7" i="1"/>
  <c r="WJ7" i="1"/>
  <c r="WI7" i="1"/>
  <c r="WK7" i="1" s="1"/>
  <c r="WH7" i="1"/>
  <c r="WE7" i="1"/>
  <c r="WB7" i="1"/>
  <c r="VY7" i="1"/>
  <c r="VU7" i="1"/>
  <c r="VT7" i="1"/>
  <c r="VV7" i="1" s="1"/>
  <c r="VS7" i="1"/>
  <c r="VP7" i="1"/>
  <c r="VM7" i="1"/>
  <c r="VJ7" i="1"/>
  <c r="VF7" i="1"/>
  <c r="VE7" i="1"/>
  <c r="VG7" i="1" s="1"/>
  <c r="VD7" i="1"/>
  <c r="VA7" i="1"/>
  <c r="UX7" i="1"/>
  <c r="UU7" i="1"/>
  <c r="UQ7" i="1"/>
  <c r="UP7" i="1"/>
  <c r="UR7" i="1" s="1"/>
  <c r="UO7" i="1"/>
  <c r="UB7" i="1"/>
  <c r="UA7" i="1"/>
  <c r="UC7" i="1" s="1"/>
  <c r="TZ7" i="1"/>
  <c r="TW7" i="1"/>
  <c r="TT7" i="1"/>
  <c r="TQ7" i="1"/>
  <c r="TM7" i="1"/>
  <c r="TL7" i="1"/>
  <c r="TN7" i="1" s="1"/>
  <c r="TK7" i="1"/>
  <c r="TH7" i="1"/>
  <c r="TE7" i="1"/>
  <c r="TB7" i="1"/>
  <c r="SX7" i="1"/>
  <c r="SW7" i="1"/>
  <c r="SY7" i="1" s="1"/>
  <c r="SV7" i="1"/>
  <c r="SS7" i="1"/>
  <c r="SP7" i="1"/>
  <c r="SM7" i="1"/>
  <c r="SI7" i="1"/>
  <c r="SH7" i="1"/>
  <c r="SJ7" i="1" s="1"/>
  <c r="SG7" i="1"/>
  <c r="SD7" i="1"/>
  <c r="SA7" i="1"/>
  <c r="RX7" i="1"/>
  <c r="RT7" i="1"/>
  <c r="RS7" i="1"/>
  <c r="RU7" i="1" s="1"/>
  <c r="RR7" i="1"/>
  <c r="RO7" i="1"/>
  <c r="RL7" i="1"/>
  <c r="RI7" i="1"/>
  <c r="RE7" i="1"/>
  <c r="RD7" i="1"/>
  <c r="RF7" i="1" s="1"/>
  <c r="RC7" i="1"/>
  <c r="QZ7" i="1"/>
  <c r="QW7" i="1"/>
  <c r="QT7" i="1"/>
  <c r="QP7" i="1"/>
  <c r="QO7" i="1"/>
  <c r="QQ7" i="1" s="1"/>
  <c r="QN7" i="1"/>
  <c r="QK7" i="1"/>
  <c r="QH7" i="1"/>
  <c r="QE7" i="1"/>
  <c r="QA7" i="1"/>
  <c r="PZ7" i="1"/>
  <c r="QB7" i="1" s="1"/>
  <c r="PY7" i="1"/>
  <c r="PV7" i="1"/>
  <c r="PS7" i="1"/>
  <c r="PP7" i="1"/>
  <c r="PL7" i="1"/>
  <c r="PK7" i="1"/>
  <c r="PM7" i="1" s="1"/>
  <c r="PJ7" i="1"/>
  <c r="PG7" i="1"/>
  <c r="PD7" i="1"/>
  <c r="PA7" i="1"/>
  <c r="OW7" i="1"/>
  <c r="OV7" i="1"/>
  <c r="OX7" i="1" s="1"/>
  <c r="OU7" i="1"/>
  <c r="OR7" i="1"/>
  <c r="OO7" i="1"/>
  <c r="OL7" i="1"/>
  <c r="OH7" i="1"/>
  <c r="OG7" i="1"/>
  <c r="OI7" i="1" s="1"/>
  <c r="OF7" i="1"/>
  <c r="OC7" i="1"/>
  <c r="NZ7" i="1"/>
  <c r="NW7" i="1"/>
  <c r="NS7" i="1"/>
  <c r="NR7" i="1"/>
  <c r="NT7" i="1" s="1"/>
  <c r="NQ7" i="1"/>
  <c r="NN7" i="1"/>
  <c r="NK7" i="1"/>
  <c r="NH7" i="1"/>
  <c r="ND7" i="1"/>
  <c r="NC7" i="1"/>
  <c r="NE7" i="1" s="1"/>
  <c r="NB7" i="1"/>
  <c r="MY7" i="1"/>
  <c r="MV7" i="1"/>
  <c r="MS7" i="1"/>
  <c r="MN7" i="1"/>
  <c r="MM7" i="1"/>
  <c r="MI7" i="1"/>
  <c r="MG7" i="1"/>
  <c r="MD7" i="1"/>
  <c r="LZ7" i="1"/>
  <c r="LY7" i="1"/>
  <c r="MA7" i="1" s="1"/>
  <c r="LX7" i="1"/>
  <c r="KV7" i="1"/>
  <c r="KU7" i="1"/>
  <c r="KW7" i="1" s="1"/>
  <c r="KT7" i="1"/>
  <c r="KG7" i="1"/>
  <c r="KF7" i="1"/>
  <c r="KH7" i="1" s="1"/>
  <c r="KE7" i="1"/>
  <c r="KB7" i="1"/>
  <c r="JY7" i="1"/>
  <c r="JV7" i="1"/>
  <c r="JR7" i="1"/>
  <c r="JQ7" i="1"/>
  <c r="JS7" i="1" s="1"/>
  <c r="JP7" i="1"/>
  <c r="JM7" i="1"/>
  <c r="JJ7" i="1"/>
  <c r="JG7" i="1"/>
  <c r="JC7" i="1"/>
  <c r="JB7" i="1"/>
  <c r="JD7" i="1" s="1"/>
  <c r="JA7" i="1"/>
  <c r="IX7" i="1"/>
  <c r="IU7" i="1"/>
  <c r="IR7" i="1"/>
  <c r="IN7" i="1"/>
  <c r="IM7" i="1"/>
  <c r="IO7" i="1" s="1"/>
  <c r="IL7" i="1"/>
  <c r="II7" i="1"/>
  <c r="IF7" i="1"/>
  <c r="IC7" i="1"/>
  <c r="HY7" i="1"/>
  <c r="HX7" i="1"/>
  <c r="HZ7" i="1" s="1"/>
  <c r="HW7" i="1"/>
  <c r="HT7" i="1"/>
  <c r="HQ7" i="1"/>
  <c r="HN7" i="1"/>
  <c r="HJ7" i="1"/>
  <c r="HI7" i="1"/>
  <c r="HK7" i="1" s="1"/>
  <c r="GU7" i="1"/>
  <c r="GT7" i="1"/>
  <c r="GV7" i="1" s="1"/>
  <c r="GS7" i="1"/>
  <c r="GP7" i="1"/>
  <c r="GM7" i="1"/>
  <c r="GJ7" i="1"/>
  <c r="GF7" i="1"/>
  <c r="GE7" i="1"/>
  <c r="GG7" i="1" s="1"/>
  <c r="GD7" i="1"/>
  <c r="GA7" i="1"/>
  <c r="FX7" i="1"/>
  <c r="FU7" i="1"/>
  <c r="FQ7" i="1"/>
  <c r="FP7" i="1"/>
  <c r="FR7" i="1" s="1"/>
  <c r="FO7" i="1"/>
  <c r="FL7" i="1"/>
  <c r="FI7" i="1"/>
  <c r="FF7" i="1"/>
  <c r="FB7" i="1"/>
  <c r="FA7" i="1"/>
  <c r="FC7" i="1" s="1"/>
  <c r="EZ7" i="1"/>
  <c r="EW7" i="1"/>
  <c r="ET7" i="1"/>
  <c r="EQ7" i="1"/>
  <c r="EM7" i="1"/>
  <c r="EL7" i="1"/>
  <c r="EN7" i="1" s="1"/>
  <c r="EK7" i="1"/>
  <c r="EH7" i="1"/>
  <c r="EE7" i="1"/>
  <c r="EB7" i="1"/>
  <c r="DX7" i="1"/>
  <c r="DW7" i="1"/>
  <c r="DY7" i="1" s="1"/>
  <c r="DI7" i="1"/>
  <c r="DH7" i="1"/>
  <c r="DJ7" i="1" s="1"/>
  <c r="CT7" i="1"/>
  <c r="CS7" i="1"/>
  <c r="CU7" i="1" s="1"/>
  <c r="CR7" i="1"/>
  <c r="CO7" i="1"/>
  <c r="CL7" i="1"/>
  <c r="CI7" i="1"/>
  <c r="CE7" i="1"/>
  <c r="CD7" i="1"/>
  <c r="CF7" i="1" s="1"/>
  <c r="BP7" i="1"/>
  <c r="BO7" i="1"/>
  <c r="BQ7" i="1" s="1"/>
  <c r="BN7" i="1"/>
  <c r="BK7" i="1"/>
  <c r="BH7" i="1"/>
  <c r="BE7" i="1"/>
  <c r="BA7" i="1"/>
  <c r="AZ7" i="1"/>
  <c r="BB7" i="1" s="1"/>
  <c r="AY7" i="1"/>
  <c r="AV7" i="1"/>
  <c r="AS7" i="1"/>
  <c r="AP7" i="1"/>
  <c r="AL7" i="1"/>
  <c r="AK7" i="1"/>
  <c r="AM7" i="1" s="1"/>
  <c r="AJ7" i="1"/>
  <c r="AG7" i="1"/>
  <c r="AD7" i="1"/>
  <c r="AA7" i="1"/>
  <c r="W7" i="1"/>
  <c r="V7" i="1"/>
  <c r="X7" i="1" s="1"/>
  <c r="U7" i="1"/>
  <c r="R7" i="1"/>
  <c r="O7" i="1"/>
  <c r="L7" i="1"/>
  <c r="I7" i="1"/>
  <c r="AAB6" i="1"/>
  <c r="AAA6" i="1"/>
  <c r="AAC6" i="1" s="1"/>
  <c r="ZZ6" i="1"/>
  <c r="ZV6" i="1"/>
  <c r="AAE6" i="1" s="1"/>
  <c r="ZU6" i="1"/>
  <c r="ZT6" i="1"/>
  <c r="ZQ6" i="1"/>
  <c r="ZN6" i="1"/>
  <c r="ZK6" i="1"/>
  <c r="ZG6" i="1"/>
  <c r="ZF6" i="1"/>
  <c r="ZH6" i="1" s="1"/>
  <c r="ZE6" i="1"/>
  <c r="ZB6" i="1"/>
  <c r="YY6" i="1"/>
  <c r="YV6" i="1"/>
  <c r="YR6" i="1"/>
  <c r="YQ6" i="1"/>
  <c r="YS6" i="1" s="1"/>
  <c r="YP6" i="1"/>
  <c r="YM6" i="1"/>
  <c r="YJ6" i="1"/>
  <c r="YG6" i="1"/>
  <c r="YC6" i="1"/>
  <c r="YB6" i="1"/>
  <c r="YD6" i="1" s="1"/>
  <c r="YA6" i="1"/>
  <c r="XX6" i="1"/>
  <c r="XU6" i="1"/>
  <c r="XR6" i="1"/>
  <c r="XN6" i="1"/>
  <c r="XM6" i="1"/>
  <c r="XO6" i="1" s="1"/>
  <c r="XL6" i="1"/>
  <c r="XI6" i="1"/>
  <c r="XF6" i="1"/>
  <c r="XC6" i="1"/>
  <c r="WY6" i="1"/>
  <c r="WX6" i="1"/>
  <c r="WZ6" i="1" s="1"/>
  <c r="WW6" i="1"/>
  <c r="WT6" i="1"/>
  <c r="WQ6" i="1"/>
  <c r="WN6" i="1"/>
  <c r="WJ6" i="1"/>
  <c r="WI6" i="1"/>
  <c r="WK6" i="1" s="1"/>
  <c r="WH6" i="1"/>
  <c r="WE6" i="1"/>
  <c r="WB6" i="1"/>
  <c r="VY6" i="1"/>
  <c r="VU6" i="1"/>
  <c r="VT6" i="1"/>
  <c r="VV6" i="1" s="1"/>
  <c r="VS6" i="1"/>
  <c r="VP6" i="1"/>
  <c r="VM6" i="1"/>
  <c r="VJ6" i="1"/>
  <c r="VF6" i="1"/>
  <c r="VE6" i="1"/>
  <c r="VG6" i="1" s="1"/>
  <c r="VD6" i="1"/>
  <c r="VA6" i="1"/>
  <c r="UX6" i="1"/>
  <c r="UU6" i="1"/>
  <c r="UQ6" i="1"/>
  <c r="UP6" i="1"/>
  <c r="UR6" i="1" s="1"/>
  <c r="UO6" i="1"/>
  <c r="UB6" i="1"/>
  <c r="UA6" i="1"/>
  <c r="UC6" i="1" s="1"/>
  <c r="TZ6" i="1"/>
  <c r="TW6" i="1"/>
  <c r="TT6" i="1"/>
  <c r="TQ6" i="1"/>
  <c r="TM6" i="1"/>
  <c r="TL6" i="1"/>
  <c r="TN6" i="1" s="1"/>
  <c r="TK6" i="1"/>
  <c r="TH6" i="1"/>
  <c r="TE6" i="1"/>
  <c r="TB6" i="1"/>
  <c r="SX6" i="1"/>
  <c r="SW6" i="1"/>
  <c r="SY6" i="1" s="1"/>
  <c r="SV6" i="1"/>
  <c r="SS6" i="1"/>
  <c r="SP6" i="1"/>
  <c r="SM6" i="1"/>
  <c r="SI6" i="1"/>
  <c r="SH6" i="1"/>
  <c r="SJ6" i="1" s="1"/>
  <c r="SG6" i="1"/>
  <c r="SD6" i="1"/>
  <c r="SA6" i="1"/>
  <c r="RX6" i="1"/>
  <c r="RT6" i="1"/>
  <c r="RS6" i="1"/>
  <c r="RU6" i="1" s="1"/>
  <c r="RR6" i="1"/>
  <c r="RO6" i="1"/>
  <c r="RL6" i="1"/>
  <c r="RI6" i="1"/>
  <c r="RE6" i="1"/>
  <c r="RD6" i="1"/>
  <c r="RF6" i="1" s="1"/>
  <c r="RC6" i="1"/>
  <c r="QZ6" i="1"/>
  <c r="QW6" i="1"/>
  <c r="QT6" i="1"/>
  <c r="QP6" i="1"/>
  <c r="QO6" i="1"/>
  <c r="QQ6" i="1" s="1"/>
  <c r="QN6" i="1"/>
  <c r="QK6" i="1"/>
  <c r="QH6" i="1"/>
  <c r="QE6" i="1"/>
  <c r="QA6" i="1"/>
  <c r="PZ6" i="1"/>
  <c r="QB6" i="1" s="1"/>
  <c r="PY6" i="1"/>
  <c r="PV6" i="1"/>
  <c r="PS6" i="1"/>
  <c r="PP6" i="1"/>
  <c r="PL6" i="1"/>
  <c r="PK6" i="1"/>
  <c r="PM6" i="1" s="1"/>
  <c r="PJ6" i="1"/>
  <c r="PG6" i="1"/>
  <c r="PD6" i="1"/>
  <c r="PA6" i="1"/>
  <c r="OW6" i="1"/>
  <c r="OV6" i="1"/>
  <c r="OX6" i="1" s="1"/>
  <c r="OU6" i="1"/>
  <c r="OR6" i="1"/>
  <c r="OO6" i="1"/>
  <c r="OL6" i="1"/>
  <c r="OH6" i="1"/>
  <c r="OG6" i="1"/>
  <c r="OI6" i="1" s="1"/>
  <c r="OF6" i="1"/>
  <c r="OC6" i="1"/>
  <c r="NZ6" i="1"/>
  <c r="NW6" i="1"/>
  <c r="NS6" i="1"/>
  <c r="NR6" i="1"/>
  <c r="NT6" i="1" s="1"/>
  <c r="NQ6" i="1"/>
  <c r="NN6" i="1"/>
  <c r="NK6" i="1"/>
  <c r="NH6" i="1"/>
  <c r="ND6" i="1"/>
  <c r="NC6" i="1"/>
  <c r="NE6" i="1" s="1"/>
  <c r="NB6" i="1"/>
  <c r="MY6" i="1"/>
  <c r="MV6" i="1"/>
  <c r="MS6" i="1"/>
  <c r="MO6" i="1"/>
  <c r="MN6" i="1"/>
  <c r="MP6" i="1" s="1"/>
  <c r="MM6" i="1"/>
  <c r="MJ6" i="1"/>
  <c r="MG6" i="1"/>
  <c r="MD6" i="1"/>
  <c r="LZ6" i="1"/>
  <c r="LY6" i="1"/>
  <c r="MA6" i="1" s="1"/>
  <c r="LX6" i="1"/>
  <c r="KV6" i="1"/>
  <c r="KU6" i="1"/>
  <c r="KW6" i="1" s="1"/>
  <c r="KT6" i="1"/>
  <c r="KG6" i="1"/>
  <c r="KF6" i="1"/>
  <c r="KH6" i="1" s="1"/>
  <c r="KE6" i="1"/>
  <c r="KB6" i="1"/>
  <c r="JY6" i="1"/>
  <c r="JV6" i="1"/>
  <c r="JR6" i="1"/>
  <c r="JQ6" i="1"/>
  <c r="JS6" i="1" s="1"/>
  <c r="JP6" i="1"/>
  <c r="JM6" i="1"/>
  <c r="JJ6" i="1"/>
  <c r="JG6" i="1"/>
  <c r="JC6" i="1"/>
  <c r="JB6" i="1"/>
  <c r="JD6" i="1" s="1"/>
  <c r="JA6" i="1"/>
  <c r="IX6" i="1"/>
  <c r="IU6" i="1"/>
  <c r="IR6" i="1"/>
  <c r="IN6" i="1"/>
  <c r="IM6" i="1"/>
  <c r="IO6" i="1" s="1"/>
  <c r="IL6" i="1"/>
  <c r="II6" i="1"/>
  <c r="IF6" i="1"/>
  <c r="IC6" i="1"/>
  <c r="HY6" i="1"/>
  <c r="HX6" i="1"/>
  <c r="HZ6" i="1" s="1"/>
  <c r="HW6" i="1"/>
  <c r="HT6" i="1"/>
  <c r="HQ6" i="1"/>
  <c r="HN6" i="1"/>
  <c r="HJ6" i="1"/>
  <c r="HI6" i="1"/>
  <c r="HK6" i="1" s="1"/>
  <c r="GU6" i="1"/>
  <c r="GT6" i="1"/>
  <c r="GV6" i="1" s="1"/>
  <c r="GS6" i="1"/>
  <c r="GP6" i="1"/>
  <c r="GM6" i="1"/>
  <c r="GJ6" i="1"/>
  <c r="GF6" i="1"/>
  <c r="GE6" i="1"/>
  <c r="GG6" i="1" s="1"/>
  <c r="GD6" i="1"/>
  <c r="GA6" i="1"/>
  <c r="FX6" i="1"/>
  <c r="FU6" i="1"/>
  <c r="FQ6" i="1"/>
  <c r="FP6" i="1"/>
  <c r="FR6" i="1" s="1"/>
  <c r="FO6" i="1"/>
  <c r="FL6" i="1"/>
  <c r="FI6" i="1"/>
  <c r="FF6" i="1"/>
  <c r="FB6" i="1"/>
  <c r="FA6" i="1"/>
  <c r="FC6" i="1" s="1"/>
  <c r="EZ6" i="1"/>
  <c r="EW6" i="1"/>
  <c r="ET6" i="1"/>
  <c r="EQ6" i="1"/>
  <c r="EM6" i="1"/>
  <c r="EL6" i="1"/>
  <c r="EN6" i="1" s="1"/>
  <c r="EK6" i="1"/>
  <c r="EH6" i="1"/>
  <c r="EE6" i="1"/>
  <c r="EB6" i="1"/>
  <c r="DX6" i="1"/>
  <c r="DW6" i="1"/>
  <c r="DY6" i="1" s="1"/>
  <c r="DI6" i="1"/>
  <c r="DH6" i="1"/>
  <c r="DJ6" i="1" s="1"/>
  <c r="CT6" i="1"/>
  <c r="CS6" i="1"/>
  <c r="CU6" i="1" s="1"/>
  <c r="CR6" i="1"/>
  <c r="CO6" i="1"/>
  <c r="CL6" i="1"/>
  <c r="CI6" i="1"/>
  <c r="CE6" i="1"/>
  <c r="CD6" i="1"/>
  <c r="CF6" i="1" s="1"/>
  <c r="BP6" i="1"/>
  <c r="BO6" i="1"/>
  <c r="BQ6" i="1" s="1"/>
  <c r="BN6" i="1"/>
  <c r="BK6" i="1"/>
  <c r="BH6" i="1"/>
  <c r="BE6" i="1"/>
  <c r="BA6" i="1"/>
  <c r="AZ6" i="1"/>
  <c r="BB6" i="1" s="1"/>
  <c r="AY6" i="1"/>
  <c r="AV6" i="1"/>
  <c r="AS6" i="1"/>
  <c r="AP6" i="1"/>
  <c r="AL6" i="1"/>
  <c r="AK6" i="1"/>
  <c r="AM6" i="1" s="1"/>
  <c r="AJ6" i="1"/>
  <c r="AG6" i="1"/>
  <c r="AD6" i="1"/>
  <c r="AA6" i="1"/>
  <c r="W6" i="1"/>
  <c r="V6" i="1"/>
  <c r="X6" i="1" s="1"/>
  <c r="U6" i="1"/>
  <c r="R6" i="1"/>
  <c r="O6" i="1"/>
  <c r="L6" i="1"/>
  <c r="I6" i="1"/>
  <c r="AAB5" i="1"/>
  <c r="AAA5" i="1"/>
  <c r="AAC5" i="1" s="1"/>
  <c r="AAC17" i="1" s="1"/>
  <c r="ZZ5" i="1"/>
  <c r="ZZ17" i="1" s="1"/>
  <c r="ZV5" i="1"/>
  <c r="ZU5" i="1"/>
  <c r="ZT5" i="1"/>
  <c r="ZT17" i="1" s="1"/>
  <c r="ZQ5" i="1"/>
  <c r="ZQ17" i="1" s="1"/>
  <c r="ZN5" i="1"/>
  <c r="ZN17" i="1" s="1"/>
  <c r="ZK5" i="1"/>
  <c r="ZK17" i="1" s="1"/>
  <c r="ZG5" i="1"/>
  <c r="ZG17" i="1" s="1"/>
  <c r="ZF5" i="1"/>
  <c r="ZH5" i="1" s="1"/>
  <c r="ZH17" i="1" s="1"/>
  <c r="ZE5" i="1"/>
  <c r="ZE17" i="1" s="1"/>
  <c r="ZB5" i="1"/>
  <c r="ZB17" i="1" s="1"/>
  <c r="YY5" i="1"/>
  <c r="YY17" i="1" s="1"/>
  <c r="YV5" i="1"/>
  <c r="YV17" i="1" s="1"/>
  <c r="YR5" i="1"/>
  <c r="YR17" i="1" s="1"/>
  <c r="YQ5" i="1"/>
  <c r="YS5" i="1" s="1"/>
  <c r="YS17" i="1" s="1"/>
  <c r="YP5" i="1"/>
  <c r="YP17" i="1" s="1"/>
  <c r="YM5" i="1"/>
  <c r="YM17" i="1" s="1"/>
  <c r="YJ5" i="1"/>
  <c r="YJ17" i="1" s="1"/>
  <c r="YG5" i="1"/>
  <c r="YG17" i="1" s="1"/>
  <c r="YC5" i="1"/>
  <c r="YC17" i="1" s="1"/>
  <c r="YB5" i="1"/>
  <c r="YD5" i="1" s="1"/>
  <c r="YD17" i="1" s="1"/>
  <c r="YA5" i="1"/>
  <c r="YA17" i="1" s="1"/>
  <c r="XX5" i="1"/>
  <c r="XX17" i="1" s="1"/>
  <c r="XU5" i="1"/>
  <c r="XU17" i="1" s="1"/>
  <c r="XR5" i="1"/>
  <c r="XR17" i="1" s="1"/>
  <c r="XN5" i="1"/>
  <c r="XN17" i="1" s="1"/>
  <c r="XM5" i="1"/>
  <c r="XO5" i="1" s="1"/>
  <c r="XO17" i="1" s="1"/>
  <c r="XL5" i="1"/>
  <c r="XL17" i="1" s="1"/>
  <c r="XI5" i="1"/>
  <c r="XI17" i="1" s="1"/>
  <c r="XF5" i="1"/>
  <c r="XF17" i="1" s="1"/>
  <c r="XC5" i="1"/>
  <c r="XC17" i="1" s="1"/>
  <c r="WY5" i="1"/>
  <c r="WY17" i="1" s="1"/>
  <c r="WX5" i="1"/>
  <c r="WZ5" i="1" s="1"/>
  <c r="WZ17" i="1" s="1"/>
  <c r="WW5" i="1"/>
  <c r="WW17" i="1" s="1"/>
  <c r="WT5" i="1"/>
  <c r="WT17" i="1" s="1"/>
  <c r="WQ5" i="1"/>
  <c r="WQ17" i="1" s="1"/>
  <c r="WN5" i="1"/>
  <c r="WN17" i="1" s="1"/>
  <c r="WJ5" i="1"/>
  <c r="WJ17" i="1" s="1"/>
  <c r="WI5" i="1"/>
  <c r="WK5" i="1" s="1"/>
  <c r="WK17" i="1" s="1"/>
  <c r="WH5" i="1"/>
  <c r="WH17" i="1" s="1"/>
  <c r="WE5" i="1"/>
  <c r="WE17" i="1" s="1"/>
  <c r="WB5" i="1"/>
  <c r="WB17" i="1" s="1"/>
  <c r="VY5" i="1"/>
  <c r="VY17" i="1" s="1"/>
  <c r="VU5" i="1"/>
  <c r="VU17" i="1" s="1"/>
  <c r="VT5" i="1"/>
  <c r="VV5" i="1" s="1"/>
  <c r="VV17" i="1" s="1"/>
  <c r="VS5" i="1"/>
  <c r="VS17" i="1" s="1"/>
  <c r="VP5" i="1"/>
  <c r="VP17" i="1" s="1"/>
  <c r="VM5" i="1"/>
  <c r="VM17" i="1" s="1"/>
  <c r="VJ5" i="1"/>
  <c r="VJ17" i="1" s="1"/>
  <c r="VF5" i="1"/>
  <c r="VF17" i="1" s="1"/>
  <c r="VE5" i="1"/>
  <c r="VG5" i="1" s="1"/>
  <c r="VG17" i="1" s="1"/>
  <c r="VD5" i="1"/>
  <c r="VD17" i="1" s="1"/>
  <c r="VA5" i="1"/>
  <c r="VA17" i="1" s="1"/>
  <c r="UX5" i="1"/>
  <c r="UX17" i="1" s="1"/>
  <c r="UU5" i="1"/>
  <c r="UU17" i="1" s="1"/>
  <c r="UQ5" i="1"/>
  <c r="UQ17" i="1" s="1"/>
  <c r="UP5" i="1"/>
  <c r="UR5" i="1" s="1"/>
  <c r="UR17" i="1" s="1"/>
  <c r="UO5" i="1"/>
  <c r="UO17" i="1" s="1"/>
  <c r="UB5" i="1"/>
  <c r="UB17" i="1" s="1"/>
  <c r="UA5" i="1"/>
  <c r="UC5" i="1" s="1"/>
  <c r="UC17" i="1" s="1"/>
  <c r="TZ5" i="1"/>
  <c r="TZ17" i="1" s="1"/>
  <c r="TW5" i="1"/>
  <c r="TW17" i="1" s="1"/>
  <c r="TT5" i="1"/>
  <c r="TT17" i="1" s="1"/>
  <c r="TQ5" i="1"/>
  <c r="TQ17" i="1" s="1"/>
  <c r="TM5" i="1"/>
  <c r="TM17" i="1" s="1"/>
  <c r="TL5" i="1"/>
  <c r="TN5" i="1" s="1"/>
  <c r="TN17" i="1" s="1"/>
  <c r="TK5" i="1"/>
  <c r="TK17" i="1" s="1"/>
  <c r="TH5" i="1"/>
  <c r="TH17" i="1" s="1"/>
  <c r="TE5" i="1"/>
  <c r="TE17" i="1" s="1"/>
  <c r="TB5" i="1"/>
  <c r="TB17" i="1" s="1"/>
  <c r="SX5" i="1"/>
  <c r="SX17" i="1" s="1"/>
  <c r="SW5" i="1"/>
  <c r="SY5" i="1" s="1"/>
  <c r="SY17" i="1" s="1"/>
  <c r="SV5" i="1"/>
  <c r="SV17" i="1" s="1"/>
  <c r="SS5" i="1"/>
  <c r="SS17" i="1" s="1"/>
  <c r="SP5" i="1"/>
  <c r="SP17" i="1" s="1"/>
  <c r="SM5" i="1"/>
  <c r="SM17" i="1" s="1"/>
  <c r="SI5" i="1"/>
  <c r="SI17" i="1" s="1"/>
  <c r="SH5" i="1"/>
  <c r="SJ5" i="1" s="1"/>
  <c r="SJ17" i="1" s="1"/>
  <c r="SG5" i="1"/>
  <c r="SG17" i="1" s="1"/>
  <c r="SD5" i="1"/>
  <c r="SD17" i="1" s="1"/>
  <c r="SA5" i="1"/>
  <c r="SA17" i="1" s="1"/>
  <c r="RX5" i="1"/>
  <c r="RX17" i="1" s="1"/>
  <c r="RT5" i="1"/>
  <c r="RT17" i="1" s="1"/>
  <c r="RS5" i="1"/>
  <c r="RU5" i="1" s="1"/>
  <c r="RU17" i="1" s="1"/>
  <c r="RR5" i="1"/>
  <c r="RR17" i="1" s="1"/>
  <c r="RO5" i="1"/>
  <c r="RO17" i="1" s="1"/>
  <c r="RL5" i="1"/>
  <c r="RL17" i="1" s="1"/>
  <c r="RI5" i="1"/>
  <c r="RI17" i="1" s="1"/>
  <c r="RE5" i="1"/>
  <c r="RE17" i="1" s="1"/>
  <c r="RD5" i="1"/>
  <c r="RF5" i="1" s="1"/>
  <c r="RF17" i="1" s="1"/>
  <c r="RC5" i="1"/>
  <c r="RC17" i="1" s="1"/>
  <c r="QZ5" i="1"/>
  <c r="QZ17" i="1" s="1"/>
  <c r="QW5" i="1"/>
  <c r="QW17" i="1" s="1"/>
  <c r="QT5" i="1"/>
  <c r="QT17" i="1" s="1"/>
  <c r="QP5" i="1"/>
  <c r="QP17" i="1" s="1"/>
  <c r="QO5" i="1"/>
  <c r="QQ5" i="1" s="1"/>
  <c r="QQ17" i="1" s="1"/>
  <c r="QN5" i="1"/>
  <c r="QN17" i="1" s="1"/>
  <c r="QK5" i="1"/>
  <c r="QK17" i="1" s="1"/>
  <c r="QH5" i="1"/>
  <c r="QH17" i="1" s="1"/>
  <c r="QE5" i="1"/>
  <c r="QE17" i="1" s="1"/>
  <c r="QA5" i="1"/>
  <c r="QA17" i="1" s="1"/>
  <c r="PZ5" i="1"/>
  <c r="QB5" i="1" s="1"/>
  <c r="QB17" i="1" s="1"/>
  <c r="PY5" i="1"/>
  <c r="PY17" i="1" s="1"/>
  <c r="PV5" i="1"/>
  <c r="PV17" i="1" s="1"/>
  <c r="PS5" i="1"/>
  <c r="PS17" i="1" s="1"/>
  <c r="PP5" i="1"/>
  <c r="PP17" i="1" s="1"/>
  <c r="PL5" i="1"/>
  <c r="PL17" i="1" s="1"/>
  <c r="PK5" i="1"/>
  <c r="PM5" i="1" s="1"/>
  <c r="PM17" i="1" s="1"/>
  <c r="PJ5" i="1"/>
  <c r="PJ17" i="1" s="1"/>
  <c r="PG5" i="1"/>
  <c r="PG17" i="1" s="1"/>
  <c r="PD5" i="1"/>
  <c r="PD17" i="1" s="1"/>
  <c r="PA5" i="1"/>
  <c r="PA17" i="1" s="1"/>
  <c r="OW5" i="1"/>
  <c r="OW17" i="1" s="1"/>
  <c r="OV5" i="1"/>
  <c r="OX5" i="1" s="1"/>
  <c r="OX17" i="1" s="1"/>
  <c r="OU5" i="1"/>
  <c r="OU17" i="1" s="1"/>
  <c r="OR5" i="1"/>
  <c r="OR17" i="1" s="1"/>
  <c r="OO5" i="1"/>
  <c r="OO17" i="1" s="1"/>
  <c r="OL5" i="1"/>
  <c r="OL17" i="1" s="1"/>
  <c r="OH5" i="1"/>
  <c r="OH17" i="1" s="1"/>
  <c r="OG5" i="1"/>
  <c r="OI5" i="1" s="1"/>
  <c r="OI17" i="1" s="1"/>
  <c r="OF5" i="1"/>
  <c r="OF17" i="1" s="1"/>
  <c r="OC5" i="1"/>
  <c r="OC17" i="1" s="1"/>
  <c r="NZ5" i="1"/>
  <c r="NZ17" i="1" s="1"/>
  <c r="NW5" i="1"/>
  <c r="NW17" i="1" s="1"/>
  <c r="NS5" i="1"/>
  <c r="NS17" i="1" s="1"/>
  <c r="NR5" i="1"/>
  <c r="NT5" i="1" s="1"/>
  <c r="NT17" i="1" s="1"/>
  <c r="NQ5" i="1"/>
  <c r="NQ17" i="1" s="1"/>
  <c r="NN5" i="1"/>
  <c r="NN17" i="1" s="1"/>
  <c r="NK5" i="1"/>
  <c r="NK17" i="1" s="1"/>
  <c r="NH5" i="1"/>
  <c r="NH17" i="1" s="1"/>
  <c r="ND5" i="1"/>
  <c r="ND17" i="1" s="1"/>
  <c r="NC5" i="1"/>
  <c r="NE5" i="1" s="1"/>
  <c r="NE17" i="1" s="1"/>
  <c r="NB5" i="1"/>
  <c r="NB17" i="1" s="1"/>
  <c r="MY5" i="1"/>
  <c r="MY17" i="1" s="1"/>
  <c r="MV5" i="1"/>
  <c r="MV17" i="1" s="1"/>
  <c r="MS5" i="1"/>
  <c r="MS17" i="1" s="1"/>
  <c r="MO5" i="1"/>
  <c r="MN5" i="1"/>
  <c r="MP5" i="1" s="1"/>
  <c r="MM5" i="1"/>
  <c r="MM17" i="1" s="1"/>
  <c r="MJ5" i="1"/>
  <c r="MG5" i="1"/>
  <c r="MG17" i="1" s="1"/>
  <c r="MD5" i="1"/>
  <c r="MD17" i="1" s="1"/>
  <c r="LZ5" i="1"/>
  <c r="LZ17" i="1" s="1"/>
  <c r="LY5" i="1"/>
  <c r="MA5" i="1" s="1"/>
  <c r="MA17" i="1" s="1"/>
  <c r="LX5" i="1"/>
  <c r="LX17" i="1" s="1"/>
  <c r="KV5" i="1"/>
  <c r="KV17" i="1" s="1"/>
  <c r="KU5" i="1"/>
  <c r="KW5" i="1" s="1"/>
  <c r="KW17" i="1" s="1"/>
  <c r="KT5" i="1"/>
  <c r="KT17" i="1" s="1"/>
  <c r="KG5" i="1"/>
  <c r="KG17" i="1" s="1"/>
  <c r="KF5" i="1"/>
  <c r="KH5" i="1" s="1"/>
  <c r="KH17" i="1" s="1"/>
  <c r="KE5" i="1"/>
  <c r="KE17" i="1" s="1"/>
  <c r="KB5" i="1"/>
  <c r="KB17" i="1" s="1"/>
  <c r="JY5" i="1"/>
  <c r="JY17" i="1" s="1"/>
  <c r="JV5" i="1"/>
  <c r="JV17" i="1" s="1"/>
  <c r="JR5" i="1"/>
  <c r="JR17" i="1" s="1"/>
  <c r="JQ5" i="1"/>
  <c r="JS5" i="1" s="1"/>
  <c r="JS17" i="1" s="1"/>
  <c r="JP5" i="1"/>
  <c r="JP17" i="1" s="1"/>
  <c r="JM5" i="1"/>
  <c r="JM17" i="1" s="1"/>
  <c r="JJ5" i="1"/>
  <c r="JJ17" i="1" s="1"/>
  <c r="JG5" i="1"/>
  <c r="JG17" i="1" s="1"/>
  <c r="JC5" i="1"/>
  <c r="JC17" i="1" s="1"/>
  <c r="JB5" i="1"/>
  <c r="JD5" i="1" s="1"/>
  <c r="JD17" i="1" s="1"/>
  <c r="JA5" i="1"/>
  <c r="JA17" i="1" s="1"/>
  <c r="IX5" i="1"/>
  <c r="IX17" i="1" s="1"/>
  <c r="IU5" i="1"/>
  <c r="IU17" i="1" s="1"/>
  <c r="IR5" i="1"/>
  <c r="IR17" i="1" s="1"/>
  <c r="IN5" i="1"/>
  <c r="IN17" i="1" s="1"/>
  <c r="IM5" i="1"/>
  <c r="IO5" i="1" s="1"/>
  <c r="IO17" i="1" s="1"/>
  <c r="IL5" i="1"/>
  <c r="IL17" i="1" s="1"/>
  <c r="II5" i="1"/>
  <c r="II17" i="1" s="1"/>
  <c r="IF5" i="1"/>
  <c r="IF17" i="1" s="1"/>
  <c r="IC5" i="1"/>
  <c r="IC17" i="1" s="1"/>
  <c r="HY5" i="1"/>
  <c r="HY17" i="1" s="1"/>
  <c r="HX5" i="1"/>
  <c r="HZ5" i="1" s="1"/>
  <c r="HZ17" i="1" s="1"/>
  <c r="HW5" i="1"/>
  <c r="HW17" i="1" s="1"/>
  <c r="HT5" i="1"/>
  <c r="HT17" i="1" s="1"/>
  <c r="HQ5" i="1"/>
  <c r="HQ17" i="1" s="1"/>
  <c r="HN5" i="1"/>
  <c r="HN17" i="1" s="1"/>
  <c r="HJ5" i="1"/>
  <c r="HJ17" i="1" s="1"/>
  <c r="HI5" i="1"/>
  <c r="HK5" i="1" s="1"/>
  <c r="HK17" i="1" s="1"/>
  <c r="GU5" i="1"/>
  <c r="GU17" i="1" s="1"/>
  <c r="GT5" i="1"/>
  <c r="GV5" i="1" s="1"/>
  <c r="GV17" i="1" s="1"/>
  <c r="GS5" i="1"/>
  <c r="GS17" i="1" s="1"/>
  <c r="GP5" i="1"/>
  <c r="GP17" i="1" s="1"/>
  <c r="GM5" i="1"/>
  <c r="GM17" i="1" s="1"/>
  <c r="GJ5" i="1"/>
  <c r="GJ17" i="1" s="1"/>
  <c r="GF5" i="1"/>
  <c r="GF17" i="1" s="1"/>
  <c r="GE5" i="1"/>
  <c r="GG5" i="1" s="1"/>
  <c r="GG17" i="1" s="1"/>
  <c r="GD5" i="1"/>
  <c r="GD17" i="1" s="1"/>
  <c r="GA5" i="1"/>
  <c r="GA17" i="1" s="1"/>
  <c r="FX5" i="1"/>
  <c r="FX17" i="1" s="1"/>
  <c r="FU5" i="1"/>
  <c r="FU17" i="1" s="1"/>
  <c r="FQ5" i="1"/>
  <c r="FQ17" i="1" s="1"/>
  <c r="FP5" i="1"/>
  <c r="FR5" i="1" s="1"/>
  <c r="FR17" i="1" s="1"/>
  <c r="FO5" i="1"/>
  <c r="FO17" i="1" s="1"/>
  <c r="FL5" i="1"/>
  <c r="FL17" i="1" s="1"/>
  <c r="FI5" i="1"/>
  <c r="FI17" i="1" s="1"/>
  <c r="FF5" i="1"/>
  <c r="FF17" i="1" s="1"/>
  <c r="FB5" i="1"/>
  <c r="FB17" i="1" s="1"/>
  <c r="FA5" i="1"/>
  <c r="FC5" i="1" s="1"/>
  <c r="FC17" i="1" s="1"/>
  <c r="EZ5" i="1"/>
  <c r="EZ17" i="1" s="1"/>
  <c r="EW5" i="1"/>
  <c r="EW17" i="1" s="1"/>
  <c r="ET5" i="1"/>
  <c r="ET17" i="1" s="1"/>
  <c r="EQ5" i="1"/>
  <c r="EQ17" i="1" s="1"/>
  <c r="EM5" i="1"/>
  <c r="EM17" i="1" s="1"/>
  <c r="EL5" i="1"/>
  <c r="EN5" i="1" s="1"/>
  <c r="EN17" i="1" s="1"/>
  <c r="EK5" i="1"/>
  <c r="EK17" i="1" s="1"/>
  <c r="EH5" i="1"/>
  <c r="EH17" i="1" s="1"/>
  <c r="EE5" i="1"/>
  <c r="EE17" i="1" s="1"/>
  <c r="EB5" i="1"/>
  <c r="EB17" i="1" s="1"/>
  <c r="DX5" i="1"/>
  <c r="DX17" i="1" s="1"/>
  <c r="DW5" i="1"/>
  <c r="DY5" i="1" s="1"/>
  <c r="DY17" i="1" s="1"/>
  <c r="DI5" i="1"/>
  <c r="DI17" i="1" s="1"/>
  <c r="DH5" i="1"/>
  <c r="DJ5" i="1" s="1"/>
  <c r="DJ17" i="1" s="1"/>
  <c r="CT5" i="1"/>
  <c r="CT17" i="1" s="1"/>
  <c r="CS5" i="1"/>
  <c r="CU5" i="1" s="1"/>
  <c r="CR5" i="1"/>
  <c r="CR17" i="1" s="1"/>
  <c r="CO5" i="1"/>
  <c r="CL5" i="1"/>
  <c r="CL17" i="1" s="1"/>
  <c r="CI5" i="1"/>
  <c r="CI17" i="1" s="1"/>
  <c r="CE5" i="1"/>
  <c r="CE17" i="1" s="1"/>
  <c r="CD5" i="1"/>
  <c r="CF5" i="1" s="1"/>
  <c r="CF17" i="1" s="1"/>
  <c r="BP5" i="1"/>
  <c r="BP17" i="1" s="1"/>
  <c r="BO5" i="1"/>
  <c r="BQ5" i="1" s="1"/>
  <c r="BQ17" i="1" s="1"/>
  <c r="BN5" i="1"/>
  <c r="BN17" i="1" s="1"/>
  <c r="BK5" i="1"/>
  <c r="BK17" i="1" s="1"/>
  <c r="BH5" i="1"/>
  <c r="BH17" i="1" s="1"/>
  <c r="BE5" i="1"/>
  <c r="BE17" i="1" s="1"/>
  <c r="BA5" i="1"/>
  <c r="BA17" i="1" s="1"/>
  <c r="AZ5" i="1"/>
  <c r="BB5" i="1" s="1"/>
  <c r="BB17" i="1" s="1"/>
  <c r="AY5" i="1"/>
  <c r="AY17" i="1" s="1"/>
  <c r="AV5" i="1"/>
  <c r="AV17" i="1" s="1"/>
  <c r="AS5" i="1"/>
  <c r="AS17" i="1" s="1"/>
  <c r="AP5" i="1"/>
  <c r="AP17" i="1" s="1"/>
  <c r="AL5" i="1"/>
  <c r="AL17" i="1" s="1"/>
  <c r="AK5" i="1"/>
  <c r="AM5" i="1" s="1"/>
  <c r="AM17" i="1" s="1"/>
  <c r="AJ5" i="1"/>
  <c r="AJ17" i="1" s="1"/>
  <c r="AG5" i="1"/>
  <c r="AG17" i="1" s="1"/>
  <c r="AD5" i="1"/>
  <c r="AD17" i="1" s="1"/>
  <c r="AA5" i="1"/>
  <c r="AA17" i="1" s="1"/>
  <c r="W5" i="1"/>
  <c r="W17" i="1" s="1"/>
  <c r="V5" i="1"/>
  <c r="U5" i="1"/>
  <c r="U17" i="1" s="1"/>
  <c r="R5" i="1"/>
  <c r="R17" i="1" s="1"/>
  <c r="O5" i="1"/>
  <c r="O17" i="1" s="1"/>
  <c r="L5" i="1"/>
  <c r="L17" i="1" s="1"/>
  <c r="I5" i="1"/>
  <c r="I17" i="1" s="1"/>
  <c r="AAF120" i="1" l="1"/>
  <c r="AAG120" i="1"/>
  <c r="AAF119" i="1"/>
  <c r="AAG119" i="1"/>
  <c r="AAF118" i="1"/>
  <c r="AAG118" i="1"/>
  <c r="AAF117" i="1"/>
  <c r="AAG117" i="1"/>
  <c r="IA121" i="1"/>
  <c r="IM121" i="1" s="1"/>
  <c r="IM116" i="1"/>
  <c r="IC116" i="1"/>
  <c r="IC121" i="1" s="1"/>
  <c r="CS116" i="1"/>
  <c r="CU116" i="1" s="1"/>
  <c r="CU121" i="1" s="1"/>
  <c r="CM121" i="1"/>
  <c r="CS121" i="1" s="1"/>
  <c r="CO116" i="1"/>
  <c r="CO121" i="1" s="1"/>
  <c r="V116" i="1"/>
  <c r="X116" i="1" s="1"/>
  <c r="I116" i="1"/>
  <c r="NW115" i="1"/>
  <c r="OG115" i="1"/>
  <c r="MD115" i="1"/>
  <c r="MN115" i="1"/>
  <c r="MP115" i="1" s="1"/>
  <c r="I115" i="1"/>
  <c r="I121" i="1" s="1"/>
  <c r="G121" i="1"/>
  <c r="V115" i="1"/>
  <c r="X115" i="1" s="1"/>
  <c r="NW114" i="1"/>
  <c r="NW121" i="1" s="1"/>
  <c r="NU121" i="1"/>
  <c r="OG121" i="1" s="1"/>
  <c r="OG114" i="1"/>
  <c r="MD114" i="1"/>
  <c r="MD121" i="1" s="1"/>
  <c r="MB121" i="1"/>
  <c r="MN121" i="1" s="1"/>
  <c r="MN114" i="1"/>
  <c r="MP114" i="1" s="1"/>
  <c r="MP121" i="1" s="1"/>
  <c r="AAF113" i="1"/>
  <c r="AAG113" i="1"/>
  <c r="AAF112" i="1"/>
  <c r="AAG112" i="1"/>
  <c r="AAG111" i="1"/>
  <c r="AAF111" i="1"/>
  <c r="AAG110" i="1"/>
  <c r="AAF110" i="1"/>
  <c r="AAE109" i="1"/>
  <c r="ZG121" i="1"/>
  <c r="AAH115" i="1" s="1"/>
  <c r="X109" i="1"/>
  <c r="X121" i="1" s="1"/>
  <c r="V121" i="1"/>
  <c r="AAF107" i="1"/>
  <c r="AAG107" i="1"/>
  <c r="AAF106" i="1"/>
  <c r="AAG106" i="1"/>
  <c r="AAG105" i="1"/>
  <c r="AAF105" i="1"/>
  <c r="AAG104" i="1"/>
  <c r="AAF104" i="1"/>
  <c r="IM103" i="1"/>
  <c r="IC103" i="1"/>
  <c r="IC108" i="1" s="1"/>
  <c r="IA108" i="1"/>
  <c r="IM108" i="1" s="1"/>
  <c r="CS103" i="1"/>
  <c r="CU103" i="1" s="1"/>
  <c r="CU108" i="1" s="1"/>
  <c r="CO103" i="1"/>
  <c r="CO108" i="1" s="1"/>
  <c r="CM108" i="1"/>
  <c r="CS108" i="1" s="1"/>
  <c r="V103" i="1"/>
  <c r="X103" i="1" s="1"/>
  <c r="I103" i="1"/>
  <c r="OG102" i="1"/>
  <c r="NW102" i="1"/>
  <c r="MN102" i="1"/>
  <c r="MP102" i="1" s="1"/>
  <c r="MD102" i="1"/>
  <c r="MD108" i="1" s="1"/>
  <c r="I102" i="1"/>
  <c r="I108" i="1" s="1"/>
  <c r="V102" i="1"/>
  <c r="X102" i="1" s="1"/>
  <c r="G108" i="1"/>
  <c r="NU108" i="1"/>
  <c r="OG108" i="1" s="1"/>
  <c r="OG101" i="1"/>
  <c r="NW101" i="1"/>
  <c r="NW108" i="1" s="1"/>
  <c r="MB108" i="1"/>
  <c r="MN108" i="1" s="1"/>
  <c r="MN101" i="1"/>
  <c r="MP101" i="1" s="1"/>
  <c r="MP108" i="1" s="1"/>
  <c r="AAG100" i="1"/>
  <c r="AAF100" i="1"/>
  <c r="AAF99" i="1"/>
  <c r="AAG99" i="1"/>
  <c r="AAG98" i="1"/>
  <c r="AAF98" i="1"/>
  <c r="AAF97" i="1"/>
  <c r="AAG97" i="1"/>
  <c r="AAE96" i="1"/>
  <c r="ZG108" i="1"/>
  <c r="V108" i="1"/>
  <c r="X96" i="1"/>
  <c r="X108" i="1" s="1"/>
  <c r="AAG94" i="1"/>
  <c r="AAF94" i="1"/>
  <c r="AAG93" i="1"/>
  <c r="AAF93" i="1"/>
  <c r="AAF92" i="1"/>
  <c r="AAG92" i="1"/>
  <c r="AAG91" i="1"/>
  <c r="AAF91" i="1"/>
  <c r="IA95" i="1"/>
  <c r="IM95" i="1" s="1"/>
  <c r="IM90" i="1"/>
  <c r="CM95" i="1"/>
  <c r="CS95" i="1" s="1"/>
  <c r="CS90" i="1"/>
  <c r="CU90" i="1" s="1"/>
  <c r="CU95" i="1" s="1"/>
  <c r="CO90" i="1"/>
  <c r="CO95" i="1" s="1"/>
  <c r="I90" i="1"/>
  <c r="V90" i="1"/>
  <c r="X90" i="1" s="1"/>
  <c r="NW89" i="1"/>
  <c r="OG89" i="1"/>
  <c r="MD89" i="1"/>
  <c r="MN89" i="1"/>
  <c r="MP89" i="1" s="1"/>
  <c r="G95" i="1"/>
  <c r="I89" i="1"/>
  <c r="I95" i="1" s="1"/>
  <c r="V89" i="1"/>
  <c r="X89" i="1" s="1"/>
  <c r="NU95" i="1"/>
  <c r="OG95" i="1" s="1"/>
  <c r="OG88" i="1"/>
  <c r="NW88" i="1"/>
  <c r="NW95" i="1" s="1"/>
  <c r="MD88" i="1"/>
  <c r="MD95" i="1" s="1"/>
  <c r="MN88" i="1"/>
  <c r="MP88" i="1" s="1"/>
  <c r="MP95" i="1" s="1"/>
  <c r="MB95" i="1"/>
  <c r="MN95" i="1" s="1"/>
  <c r="AAG87" i="1"/>
  <c r="AAF87" i="1"/>
  <c r="AAF86" i="1"/>
  <c r="AAG86" i="1"/>
  <c r="AAG85" i="1"/>
  <c r="AAF85" i="1"/>
  <c r="AAF84" i="1"/>
  <c r="AAG84" i="1"/>
  <c r="AAE83" i="1"/>
  <c r="ZG95" i="1"/>
  <c r="AAE95" i="1" s="1"/>
  <c r="JD83" i="1"/>
  <c r="JD95" i="1" s="1"/>
  <c r="JC95" i="1"/>
  <c r="AAH89" i="1" s="1"/>
  <c r="V95" i="1"/>
  <c r="X83" i="1"/>
  <c r="X95" i="1" s="1"/>
  <c r="AAG81" i="1"/>
  <c r="AAF81" i="1"/>
  <c r="AAG80" i="1"/>
  <c r="AAF80" i="1"/>
  <c r="AAG79" i="1"/>
  <c r="AAF79" i="1"/>
  <c r="AAG78" i="1"/>
  <c r="AAF78" i="1"/>
  <c r="IC77" i="1"/>
  <c r="IC82" i="1" s="1"/>
  <c r="IM77" i="1"/>
  <c r="IA82" i="1"/>
  <c r="IM82" i="1" s="1"/>
  <c r="CM82" i="1"/>
  <c r="CS82" i="1" s="1"/>
  <c r="CS77" i="1"/>
  <c r="CU77" i="1" s="1"/>
  <c r="CU82" i="1" s="1"/>
  <c r="CO77" i="1"/>
  <c r="CO82" i="1" s="1"/>
  <c r="V77" i="1"/>
  <c r="X77" i="1" s="1"/>
  <c r="I77" i="1"/>
  <c r="OG76" i="1"/>
  <c r="NW76" i="1"/>
  <c r="MD76" i="1"/>
  <c r="MN76" i="1"/>
  <c r="MP76" i="1" s="1"/>
  <c r="G82" i="1"/>
  <c r="I76" i="1"/>
  <c r="I82" i="1" s="1"/>
  <c r="V76" i="1"/>
  <c r="X76" i="1" s="1"/>
  <c r="OG75" i="1"/>
  <c r="NU82" i="1"/>
  <c r="OG82" i="1" s="1"/>
  <c r="NW75" i="1"/>
  <c r="NW82" i="1" s="1"/>
  <c r="MN75" i="1"/>
  <c r="MP75" i="1" s="1"/>
  <c r="MP82" i="1" s="1"/>
  <c r="MD75" i="1"/>
  <c r="MD82" i="1" s="1"/>
  <c r="MB82" i="1"/>
  <c r="MN82" i="1" s="1"/>
  <c r="AAF74" i="1"/>
  <c r="AAG74" i="1"/>
  <c r="AAF73" i="1"/>
  <c r="AAG73" i="1"/>
  <c r="AAF72" i="1"/>
  <c r="AAG72" i="1"/>
  <c r="AAF71" i="1"/>
  <c r="AAG71" i="1"/>
  <c r="ZG82" i="1"/>
  <c r="AAE70" i="1"/>
  <c r="SX82" i="1"/>
  <c r="SY70" i="1"/>
  <c r="SY82" i="1" s="1"/>
  <c r="V82" i="1"/>
  <c r="X70" i="1"/>
  <c r="X82" i="1" s="1"/>
  <c r="AAG68" i="1"/>
  <c r="AAF68" i="1"/>
  <c r="AAF67" i="1"/>
  <c r="AAG67" i="1"/>
  <c r="AAF66" i="1"/>
  <c r="AAG66" i="1"/>
  <c r="AAF65" i="1"/>
  <c r="AAG65" i="1"/>
  <c r="IM64" i="1"/>
  <c r="IA69" i="1"/>
  <c r="IM69" i="1" s="1"/>
  <c r="IC64" i="1"/>
  <c r="IC69" i="1" s="1"/>
  <c r="CO64" i="1"/>
  <c r="CO69" i="1" s="1"/>
  <c r="CS64" i="1"/>
  <c r="CU64" i="1" s="1"/>
  <c r="CU69" i="1" s="1"/>
  <c r="CM69" i="1"/>
  <c r="CS69" i="1" s="1"/>
  <c r="V64" i="1"/>
  <c r="X64" i="1" s="1"/>
  <c r="I64" i="1"/>
  <c r="OG63" i="1"/>
  <c r="NW63" i="1"/>
  <c r="MD63" i="1"/>
  <c r="MD69" i="1" s="1"/>
  <c r="MN63" i="1"/>
  <c r="MP63" i="1" s="1"/>
  <c r="I63" i="1"/>
  <c r="I69" i="1" s="1"/>
  <c r="V63" i="1"/>
  <c r="X63" i="1" s="1"/>
  <c r="G69" i="1"/>
  <c r="NU69" i="1"/>
  <c r="OG69" i="1" s="1"/>
  <c r="NW62" i="1"/>
  <c r="NW69" i="1" s="1"/>
  <c r="OG62" i="1"/>
  <c r="MN62" i="1"/>
  <c r="MP62" i="1" s="1"/>
  <c r="MP69" i="1" s="1"/>
  <c r="MB69" i="1"/>
  <c r="MN69" i="1" s="1"/>
  <c r="AAF61" i="1"/>
  <c r="AAG61" i="1"/>
  <c r="AAG60" i="1"/>
  <c r="AAF60" i="1"/>
  <c r="AAF59" i="1"/>
  <c r="AAG59" i="1"/>
  <c r="AAG58" i="1"/>
  <c r="AAF58" i="1"/>
  <c r="AAE57" i="1"/>
  <c r="ZG69" i="1"/>
  <c r="X57" i="1"/>
  <c r="X69" i="1" s="1"/>
  <c r="V69" i="1"/>
  <c r="AAF55" i="1"/>
  <c r="AAG55" i="1"/>
  <c r="AAG54" i="1"/>
  <c r="AAF54" i="1"/>
  <c r="LT56" i="1"/>
  <c r="LU53" i="1"/>
  <c r="LU56" i="1" s="1"/>
  <c r="LZ53" i="1"/>
  <c r="AAG52" i="1"/>
  <c r="AAF52" i="1"/>
  <c r="IM51" i="1"/>
  <c r="IC51" i="1"/>
  <c r="IC56" i="1" s="1"/>
  <c r="IA56" i="1"/>
  <c r="IM56" i="1" s="1"/>
  <c r="I51" i="1"/>
  <c r="V51" i="1"/>
  <c r="X51" i="1" s="1"/>
  <c r="OG50" i="1"/>
  <c r="NW50" i="1"/>
  <c r="MN50" i="1"/>
  <c r="MP50" i="1" s="1"/>
  <c r="MD50" i="1"/>
  <c r="LZ50" i="1"/>
  <c r="LR50" i="1"/>
  <c r="G56" i="1"/>
  <c r="I50" i="1"/>
  <c r="I56" i="1" s="1"/>
  <c r="V50" i="1"/>
  <c r="X50" i="1" s="1"/>
  <c r="NW49" i="1"/>
  <c r="NW56" i="1" s="1"/>
  <c r="NU56" i="1"/>
  <c r="OG56" i="1" s="1"/>
  <c r="OG49" i="1"/>
  <c r="MN49" i="1"/>
  <c r="MP49" i="1" s="1"/>
  <c r="MP56" i="1" s="1"/>
  <c r="MB56" i="1"/>
  <c r="MN56" i="1" s="1"/>
  <c r="MD49" i="1"/>
  <c r="MD56" i="1" s="1"/>
  <c r="LR49" i="1"/>
  <c r="LZ49" i="1"/>
  <c r="LW56" i="1"/>
  <c r="LX48" i="1"/>
  <c r="LX56" i="1" s="1"/>
  <c r="LR48" i="1"/>
  <c r="LR56" i="1" s="1"/>
  <c r="LZ48" i="1"/>
  <c r="LQ56" i="1"/>
  <c r="AAG47" i="1"/>
  <c r="AAF47" i="1"/>
  <c r="AAF46" i="1"/>
  <c r="AAG46" i="1"/>
  <c r="VU45" i="1"/>
  <c r="VR56" i="1"/>
  <c r="VS45" i="1"/>
  <c r="VS56" i="1" s="1"/>
  <c r="QY56" i="1"/>
  <c r="QZ45" i="1"/>
  <c r="QZ56" i="1" s="1"/>
  <c r="RE45" i="1"/>
  <c r="RE56" i="1" s="1"/>
  <c r="AAE44" i="1"/>
  <c r="ZG56" i="1"/>
  <c r="X44" i="1"/>
  <c r="X56" i="1" s="1"/>
  <c r="V56" i="1"/>
  <c r="AAD42" i="1"/>
  <c r="ZW42" i="1"/>
  <c r="RQ43" i="1"/>
  <c r="RT42" i="1"/>
  <c r="RR42" i="1"/>
  <c r="RR43" i="1" s="1"/>
  <c r="L42" i="1"/>
  <c r="W42" i="1"/>
  <c r="X42" i="1" s="1"/>
  <c r="ZW41" i="1"/>
  <c r="AAD41" i="1"/>
  <c r="AAD40" i="1"/>
  <c r="ZW40" i="1"/>
  <c r="ZW39" i="1"/>
  <c r="AAD39" i="1"/>
  <c r="ZW38" i="1"/>
  <c r="SI38" i="1"/>
  <c r="SG38" i="1"/>
  <c r="SG43" i="1" s="1"/>
  <c r="SF43" i="1"/>
  <c r="LQ43" i="1"/>
  <c r="LZ38" i="1"/>
  <c r="IC38" i="1"/>
  <c r="IM38" i="1"/>
  <c r="K43" i="1"/>
  <c r="L38" i="1"/>
  <c r="L43" i="1" s="1"/>
  <c r="W38" i="1"/>
  <c r="X38" i="1" s="1"/>
  <c r="ZZ37" i="1"/>
  <c r="ZZ43" i="1" s="1"/>
  <c r="AAB37" i="1"/>
  <c r="AAC37" i="1" s="1"/>
  <c r="ZY43" i="1"/>
  <c r="AAB43" i="1" s="1"/>
  <c r="ZJ43" i="1"/>
  <c r="ZV37" i="1"/>
  <c r="ZW37" i="1" s="1"/>
  <c r="ZK37" i="1"/>
  <c r="ZK43" i="1" s="1"/>
  <c r="PO43" i="1"/>
  <c r="QA37" i="1"/>
  <c r="NW37" i="1"/>
  <c r="OG37" i="1"/>
  <c r="MD37" i="1"/>
  <c r="MN37" i="1"/>
  <c r="MP37" i="1" s="1"/>
  <c r="KJ43" i="1"/>
  <c r="KV37" i="1"/>
  <c r="KK37" i="1"/>
  <c r="KK43" i="1" s="1"/>
  <c r="IC37" i="1"/>
  <c r="IM37" i="1"/>
  <c r="IO37" i="1" s="1"/>
  <c r="AA37" i="1"/>
  <c r="AK37" i="1"/>
  <c r="AM37" i="1" s="1"/>
  <c r="V37" i="1"/>
  <c r="X37" i="1" s="1"/>
  <c r="G43" i="1"/>
  <c r="I37" i="1"/>
  <c r="I43" i="1" s="1"/>
  <c r="ZW36" i="1"/>
  <c r="OG36" i="1"/>
  <c r="NU43" i="1"/>
  <c r="OG43" i="1" s="1"/>
  <c r="NW36" i="1"/>
  <c r="NW43" i="1" s="1"/>
  <c r="MO36" i="1"/>
  <c r="MM36" i="1"/>
  <c r="MM43" i="1" s="1"/>
  <c r="ML43" i="1"/>
  <c r="MN36" i="1"/>
  <c r="MP36" i="1" s="1"/>
  <c r="MD36" i="1"/>
  <c r="MD43" i="1" s="1"/>
  <c r="MB43" i="1"/>
  <c r="MN43" i="1" s="1"/>
  <c r="IC36" i="1"/>
  <c r="IC43" i="1" s="1"/>
  <c r="IM36" i="1"/>
  <c r="IO36" i="1" s="1"/>
  <c r="IA43" i="1"/>
  <c r="IM43" i="1" s="1"/>
  <c r="ZW35" i="1"/>
  <c r="AAD35" i="1"/>
  <c r="X35" i="1"/>
  <c r="V43" i="1"/>
  <c r="AAD34" i="1"/>
  <c r="ZW34" i="1"/>
  <c r="NS34" i="1"/>
  <c r="NK34" i="1"/>
  <c r="NK43" i="1" s="1"/>
  <c r="JJ34" i="1"/>
  <c r="JR34" i="1"/>
  <c r="JS34" i="1" s="1"/>
  <c r="AAD33" i="1"/>
  <c r="ZW33" i="1"/>
  <c r="XN33" i="1"/>
  <c r="XI33" i="1"/>
  <c r="XI43" i="1" s="1"/>
  <c r="W33" i="1"/>
  <c r="X33" i="1" s="1"/>
  <c r="U33" i="1"/>
  <c r="U43" i="1" s="1"/>
  <c r="AAD32" i="1"/>
  <c r="ZV32" i="1"/>
  <c r="ZW32" i="1" s="1"/>
  <c r="ZT32" i="1"/>
  <c r="ZT43" i="1" s="1"/>
  <c r="KG32" i="1"/>
  <c r="KE32" i="1"/>
  <c r="KE43" i="1" s="1"/>
  <c r="ZW31" i="1"/>
  <c r="AAD31" i="1"/>
  <c r="XL31" i="1"/>
  <c r="XL43" i="1" s="1"/>
  <c r="XN31" i="1"/>
  <c r="OH31" i="1"/>
  <c r="OF31" i="1"/>
  <c r="OF43" i="1" s="1"/>
  <c r="JR31" i="1"/>
  <c r="JJ31" i="1"/>
  <c r="JJ43" i="1" s="1"/>
  <c r="EM31" i="1"/>
  <c r="EK31" i="1"/>
  <c r="EK43" i="1" s="1"/>
  <c r="O31" i="1"/>
  <c r="O43" i="1" s="1"/>
  <c r="W31" i="1"/>
  <c r="AAD29" i="1"/>
  <c r="ZW29" i="1"/>
  <c r="ZD30" i="1"/>
  <c r="ZE29" i="1"/>
  <c r="ZE30" i="1" s="1"/>
  <c r="ZG29" i="1"/>
  <c r="XZ30" i="1"/>
  <c r="YA29" i="1"/>
  <c r="YA30" i="1" s="1"/>
  <c r="YC29" i="1"/>
  <c r="WW29" i="1"/>
  <c r="WW30" i="1" s="1"/>
  <c r="WY29" i="1"/>
  <c r="WV30" i="1"/>
  <c r="VY29" i="1"/>
  <c r="VY30" i="1" s="1"/>
  <c r="VX30" i="1"/>
  <c r="WJ29" i="1"/>
  <c r="UB29" i="1"/>
  <c r="TZ29" i="1"/>
  <c r="TZ30" i="1" s="1"/>
  <c r="TY30" i="1"/>
  <c r="PY29" i="1"/>
  <c r="PY30" i="1" s="1"/>
  <c r="PX30" i="1"/>
  <c r="QA29" i="1"/>
  <c r="OW29" i="1"/>
  <c r="OU29" i="1"/>
  <c r="OU30" i="1" s="1"/>
  <c r="OT30" i="1"/>
  <c r="OH29" i="1"/>
  <c r="OE30" i="1"/>
  <c r="OF29" i="1"/>
  <c r="OF30" i="1" s="1"/>
  <c r="MO29" i="1"/>
  <c r="MP29" i="1" s="1"/>
  <c r="MG29" i="1"/>
  <c r="KG29" i="1"/>
  <c r="KD30" i="1"/>
  <c r="KE29" i="1"/>
  <c r="KE30" i="1" s="1"/>
  <c r="JP29" i="1"/>
  <c r="JP30" i="1" s="1"/>
  <c r="JR29" i="1"/>
  <c r="JO30" i="1"/>
  <c r="BS30" i="1"/>
  <c r="BT29" i="1"/>
  <c r="BT30" i="1" s="1"/>
  <c r="CE29" i="1"/>
  <c r="ZW28" i="1"/>
  <c r="AAD28" i="1"/>
  <c r="TK28" i="1"/>
  <c r="TK30" i="1" s="1"/>
  <c r="TM28" i="1"/>
  <c r="TJ30" i="1"/>
  <c r="W28" i="1"/>
  <c r="X28" i="1" s="1"/>
  <c r="U28" i="1"/>
  <c r="U30" i="1" s="1"/>
  <c r="T30" i="1"/>
  <c r="AAD27" i="1"/>
  <c r="ZW27" i="1"/>
  <c r="ZW26" i="1"/>
  <c r="AAD26" i="1"/>
  <c r="BM30" i="1"/>
  <c r="BP26" i="1"/>
  <c r="BN26" i="1"/>
  <c r="BN30" i="1" s="1"/>
  <c r="ZW25" i="1"/>
  <c r="AAD25" i="1"/>
  <c r="CO25" i="1"/>
  <c r="CO30" i="1" s="1"/>
  <c r="CS25" i="1"/>
  <c r="CU25" i="1" s="1"/>
  <c r="CU30" i="1" s="1"/>
  <c r="CM30" i="1"/>
  <c r="CS30" i="1" s="1"/>
  <c r="ZW24" i="1"/>
  <c r="AA24" i="1"/>
  <c r="AA30" i="1" s="1"/>
  <c r="Y30" i="1"/>
  <c r="AK30" i="1" s="1"/>
  <c r="AK24" i="1"/>
  <c r="O24" i="1"/>
  <c r="O30" i="1" s="1"/>
  <c r="N30" i="1"/>
  <c r="W24" i="1"/>
  <c r="G30" i="1"/>
  <c r="V24" i="1"/>
  <c r="X24" i="1" s="1"/>
  <c r="I24" i="1"/>
  <c r="I30" i="1" s="1"/>
  <c r="AAD23" i="1"/>
  <c r="ZW23" i="1"/>
  <c r="AAD22" i="1"/>
  <c r="ZW22" i="1"/>
  <c r="ZW21" i="1"/>
  <c r="AAD21" i="1"/>
  <c r="TA30" i="1"/>
  <c r="TB21" i="1"/>
  <c r="TB30" i="1" s="1"/>
  <c r="TM21" i="1"/>
  <c r="MO21" i="1"/>
  <c r="MG21" i="1"/>
  <c r="MG30" i="1" s="1"/>
  <c r="MF30" i="1"/>
  <c r="AAD20" i="1"/>
  <c r="ZW20" i="1"/>
  <c r="AAD19" i="1"/>
  <c r="ZW19" i="1"/>
  <c r="AAE18" i="1"/>
  <c r="ZV30" i="1"/>
  <c r="AAD18" i="1"/>
  <c r="ZW18" i="1"/>
  <c r="ZW30" i="1" s="1"/>
  <c r="X18" i="1"/>
  <c r="X30" i="1" s="1"/>
  <c r="V30" i="1"/>
  <c r="ZW16" i="1"/>
  <c r="AAD16" i="1"/>
  <c r="AAD15" i="1"/>
  <c r="ZW15" i="1"/>
  <c r="AAD14" i="1"/>
  <c r="ZW14" i="1"/>
  <c r="ZW13" i="1"/>
  <c r="AAD13" i="1"/>
  <c r="ZW12" i="1"/>
  <c r="AAD12" i="1"/>
  <c r="CM17" i="1"/>
  <c r="CS17" i="1" s="1"/>
  <c r="CO12" i="1"/>
  <c r="CO17" i="1" s="1"/>
  <c r="CS12" i="1"/>
  <c r="CU12" i="1" s="1"/>
  <c r="CU17" i="1" s="1"/>
  <c r="AAD11" i="1"/>
  <c r="ZW11" i="1"/>
  <c r="AAD10" i="1"/>
  <c r="ZW10" i="1"/>
  <c r="AAD9" i="1"/>
  <c r="ZW9" i="1"/>
  <c r="ZW8" i="1"/>
  <c r="AAD8" i="1"/>
  <c r="ZW7" i="1"/>
  <c r="AAD7" i="1"/>
  <c r="MJ7" i="1"/>
  <c r="MJ17" i="1" s="1"/>
  <c r="MO7" i="1"/>
  <c r="MI17" i="1"/>
  <c r="ZW6" i="1"/>
  <c r="AAD6" i="1"/>
  <c r="AAE5" i="1"/>
  <c r="ZV17" i="1"/>
  <c r="AAD5" i="1"/>
  <c r="ZW5" i="1"/>
  <c r="ZW17" i="1" s="1"/>
  <c r="X5" i="1"/>
  <c r="X17" i="1" s="1"/>
  <c r="V17" i="1"/>
  <c r="AAD56" i="1"/>
  <c r="AAH46" i="1" s="1"/>
  <c r="B46" i="1" s="1"/>
  <c r="AAC43" i="1"/>
  <c r="ZH43" i="1"/>
  <c r="YS43" i="1"/>
  <c r="YD43" i="1"/>
  <c r="WZ43" i="1"/>
  <c r="VV43" i="1"/>
  <c r="VG43" i="1"/>
  <c r="UR43" i="1"/>
  <c r="UC43" i="1"/>
  <c r="TN43" i="1"/>
  <c r="SY43" i="1"/>
  <c r="RF43" i="1"/>
  <c r="QQ43" i="1"/>
  <c r="PM43" i="1"/>
  <c r="OX43" i="1"/>
  <c r="NE43" i="1"/>
  <c r="MP43" i="1"/>
  <c r="JD43" i="1"/>
  <c r="IO43" i="1"/>
  <c r="HZ43" i="1"/>
  <c r="HK43" i="1"/>
  <c r="GV43" i="1"/>
  <c r="GG43" i="1"/>
  <c r="FR43" i="1"/>
  <c r="FC43" i="1"/>
  <c r="DY43" i="1"/>
  <c r="DJ43" i="1"/>
  <c r="CU43" i="1"/>
  <c r="BQ43" i="1"/>
  <c r="BB43" i="1"/>
  <c r="AM43" i="1"/>
  <c r="AAD30" i="1"/>
  <c r="AAH20" i="1" s="1"/>
  <c r="B20" i="1" s="1"/>
  <c r="AAD17" i="1"/>
  <c r="AAH7" i="1" s="1"/>
  <c r="B7" i="1" s="1"/>
  <c r="AAD82" i="1"/>
  <c r="AAH72" i="1" s="1"/>
  <c r="B72" i="1" s="1"/>
  <c r="AAD95" i="1"/>
  <c r="AAH85" i="1" s="1"/>
  <c r="AAD69" i="1"/>
  <c r="AAH59" i="1" s="1"/>
  <c r="B59" i="1" s="1"/>
  <c r="AAD43" i="1"/>
  <c r="AAH33" i="1" s="1"/>
  <c r="B33" i="1" s="1"/>
  <c r="CF34" i="1"/>
  <c r="CF43" i="1" s="1"/>
  <c r="AAD116" i="1" l="1"/>
  <c r="IO116" i="1"/>
  <c r="IO121" i="1" s="1"/>
  <c r="AAD115" i="1"/>
  <c r="OI115" i="1"/>
  <c r="AAD114" i="1"/>
  <c r="OI114" i="1"/>
  <c r="OI121" i="1" s="1"/>
  <c r="AAE121" i="1"/>
  <c r="AAF109" i="1"/>
  <c r="AAG109" i="1"/>
  <c r="AAD103" i="1"/>
  <c r="IO103" i="1"/>
  <c r="IO108" i="1" s="1"/>
  <c r="AAD102" i="1"/>
  <c r="OI102" i="1"/>
  <c r="AAD101" i="1"/>
  <c r="OI101" i="1"/>
  <c r="OI108" i="1" s="1"/>
  <c r="AAF96" i="1"/>
  <c r="AAG96" i="1"/>
  <c r="AAH102" i="1"/>
  <c r="AAE108" i="1"/>
  <c r="AAD90" i="1"/>
  <c r="IO90" i="1"/>
  <c r="IO95" i="1" s="1"/>
  <c r="AAD89" i="1"/>
  <c r="OI89" i="1"/>
  <c r="AAD88" i="1"/>
  <c r="OI88" i="1"/>
  <c r="OI95" i="1" s="1"/>
  <c r="AAG83" i="1"/>
  <c r="AAF83" i="1"/>
  <c r="AAD77" i="1"/>
  <c r="IO77" i="1"/>
  <c r="IO82" i="1" s="1"/>
  <c r="AAD76" i="1"/>
  <c r="OI76" i="1"/>
  <c r="AAD75" i="1"/>
  <c r="OI75" i="1"/>
  <c r="OI82" i="1" s="1"/>
  <c r="AAH76" i="1"/>
  <c r="AAE82" i="1"/>
  <c r="AAF82" i="1" s="1"/>
  <c r="AAF70" i="1"/>
  <c r="AAG70" i="1"/>
  <c r="AAD64" i="1"/>
  <c r="IO64" i="1"/>
  <c r="IO69" i="1" s="1"/>
  <c r="AAD63" i="1"/>
  <c r="OI63" i="1"/>
  <c r="AAD62" i="1"/>
  <c r="OI62" i="1"/>
  <c r="OI69" i="1" s="1"/>
  <c r="AAG57" i="1"/>
  <c r="AAF57" i="1"/>
  <c r="AAH63" i="1"/>
  <c r="AAE69" i="1"/>
  <c r="AAF69" i="1" s="1"/>
  <c r="AAE53" i="1"/>
  <c r="MA53" i="1"/>
  <c r="AAD51" i="1"/>
  <c r="IO51" i="1"/>
  <c r="IO56" i="1" s="1"/>
  <c r="AAD50" i="1"/>
  <c r="OI50" i="1"/>
  <c r="AAE50" i="1"/>
  <c r="MA50" i="1"/>
  <c r="AAD49" i="1"/>
  <c r="OI49" i="1"/>
  <c r="OI56" i="1" s="1"/>
  <c r="MA49" i="1"/>
  <c r="AAE49" i="1"/>
  <c r="MA48" i="1"/>
  <c r="MA56" i="1" s="1"/>
  <c r="LZ56" i="1"/>
  <c r="AAH50" i="1" s="1"/>
  <c r="AAE48" i="1"/>
  <c r="VU56" i="1"/>
  <c r="AAE56" i="1" s="1"/>
  <c r="AAF56" i="1" s="1"/>
  <c r="VV45" i="1"/>
  <c r="VV56" i="1" s="1"/>
  <c r="AAE45" i="1"/>
  <c r="AAG44" i="1"/>
  <c r="AAF44" i="1"/>
  <c r="RU42" i="1"/>
  <c r="RU43" i="1" s="1"/>
  <c r="AAE42" i="1"/>
  <c r="RT43" i="1"/>
  <c r="SJ38" i="1"/>
  <c r="SJ43" i="1" s="1"/>
  <c r="SI43" i="1"/>
  <c r="AAE38" i="1"/>
  <c r="MA38" i="1"/>
  <c r="MA43" i="1" s="1"/>
  <c r="LZ43" i="1"/>
  <c r="QA43" i="1"/>
  <c r="QB37" i="1"/>
  <c r="QB43" i="1" s="1"/>
  <c r="KW37" i="1"/>
  <c r="KW43" i="1" s="1"/>
  <c r="KV43" i="1"/>
  <c r="AAE36" i="1"/>
  <c r="MO43" i="1"/>
  <c r="NT34" i="1"/>
  <c r="NT43" i="1" s="1"/>
  <c r="AAE34" i="1"/>
  <c r="NS43" i="1"/>
  <c r="XO33" i="1"/>
  <c r="AAE33" i="1"/>
  <c r="AAE32" i="1"/>
  <c r="ZV43" i="1"/>
  <c r="KH32" i="1"/>
  <c r="KH43" i="1" s="1"/>
  <c r="KG43" i="1"/>
  <c r="XO31" i="1"/>
  <c r="XO43" i="1" s="1"/>
  <c r="AAE31" i="1"/>
  <c r="XN43" i="1"/>
  <c r="OI31" i="1"/>
  <c r="OI43" i="1" s="1"/>
  <c r="OH43" i="1"/>
  <c r="JS31" i="1"/>
  <c r="JS43" i="1" s="1"/>
  <c r="JR43" i="1"/>
  <c r="EN31" i="1"/>
  <c r="EN43" i="1" s="1"/>
  <c r="EM43" i="1"/>
  <c r="X31" i="1"/>
  <c r="X43" i="1" s="1"/>
  <c r="W43" i="1"/>
  <c r="AAH37" i="1" s="1"/>
  <c r="ZG30" i="1"/>
  <c r="ZH29" i="1"/>
  <c r="ZH30" i="1" s="1"/>
  <c r="AAE29" i="1"/>
  <c r="YC30" i="1"/>
  <c r="YD29" i="1"/>
  <c r="YD30" i="1" s="1"/>
  <c r="WY30" i="1"/>
  <c r="WZ29" i="1"/>
  <c r="WZ30" i="1" s="1"/>
  <c r="WJ30" i="1"/>
  <c r="WK29" i="1"/>
  <c r="WK30" i="1" s="1"/>
  <c r="UB30" i="1"/>
  <c r="UC29" i="1"/>
  <c r="UC30" i="1" s="1"/>
  <c r="QA30" i="1"/>
  <c r="QB29" i="1"/>
  <c r="QB30" i="1" s="1"/>
  <c r="OW30" i="1"/>
  <c r="OX29" i="1"/>
  <c r="OX30" i="1" s="1"/>
  <c r="OH30" i="1"/>
  <c r="OI29" i="1"/>
  <c r="OI30" i="1" s="1"/>
  <c r="KG30" i="1"/>
  <c r="KH29" i="1"/>
  <c r="KH30" i="1" s="1"/>
  <c r="JR30" i="1"/>
  <c r="JS29" i="1"/>
  <c r="JS30" i="1" s="1"/>
  <c r="CE30" i="1"/>
  <c r="CF29" i="1"/>
  <c r="CF30" i="1" s="1"/>
  <c r="TN28" i="1"/>
  <c r="AAE28" i="1"/>
  <c r="BP30" i="1"/>
  <c r="BQ26" i="1"/>
  <c r="BQ30" i="1" s="1"/>
  <c r="AAE26" i="1"/>
  <c r="W30" i="1"/>
  <c r="AAE24" i="1"/>
  <c r="TM30" i="1"/>
  <c r="TN21" i="1"/>
  <c r="TN30" i="1" s="1"/>
  <c r="AAE21" i="1"/>
  <c r="MO30" i="1"/>
  <c r="MP21" i="1"/>
  <c r="MP30" i="1" s="1"/>
  <c r="AAF18" i="1"/>
  <c r="AAG18" i="1"/>
  <c r="MO17" i="1"/>
  <c r="MP7" i="1"/>
  <c r="MP17" i="1" s="1"/>
  <c r="AAE7" i="1"/>
  <c r="AAF5" i="1"/>
  <c r="AAG5" i="1"/>
  <c r="AAF95" i="1"/>
  <c r="AAE37" i="1"/>
  <c r="AAD108" i="1"/>
  <c r="AAH98" i="1" s="1"/>
  <c r="B98" i="1" s="1"/>
  <c r="ZW43" i="1"/>
  <c r="B115" i="1"/>
  <c r="B89" i="1"/>
  <c r="AAH91" i="1"/>
  <c r="AAG41" i="1"/>
  <c r="AAF41" i="1"/>
  <c r="AAF40" i="1"/>
  <c r="AAG40" i="1"/>
  <c r="AAG39" i="1"/>
  <c r="AAF39" i="1"/>
  <c r="IO38" i="1"/>
  <c r="AAD38" i="1"/>
  <c r="OI37" i="1"/>
  <c r="AAD37" i="1"/>
  <c r="OI36" i="1"/>
  <c r="AAD36" i="1"/>
  <c r="AAF35" i="1"/>
  <c r="AAG35" i="1"/>
  <c r="AAG27" i="1"/>
  <c r="AAF27" i="1"/>
  <c r="AAG25" i="1"/>
  <c r="AAF25" i="1"/>
  <c r="AM24" i="1"/>
  <c r="AM30" i="1" s="1"/>
  <c r="AAD24" i="1"/>
  <c r="AAG23" i="1"/>
  <c r="AAF23" i="1"/>
  <c r="AAG22" i="1"/>
  <c r="AAF22" i="1"/>
  <c r="AAG20" i="1"/>
  <c r="AAF20" i="1"/>
  <c r="AAF19" i="1"/>
  <c r="AAG19" i="1"/>
  <c r="AAG16" i="1"/>
  <c r="AAF16" i="1"/>
  <c r="AAF15" i="1"/>
  <c r="AAG15" i="1"/>
  <c r="AAG14" i="1"/>
  <c r="AAF14" i="1"/>
  <c r="AAG13" i="1"/>
  <c r="AAF13" i="1"/>
  <c r="AAF12" i="1"/>
  <c r="AAG12" i="1"/>
  <c r="AAF11" i="1"/>
  <c r="AAG11" i="1"/>
  <c r="AAF10" i="1"/>
  <c r="AAG10" i="1"/>
  <c r="AAF9" i="1"/>
  <c r="AAG9" i="1"/>
  <c r="AAG8" i="1"/>
  <c r="AAF8" i="1"/>
  <c r="AAG6" i="1"/>
  <c r="AAF6" i="1"/>
  <c r="B85" i="1"/>
  <c r="AAH93" i="1"/>
  <c r="AAG116" i="1" l="1"/>
  <c r="AAF116" i="1"/>
  <c r="AAG115" i="1"/>
  <c r="AAF115" i="1"/>
  <c r="AAF114" i="1"/>
  <c r="AAG114" i="1"/>
  <c r="AAG121" i="1" s="1"/>
  <c r="AAD121" i="1"/>
  <c r="AAF103" i="1"/>
  <c r="AAG103" i="1"/>
  <c r="AAF102" i="1"/>
  <c r="AAG102" i="1"/>
  <c r="AAF101" i="1"/>
  <c r="AAG101" i="1"/>
  <c r="AAG108" i="1" s="1"/>
  <c r="B102" i="1"/>
  <c r="AAH104" i="1"/>
  <c r="AAH106" i="1"/>
  <c r="AAF90" i="1"/>
  <c r="AAG90" i="1"/>
  <c r="AAF89" i="1"/>
  <c r="AAG89" i="1"/>
  <c r="AAF88" i="1"/>
  <c r="AAG88" i="1"/>
  <c r="AAG95" i="1" s="1"/>
  <c r="AAF77" i="1"/>
  <c r="AAG77" i="1"/>
  <c r="AAG76" i="1"/>
  <c r="AAF76" i="1"/>
  <c r="AAG75" i="1"/>
  <c r="AAG82" i="1" s="1"/>
  <c r="AAF75" i="1"/>
  <c r="AAH80" i="1"/>
  <c r="AAH78" i="1"/>
  <c r="B76" i="1"/>
  <c r="AAG64" i="1"/>
  <c r="AAF64" i="1"/>
  <c r="AAG63" i="1"/>
  <c r="AAF63" i="1"/>
  <c r="AAG62" i="1"/>
  <c r="AAG69" i="1" s="1"/>
  <c r="AAF62" i="1"/>
  <c r="AAH67" i="1"/>
  <c r="B63" i="1"/>
  <c r="AAH65" i="1"/>
  <c r="AAF53" i="1"/>
  <c r="AAG53" i="1"/>
  <c r="AAG51" i="1"/>
  <c r="AAF51" i="1"/>
  <c r="AAG50" i="1"/>
  <c r="AAF50" i="1"/>
  <c r="AAF49" i="1"/>
  <c r="AAG49" i="1"/>
  <c r="AAH54" i="1"/>
  <c r="AAH52" i="1"/>
  <c r="B50" i="1"/>
  <c r="AAG48" i="1"/>
  <c r="AAF48" i="1"/>
  <c r="AAG45" i="1"/>
  <c r="AAG56" i="1" s="1"/>
  <c r="AAF45" i="1"/>
  <c r="AAF42" i="1"/>
  <c r="AAG42" i="1"/>
  <c r="AAF38" i="1"/>
  <c r="AAG38" i="1"/>
  <c r="AAG36" i="1"/>
  <c r="AAF36" i="1"/>
  <c r="AAF34" i="1"/>
  <c r="AAG34" i="1"/>
  <c r="AAG33" i="1"/>
  <c r="AAF33" i="1"/>
  <c r="AAF32" i="1"/>
  <c r="AAG32" i="1"/>
  <c r="AAG31" i="1"/>
  <c r="AAF31" i="1"/>
  <c r="B37" i="1"/>
  <c r="AAH41" i="1"/>
  <c r="AAH39" i="1"/>
  <c r="AAG29" i="1"/>
  <c r="AAF29" i="1"/>
  <c r="AAG28" i="1"/>
  <c r="AAF28" i="1"/>
  <c r="AAG26" i="1"/>
  <c r="AAF26" i="1"/>
  <c r="AAG24" i="1"/>
  <c r="AAF24" i="1"/>
  <c r="AAG21" i="1"/>
  <c r="AAF21" i="1"/>
  <c r="AAE17" i="1"/>
  <c r="AAF17" i="1" s="1"/>
  <c r="AAH11" i="1"/>
  <c r="AAG7" i="1"/>
  <c r="AAF7" i="1"/>
  <c r="AAG37" i="1"/>
  <c r="AAF37" i="1"/>
  <c r="B93" i="1"/>
  <c r="B91" i="1"/>
  <c r="AAG17" i="1"/>
  <c r="AAF108" i="1"/>
  <c r="AAH24" i="1"/>
  <c r="AAE43" i="1"/>
  <c r="AAF43" i="1" s="1"/>
  <c r="AAG30" i="1"/>
  <c r="AAE30" i="1"/>
  <c r="AAF30" i="1" s="1"/>
  <c r="AAF121" i="1" l="1"/>
  <c r="AAH111" i="1"/>
  <c r="B104" i="1"/>
  <c r="B106" i="1"/>
  <c r="B80" i="1"/>
  <c r="B78" i="1"/>
  <c r="B65" i="1"/>
  <c r="B67" i="1"/>
  <c r="B52" i="1"/>
  <c r="B54" i="1"/>
  <c r="B41" i="1"/>
  <c r="B39" i="1"/>
  <c r="B11" i="1"/>
  <c r="AAH15" i="1"/>
  <c r="AAH13" i="1"/>
  <c r="AAH26" i="1"/>
  <c r="AAH28" i="1"/>
  <c r="B24" i="1"/>
  <c r="AAG43" i="1"/>
  <c r="AAH119" i="1" l="1"/>
  <c r="AAH117" i="1"/>
  <c r="B111" i="1"/>
  <c r="B13" i="1"/>
  <c r="B15" i="1"/>
  <c r="B26" i="1"/>
  <c r="B28" i="1"/>
  <c r="B117" i="1" l="1"/>
  <c r="B1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tc={3668D76C-2ED8-DB4E-969D-1FFB9AB544AA}</author>
    <author>tc={B3B6ACFF-8C4D-E14E-A088-4599575A39C8}</author>
    <author>tc={19B5AA48-708E-6B43-AFCC-B771FC80697E}</author>
    <author>tc={8DC91DD3-E5F9-A849-BE88-9E0A7B507B4B}</author>
    <author>tc={743208B9-57D0-3449-A955-57AF43CB9DBC}</author>
    <author>tc={15859C82-F890-0F4C-B008-0FCC506639B8}</author>
    <author>tc={DD471BF4-6282-1F46-912A-E361A1F32C28}</author>
    <author>tc={B36E717B-049B-9948-94E5-0304DC5FA649}</author>
    <author>tc={237ABD6F-FFBF-A74C-9215-BE091C30474F}</author>
    <author>tc={338A57F3-B39F-5048-924B-3AD4DC661629}</author>
  </authors>
  <commentList>
    <comment ref="WD16" authorId="0" shapeId="0" xr:uid="{3668D76C-2ED8-DB4E-969D-1FFB9AB544A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Rozliczenie czynszu Wspólnoty, wody  i oc za rok 2020-2023 Nota księgowa1/11/2023</t>
      </text>
    </comment>
    <comment ref="WP19" authorId="1" shapeId="0" xr:uid="{B3B6ACFF-8C4D-E14E-A088-4599575A39C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czynszu za I kw 2023 ( róznica 615,53 - 476,01= 139,52 x 3</t>
      </text>
    </comment>
    <comment ref="MF21" authorId="2" shapeId="0" xr:uid="{19B5AA48-708E-6B43-AFCC-B771FC80697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Wyrównanie z nadpłatą za 2022 rok</t>
      </text>
    </comment>
    <comment ref="NJ21" authorId="3" shapeId="0" xr:uid="{8DC91DD3-E5F9-A849-BE88-9E0A7B507B4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Odliczono nadpłatę za 2022 rok</t>
      </text>
    </comment>
    <comment ref="TA21" authorId="4" shapeId="0" xr:uid="{743208B9-57D0-3449-A955-57AF43CB9DB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zaliczki Styczeń - Maj 2023r(zaliczka od 01.01.2023 - 692,63)</t>
      </text>
    </comment>
    <comment ref="TD21" authorId="5" shapeId="0" xr:uid="{15859C82-F890-0F4C-B008-0FCC506639B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zaliczki Styczeń - Maj 2023r(zaliczka od 01.01.2023 - 692,63)</t>
      </text>
    </comment>
    <comment ref="WP21" authorId="6" shapeId="0" xr:uid="{DD471BF4-6282-1F46-912A-E361A1F32C2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czynszu za I kw 2023 ( róznica 615,53 - 476,01= 139,52 x 3</t>
      </text>
    </comment>
    <comment ref="TD22" authorId="7" shapeId="0" xr:uid="{B36E717B-049B-9948-94E5-0304DC5FA64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dokonano wpłaty w kwietniu 2023 - rozliczenie kosztów utrzymania lokalu Styczeń - Maj 2023</t>
      </text>
    </comment>
    <comment ref="WP24" authorId="8" shapeId="0" xr:uid="{237ABD6F-FFBF-A74C-9215-BE091C30474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dopłata do czynszu za I kw 2023 ( róznica 615,53 - 476,01= 139,52 x 3</t>
      </text>
    </comment>
    <comment ref="VX29" authorId="9" shapeId="0" xr:uid="{338A57F3-B39F-5048-924B-3AD4DC66162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Nota księgowa rozliczenie energii,wody i k.u. lokalu Na Wydmie 6/30 we Wspólnocie za rok 2020-2023</t>
      </text>
    </comment>
  </commentList>
</comments>
</file>

<file path=xl/sharedStrings.xml><?xml version="1.0" encoding="utf-8"?>
<sst xmlns="http://schemas.openxmlformats.org/spreadsheetml/2006/main" count="1236" uniqueCount="170">
  <si>
    <t>OPŁATY - APARTAMENTY</t>
  </si>
  <si>
    <t>GRAND BALTIC</t>
  </si>
  <si>
    <t>PODSUMOWANIE ROCZNE</t>
  </si>
  <si>
    <t>BULWAR GRAND</t>
  </si>
  <si>
    <t>BULWAR RODZINNY</t>
  </si>
  <si>
    <t>BULWAR PRESTIGE</t>
  </si>
  <si>
    <t>BULWAR VIP</t>
  </si>
  <si>
    <t>BULWAR ZACISZE</t>
  </si>
  <si>
    <t>BULWAR AMBER</t>
  </si>
  <si>
    <t>BULWAR SUN</t>
  </si>
  <si>
    <t>BULWAR MARINA</t>
  </si>
  <si>
    <t>BULWAR GLAMOUR</t>
  </si>
  <si>
    <t>BULWAR ELEGANCE</t>
  </si>
  <si>
    <t>BULWAR PANORAMA</t>
  </si>
  <si>
    <t>BULWAR PANORAMA 2</t>
  </si>
  <si>
    <t>BULWAR 7 MÓRZ</t>
  </si>
  <si>
    <t>BULWAR COMFORT</t>
  </si>
  <si>
    <t>BULWAR DELUXE</t>
  </si>
  <si>
    <t>BULWAR ZACISZE 2</t>
  </si>
  <si>
    <t>BULWAR EXCLUSIVE</t>
  </si>
  <si>
    <t>BULWAR - SCANIA</t>
  </si>
  <si>
    <t>LUXURO PARK</t>
  </si>
  <si>
    <t>SŁONECZNA OAZA</t>
  </si>
  <si>
    <t>GARDEN</t>
  </si>
  <si>
    <t>GARDEN 2</t>
  </si>
  <si>
    <t>AMETYST</t>
  </si>
  <si>
    <t>GRAND</t>
  </si>
  <si>
    <t>RETRO</t>
  </si>
  <si>
    <t>SAMBA</t>
  </si>
  <si>
    <t>OCEAN</t>
  </si>
  <si>
    <t>MALWA</t>
  </si>
  <si>
    <t>REJS</t>
  </si>
  <si>
    <t>REJS 2</t>
  </si>
  <si>
    <t>REJS 3</t>
  </si>
  <si>
    <t>WYDMA</t>
  </si>
  <si>
    <t>POSEJDON</t>
  </si>
  <si>
    <t>BURSZTYN</t>
  </si>
  <si>
    <t>RELAX</t>
  </si>
  <si>
    <t>MAGNOLIA</t>
  </si>
  <si>
    <t>IMPRESJA</t>
  </si>
  <si>
    <t>MOLO</t>
  </si>
  <si>
    <t>PROMENADA</t>
  </si>
  <si>
    <t>MEDUZA</t>
  </si>
  <si>
    <t>CLASSIC 1</t>
  </si>
  <si>
    <t>CLASSIC 2</t>
  </si>
  <si>
    <t>CLASSIC 3</t>
  </si>
  <si>
    <t>SYRENKA</t>
  </si>
  <si>
    <t>GARAŻ</t>
  </si>
  <si>
    <t>PODSUMOWANIE</t>
  </si>
  <si>
    <t>adres:</t>
  </si>
  <si>
    <t>Marynarki Polskiej 40</t>
  </si>
  <si>
    <t>właściciel</t>
  </si>
  <si>
    <t>Fant-Kuten Patrycja Kuten</t>
  </si>
  <si>
    <t>Bulwar Portowy 8-10/57</t>
  </si>
  <si>
    <t>Elżbieta Korzeniewska</t>
  </si>
  <si>
    <t>Bulwar Portowy 8-10/12</t>
  </si>
  <si>
    <t>Gerbert Dijkgraaf</t>
  </si>
  <si>
    <t>Bulwar Portowy 8-10/11</t>
  </si>
  <si>
    <t>Violetta Meyer</t>
  </si>
  <si>
    <t>Bulwar Portowy 8-10/47</t>
  </si>
  <si>
    <t>Maria Baranowska</t>
  </si>
  <si>
    <t>Bulwar Portowy 8-10/1A</t>
  </si>
  <si>
    <t>Bulwar Portowy 8-10/33</t>
  </si>
  <si>
    <t>Weronika Robak</t>
  </si>
  <si>
    <t>Bulwar Portowy 8-10/45</t>
  </si>
  <si>
    <t>Karolina Kaczmarkiewicz</t>
  </si>
  <si>
    <t>Bulwar Portowy 7/14</t>
  </si>
  <si>
    <t>Marcin Dalaszyński</t>
  </si>
  <si>
    <t>Bulwar Portowy 7/8</t>
  </si>
  <si>
    <t>Bulwar Portowy 7/12</t>
  </si>
  <si>
    <t>Bulwar Portowy 7/19</t>
  </si>
  <si>
    <t>Natasza Safader</t>
  </si>
  <si>
    <t>Bulwar Portowy 7/20</t>
  </si>
  <si>
    <t>Bulwar Portowy 7/18</t>
  </si>
  <si>
    <t>Anna Wierkowicz</t>
  </si>
  <si>
    <t>Bulwar Portowy 8-10/17</t>
  </si>
  <si>
    <t>Bulwar Portowy 8-10/23</t>
  </si>
  <si>
    <t>Agnieszka Mydlarz</t>
  </si>
  <si>
    <t>Bulwar Portowy 8-10/2A</t>
  </si>
  <si>
    <t>Bulwar Portowy 7/1</t>
  </si>
  <si>
    <t>Urszula Siniarska</t>
  </si>
  <si>
    <t>Bulwar Portowy 8-10/29</t>
  </si>
  <si>
    <t>Borys Podgórny</t>
  </si>
  <si>
    <t>Uzdrowiskowa 49-51</t>
  </si>
  <si>
    <t>Adam Okręt, Zbigniew Grzybowski</t>
  </si>
  <si>
    <t>Witkiewicza 21A</t>
  </si>
  <si>
    <t>Wczasowa 2/2</t>
  </si>
  <si>
    <t>Grzegorz Piszczek</t>
  </si>
  <si>
    <t>Wczasowa 2A/104</t>
  </si>
  <si>
    <t>Wira Kurak</t>
  </si>
  <si>
    <t>Na Wydmie 7/23</t>
  </si>
  <si>
    <t>Na Wydmie 7/3</t>
  </si>
  <si>
    <t>Na Wydmie 8/22</t>
  </si>
  <si>
    <t>Jan Pranczke</t>
  </si>
  <si>
    <t>Na Wydmie 8/26</t>
  </si>
  <si>
    <t>Monika Czernicka</t>
  </si>
  <si>
    <t>Na Wydmie 8/32</t>
  </si>
  <si>
    <t>Anna Mazurek</t>
  </si>
  <si>
    <t>Na Wydmie 7/18</t>
  </si>
  <si>
    <t>Piotr Baran</t>
  </si>
  <si>
    <t>Na Wydmie 10/19</t>
  </si>
  <si>
    <t>Rafał Safader</t>
  </si>
  <si>
    <t>Na Wydmie 10/55</t>
  </si>
  <si>
    <t>Na Wydmie 10/18</t>
  </si>
  <si>
    <t>Wiesław Grabuszyński</t>
  </si>
  <si>
    <t>Na Wydmie 10/37</t>
  </si>
  <si>
    <t>Aneta Wysoczańska</t>
  </si>
  <si>
    <t>Na Wydmie 8/36</t>
  </si>
  <si>
    <t>Janusz Urbańczyk</t>
  </si>
  <si>
    <t>Na Wydmie 10/61</t>
  </si>
  <si>
    <t>Katarzyna Skirmuntt</t>
  </si>
  <si>
    <t>Na Wydmie 5/31</t>
  </si>
  <si>
    <t>Joanna Gajdo</t>
  </si>
  <si>
    <t>Na Wydmie 7/29</t>
  </si>
  <si>
    <t>Na Wydmie 6/46</t>
  </si>
  <si>
    <t>Roman Piwoński</t>
  </si>
  <si>
    <t>Na Wydmie 6/30</t>
  </si>
  <si>
    <t>Andrzej Bujno</t>
  </si>
  <si>
    <t>Na Wydmie 8/41</t>
  </si>
  <si>
    <t>Anna Chlipalska</t>
  </si>
  <si>
    <t>Na Wydmie 8/21</t>
  </si>
  <si>
    <t>Na Wydmie 7/1</t>
  </si>
  <si>
    <t>Na Wydmie 7/2</t>
  </si>
  <si>
    <t>Na Wydmie 7/4</t>
  </si>
  <si>
    <t>Na Wydmie 3/3</t>
  </si>
  <si>
    <t>Marek Mazur</t>
  </si>
  <si>
    <t>RATA DLA WŁAŚCICIELA</t>
  </si>
  <si>
    <t>GAZ - PGNiG</t>
  </si>
  <si>
    <t>ENERGIA - ENERGA</t>
  </si>
  <si>
    <t>WODOCIĄGI</t>
  </si>
  <si>
    <t>WYWÓZ ŚMIECI - ZGK</t>
  </si>
  <si>
    <t>CZYNSZ DO WSPÓLNOTY</t>
  </si>
  <si>
    <t>ROZLICZENIE ROCZNE</t>
  </si>
  <si>
    <t>WYWÓZ ŚMIECI</t>
  </si>
  <si>
    <t>CZYNSZ ZA GARAŻ</t>
  </si>
  <si>
    <t>START</t>
  </si>
  <si>
    <t>PROGNOZA</t>
  </si>
  <si>
    <t>RZECZYWISTE</t>
  </si>
  <si>
    <t>SALDO</t>
  </si>
  <si>
    <t>PRZYCHODY</t>
  </si>
  <si>
    <t>%</t>
  </si>
  <si>
    <t>B. GRAND</t>
  </si>
  <si>
    <t>B. RODZINNY</t>
  </si>
  <si>
    <t>B. PRESTIGE</t>
  </si>
  <si>
    <t>B. VIP</t>
  </si>
  <si>
    <t>KOSZTY</t>
  </si>
  <si>
    <t>B. ZACISZE</t>
  </si>
  <si>
    <t>B. AMBER</t>
  </si>
  <si>
    <t>B. SUN</t>
  </si>
  <si>
    <t>B. MARINA</t>
  </si>
  <si>
    <t>B.GLAMOUR</t>
  </si>
  <si>
    <t>B. ELEGANCE</t>
  </si>
  <si>
    <t>B. PANORAMA</t>
  </si>
  <si>
    <t>B. PANORAMA 2</t>
  </si>
  <si>
    <t>RAZEM 2022</t>
  </si>
  <si>
    <t>B. 7 MÓRZ</t>
  </si>
  <si>
    <t>B. COMFORT</t>
  </si>
  <si>
    <t>B. DELUXE</t>
  </si>
  <si>
    <t>B. ZACISZE 2</t>
  </si>
  <si>
    <t>B. EXCLUSIVE</t>
  </si>
  <si>
    <t>B. SCANIA</t>
  </si>
  <si>
    <t>S. OAZA</t>
  </si>
  <si>
    <t>RAZEM 2023</t>
  </si>
  <si>
    <t>RAZEM 2024</t>
  </si>
  <si>
    <t>RAZEM 2025</t>
  </si>
  <si>
    <t>RAZEM 2026</t>
  </si>
  <si>
    <t>RAZEM 2027</t>
  </si>
  <si>
    <t>RAZEM 2028</t>
  </si>
  <si>
    <t>RAZEM 2029</t>
  </si>
  <si>
    <t>RAZEM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</si>
</sst>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5]mmmm\ yy;@"/>
    <numFmt numFmtId="165" formatCode="#,##0\ &quot;zł&quot;"/>
    <numFmt numFmtId="166" formatCode="_ * #,##0_)\ &quot;zł&quot;_ ;_ * \(#,##0\)\ &quot;zł&quot;_ ;_ * &quot;-&quot;??_)\ &quot;zł&quot;_ ;_ @_ "/>
  </numFmts>
  <fonts count="26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4"/>
      <color theme="0"/>
      <name val="Calibri"/>
      <family val="2"/>
      <charset val="238"/>
      <scheme val="minor"/>
    </font>
    <font>
      <sz val="28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10"/>
      <color theme="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0"/>
      <color rgb="FF000000"/>
      <name val="Tahoma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0000"/>
        <bgColor indexed="64"/>
      </patternFill>
    </fill>
    <fill>
      <patternFill patternType="solid">
        <fgColor rgb="FFA40002"/>
        <bgColor indexed="64"/>
      </patternFill>
    </fill>
    <fill>
      <patternFill patternType="solid">
        <fgColor theme="4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thick">
        <color rgb="FFC00000"/>
      </left>
      <right style="medium">
        <color theme="1"/>
      </right>
      <top style="thick">
        <color rgb="FFC00000"/>
      </top>
      <bottom style="thick">
        <color rgb="FFC00000"/>
      </bottom>
      <diagonal/>
    </border>
    <border>
      <left style="medium">
        <color theme="1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 style="medium">
        <color indexed="64"/>
      </left>
      <right style="medium">
        <color indexed="64"/>
      </right>
      <top style="thick">
        <color rgb="FFC00000"/>
      </top>
      <bottom style="thick">
        <color rgb="FFC00000"/>
      </bottom>
      <diagonal/>
    </border>
    <border>
      <left style="medium">
        <color theme="0"/>
      </left>
      <right style="medium">
        <color theme="0"/>
      </right>
      <top style="thick">
        <color rgb="FFC00000"/>
      </top>
      <bottom style="thick">
        <color rgb="FFC00000"/>
      </bottom>
      <diagonal/>
    </border>
    <border>
      <left style="medium">
        <color theme="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7">
    <xf numFmtId="0" fontId="0" fillId="0" borderId="0" xfId="0"/>
    <xf numFmtId="0" fontId="5" fillId="0" borderId="0" xfId="0" applyFont="1" applyAlignment="1">
      <alignment wrapText="1"/>
    </xf>
    <xf numFmtId="164" fontId="6" fillId="2" borderId="0" xfId="0" applyNumberFormat="1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5" borderId="8" xfId="0" applyFont="1" applyFill="1" applyBorder="1" applyAlignment="1">
      <alignment horizontal="right" vertical="center"/>
    </xf>
    <xf numFmtId="0" fontId="10" fillId="5" borderId="9" xfId="0" applyFont="1" applyFill="1" applyBorder="1" applyAlignment="1">
      <alignment horizontal="right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right" vertical="center"/>
    </xf>
    <xf numFmtId="0" fontId="10" fillId="3" borderId="8" xfId="0" applyFont="1" applyFill="1" applyBorder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1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right" vertical="center"/>
    </xf>
    <xf numFmtId="0" fontId="11" fillId="3" borderId="1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 wrapText="1"/>
    </xf>
    <xf numFmtId="0" fontId="12" fillId="2" borderId="18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3" fillId="6" borderId="21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3" fillId="2" borderId="22" xfId="2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textRotation="180"/>
    </xf>
    <xf numFmtId="164" fontId="16" fillId="0" borderId="23" xfId="0" applyNumberFormat="1" applyFont="1" applyBorder="1" applyAlignment="1">
      <alignment vertical="center"/>
    </xf>
    <xf numFmtId="165" fontId="5" fillId="0" borderId="21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0" fillId="7" borderId="24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18" fillId="2" borderId="0" xfId="0" applyNumberFormat="1" applyFont="1" applyFill="1" applyAlignment="1">
      <alignment horizontal="center" vertical="center"/>
    </xf>
    <xf numFmtId="165" fontId="19" fillId="2" borderId="0" xfId="0" applyNumberFormat="1" applyFont="1" applyFill="1" applyAlignment="1">
      <alignment horizontal="center" vertical="center"/>
    </xf>
    <xf numFmtId="165" fontId="5" fillId="2" borderId="21" xfId="0" applyNumberFormat="1" applyFont="1" applyFill="1" applyBorder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165" fontId="0" fillId="2" borderId="24" xfId="0" applyNumberForma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5" fillId="3" borderId="21" xfId="0" applyNumberFormat="1" applyFont="1" applyFill="1" applyBorder="1" applyAlignment="1">
      <alignment horizontal="center" vertical="center"/>
    </xf>
    <xf numFmtId="165" fontId="17" fillId="3" borderId="0" xfId="0" applyNumberFormat="1" applyFont="1" applyFill="1" applyAlignment="1">
      <alignment horizontal="center" vertical="center"/>
    </xf>
    <xf numFmtId="165" fontId="0" fillId="3" borderId="24" xfId="0" applyNumberForma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5" fontId="18" fillId="3" borderId="0" xfId="0" applyNumberFormat="1" applyFont="1" applyFill="1" applyAlignment="1">
      <alignment horizontal="center" vertical="center"/>
    </xf>
    <xf numFmtId="165" fontId="19" fillId="3" borderId="0" xfId="0" applyNumberFormat="1" applyFont="1" applyFill="1" applyAlignment="1">
      <alignment horizontal="center" vertical="center"/>
    </xf>
    <xf numFmtId="165" fontId="18" fillId="4" borderId="25" xfId="0" applyNumberFormat="1" applyFont="1" applyFill="1" applyBorder="1" applyAlignment="1">
      <alignment horizontal="center" vertical="center"/>
    </xf>
    <xf numFmtId="165" fontId="19" fillId="4" borderId="25" xfId="0" applyNumberFormat="1" applyFont="1" applyFill="1" applyBorder="1" applyAlignment="1">
      <alignment horizontal="center" vertical="center"/>
    </xf>
    <xf numFmtId="9" fontId="20" fillId="4" borderId="26" xfId="1" applyFont="1" applyFill="1" applyBorder="1" applyAlignment="1">
      <alignment horizontal="center" vertical="center"/>
    </xf>
    <xf numFmtId="165" fontId="20" fillId="4" borderId="27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 textRotation="180"/>
    </xf>
    <xf numFmtId="0" fontId="0" fillId="0" borderId="0" xfId="0" applyAlignment="1">
      <alignment vertical="center"/>
    </xf>
    <xf numFmtId="0" fontId="3" fillId="8" borderId="22" xfId="2" applyFont="1" applyFill="1" applyBorder="1" applyAlignment="1">
      <alignment horizontal="center" vertical="center" wrapText="1"/>
    </xf>
    <xf numFmtId="165" fontId="18" fillId="4" borderId="28" xfId="0" applyNumberFormat="1" applyFont="1" applyFill="1" applyBorder="1" applyAlignment="1">
      <alignment horizontal="center" vertical="center"/>
    </xf>
    <xf numFmtId="165" fontId="19" fillId="4" borderId="28" xfId="0" applyNumberFormat="1" applyFont="1" applyFill="1" applyBorder="1" applyAlignment="1">
      <alignment horizontal="center" vertical="center"/>
    </xf>
    <xf numFmtId="9" fontId="20" fillId="4" borderId="29" xfId="1" applyFont="1" applyFill="1" applyBorder="1" applyAlignment="1">
      <alignment horizontal="center" vertical="center"/>
    </xf>
    <xf numFmtId="165" fontId="20" fillId="4" borderId="30" xfId="0" applyNumberFormat="1" applyFont="1" applyFill="1" applyBorder="1" applyAlignment="1">
      <alignment horizontal="center" vertical="center"/>
    </xf>
    <xf numFmtId="165" fontId="21" fillId="0" borderId="2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21" fillId="0" borderId="7" xfId="0" applyNumberFormat="1" applyFont="1" applyBorder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9" fontId="22" fillId="5" borderId="21" xfId="1" applyFont="1" applyFill="1" applyBorder="1" applyAlignment="1">
      <alignment horizontal="center" vertical="center"/>
    </xf>
    <xf numFmtId="9" fontId="22" fillId="5" borderId="0" xfId="1" applyFont="1" applyFill="1" applyBorder="1" applyAlignment="1">
      <alignment horizontal="center" vertical="center"/>
    </xf>
    <xf numFmtId="165" fontId="22" fillId="7" borderId="21" xfId="0" applyNumberFormat="1" applyFont="1" applyFill="1" applyBorder="1" applyAlignment="1">
      <alignment horizontal="center" vertical="center"/>
    </xf>
    <xf numFmtId="165" fontId="22" fillId="7" borderId="0" xfId="0" applyNumberFormat="1" applyFont="1" applyFill="1" applyAlignment="1">
      <alignment horizontal="center" vertical="center"/>
    </xf>
    <xf numFmtId="165" fontId="19" fillId="4" borderId="31" xfId="0" applyNumberFormat="1" applyFont="1" applyFill="1" applyBorder="1" applyAlignment="1">
      <alignment horizontal="center" vertical="center"/>
    </xf>
    <xf numFmtId="9" fontId="20" fillId="4" borderId="32" xfId="1" applyFont="1" applyFill="1" applyBorder="1" applyAlignment="1">
      <alignment horizontal="center" vertical="center"/>
    </xf>
    <xf numFmtId="165" fontId="20" fillId="4" borderId="33" xfId="0" applyNumberFormat="1" applyFont="1" applyFill="1" applyBorder="1" applyAlignment="1">
      <alignment horizontal="center" vertical="center"/>
    </xf>
    <xf numFmtId="164" fontId="23" fillId="2" borderId="34" xfId="0" applyNumberFormat="1" applyFont="1" applyFill="1" applyBorder="1" applyAlignment="1">
      <alignment horizontal="right" vertical="center"/>
    </xf>
    <xf numFmtId="165" fontId="20" fillId="2" borderId="35" xfId="0" applyNumberFormat="1" applyFont="1" applyFill="1" applyBorder="1" applyAlignment="1">
      <alignment horizontal="center" vertical="center"/>
    </xf>
    <xf numFmtId="165" fontId="20" fillId="2" borderId="36" xfId="0" applyNumberFormat="1" applyFont="1" applyFill="1" applyBorder="1" applyAlignment="1">
      <alignment horizontal="center" vertical="center"/>
    </xf>
    <xf numFmtId="165" fontId="20" fillId="9" borderId="37" xfId="0" applyNumberFormat="1" applyFont="1" applyFill="1" applyBorder="1" applyAlignment="1">
      <alignment horizontal="center" vertical="center"/>
    </xf>
    <xf numFmtId="166" fontId="20" fillId="2" borderId="36" xfId="1" applyNumberFormat="1" applyFont="1" applyFill="1" applyBorder="1" applyAlignment="1">
      <alignment horizontal="center" vertical="center"/>
    </xf>
    <xf numFmtId="165" fontId="20" fillId="2" borderId="36" xfId="1" applyNumberFormat="1" applyFont="1" applyFill="1" applyBorder="1" applyAlignment="1">
      <alignment horizontal="center" vertical="center"/>
    </xf>
    <xf numFmtId="165" fontId="20" fillId="3" borderId="35" xfId="0" applyNumberFormat="1" applyFont="1" applyFill="1" applyBorder="1" applyAlignment="1">
      <alignment horizontal="center" vertical="center"/>
    </xf>
    <xf numFmtId="165" fontId="20" fillId="3" borderId="36" xfId="0" applyNumberFormat="1" applyFont="1" applyFill="1" applyBorder="1" applyAlignment="1">
      <alignment horizontal="center" vertical="center"/>
    </xf>
    <xf numFmtId="165" fontId="20" fillId="3" borderId="37" xfId="0" applyNumberFormat="1" applyFont="1" applyFill="1" applyBorder="1" applyAlignment="1">
      <alignment horizontal="center" vertical="center"/>
    </xf>
    <xf numFmtId="166" fontId="20" fillId="3" borderId="36" xfId="1" applyNumberFormat="1" applyFont="1" applyFill="1" applyBorder="1" applyAlignment="1">
      <alignment horizontal="center" vertical="center"/>
    </xf>
    <xf numFmtId="165" fontId="20" fillId="3" borderId="36" xfId="1" applyNumberFormat="1" applyFont="1" applyFill="1" applyBorder="1" applyAlignment="1">
      <alignment horizontal="center" vertical="center"/>
    </xf>
    <xf numFmtId="165" fontId="24" fillId="6" borderId="38" xfId="0" applyNumberFormat="1" applyFont="1" applyFill="1" applyBorder="1" applyAlignment="1">
      <alignment horizontal="center" vertical="center"/>
    </xf>
    <xf numFmtId="165" fontId="24" fillId="6" borderId="39" xfId="0" applyNumberFormat="1" applyFont="1" applyFill="1" applyBorder="1" applyAlignment="1">
      <alignment horizontal="center" vertical="center"/>
    </xf>
    <xf numFmtId="9" fontId="24" fillId="6" borderId="39" xfId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4" fontId="23" fillId="2" borderId="40" xfId="0" applyNumberFormat="1" applyFont="1" applyFill="1" applyBorder="1" applyAlignment="1">
      <alignment horizontal="right" vertical="center"/>
    </xf>
    <xf numFmtId="165" fontId="20" fillId="2" borderId="41" xfId="0" applyNumberFormat="1" applyFont="1" applyFill="1" applyBorder="1" applyAlignment="1">
      <alignment horizontal="center" vertical="center"/>
    </xf>
    <xf numFmtId="165" fontId="20" fillId="2" borderId="42" xfId="0" applyNumberFormat="1" applyFont="1" applyFill="1" applyBorder="1" applyAlignment="1">
      <alignment horizontal="center" vertical="center"/>
    </xf>
    <xf numFmtId="165" fontId="20" fillId="9" borderId="43" xfId="0" applyNumberFormat="1" applyFont="1" applyFill="1" applyBorder="1" applyAlignment="1">
      <alignment horizontal="center" vertical="center"/>
    </xf>
    <xf numFmtId="166" fontId="20" fillId="2" borderId="42" xfId="1" applyNumberFormat="1" applyFont="1" applyFill="1" applyBorder="1" applyAlignment="1">
      <alignment horizontal="center" vertical="center"/>
    </xf>
    <xf numFmtId="165" fontId="20" fillId="2" borderId="42" xfId="1" applyNumberFormat="1" applyFont="1" applyFill="1" applyBorder="1" applyAlignment="1">
      <alignment horizontal="center" vertical="center"/>
    </xf>
    <xf numFmtId="165" fontId="20" fillId="3" borderId="41" xfId="0" applyNumberFormat="1" applyFont="1" applyFill="1" applyBorder="1" applyAlignment="1">
      <alignment horizontal="center" vertical="center"/>
    </xf>
    <xf numFmtId="165" fontId="20" fillId="3" borderId="42" xfId="0" applyNumberFormat="1" applyFont="1" applyFill="1" applyBorder="1" applyAlignment="1">
      <alignment horizontal="center" vertical="center"/>
    </xf>
    <xf numFmtId="165" fontId="20" fillId="3" borderId="43" xfId="0" applyNumberFormat="1" applyFont="1" applyFill="1" applyBorder="1" applyAlignment="1">
      <alignment horizontal="center" vertical="center"/>
    </xf>
    <xf numFmtId="166" fontId="20" fillId="3" borderId="42" xfId="1" applyNumberFormat="1" applyFont="1" applyFill="1" applyBorder="1" applyAlignment="1">
      <alignment horizontal="center" vertical="center"/>
    </xf>
    <xf numFmtId="165" fontId="20" fillId="3" borderId="42" xfId="1" applyNumberFormat="1" applyFont="1" applyFill="1" applyBorder="1" applyAlignment="1">
      <alignment horizontal="center" vertical="center"/>
    </xf>
    <xf numFmtId="165" fontId="24" fillId="6" borderId="21" xfId="0" applyNumberFormat="1" applyFont="1" applyFill="1" applyBorder="1" applyAlignment="1">
      <alignment horizontal="center" vertical="center"/>
    </xf>
    <xf numFmtId="165" fontId="24" fillId="6" borderId="0" xfId="0" applyNumberFormat="1" applyFont="1" applyFill="1" applyAlignment="1">
      <alignment horizontal="center" vertical="center"/>
    </xf>
    <xf numFmtId="9" fontId="24" fillId="6" borderId="0" xfId="1" applyFont="1" applyFill="1" applyBorder="1" applyAlignment="1">
      <alignment horizontal="center" vertical="center"/>
    </xf>
    <xf numFmtId="165" fontId="18" fillId="3" borderId="21" xfId="0" applyNumberFormat="1" applyFont="1" applyFill="1" applyBorder="1" applyAlignment="1">
      <alignment horizontal="center" vertical="center"/>
    </xf>
    <xf numFmtId="165" fontId="20" fillId="3" borderId="24" xfId="0" applyNumberFormat="1" applyFont="1" applyFill="1" applyBorder="1" applyAlignment="1">
      <alignment horizontal="center" vertical="center"/>
    </xf>
    <xf numFmtId="164" fontId="20" fillId="2" borderId="44" xfId="0" applyNumberFormat="1" applyFont="1" applyFill="1" applyBorder="1" applyAlignment="1">
      <alignment vertical="center"/>
    </xf>
    <xf numFmtId="165" fontId="5" fillId="0" borderId="45" xfId="0" applyNumberFormat="1" applyFont="1" applyBorder="1" applyAlignment="1">
      <alignment horizontal="center" vertical="center"/>
    </xf>
    <xf numFmtId="165" fontId="17" fillId="0" borderId="46" xfId="0" applyNumberFormat="1" applyFont="1" applyBorder="1" applyAlignment="1">
      <alignment horizontal="center" vertical="center"/>
    </xf>
    <xf numFmtId="165" fontId="0" fillId="7" borderId="47" xfId="0" applyNumberFormat="1" applyFill="1" applyBorder="1" applyAlignment="1">
      <alignment horizontal="center" vertical="center"/>
    </xf>
    <xf numFmtId="165" fontId="5" fillId="0" borderId="46" xfId="0" applyNumberFormat="1" applyFont="1" applyBorder="1" applyAlignment="1">
      <alignment horizontal="center" vertical="center"/>
    </xf>
    <xf numFmtId="165" fontId="18" fillId="2" borderId="46" xfId="0" applyNumberFormat="1" applyFont="1" applyFill="1" applyBorder="1" applyAlignment="1">
      <alignment horizontal="center" vertical="center"/>
    </xf>
    <xf numFmtId="165" fontId="19" fillId="2" borderId="46" xfId="0" applyNumberFormat="1" applyFont="1" applyFill="1" applyBorder="1" applyAlignment="1">
      <alignment horizontal="center" vertical="center"/>
    </xf>
    <xf numFmtId="165" fontId="0" fillId="3" borderId="47" xfId="0" applyNumberFormat="1" applyFill="1" applyBorder="1" applyAlignment="1">
      <alignment horizontal="center" vertical="center"/>
    </xf>
    <xf numFmtId="165" fontId="5" fillId="3" borderId="46" xfId="0" applyNumberFormat="1" applyFont="1" applyFill="1" applyBorder="1" applyAlignment="1">
      <alignment horizontal="center" vertical="center"/>
    </xf>
    <xf numFmtId="165" fontId="17" fillId="3" borderId="46" xfId="0" applyNumberFormat="1" applyFont="1" applyFill="1" applyBorder="1" applyAlignment="1">
      <alignment horizontal="center" vertical="center"/>
    </xf>
    <xf numFmtId="165" fontId="18" fillId="3" borderId="46" xfId="0" applyNumberFormat="1" applyFont="1" applyFill="1" applyBorder="1" applyAlignment="1">
      <alignment horizontal="center" vertical="center"/>
    </xf>
    <xf numFmtId="165" fontId="19" fillId="3" borderId="46" xfId="0" applyNumberFormat="1" applyFont="1" applyFill="1" applyBorder="1" applyAlignment="1">
      <alignment horizontal="center" vertical="center"/>
    </xf>
    <xf numFmtId="165" fontId="18" fillId="3" borderId="45" xfId="0" applyNumberFormat="1" applyFont="1" applyFill="1" applyBorder="1" applyAlignment="1">
      <alignment horizontal="center" vertical="center"/>
    </xf>
    <xf numFmtId="165" fontId="20" fillId="3" borderId="47" xfId="0" applyNumberFormat="1" applyFont="1" applyFill="1" applyBorder="1" applyAlignment="1">
      <alignment horizontal="center" vertical="center"/>
    </xf>
    <xf numFmtId="165" fontId="18" fillId="4" borderId="48" xfId="0" applyNumberFormat="1" applyFont="1" applyFill="1" applyBorder="1" applyAlignment="1">
      <alignment horizontal="center" vertical="center"/>
    </xf>
    <xf numFmtId="165" fontId="19" fillId="4" borderId="48" xfId="0" applyNumberFormat="1" applyFont="1" applyFill="1" applyBorder="1" applyAlignment="1">
      <alignment horizontal="center" vertical="center"/>
    </xf>
    <xf numFmtId="9" fontId="20" fillId="4" borderId="49" xfId="1" applyFont="1" applyFill="1" applyBorder="1" applyAlignment="1">
      <alignment horizontal="center" vertical="center"/>
    </xf>
    <xf numFmtId="165" fontId="20" fillId="4" borderId="50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3" fillId="4" borderId="22" xfId="2" applyFont="1" applyFill="1" applyBorder="1" applyAlignment="1">
      <alignment horizontal="center" vertical="center" wrapText="1"/>
    </xf>
    <xf numFmtId="0" fontId="3" fillId="10" borderId="22" xfId="2" applyFont="1" applyFill="1" applyBorder="1" applyAlignment="1">
      <alignment vertical="center" wrapText="1"/>
    </xf>
    <xf numFmtId="0" fontId="3" fillId="4" borderId="22" xfId="2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4" fontId="16" fillId="0" borderId="51" xfId="0" applyNumberFormat="1" applyFont="1" applyBorder="1" applyAlignment="1">
      <alignment vertical="center"/>
    </xf>
    <xf numFmtId="164" fontId="16" fillId="0" borderId="0" xfId="0" applyNumberFormat="1" applyFont="1"/>
  </cellXfs>
  <cellStyles count="3">
    <cellStyle name="Hiperłącze" xfId="2" builtinId="8"/>
    <cellStyle name="Normalny" xfId="0" builtinId="0"/>
    <cellStyle name="Procentowy" xfId="1" builtinId="5"/>
  </cellStyles>
  <dxfs count="10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ltyckie.sharepoint.com/sites/Baltyckie/Shared%20Documents/BA&#321;TYCKIE.xlsx" TargetMode="External"/><Relationship Id="rId1" Type="http://schemas.openxmlformats.org/officeDocument/2006/relationships/externalLinkPath" Target="https://baltyckie.sharepoint.com/sites/Baltyckie/Shared%20Documents/BA&#321;TYCKI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ltyckie.sharepoint.com/Users/mateusz/Downloads/tf000000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do"/>
      <sheetName val="Kalendarz"/>
      <sheetName val="Rezerwacje (2025)"/>
      <sheetName val="Rezerwacje (2020-24)"/>
      <sheetName val="Rezerwacje-ARCHIWUM"/>
      <sheetName val="Przyjazdy-archiwum"/>
      <sheetName val="Przyjazdy (2020-2024)"/>
      <sheetName val="Przyjazdy (2025)"/>
      <sheetName val="Grand Baltic"/>
      <sheetName val="Bulwar Portowy"/>
      <sheetName val="Wczasowa"/>
      <sheetName val="Na Wydmie"/>
      <sheetName val="Przewłoka"/>
      <sheetName val="Apartamenty"/>
      <sheetName val="Opłaty"/>
      <sheetName val="Rezerwacje GB"/>
      <sheetName val="Booking.com - Sek.Oferta"/>
      <sheetName val="Pracownicy"/>
      <sheetName val="Umowy najmu"/>
      <sheetName val="N - B.Portowy"/>
      <sheetName val="Raty dla Właścicieli"/>
      <sheetName val="RCP"/>
      <sheetName val="Umowy podnajmu"/>
      <sheetName val="Vectra"/>
      <sheetName val="Umowy Media"/>
      <sheetName val="Kalendarz GB"/>
      <sheetName val="Kalendarz LP"/>
      <sheetName val="Saldo(STARE)"/>
      <sheetName val="Apartamenty(stare)"/>
      <sheetName val="Opłaty(stare)"/>
      <sheetName val="Przychody"/>
      <sheetName val="GB(stare)"/>
      <sheetName val="BP(stare)"/>
      <sheetName val="W(stare)"/>
      <sheetName val="NW(stare)"/>
      <sheetName val="P(stare)"/>
      <sheetName val="KOSZTY"/>
      <sheetName val="Media"/>
      <sheetName val="Cennik 2024"/>
      <sheetName val="Długotermionowe 2024"/>
      <sheetName val="Cennik 2023"/>
      <sheetName val="Luxuro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Report"/>
      <sheetName val="Financial Data Input"/>
      <sheetName val="Key Metric Settings"/>
      <sheetName val="Calculations"/>
    </sheetNames>
    <sheetDataSet>
      <sheetData sheetId="0"/>
      <sheetData sheetId="1"/>
      <sheetData sheetId="2" refreshError="1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D16" dT="2023-12-01T14:54:34.16" personId="{00000000-0000-0000-0000-000000000000}" id="{3668D76C-2ED8-DB4E-969D-1FFB9AB544AA}">
    <text>Rozliczenie czynszu Wspólnoty, wody  i oc za rok 2020-2023 Nota księgowa1/11/2023</text>
  </threadedComment>
  <threadedComment ref="WP19" dT="2023-11-15T16:45:20.62" personId="{00000000-0000-0000-0000-000000000000}" id="{B3B6ACFF-8C4D-E14E-A088-4599575A39C8}">
    <text>dopłata do czynszu za I kw 2023 ( róznica 615,53 - 476,01= 139,52 x 3</text>
  </threadedComment>
  <threadedComment ref="MF21" dT="2023-11-15T15:30:09.88" personId="{00000000-0000-0000-0000-000000000000}" id="{19B5AA48-708E-6B43-AFCC-B771FC80697E}">
    <text>Wyrównanie z nadpłatą za 2022 rok</text>
  </threadedComment>
  <threadedComment ref="NJ21" dT="2023-11-15T15:37:25.22" personId="{00000000-0000-0000-0000-000000000000}" id="{8DC91DD3-E5F9-A849-BE88-9E0A7B507B4B}">
    <text>Odliczono nadpłatę za 2022 rok</text>
  </threadedComment>
  <threadedComment ref="TA21" dT="2023-11-15T16:04:49.66" personId="{00000000-0000-0000-0000-000000000000}" id="{743208B9-57D0-3449-A955-57AF43CB9DBC}">
    <text>dopłata do zaliczki Styczeń - Maj 2023r(zaliczka od 01.01.2023 - 692,63)</text>
  </threadedComment>
  <threadedComment ref="TD21" dT="2023-11-15T16:06:02.94" personId="{00000000-0000-0000-0000-000000000000}" id="{15859C82-F890-0F4C-B008-0FCC506639B8}">
    <text>dopłata do zaliczki Styczeń - Maj 2023r(zaliczka od 01.01.2023 - 692,63)</text>
  </threadedComment>
  <threadedComment ref="WP21" dT="2023-11-15T16:45:20.62" personId="{00000000-0000-0000-0000-000000000000}" id="{DD471BF4-6282-1F46-912A-E361A1F32C28}">
    <text>dopłata do czynszu za I kw 2023 ( róznica 615,53 - 476,01= 139,52 x 3</text>
  </threadedComment>
  <threadedComment ref="TD22" dT="2023-11-15T16:06:20.62" personId="{00000000-0000-0000-0000-000000000000}" id="{B36E717B-049B-9948-94E5-0304DC5FA649}">
    <text>dokonano wpłaty w kwietniu 2023 - rozliczenie kosztów utrzymania lokalu Styczeń - Maj 2023</text>
  </threadedComment>
  <threadedComment ref="WP24" dT="2023-11-15T16:45:20.62" personId="{00000000-0000-0000-0000-000000000000}" id="{237ABD6F-FFBF-A74C-9215-BE091C30474F}">
    <text>dopłata do czynszu za I kw 2023 ( róznica 615,53 - 476,01= 139,52 x 3</text>
  </threadedComment>
  <threadedComment ref="VX29" dT="2023-12-06T18:45:34.50" personId="{00000000-0000-0000-0000-000000000000}" id="{338A57F3-B39F-5048-924B-3AD4DC661629}">
    <text>Nota księgowa rozliczenie energii,wody i k.u. lokalu Na Wydmie 6/30 we Wspólnocie za rok 2020-2023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2ADE-DB59-3A4B-AFB9-A64E8BE3179E}">
  <sheetPr>
    <tabColor rgb="FFFF0000"/>
  </sheetPr>
  <dimension ref="A1:AAL121"/>
  <sheetViews>
    <sheetView tabSelected="1" zoomScale="90" zoomScaleNormal="90" workbookViewId="0">
      <pane xSplit="6" ySplit="4" topLeftCell="G39" activePane="bottomRight" state="frozen"/>
      <selection pane="topRight" activeCell="G1" sqref="G1"/>
      <selection pane="bottomLeft" activeCell="A5" sqref="A5"/>
      <selection pane="bottomRight" activeCell="TY55" sqref="TY55"/>
    </sheetView>
  </sheetViews>
  <sheetFormatPr baseColWidth="10" defaultColWidth="10.6640625" defaultRowHeight="16" x14ac:dyDescent="0.2"/>
  <cols>
    <col min="1" max="1" width="16.1640625" style="1" customWidth="1"/>
    <col min="2" max="4" width="7" customWidth="1"/>
    <col min="5" max="5" width="6.83203125" customWidth="1"/>
    <col min="6" max="6" width="22.5" style="156" customWidth="1"/>
    <col min="7" max="7" width="11.5" bestFit="1" customWidth="1"/>
    <col min="11" max="11" width="10.83203125" customWidth="1"/>
    <col min="25" max="25" width="11.5" bestFit="1" customWidth="1"/>
    <col min="40" max="40" width="11.5" bestFit="1" customWidth="1"/>
    <col min="55" max="55" width="11.5" bestFit="1" customWidth="1"/>
    <col min="70" max="70" width="14.1640625" bestFit="1" customWidth="1"/>
    <col min="85" max="85" width="11.5" bestFit="1" customWidth="1"/>
    <col min="100" max="100" width="11.5" bestFit="1" customWidth="1"/>
    <col min="115" max="115" width="11.5" bestFit="1" customWidth="1"/>
    <col min="130" max="130" width="11.5" bestFit="1" customWidth="1"/>
    <col min="145" max="145" width="11.5" bestFit="1" customWidth="1"/>
    <col min="160" max="160" width="11.5" bestFit="1" customWidth="1"/>
    <col min="175" max="175" width="11.5" bestFit="1" customWidth="1"/>
    <col min="190" max="190" width="11.5" bestFit="1" customWidth="1"/>
    <col min="205" max="205" width="11.5" bestFit="1" customWidth="1"/>
    <col min="220" max="220" width="11.5" bestFit="1" customWidth="1"/>
    <col min="235" max="235" width="11.5" bestFit="1" customWidth="1"/>
    <col min="250" max="250" width="11.5" bestFit="1" customWidth="1"/>
    <col min="265" max="265" width="11.5" bestFit="1" customWidth="1"/>
    <col min="280" max="280" width="11.5" bestFit="1" customWidth="1"/>
    <col min="295" max="295" width="11.5" bestFit="1" customWidth="1"/>
    <col min="310" max="310" width="11.5" bestFit="1" customWidth="1"/>
    <col min="325" max="325" width="11.5" bestFit="1" customWidth="1"/>
    <col min="340" max="340" width="11.5" bestFit="1" customWidth="1"/>
    <col min="355" max="355" width="11.5" bestFit="1" customWidth="1"/>
    <col min="370" max="370" width="11.5" bestFit="1" customWidth="1"/>
    <col min="385" max="385" width="11.5" bestFit="1" customWidth="1"/>
    <col min="400" max="400" width="11.5" bestFit="1" customWidth="1"/>
    <col min="415" max="415" width="11.5" bestFit="1" customWidth="1"/>
    <col min="430" max="430" width="11.5" bestFit="1" customWidth="1"/>
    <col min="445" max="445" width="11.5" bestFit="1" customWidth="1"/>
    <col min="460" max="460" width="11.5" bestFit="1" customWidth="1"/>
    <col min="475" max="475" width="11.5" bestFit="1" customWidth="1"/>
    <col min="490" max="490" width="11.5" bestFit="1" customWidth="1"/>
    <col min="505" max="505" width="11.5" bestFit="1" customWidth="1"/>
    <col min="520" max="520" width="11.5" bestFit="1" customWidth="1"/>
    <col min="535" max="535" width="11.5" bestFit="1" customWidth="1"/>
    <col min="550" max="550" width="11.5" bestFit="1" customWidth="1"/>
    <col min="565" max="565" width="11.5" bestFit="1" customWidth="1"/>
    <col min="580" max="580" width="11.5" bestFit="1" customWidth="1"/>
    <col min="595" max="595" width="11.5" bestFit="1" customWidth="1"/>
    <col min="610" max="610" width="11.5" bestFit="1" customWidth="1"/>
    <col min="625" max="625" width="11.5" bestFit="1" customWidth="1"/>
    <col min="640" max="640" width="11.5" bestFit="1" customWidth="1"/>
    <col min="655" max="655" width="11.5" bestFit="1" customWidth="1"/>
    <col min="670" max="670" width="11.5" bestFit="1" customWidth="1"/>
    <col min="685" max="685" width="11.5" bestFit="1" customWidth="1"/>
    <col min="700" max="700" width="11.5" bestFit="1" customWidth="1"/>
    <col min="706" max="709" width="19.33203125" customWidth="1"/>
    <col min="711" max="711" width="11.5" bestFit="1" customWidth="1"/>
    <col min="715" max="716" width="10.83203125" customWidth="1"/>
  </cols>
  <sheetData>
    <row r="1" spans="1:714" ht="27" thickBot="1" x14ac:dyDescent="0.35">
      <c r="B1" s="2" t="s">
        <v>0</v>
      </c>
      <c r="C1" s="2"/>
      <c r="D1" s="2"/>
      <c r="E1" s="2"/>
      <c r="F1" s="2"/>
      <c r="G1" s="3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6" t="s">
        <v>2</v>
      </c>
      <c r="W1" s="7"/>
      <c r="X1" s="8"/>
      <c r="Y1" s="3" t="s">
        <v>3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6" t="s">
        <v>2</v>
      </c>
      <c r="AL1" s="7"/>
      <c r="AM1" s="8"/>
      <c r="AN1" s="3" t="s">
        <v>4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5"/>
      <c r="AZ1" s="6" t="s">
        <v>2</v>
      </c>
      <c r="BA1" s="7"/>
      <c r="BB1" s="8"/>
      <c r="BC1" s="3" t="s">
        <v>5</v>
      </c>
      <c r="BD1" s="4"/>
      <c r="BE1" s="4"/>
      <c r="BF1" s="4"/>
      <c r="BG1" s="4"/>
      <c r="BH1" s="4"/>
      <c r="BI1" s="4"/>
      <c r="BJ1" s="4"/>
      <c r="BK1" s="4"/>
      <c r="BL1" s="4"/>
      <c r="BM1" s="4"/>
      <c r="BN1" s="5"/>
      <c r="BO1" s="6" t="s">
        <v>2</v>
      </c>
      <c r="BP1" s="7"/>
      <c r="BQ1" s="8"/>
      <c r="BR1" s="3" t="s">
        <v>6</v>
      </c>
      <c r="BS1" s="4"/>
      <c r="BT1" s="4"/>
      <c r="BU1" s="4"/>
      <c r="BV1" s="4"/>
      <c r="BW1" s="4"/>
      <c r="BX1" s="4"/>
      <c r="BY1" s="4"/>
      <c r="BZ1" s="4"/>
      <c r="CA1" s="4"/>
      <c r="CB1" s="4"/>
      <c r="CC1" s="5"/>
      <c r="CD1" s="6" t="s">
        <v>2</v>
      </c>
      <c r="CE1" s="7"/>
      <c r="CF1" s="8"/>
      <c r="CG1" s="3" t="s">
        <v>7</v>
      </c>
      <c r="CH1" s="4"/>
      <c r="CI1" s="4"/>
      <c r="CJ1" s="4"/>
      <c r="CK1" s="4"/>
      <c r="CL1" s="4"/>
      <c r="CM1" s="4"/>
      <c r="CN1" s="4"/>
      <c r="CO1" s="4"/>
      <c r="CP1" s="4"/>
      <c r="CQ1" s="4"/>
      <c r="CR1" s="5"/>
      <c r="CS1" s="6" t="s">
        <v>2</v>
      </c>
      <c r="CT1" s="7"/>
      <c r="CU1" s="8"/>
      <c r="CV1" s="3" t="s">
        <v>8</v>
      </c>
      <c r="CW1" s="4"/>
      <c r="CX1" s="4"/>
      <c r="CY1" s="4"/>
      <c r="CZ1" s="4"/>
      <c r="DA1" s="4"/>
      <c r="DB1" s="4"/>
      <c r="DC1" s="4"/>
      <c r="DD1" s="4"/>
      <c r="DE1" s="4"/>
      <c r="DF1" s="4"/>
      <c r="DG1" s="5"/>
      <c r="DH1" s="6" t="s">
        <v>2</v>
      </c>
      <c r="DI1" s="7"/>
      <c r="DJ1" s="8"/>
      <c r="DK1" s="3" t="s">
        <v>9</v>
      </c>
      <c r="DL1" s="4"/>
      <c r="DM1" s="4"/>
      <c r="DN1" s="4"/>
      <c r="DO1" s="4"/>
      <c r="DP1" s="4"/>
      <c r="DQ1" s="4"/>
      <c r="DR1" s="4"/>
      <c r="DS1" s="4"/>
      <c r="DT1" s="4"/>
      <c r="DU1" s="4"/>
      <c r="DV1" s="5"/>
      <c r="DW1" s="6" t="s">
        <v>2</v>
      </c>
      <c r="DX1" s="7"/>
      <c r="DY1" s="8"/>
      <c r="DZ1" s="3" t="s">
        <v>10</v>
      </c>
      <c r="EA1" s="4"/>
      <c r="EB1" s="4"/>
      <c r="EC1" s="4"/>
      <c r="ED1" s="4"/>
      <c r="EE1" s="4"/>
      <c r="EF1" s="4"/>
      <c r="EG1" s="4"/>
      <c r="EH1" s="4"/>
      <c r="EI1" s="4"/>
      <c r="EJ1" s="4"/>
      <c r="EK1" s="5"/>
      <c r="EL1" s="6" t="s">
        <v>2</v>
      </c>
      <c r="EM1" s="7"/>
      <c r="EN1" s="8"/>
      <c r="EO1" s="3" t="s">
        <v>11</v>
      </c>
      <c r="EP1" s="4"/>
      <c r="EQ1" s="4"/>
      <c r="ER1" s="4"/>
      <c r="ES1" s="4"/>
      <c r="ET1" s="4"/>
      <c r="EU1" s="4"/>
      <c r="EV1" s="4"/>
      <c r="EW1" s="4"/>
      <c r="EX1" s="4"/>
      <c r="EY1" s="4"/>
      <c r="EZ1" s="5"/>
      <c r="FA1" s="6" t="s">
        <v>2</v>
      </c>
      <c r="FB1" s="7"/>
      <c r="FC1" s="8"/>
      <c r="FD1" s="3" t="s">
        <v>12</v>
      </c>
      <c r="FE1" s="4"/>
      <c r="FF1" s="4"/>
      <c r="FG1" s="4"/>
      <c r="FH1" s="4"/>
      <c r="FI1" s="4"/>
      <c r="FJ1" s="4"/>
      <c r="FK1" s="4"/>
      <c r="FL1" s="4"/>
      <c r="FM1" s="4"/>
      <c r="FN1" s="4"/>
      <c r="FO1" s="5"/>
      <c r="FP1" s="6" t="s">
        <v>2</v>
      </c>
      <c r="FQ1" s="7"/>
      <c r="FR1" s="8"/>
      <c r="FS1" s="3" t="s">
        <v>13</v>
      </c>
      <c r="FT1" s="4"/>
      <c r="FU1" s="4"/>
      <c r="FV1" s="4"/>
      <c r="FW1" s="4"/>
      <c r="FX1" s="4"/>
      <c r="FY1" s="4"/>
      <c r="FZ1" s="4"/>
      <c r="GA1" s="4"/>
      <c r="GB1" s="4"/>
      <c r="GC1" s="4"/>
      <c r="GD1" s="5"/>
      <c r="GE1" s="6" t="s">
        <v>2</v>
      </c>
      <c r="GF1" s="7"/>
      <c r="GG1" s="8"/>
      <c r="GH1" s="3" t="s">
        <v>14</v>
      </c>
      <c r="GI1" s="4"/>
      <c r="GJ1" s="4"/>
      <c r="GK1" s="4"/>
      <c r="GL1" s="4"/>
      <c r="GM1" s="4"/>
      <c r="GN1" s="4"/>
      <c r="GO1" s="4"/>
      <c r="GP1" s="4"/>
      <c r="GQ1" s="4"/>
      <c r="GR1" s="4"/>
      <c r="GS1" s="5"/>
      <c r="GT1" s="6" t="s">
        <v>2</v>
      </c>
      <c r="GU1" s="7"/>
      <c r="GV1" s="8"/>
      <c r="GW1" s="3" t="s">
        <v>15</v>
      </c>
      <c r="GX1" s="4"/>
      <c r="GY1" s="4"/>
      <c r="GZ1" s="4"/>
      <c r="HA1" s="4"/>
      <c r="HB1" s="4"/>
      <c r="HC1" s="4"/>
      <c r="HD1" s="4"/>
      <c r="HE1" s="4"/>
      <c r="HF1" s="4"/>
      <c r="HG1" s="4"/>
      <c r="HH1" s="5"/>
      <c r="HI1" s="6" t="s">
        <v>2</v>
      </c>
      <c r="HJ1" s="7"/>
      <c r="HK1" s="8"/>
      <c r="HL1" s="3" t="s">
        <v>16</v>
      </c>
      <c r="HM1" s="4"/>
      <c r="HN1" s="4"/>
      <c r="HO1" s="4"/>
      <c r="HP1" s="4"/>
      <c r="HQ1" s="4"/>
      <c r="HR1" s="4"/>
      <c r="HS1" s="4"/>
      <c r="HT1" s="4"/>
      <c r="HU1" s="4"/>
      <c r="HV1" s="4"/>
      <c r="HW1" s="5"/>
      <c r="HX1" s="6" t="s">
        <v>2</v>
      </c>
      <c r="HY1" s="7"/>
      <c r="HZ1" s="8"/>
      <c r="IA1" s="3" t="s">
        <v>17</v>
      </c>
      <c r="IB1" s="4"/>
      <c r="IC1" s="4"/>
      <c r="ID1" s="4"/>
      <c r="IE1" s="4"/>
      <c r="IF1" s="4"/>
      <c r="IG1" s="4"/>
      <c r="IH1" s="4"/>
      <c r="II1" s="4"/>
      <c r="IJ1" s="4"/>
      <c r="IK1" s="4"/>
      <c r="IL1" s="5"/>
      <c r="IM1" s="6" t="s">
        <v>2</v>
      </c>
      <c r="IN1" s="7"/>
      <c r="IO1" s="8"/>
      <c r="IP1" s="3" t="s">
        <v>18</v>
      </c>
      <c r="IQ1" s="4"/>
      <c r="IR1" s="4"/>
      <c r="IS1" s="4"/>
      <c r="IT1" s="4"/>
      <c r="IU1" s="4"/>
      <c r="IV1" s="4"/>
      <c r="IW1" s="4"/>
      <c r="IX1" s="4"/>
      <c r="IY1" s="4"/>
      <c r="IZ1" s="4"/>
      <c r="JA1" s="5"/>
      <c r="JB1" s="6" t="s">
        <v>2</v>
      </c>
      <c r="JC1" s="7"/>
      <c r="JD1" s="8"/>
      <c r="JE1" s="3" t="s">
        <v>19</v>
      </c>
      <c r="JF1" s="4"/>
      <c r="JG1" s="4"/>
      <c r="JH1" s="4"/>
      <c r="JI1" s="4"/>
      <c r="JJ1" s="4"/>
      <c r="JK1" s="4"/>
      <c r="JL1" s="4"/>
      <c r="JM1" s="4"/>
      <c r="JN1" s="4"/>
      <c r="JO1" s="4"/>
      <c r="JP1" s="5"/>
      <c r="JQ1" s="6" t="s">
        <v>2</v>
      </c>
      <c r="JR1" s="7"/>
      <c r="JS1" s="8"/>
      <c r="JT1" s="3" t="s">
        <v>20</v>
      </c>
      <c r="JU1" s="4"/>
      <c r="JV1" s="4"/>
      <c r="JW1" s="4"/>
      <c r="JX1" s="4"/>
      <c r="JY1" s="4"/>
      <c r="JZ1" s="4"/>
      <c r="KA1" s="4"/>
      <c r="KB1" s="4"/>
      <c r="KC1" s="4"/>
      <c r="KD1" s="4"/>
      <c r="KE1" s="5"/>
      <c r="KF1" s="6" t="s">
        <v>2</v>
      </c>
      <c r="KG1" s="7"/>
      <c r="KH1" s="8"/>
      <c r="KI1" s="3" t="s">
        <v>21</v>
      </c>
      <c r="KJ1" s="4"/>
      <c r="KK1" s="4"/>
      <c r="KL1" s="4"/>
      <c r="KM1" s="4"/>
      <c r="KN1" s="4"/>
      <c r="KO1" s="4"/>
      <c r="KP1" s="4"/>
      <c r="KQ1" s="4"/>
      <c r="KR1" s="4"/>
      <c r="KS1" s="4"/>
      <c r="KT1" s="5"/>
      <c r="KU1" s="6" t="s">
        <v>2</v>
      </c>
      <c r="KV1" s="7"/>
      <c r="KW1" s="8"/>
      <c r="KX1" s="9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1"/>
      <c r="LJ1" s="12"/>
      <c r="LK1" s="13"/>
      <c r="LL1" s="14"/>
      <c r="LM1" s="3" t="s">
        <v>22</v>
      </c>
      <c r="LN1" s="4"/>
      <c r="LO1" s="4"/>
      <c r="LP1" s="4"/>
      <c r="LQ1" s="4"/>
      <c r="LR1" s="4"/>
      <c r="LS1" s="4"/>
      <c r="LT1" s="4"/>
      <c r="LU1" s="4"/>
      <c r="LV1" s="4"/>
      <c r="LW1" s="4"/>
      <c r="LX1" s="5"/>
      <c r="LY1" s="6" t="s">
        <v>2</v>
      </c>
      <c r="LZ1" s="7"/>
      <c r="MA1" s="8"/>
      <c r="MB1" s="3" t="s">
        <v>23</v>
      </c>
      <c r="MC1" s="4"/>
      <c r="MD1" s="4"/>
      <c r="ME1" s="4"/>
      <c r="MF1" s="4"/>
      <c r="MG1" s="4"/>
      <c r="MH1" s="4"/>
      <c r="MI1" s="4"/>
      <c r="MJ1" s="4"/>
      <c r="MK1" s="4"/>
      <c r="ML1" s="4"/>
      <c r="MM1" s="5"/>
      <c r="MN1" s="6" t="s">
        <v>2</v>
      </c>
      <c r="MO1" s="7"/>
      <c r="MP1" s="8"/>
      <c r="MQ1" s="3" t="s">
        <v>24</v>
      </c>
      <c r="MR1" s="4"/>
      <c r="MS1" s="4"/>
      <c r="MT1" s="4"/>
      <c r="MU1" s="4"/>
      <c r="MV1" s="4"/>
      <c r="MW1" s="4"/>
      <c r="MX1" s="4"/>
      <c r="MY1" s="4"/>
      <c r="MZ1" s="4"/>
      <c r="NA1" s="4"/>
      <c r="NB1" s="5"/>
      <c r="NC1" s="6" t="s">
        <v>2</v>
      </c>
      <c r="ND1" s="7"/>
      <c r="NE1" s="8"/>
      <c r="NF1" s="3" t="s">
        <v>25</v>
      </c>
      <c r="NG1" s="4"/>
      <c r="NH1" s="4"/>
      <c r="NI1" s="4"/>
      <c r="NJ1" s="4"/>
      <c r="NK1" s="4"/>
      <c r="NL1" s="4"/>
      <c r="NM1" s="4"/>
      <c r="NN1" s="4"/>
      <c r="NO1" s="4"/>
      <c r="NP1" s="4"/>
      <c r="NQ1" s="5"/>
      <c r="NR1" s="6" t="s">
        <v>2</v>
      </c>
      <c r="NS1" s="7"/>
      <c r="NT1" s="8"/>
      <c r="NU1" s="3" t="s">
        <v>26</v>
      </c>
      <c r="NV1" s="4"/>
      <c r="NW1" s="4"/>
      <c r="NX1" s="4"/>
      <c r="NY1" s="4"/>
      <c r="NZ1" s="4"/>
      <c r="OA1" s="4"/>
      <c r="OB1" s="4"/>
      <c r="OC1" s="4"/>
      <c r="OD1" s="4"/>
      <c r="OE1" s="4"/>
      <c r="OF1" s="5"/>
      <c r="OG1" s="6" t="s">
        <v>2</v>
      </c>
      <c r="OH1" s="7"/>
      <c r="OI1" s="8"/>
      <c r="OJ1" s="3" t="s">
        <v>27</v>
      </c>
      <c r="OK1" s="4"/>
      <c r="OL1" s="4"/>
      <c r="OM1" s="4"/>
      <c r="ON1" s="4"/>
      <c r="OO1" s="4"/>
      <c r="OP1" s="4"/>
      <c r="OQ1" s="4"/>
      <c r="OR1" s="4"/>
      <c r="OS1" s="4"/>
      <c r="OT1" s="4"/>
      <c r="OU1" s="5"/>
      <c r="OV1" s="6" t="s">
        <v>2</v>
      </c>
      <c r="OW1" s="7"/>
      <c r="OX1" s="8"/>
      <c r="OY1" s="3" t="s">
        <v>28</v>
      </c>
      <c r="OZ1" s="4"/>
      <c r="PA1" s="4"/>
      <c r="PB1" s="4"/>
      <c r="PC1" s="4"/>
      <c r="PD1" s="4"/>
      <c r="PE1" s="4"/>
      <c r="PF1" s="4"/>
      <c r="PG1" s="4"/>
      <c r="PH1" s="4"/>
      <c r="PI1" s="4"/>
      <c r="PJ1" s="5"/>
      <c r="PK1" s="6" t="s">
        <v>2</v>
      </c>
      <c r="PL1" s="7"/>
      <c r="PM1" s="8"/>
      <c r="PN1" s="3" t="s">
        <v>29</v>
      </c>
      <c r="PO1" s="4"/>
      <c r="PP1" s="4"/>
      <c r="PQ1" s="4"/>
      <c r="PR1" s="4"/>
      <c r="PS1" s="4"/>
      <c r="PT1" s="4"/>
      <c r="PU1" s="4"/>
      <c r="PV1" s="4"/>
      <c r="PW1" s="4"/>
      <c r="PX1" s="4"/>
      <c r="PY1" s="5"/>
      <c r="PZ1" s="6" t="s">
        <v>2</v>
      </c>
      <c r="QA1" s="7"/>
      <c r="QB1" s="8"/>
      <c r="QC1" s="3" t="s">
        <v>30</v>
      </c>
      <c r="QD1" s="4"/>
      <c r="QE1" s="4"/>
      <c r="QF1" s="4"/>
      <c r="QG1" s="4"/>
      <c r="QH1" s="4"/>
      <c r="QI1" s="4"/>
      <c r="QJ1" s="4"/>
      <c r="QK1" s="4"/>
      <c r="QL1" s="4"/>
      <c r="QM1" s="4"/>
      <c r="QN1" s="5"/>
      <c r="QO1" s="6" t="s">
        <v>2</v>
      </c>
      <c r="QP1" s="7"/>
      <c r="QQ1" s="8"/>
      <c r="QR1" s="3" t="s">
        <v>31</v>
      </c>
      <c r="QS1" s="4"/>
      <c r="QT1" s="4"/>
      <c r="QU1" s="4"/>
      <c r="QV1" s="4"/>
      <c r="QW1" s="4"/>
      <c r="QX1" s="4"/>
      <c r="QY1" s="4"/>
      <c r="QZ1" s="4"/>
      <c r="RA1" s="4"/>
      <c r="RB1" s="4"/>
      <c r="RC1" s="5"/>
      <c r="RD1" s="6" t="s">
        <v>2</v>
      </c>
      <c r="RE1" s="7"/>
      <c r="RF1" s="8"/>
      <c r="RG1" s="3" t="s">
        <v>32</v>
      </c>
      <c r="RH1" s="4"/>
      <c r="RI1" s="4"/>
      <c r="RJ1" s="4"/>
      <c r="RK1" s="4"/>
      <c r="RL1" s="4"/>
      <c r="RM1" s="4"/>
      <c r="RN1" s="4"/>
      <c r="RO1" s="4"/>
      <c r="RP1" s="4"/>
      <c r="RQ1" s="4"/>
      <c r="RR1" s="5"/>
      <c r="RS1" s="6" t="s">
        <v>2</v>
      </c>
      <c r="RT1" s="7"/>
      <c r="RU1" s="8"/>
      <c r="RV1" s="3" t="s">
        <v>33</v>
      </c>
      <c r="RW1" s="4"/>
      <c r="RX1" s="4"/>
      <c r="RY1" s="4"/>
      <c r="RZ1" s="4"/>
      <c r="SA1" s="4"/>
      <c r="SB1" s="4"/>
      <c r="SC1" s="4"/>
      <c r="SD1" s="4"/>
      <c r="SE1" s="4"/>
      <c r="SF1" s="4"/>
      <c r="SG1" s="5"/>
      <c r="SH1" s="6" t="s">
        <v>2</v>
      </c>
      <c r="SI1" s="7"/>
      <c r="SJ1" s="8"/>
      <c r="SK1" s="3" t="s">
        <v>34</v>
      </c>
      <c r="SL1" s="4"/>
      <c r="SM1" s="4"/>
      <c r="SN1" s="4"/>
      <c r="SO1" s="4"/>
      <c r="SP1" s="4"/>
      <c r="SQ1" s="4"/>
      <c r="SR1" s="4"/>
      <c r="SS1" s="4"/>
      <c r="ST1" s="4"/>
      <c r="SU1" s="4"/>
      <c r="SV1" s="5"/>
      <c r="SW1" s="6" t="s">
        <v>2</v>
      </c>
      <c r="SX1" s="7"/>
      <c r="SY1" s="8"/>
      <c r="SZ1" s="3" t="s">
        <v>35</v>
      </c>
      <c r="TA1" s="4"/>
      <c r="TB1" s="4"/>
      <c r="TC1" s="4"/>
      <c r="TD1" s="4"/>
      <c r="TE1" s="4"/>
      <c r="TF1" s="4"/>
      <c r="TG1" s="4"/>
      <c r="TH1" s="4"/>
      <c r="TI1" s="4"/>
      <c r="TJ1" s="4"/>
      <c r="TK1" s="5"/>
      <c r="TL1" s="6" t="s">
        <v>2</v>
      </c>
      <c r="TM1" s="7"/>
      <c r="TN1" s="8"/>
      <c r="TO1" s="3" t="s">
        <v>36</v>
      </c>
      <c r="TP1" s="4"/>
      <c r="TQ1" s="4"/>
      <c r="TR1" s="4"/>
      <c r="TS1" s="4"/>
      <c r="TT1" s="4"/>
      <c r="TU1" s="4"/>
      <c r="TV1" s="4"/>
      <c r="TW1" s="4"/>
      <c r="TX1" s="4"/>
      <c r="TY1" s="4"/>
      <c r="TZ1" s="5"/>
      <c r="UA1" s="6" t="s">
        <v>2</v>
      </c>
      <c r="UB1" s="7"/>
      <c r="UC1" s="8"/>
      <c r="UD1" s="3" t="s">
        <v>37</v>
      </c>
      <c r="UE1" s="4"/>
      <c r="UF1" s="4"/>
      <c r="UG1" s="4"/>
      <c r="UH1" s="4"/>
      <c r="UI1" s="4"/>
      <c r="UJ1" s="4"/>
      <c r="UK1" s="4"/>
      <c r="UL1" s="4"/>
      <c r="UM1" s="4"/>
      <c r="UN1" s="4"/>
      <c r="UO1" s="5"/>
      <c r="UP1" s="6" t="s">
        <v>2</v>
      </c>
      <c r="UQ1" s="7"/>
      <c r="UR1" s="8"/>
      <c r="US1" s="3" t="s">
        <v>38</v>
      </c>
      <c r="UT1" s="4"/>
      <c r="UU1" s="4"/>
      <c r="UV1" s="4"/>
      <c r="UW1" s="4"/>
      <c r="UX1" s="4"/>
      <c r="UY1" s="4"/>
      <c r="UZ1" s="4"/>
      <c r="VA1" s="4"/>
      <c r="VB1" s="4"/>
      <c r="VC1" s="4"/>
      <c r="VD1" s="5"/>
      <c r="VE1" s="6" t="s">
        <v>2</v>
      </c>
      <c r="VF1" s="7"/>
      <c r="VG1" s="8"/>
      <c r="VH1" s="3" t="s">
        <v>39</v>
      </c>
      <c r="VI1" s="4"/>
      <c r="VJ1" s="4"/>
      <c r="VK1" s="4"/>
      <c r="VL1" s="4"/>
      <c r="VM1" s="4"/>
      <c r="VN1" s="4"/>
      <c r="VO1" s="4"/>
      <c r="VP1" s="4"/>
      <c r="VQ1" s="4"/>
      <c r="VR1" s="4"/>
      <c r="VS1" s="5"/>
      <c r="VT1" s="6" t="s">
        <v>2</v>
      </c>
      <c r="VU1" s="7"/>
      <c r="VV1" s="8"/>
      <c r="VW1" s="3" t="s">
        <v>40</v>
      </c>
      <c r="VX1" s="4"/>
      <c r="VY1" s="4"/>
      <c r="VZ1" s="4"/>
      <c r="WA1" s="4"/>
      <c r="WB1" s="4"/>
      <c r="WC1" s="4"/>
      <c r="WD1" s="4"/>
      <c r="WE1" s="4"/>
      <c r="WF1" s="4"/>
      <c r="WG1" s="4"/>
      <c r="WH1" s="5"/>
      <c r="WI1" s="6" t="s">
        <v>2</v>
      </c>
      <c r="WJ1" s="7"/>
      <c r="WK1" s="8"/>
      <c r="WL1" s="3" t="s">
        <v>41</v>
      </c>
      <c r="WM1" s="4"/>
      <c r="WN1" s="4"/>
      <c r="WO1" s="4"/>
      <c r="WP1" s="4"/>
      <c r="WQ1" s="4"/>
      <c r="WR1" s="4"/>
      <c r="WS1" s="4"/>
      <c r="WT1" s="4"/>
      <c r="WU1" s="4"/>
      <c r="WV1" s="4"/>
      <c r="WW1" s="5"/>
      <c r="WX1" s="6" t="s">
        <v>2</v>
      </c>
      <c r="WY1" s="7"/>
      <c r="WZ1" s="8"/>
      <c r="XA1" s="3" t="s">
        <v>42</v>
      </c>
      <c r="XB1" s="4"/>
      <c r="XC1" s="4"/>
      <c r="XD1" s="4"/>
      <c r="XE1" s="4"/>
      <c r="XF1" s="4"/>
      <c r="XG1" s="4"/>
      <c r="XH1" s="4"/>
      <c r="XI1" s="4"/>
      <c r="XJ1" s="4"/>
      <c r="XK1" s="4"/>
      <c r="XL1" s="5"/>
      <c r="XM1" s="6" t="s">
        <v>2</v>
      </c>
      <c r="XN1" s="7"/>
      <c r="XO1" s="8"/>
      <c r="XP1" s="3" t="s">
        <v>43</v>
      </c>
      <c r="XQ1" s="4"/>
      <c r="XR1" s="4"/>
      <c r="XS1" s="4"/>
      <c r="XT1" s="4"/>
      <c r="XU1" s="4"/>
      <c r="XV1" s="4"/>
      <c r="XW1" s="4"/>
      <c r="XX1" s="4"/>
      <c r="XY1" s="4"/>
      <c r="XZ1" s="4"/>
      <c r="YA1" s="5"/>
      <c r="YB1" s="6" t="s">
        <v>2</v>
      </c>
      <c r="YC1" s="7"/>
      <c r="YD1" s="8"/>
      <c r="YE1" s="3" t="s">
        <v>44</v>
      </c>
      <c r="YF1" s="4"/>
      <c r="YG1" s="4"/>
      <c r="YH1" s="4"/>
      <c r="YI1" s="4"/>
      <c r="YJ1" s="4"/>
      <c r="YK1" s="4"/>
      <c r="YL1" s="4"/>
      <c r="YM1" s="4"/>
      <c r="YN1" s="4"/>
      <c r="YO1" s="4"/>
      <c r="YP1" s="5"/>
      <c r="YQ1" s="6" t="s">
        <v>2</v>
      </c>
      <c r="YR1" s="7"/>
      <c r="YS1" s="8"/>
      <c r="YT1" s="3" t="s">
        <v>45</v>
      </c>
      <c r="YU1" s="4"/>
      <c r="YV1" s="4"/>
      <c r="YW1" s="4"/>
      <c r="YX1" s="4"/>
      <c r="YY1" s="4"/>
      <c r="YZ1" s="4"/>
      <c r="ZA1" s="4"/>
      <c r="ZB1" s="4"/>
      <c r="ZC1" s="4"/>
      <c r="ZD1" s="4"/>
      <c r="ZE1" s="5"/>
      <c r="ZF1" s="6" t="s">
        <v>2</v>
      </c>
      <c r="ZG1" s="7"/>
      <c r="ZH1" s="8"/>
      <c r="ZI1" s="3" t="s">
        <v>46</v>
      </c>
      <c r="ZJ1" s="4"/>
      <c r="ZK1" s="4"/>
      <c r="ZL1" s="4"/>
      <c r="ZM1" s="4"/>
      <c r="ZN1" s="4"/>
      <c r="ZO1" s="4"/>
      <c r="ZP1" s="4"/>
      <c r="ZQ1" s="4"/>
      <c r="ZR1" s="4"/>
      <c r="ZS1" s="4"/>
      <c r="ZT1" s="5"/>
      <c r="ZU1" s="6" t="s">
        <v>2</v>
      </c>
      <c r="ZV1" s="7"/>
      <c r="ZW1" s="8"/>
      <c r="ZX1" s="3" t="s">
        <v>47</v>
      </c>
      <c r="ZY1" s="4"/>
      <c r="ZZ1" s="4"/>
      <c r="AAA1" s="6" t="s">
        <v>2</v>
      </c>
      <c r="AAB1" s="7"/>
      <c r="AAC1" s="8"/>
      <c r="AAD1" s="15" t="s">
        <v>48</v>
      </c>
      <c r="AAE1" s="16"/>
      <c r="AAF1" s="16"/>
      <c r="AAG1" s="16"/>
      <c r="AAH1" s="17"/>
      <c r="AAI1" s="17"/>
      <c r="AAJ1" s="17"/>
      <c r="AAK1" s="17"/>
      <c r="AAL1" s="17"/>
    </row>
    <row r="2" spans="1:714" ht="19" customHeight="1" thickBot="1" x14ac:dyDescent="0.25">
      <c r="B2" s="2"/>
      <c r="C2" s="2"/>
      <c r="D2" s="2"/>
      <c r="E2" s="2"/>
      <c r="F2" s="2"/>
      <c r="G2" s="18" t="s">
        <v>49</v>
      </c>
      <c r="H2" s="19"/>
      <c r="I2" s="19"/>
      <c r="J2" s="20" t="s">
        <v>50</v>
      </c>
      <c r="K2" s="20"/>
      <c r="L2" s="20"/>
      <c r="M2" s="20"/>
      <c r="N2" s="20"/>
      <c r="O2" s="19" t="s">
        <v>51</v>
      </c>
      <c r="P2" s="19"/>
      <c r="Q2" s="20" t="s">
        <v>52</v>
      </c>
      <c r="R2" s="20"/>
      <c r="S2" s="20"/>
      <c r="T2" s="20"/>
      <c r="U2" s="21"/>
      <c r="V2" s="22"/>
      <c r="W2" s="23"/>
      <c r="X2" s="24"/>
      <c r="Y2" s="18" t="s">
        <v>49</v>
      </c>
      <c r="Z2" s="19"/>
      <c r="AA2" s="19"/>
      <c r="AB2" s="20" t="s">
        <v>53</v>
      </c>
      <c r="AC2" s="20"/>
      <c r="AD2" s="20"/>
      <c r="AE2" s="20"/>
      <c r="AF2" s="20"/>
      <c r="AG2" s="25" t="s">
        <v>51</v>
      </c>
      <c r="AH2" s="20" t="s">
        <v>54</v>
      </c>
      <c r="AI2" s="20"/>
      <c r="AJ2" s="21"/>
      <c r="AK2" s="22"/>
      <c r="AL2" s="23"/>
      <c r="AM2" s="24"/>
      <c r="AN2" s="18" t="s">
        <v>49</v>
      </c>
      <c r="AO2" s="19"/>
      <c r="AP2" s="19"/>
      <c r="AQ2" s="20" t="s">
        <v>55</v>
      </c>
      <c r="AR2" s="20"/>
      <c r="AS2" s="20"/>
      <c r="AT2" s="20"/>
      <c r="AU2" s="20"/>
      <c r="AV2" s="25" t="s">
        <v>51</v>
      </c>
      <c r="AW2" s="20" t="s">
        <v>56</v>
      </c>
      <c r="AX2" s="20"/>
      <c r="AY2" s="21"/>
      <c r="AZ2" s="22"/>
      <c r="BA2" s="23"/>
      <c r="BB2" s="24"/>
      <c r="BC2" s="18" t="s">
        <v>49</v>
      </c>
      <c r="BD2" s="19"/>
      <c r="BE2" s="19"/>
      <c r="BF2" s="20" t="s">
        <v>57</v>
      </c>
      <c r="BG2" s="20"/>
      <c r="BH2" s="20"/>
      <c r="BI2" s="20"/>
      <c r="BJ2" s="20"/>
      <c r="BK2" s="25" t="s">
        <v>51</v>
      </c>
      <c r="BL2" s="20" t="s">
        <v>58</v>
      </c>
      <c r="BM2" s="20"/>
      <c r="BN2" s="21"/>
      <c r="BO2" s="22"/>
      <c r="BP2" s="23"/>
      <c r="BQ2" s="24"/>
      <c r="BR2" s="18" t="s">
        <v>49</v>
      </c>
      <c r="BS2" s="19"/>
      <c r="BT2" s="19"/>
      <c r="BU2" s="20" t="s">
        <v>59</v>
      </c>
      <c r="BV2" s="20"/>
      <c r="BW2" s="20"/>
      <c r="BX2" s="20"/>
      <c r="BY2" s="20"/>
      <c r="BZ2" s="25" t="s">
        <v>51</v>
      </c>
      <c r="CA2" s="20" t="s">
        <v>60</v>
      </c>
      <c r="CB2" s="20"/>
      <c r="CC2" s="21"/>
      <c r="CD2" s="22"/>
      <c r="CE2" s="23"/>
      <c r="CF2" s="24"/>
      <c r="CG2" s="18" t="s">
        <v>49</v>
      </c>
      <c r="CH2" s="19"/>
      <c r="CI2" s="19"/>
      <c r="CJ2" s="20" t="s">
        <v>61</v>
      </c>
      <c r="CK2" s="20"/>
      <c r="CL2" s="20"/>
      <c r="CM2" s="20"/>
      <c r="CN2" s="20"/>
      <c r="CO2" s="25" t="s">
        <v>51</v>
      </c>
      <c r="CP2" s="20" t="s">
        <v>56</v>
      </c>
      <c r="CQ2" s="20"/>
      <c r="CR2" s="21"/>
      <c r="CS2" s="22"/>
      <c r="CT2" s="23"/>
      <c r="CU2" s="24"/>
      <c r="CV2" s="18" t="s">
        <v>49</v>
      </c>
      <c r="CW2" s="19"/>
      <c r="CX2" s="19"/>
      <c r="CY2" s="20" t="s">
        <v>62</v>
      </c>
      <c r="CZ2" s="20"/>
      <c r="DA2" s="20"/>
      <c r="DB2" s="20"/>
      <c r="DC2" s="20"/>
      <c r="DD2" s="25" t="s">
        <v>51</v>
      </c>
      <c r="DE2" s="20" t="s">
        <v>63</v>
      </c>
      <c r="DF2" s="20"/>
      <c r="DG2" s="21"/>
      <c r="DH2" s="22"/>
      <c r="DI2" s="23"/>
      <c r="DJ2" s="24"/>
      <c r="DK2" s="18" t="s">
        <v>49</v>
      </c>
      <c r="DL2" s="19"/>
      <c r="DM2" s="19"/>
      <c r="DN2" s="20" t="s">
        <v>64</v>
      </c>
      <c r="DO2" s="20"/>
      <c r="DP2" s="20"/>
      <c r="DQ2" s="20"/>
      <c r="DR2" s="20"/>
      <c r="DS2" s="25" t="s">
        <v>51</v>
      </c>
      <c r="DT2" s="20" t="s">
        <v>65</v>
      </c>
      <c r="DU2" s="20"/>
      <c r="DV2" s="21"/>
      <c r="DW2" s="22"/>
      <c r="DX2" s="23"/>
      <c r="DY2" s="24"/>
      <c r="DZ2" s="18" t="s">
        <v>49</v>
      </c>
      <c r="EA2" s="19"/>
      <c r="EB2" s="19"/>
      <c r="EC2" s="20" t="s">
        <v>66</v>
      </c>
      <c r="ED2" s="20"/>
      <c r="EE2" s="20"/>
      <c r="EF2" s="20"/>
      <c r="EG2" s="20"/>
      <c r="EH2" s="25" t="s">
        <v>51</v>
      </c>
      <c r="EI2" s="20" t="s">
        <v>67</v>
      </c>
      <c r="EJ2" s="20"/>
      <c r="EK2" s="21"/>
      <c r="EL2" s="22"/>
      <c r="EM2" s="23"/>
      <c r="EN2" s="24"/>
      <c r="EO2" s="18" t="s">
        <v>49</v>
      </c>
      <c r="EP2" s="19"/>
      <c r="EQ2" s="19"/>
      <c r="ER2" s="20" t="s">
        <v>68</v>
      </c>
      <c r="ES2" s="20"/>
      <c r="ET2" s="20"/>
      <c r="EU2" s="20"/>
      <c r="EV2" s="20"/>
      <c r="EW2" s="25" t="s">
        <v>51</v>
      </c>
      <c r="EX2" s="20" t="s">
        <v>58</v>
      </c>
      <c r="EY2" s="20"/>
      <c r="EZ2" s="21"/>
      <c r="FA2" s="22"/>
      <c r="FB2" s="23"/>
      <c r="FC2" s="24"/>
      <c r="FD2" s="18" t="s">
        <v>49</v>
      </c>
      <c r="FE2" s="19"/>
      <c r="FF2" s="19"/>
      <c r="FG2" s="20" t="s">
        <v>69</v>
      </c>
      <c r="FH2" s="20"/>
      <c r="FI2" s="20"/>
      <c r="FJ2" s="20"/>
      <c r="FK2" s="20"/>
      <c r="FL2" s="25" t="s">
        <v>51</v>
      </c>
      <c r="FM2" s="20" t="s">
        <v>58</v>
      </c>
      <c r="FN2" s="20"/>
      <c r="FO2" s="21"/>
      <c r="FP2" s="22"/>
      <c r="FQ2" s="23"/>
      <c r="FR2" s="24"/>
      <c r="FS2" s="18" t="s">
        <v>49</v>
      </c>
      <c r="FT2" s="19"/>
      <c r="FU2" s="19"/>
      <c r="FV2" s="20" t="s">
        <v>70</v>
      </c>
      <c r="FW2" s="20"/>
      <c r="FX2" s="20"/>
      <c r="FY2" s="20"/>
      <c r="FZ2" s="20"/>
      <c r="GA2" s="25" t="s">
        <v>51</v>
      </c>
      <c r="GB2" s="20" t="s">
        <v>71</v>
      </c>
      <c r="GC2" s="20"/>
      <c r="GD2" s="21"/>
      <c r="GE2" s="22"/>
      <c r="GF2" s="23"/>
      <c r="GG2" s="24"/>
      <c r="GH2" s="18" t="s">
        <v>49</v>
      </c>
      <c r="GI2" s="19"/>
      <c r="GJ2" s="19"/>
      <c r="GK2" s="20" t="s">
        <v>72</v>
      </c>
      <c r="GL2" s="20"/>
      <c r="GM2" s="20"/>
      <c r="GN2" s="20"/>
      <c r="GO2" s="20"/>
      <c r="GP2" s="25" t="s">
        <v>51</v>
      </c>
      <c r="GQ2" s="20" t="s">
        <v>71</v>
      </c>
      <c r="GR2" s="20"/>
      <c r="GS2" s="21"/>
      <c r="GT2" s="22"/>
      <c r="GU2" s="23"/>
      <c r="GV2" s="24"/>
      <c r="GW2" s="18" t="s">
        <v>49</v>
      </c>
      <c r="GX2" s="19"/>
      <c r="GY2" s="19"/>
      <c r="GZ2" s="20" t="s">
        <v>73</v>
      </c>
      <c r="HA2" s="20"/>
      <c r="HB2" s="20"/>
      <c r="HC2" s="20"/>
      <c r="HD2" s="20"/>
      <c r="HE2" s="25" t="s">
        <v>51</v>
      </c>
      <c r="HF2" s="20" t="s">
        <v>74</v>
      </c>
      <c r="HG2" s="20"/>
      <c r="HH2" s="21"/>
      <c r="HI2" s="22"/>
      <c r="HJ2" s="23"/>
      <c r="HK2" s="24"/>
      <c r="HL2" s="18" t="s">
        <v>49</v>
      </c>
      <c r="HM2" s="19"/>
      <c r="HN2" s="19"/>
      <c r="HO2" s="20" t="s">
        <v>75</v>
      </c>
      <c r="HP2" s="20"/>
      <c r="HQ2" s="20"/>
      <c r="HR2" s="20"/>
      <c r="HS2" s="20"/>
      <c r="HT2" s="25" t="s">
        <v>51</v>
      </c>
      <c r="HU2" s="20" t="s">
        <v>58</v>
      </c>
      <c r="HV2" s="20"/>
      <c r="HW2" s="21"/>
      <c r="HX2" s="22"/>
      <c r="HY2" s="23"/>
      <c r="HZ2" s="24"/>
      <c r="IA2" s="18" t="s">
        <v>49</v>
      </c>
      <c r="IB2" s="19"/>
      <c r="IC2" s="19"/>
      <c r="ID2" s="20" t="s">
        <v>76</v>
      </c>
      <c r="IE2" s="20"/>
      <c r="IF2" s="20"/>
      <c r="IG2" s="20"/>
      <c r="IH2" s="20"/>
      <c r="II2" s="25" t="s">
        <v>51</v>
      </c>
      <c r="IJ2" s="20" t="s">
        <v>77</v>
      </c>
      <c r="IK2" s="20"/>
      <c r="IL2" s="21"/>
      <c r="IM2" s="22"/>
      <c r="IN2" s="23"/>
      <c r="IO2" s="24"/>
      <c r="IP2" s="18" t="s">
        <v>49</v>
      </c>
      <c r="IQ2" s="19"/>
      <c r="IR2" s="19"/>
      <c r="IS2" s="20" t="s">
        <v>78</v>
      </c>
      <c r="IT2" s="20"/>
      <c r="IU2" s="20"/>
      <c r="IV2" s="20"/>
      <c r="IW2" s="20"/>
      <c r="IX2" s="25" t="s">
        <v>51</v>
      </c>
      <c r="IY2" s="20" t="s">
        <v>56</v>
      </c>
      <c r="IZ2" s="20"/>
      <c r="JA2" s="21"/>
      <c r="JB2" s="22"/>
      <c r="JC2" s="23"/>
      <c r="JD2" s="24"/>
      <c r="JE2" s="18" t="s">
        <v>49</v>
      </c>
      <c r="JF2" s="19"/>
      <c r="JG2" s="19"/>
      <c r="JH2" s="20" t="s">
        <v>79</v>
      </c>
      <c r="JI2" s="20"/>
      <c r="JJ2" s="20"/>
      <c r="JK2" s="20"/>
      <c r="JL2" s="20"/>
      <c r="JM2" s="25" t="s">
        <v>51</v>
      </c>
      <c r="JN2" s="20" t="s">
        <v>80</v>
      </c>
      <c r="JO2" s="20"/>
      <c r="JP2" s="21"/>
      <c r="JQ2" s="22"/>
      <c r="JR2" s="23"/>
      <c r="JS2" s="24"/>
      <c r="JT2" s="18" t="s">
        <v>49</v>
      </c>
      <c r="JU2" s="19"/>
      <c r="JV2" s="19"/>
      <c r="JW2" s="20" t="s">
        <v>81</v>
      </c>
      <c r="JX2" s="20"/>
      <c r="JY2" s="20"/>
      <c r="JZ2" s="20"/>
      <c r="KA2" s="20"/>
      <c r="KB2" s="25" t="s">
        <v>51</v>
      </c>
      <c r="KC2" s="20" t="s">
        <v>82</v>
      </c>
      <c r="KD2" s="20"/>
      <c r="KE2" s="21"/>
      <c r="KF2" s="22"/>
      <c r="KG2" s="23"/>
      <c r="KH2" s="24"/>
      <c r="KI2" s="18" t="s">
        <v>49</v>
      </c>
      <c r="KJ2" s="19"/>
      <c r="KK2" s="19"/>
      <c r="KL2" s="20" t="s">
        <v>83</v>
      </c>
      <c r="KM2" s="20"/>
      <c r="KN2" s="20"/>
      <c r="KO2" s="20"/>
      <c r="KP2" s="20"/>
      <c r="KQ2" s="25" t="s">
        <v>51</v>
      </c>
      <c r="KR2" s="20" t="s">
        <v>84</v>
      </c>
      <c r="KS2" s="20"/>
      <c r="KT2" s="21"/>
      <c r="KU2" s="22"/>
      <c r="KV2" s="23"/>
      <c r="KW2" s="24"/>
      <c r="KX2" s="26"/>
      <c r="KY2" s="27"/>
      <c r="KZ2" s="27"/>
      <c r="LA2" s="28"/>
      <c r="LB2" s="28"/>
      <c r="LC2" s="28"/>
      <c r="LD2" s="28"/>
      <c r="LE2" s="28"/>
      <c r="LF2" s="29"/>
      <c r="LG2" s="28"/>
      <c r="LH2" s="28"/>
      <c r="LI2" s="30"/>
      <c r="LJ2" s="31"/>
      <c r="LK2" s="32"/>
      <c r="LL2" s="33"/>
      <c r="LM2" s="18" t="s">
        <v>49</v>
      </c>
      <c r="LN2" s="19"/>
      <c r="LO2" s="19"/>
      <c r="LP2" s="20" t="s">
        <v>85</v>
      </c>
      <c r="LQ2" s="20"/>
      <c r="LR2" s="20"/>
      <c r="LS2" s="20"/>
      <c r="LT2" s="20"/>
      <c r="LU2" s="25" t="s">
        <v>51</v>
      </c>
      <c r="LV2" s="20" t="s">
        <v>74</v>
      </c>
      <c r="LW2" s="20"/>
      <c r="LX2" s="21"/>
      <c r="LY2" s="22"/>
      <c r="LZ2" s="23"/>
      <c r="MA2" s="24"/>
      <c r="MB2" s="18" t="s">
        <v>49</v>
      </c>
      <c r="MC2" s="19"/>
      <c r="MD2" s="19"/>
      <c r="ME2" s="20" t="s">
        <v>86</v>
      </c>
      <c r="MF2" s="20"/>
      <c r="MG2" s="20"/>
      <c r="MH2" s="20"/>
      <c r="MI2" s="20"/>
      <c r="MJ2" s="25" t="s">
        <v>51</v>
      </c>
      <c r="MK2" s="20" t="s">
        <v>87</v>
      </c>
      <c r="ML2" s="20"/>
      <c r="MM2" s="21"/>
      <c r="MN2" s="22"/>
      <c r="MO2" s="23"/>
      <c r="MP2" s="24"/>
      <c r="MQ2" s="18" t="s">
        <v>49</v>
      </c>
      <c r="MR2" s="19"/>
      <c r="MS2" s="19"/>
      <c r="MT2" s="20" t="s">
        <v>88</v>
      </c>
      <c r="MU2" s="20"/>
      <c r="MV2" s="20"/>
      <c r="MW2" s="20"/>
      <c r="MX2" s="20"/>
      <c r="MY2" s="25" t="s">
        <v>51</v>
      </c>
      <c r="MZ2" s="20" t="s">
        <v>89</v>
      </c>
      <c r="NA2" s="20"/>
      <c r="NB2" s="21"/>
      <c r="NC2" s="22"/>
      <c r="ND2" s="23"/>
      <c r="NE2" s="24"/>
      <c r="NF2" s="18" t="s">
        <v>49</v>
      </c>
      <c r="NG2" s="19"/>
      <c r="NH2" s="19"/>
      <c r="NI2" s="20" t="s">
        <v>90</v>
      </c>
      <c r="NJ2" s="20"/>
      <c r="NK2" s="20"/>
      <c r="NL2" s="20"/>
      <c r="NM2" s="20"/>
      <c r="NN2" s="25" t="s">
        <v>51</v>
      </c>
      <c r="NO2" s="20" t="s">
        <v>87</v>
      </c>
      <c r="NP2" s="20"/>
      <c r="NQ2" s="21"/>
      <c r="NR2" s="22"/>
      <c r="NS2" s="23"/>
      <c r="NT2" s="24"/>
      <c r="NU2" s="18" t="s">
        <v>49</v>
      </c>
      <c r="NV2" s="19"/>
      <c r="NW2" s="19"/>
      <c r="NX2" s="20" t="s">
        <v>91</v>
      </c>
      <c r="NY2" s="20"/>
      <c r="NZ2" s="20"/>
      <c r="OA2" s="20"/>
      <c r="OB2" s="20"/>
      <c r="OC2" s="25" t="s">
        <v>51</v>
      </c>
      <c r="OD2" s="20" t="s">
        <v>87</v>
      </c>
      <c r="OE2" s="20"/>
      <c r="OF2" s="21"/>
      <c r="OG2" s="22"/>
      <c r="OH2" s="23"/>
      <c r="OI2" s="24"/>
      <c r="OJ2" s="18" t="s">
        <v>49</v>
      </c>
      <c r="OK2" s="19"/>
      <c r="OL2" s="19"/>
      <c r="OM2" s="20" t="s">
        <v>92</v>
      </c>
      <c r="ON2" s="20"/>
      <c r="OO2" s="20"/>
      <c r="OP2" s="20"/>
      <c r="OQ2" s="20"/>
      <c r="OR2" s="25" t="s">
        <v>51</v>
      </c>
      <c r="OS2" s="20" t="s">
        <v>93</v>
      </c>
      <c r="OT2" s="20"/>
      <c r="OU2" s="21"/>
      <c r="OV2" s="22"/>
      <c r="OW2" s="23"/>
      <c r="OX2" s="24"/>
      <c r="OY2" s="18" t="s">
        <v>49</v>
      </c>
      <c r="OZ2" s="19"/>
      <c r="PA2" s="19"/>
      <c r="PB2" s="20" t="s">
        <v>94</v>
      </c>
      <c r="PC2" s="20"/>
      <c r="PD2" s="20"/>
      <c r="PE2" s="20"/>
      <c r="PF2" s="20"/>
      <c r="PG2" s="25" t="s">
        <v>51</v>
      </c>
      <c r="PH2" s="20" t="s">
        <v>95</v>
      </c>
      <c r="PI2" s="20"/>
      <c r="PJ2" s="21"/>
      <c r="PK2" s="22"/>
      <c r="PL2" s="23"/>
      <c r="PM2" s="24"/>
      <c r="PN2" s="18" t="s">
        <v>49</v>
      </c>
      <c r="PO2" s="19"/>
      <c r="PP2" s="19"/>
      <c r="PQ2" s="20" t="s">
        <v>96</v>
      </c>
      <c r="PR2" s="20"/>
      <c r="PS2" s="20"/>
      <c r="PT2" s="20"/>
      <c r="PU2" s="20"/>
      <c r="PV2" s="25" t="s">
        <v>51</v>
      </c>
      <c r="PW2" s="20" t="s">
        <v>97</v>
      </c>
      <c r="PX2" s="20"/>
      <c r="PY2" s="21"/>
      <c r="PZ2" s="22"/>
      <c r="QA2" s="23"/>
      <c r="QB2" s="24"/>
      <c r="QC2" s="18" t="s">
        <v>49</v>
      </c>
      <c r="QD2" s="19"/>
      <c r="QE2" s="19"/>
      <c r="QF2" s="20" t="s">
        <v>98</v>
      </c>
      <c r="QG2" s="20"/>
      <c r="QH2" s="20"/>
      <c r="QI2" s="20"/>
      <c r="QJ2" s="20"/>
      <c r="QK2" s="25" t="s">
        <v>51</v>
      </c>
      <c r="QL2" s="20" t="s">
        <v>99</v>
      </c>
      <c r="QM2" s="20"/>
      <c r="QN2" s="21"/>
      <c r="QO2" s="22"/>
      <c r="QP2" s="23"/>
      <c r="QQ2" s="24"/>
      <c r="QR2" s="18" t="s">
        <v>49</v>
      </c>
      <c r="QS2" s="19"/>
      <c r="QT2" s="19"/>
      <c r="QU2" s="20" t="s">
        <v>100</v>
      </c>
      <c r="QV2" s="20"/>
      <c r="QW2" s="20"/>
      <c r="QX2" s="20"/>
      <c r="QY2" s="20"/>
      <c r="QZ2" s="25" t="s">
        <v>51</v>
      </c>
      <c r="RA2" s="20" t="s">
        <v>101</v>
      </c>
      <c r="RB2" s="20"/>
      <c r="RC2" s="21"/>
      <c r="RD2" s="22"/>
      <c r="RE2" s="23"/>
      <c r="RF2" s="24"/>
      <c r="RG2" s="18" t="s">
        <v>49</v>
      </c>
      <c r="RH2" s="19"/>
      <c r="RI2" s="19"/>
      <c r="RJ2" s="20" t="s">
        <v>102</v>
      </c>
      <c r="RK2" s="20"/>
      <c r="RL2" s="20"/>
      <c r="RM2" s="20"/>
      <c r="RN2" s="20"/>
      <c r="RO2" s="25" t="s">
        <v>51</v>
      </c>
      <c r="RP2" s="20" t="s">
        <v>101</v>
      </c>
      <c r="RQ2" s="20"/>
      <c r="RR2" s="21"/>
      <c r="RS2" s="22"/>
      <c r="RT2" s="23"/>
      <c r="RU2" s="24"/>
      <c r="RV2" s="18" t="s">
        <v>49</v>
      </c>
      <c r="RW2" s="19"/>
      <c r="RX2" s="19"/>
      <c r="RY2" s="20" t="s">
        <v>103</v>
      </c>
      <c r="RZ2" s="20"/>
      <c r="SA2" s="20"/>
      <c r="SB2" s="20"/>
      <c r="SC2" s="20"/>
      <c r="SD2" s="25" t="s">
        <v>51</v>
      </c>
      <c r="SE2" s="20" t="s">
        <v>104</v>
      </c>
      <c r="SF2" s="20"/>
      <c r="SG2" s="21"/>
      <c r="SH2" s="22"/>
      <c r="SI2" s="23"/>
      <c r="SJ2" s="24"/>
      <c r="SK2" s="18" t="s">
        <v>49</v>
      </c>
      <c r="SL2" s="19"/>
      <c r="SM2" s="19"/>
      <c r="SN2" s="20" t="s">
        <v>105</v>
      </c>
      <c r="SO2" s="20"/>
      <c r="SP2" s="20"/>
      <c r="SQ2" s="20"/>
      <c r="SR2" s="20"/>
      <c r="SS2" s="25" t="s">
        <v>51</v>
      </c>
      <c r="ST2" s="20" t="s">
        <v>106</v>
      </c>
      <c r="SU2" s="20"/>
      <c r="SV2" s="21"/>
      <c r="SW2" s="22"/>
      <c r="SX2" s="23"/>
      <c r="SY2" s="24"/>
      <c r="SZ2" s="18" t="s">
        <v>49</v>
      </c>
      <c r="TA2" s="19"/>
      <c r="TB2" s="19"/>
      <c r="TC2" s="20" t="s">
        <v>107</v>
      </c>
      <c r="TD2" s="20"/>
      <c r="TE2" s="20"/>
      <c r="TF2" s="20"/>
      <c r="TG2" s="20"/>
      <c r="TH2" s="25" t="s">
        <v>51</v>
      </c>
      <c r="TI2" s="20" t="s">
        <v>108</v>
      </c>
      <c r="TJ2" s="20"/>
      <c r="TK2" s="21"/>
      <c r="TL2" s="22"/>
      <c r="TM2" s="23"/>
      <c r="TN2" s="24"/>
      <c r="TO2" s="18" t="s">
        <v>49</v>
      </c>
      <c r="TP2" s="19"/>
      <c r="TQ2" s="19"/>
      <c r="TR2" s="20" t="s">
        <v>109</v>
      </c>
      <c r="TS2" s="20"/>
      <c r="TT2" s="20"/>
      <c r="TU2" s="20"/>
      <c r="TV2" s="20"/>
      <c r="TW2" s="25" t="s">
        <v>51</v>
      </c>
      <c r="TX2" s="20" t="s">
        <v>110</v>
      </c>
      <c r="TY2" s="20"/>
      <c r="TZ2" s="21"/>
      <c r="UA2" s="22"/>
      <c r="UB2" s="23"/>
      <c r="UC2" s="24"/>
      <c r="UD2" s="18" t="s">
        <v>49</v>
      </c>
      <c r="UE2" s="19"/>
      <c r="UF2" s="19"/>
      <c r="UG2" s="20" t="s">
        <v>111</v>
      </c>
      <c r="UH2" s="20"/>
      <c r="UI2" s="20"/>
      <c r="UJ2" s="20"/>
      <c r="UK2" s="20"/>
      <c r="UL2" s="25" t="s">
        <v>51</v>
      </c>
      <c r="UM2" s="20" t="s">
        <v>112</v>
      </c>
      <c r="UN2" s="20"/>
      <c r="UO2" s="21"/>
      <c r="UP2" s="22"/>
      <c r="UQ2" s="23"/>
      <c r="UR2" s="24"/>
      <c r="US2" s="18" t="s">
        <v>49</v>
      </c>
      <c r="UT2" s="19"/>
      <c r="UU2" s="19"/>
      <c r="UV2" s="20" t="s">
        <v>113</v>
      </c>
      <c r="UW2" s="20"/>
      <c r="UX2" s="20"/>
      <c r="UY2" s="20"/>
      <c r="UZ2" s="20"/>
      <c r="VA2" s="25" t="s">
        <v>51</v>
      </c>
      <c r="VB2" s="20"/>
      <c r="VC2" s="20"/>
      <c r="VD2" s="21"/>
      <c r="VE2" s="22"/>
      <c r="VF2" s="23"/>
      <c r="VG2" s="24"/>
      <c r="VH2" s="18" t="s">
        <v>49</v>
      </c>
      <c r="VI2" s="19"/>
      <c r="VJ2" s="19"/>
      <c r="VK2" s="20" t="s">
        <v>114</v>
      </c>
      <c r="VL2" s="20"/>
      <c r="VM2" s="20"/>
      <c r="VN2" s="20"/>
      <c r="VO2" s="20"/>
      <c r="VP2" s="25" t="s">
        <v>51</v>
      </c>
      <c r="VQ2" s="20" t="s">
        <v>115</v>
      </c>
      <c r="VR2" s="20"/>
      <c r="VS2" s="21"/>
      <c r="VT2" s="22"/>
      <c r="VU2" s="23"/>
      <c r="VV2" s="24"/>
      <c r="VW2" s="18" t="s">
        <v>49</v>
      </c>
      <c r="VX2" s="19"/>
      <c r="VY2" s="19"/>
      <c r="VZ2" s="20" t="s">
        <v>116</v>
      </c>
      <c r="WA2" s="20"/>
      <c r="WB2" s="20"/>
      <c r="WC2" s="20"/>
      <c r="WD2" s="20"/>
      <c r="WE2" s="25" t="s">
        <v>51</v>
      </c>
      <c r="WF2" s="20" t="s">
        <v>117</v>
      </c>
      <c r="WG2" s="20"/>
      <c r="WH2" s="21"/>
      <c r="WI2" s="22"/>
      <c r="WJ2" s="23"/>
      <c r="WK2" s="24"/>
      <c r="WL2" s="18" t="s">
        <v>49</v>
      </c>
      <c r="WM2" s="19"/>
      <c r="WN2" s="19"/>
      <c r="WO2" s="20" t="s">
        <v>118</v>
      </c>
      <c r="WP2" s="20"/>
      <c r="WQ2" s="20"/>
      <c r="WR2" s="20"/>
      <c r="WS2" s="20"/>
      <c r="WT2" s="25" t="s">
        <v>51</v>
      </c>
      <c r="WU2" s="20" t="s">
        <v>119</v>
      </c>
      <c r="WV2" s="20"/>
      <c r="WW2" s="21"/>
      <c r="WX2" s="22"/>
      <c r="WY2" s="23"/>
      <c r="WZ2" s="24"/>
      <c r="XA2" s="18" t="s">
        <v>49</v>
      </c>
      <c r="XB2" s="19"/>
      <c r="XC2" s="19"/>
      <c r="XD2" s="20" t="s">
        <v>120</v>
      </c>
      <c r="XE2" s="20"/>
      <c r="XF2" s="20"/>
      <c r="XG2" s="20"/>
      <c r="XH2" s="20"/>
      <c r="XI2" s="25" t="s">
        <v>51</v>
      </c>
      <c r="XJ2" s="20" t="s">
        <v>104</v>
      </c>
      <c r="XK2" s="20"/>
      <c r="XL2" s="21"/>
      <c r="XM2" s="22"/>
      <c r="XN2" s="23"/>
      <c r="XO2" s="24"/>
      <c r="XP2" s="18" t="s">
        <v>49</v>
      </c>
      <c r="XQ2" s="19"/>
      <c r="XR2" s="19"/>
      <c r="XS2" s="20" t="s">
        <v>121</v>
      </c>
      <c r="XT2" s="20"/>
      <c r="XU2" s="20"/>
      <c r="XV2" s="20"/>
      <c r="XW2" s="20"/>
      <c r="XX2" s="25" t="s">
        <v>51</v>
      </c>
      <c r="XY2" s="20" t="s">
        <v>87</v>
      </c>
      <c r="XZ2" s="20"/>
      <c r="YA2" s="21"/>
      <c r="YB2" s="22"/>
      <c r="YC2" s="23"/>
      <c r="YD2" s="24"/>
      <c r="YE2" s="18" t="s">
        <v>49</v>
      </c>
      <c r="YF2" s="19"/>
      <c r="YG2" s="19"/>
      <c r="YH2" s="20" t="s">
        <v>122</v>
      </c>
      <c r="YI2" s="20"/>
      <c r="YJ2" s="20"/>
      <c r="YK2" s="20"/>
      <c r="YL2" s="20"/>
      <c r="YM2" s="25" t="s">
        <v>51</v>
      </c>
      <c r="YN2" s="20" t="s">
        <v>87</v>
      </c>
      <c r="YO2" s="20"/>
      <c r="YP2" s="21"/>
      <c r="YQ2" s="22"/>
      <c r="YR2" s="23"/>
      <c r="YS2" s="24"/>
      <c r="YT2" s="18" t="s">
        <v>49</v>
      </c>
      <c r="YU2" s="19"/>
      <c r="YV2" s="19"/>
      <c r="YW2" s="20" t="s">
        <v>123</v>
      </c>
      <c r="YX2" s="20"/>
      <c r="YY2" s="20"/>
      <c r="YZ2" s="20"/>
      <c r="ZA2" s="20"/>
      <c r="ZB2" s="25" t="s">
        <v>51</v>
      </c>
      <c r="ZC2" s="20" t="s">
        <v>87</v>
      </c>
      <c r="ZD2" s="20"/>
      <c r="ZE2" s="21"/>
      <c r="ZF2" s="22"/>
      <c r="ZG2" s="23"/>
      <c r="ZH2" s="24"/>
      <c r="ZI2" s="18" t="s">
        <v>49</v>
      </c>
      <c r="ZJ2" s="19"/>
      <c r="ZK2" s="19"/>
      <c r="ZL2" s="20" t="s">
        <v>124</v>
      </c>
      <c r="ZM2" s="20"/>
      <c r="ZN2" s="20"/>
      <c r="ZO2" s="20"/>
      <c r="ZP2" s="20"/>
      <c r="ZQ2" s="25" t="s">
        <v>51</v>
      </c>
      <c r="ZR2" s="20" t="s">
        <v>125</v>
      </c>
      <c r="ZS2" s="20"/>
      <c r="ZT2" s="21"/>
      <c r="ZU2" s="22"/>
      <c r="ZV2" s="23"/>
      <c r="ZW2" s="24"/>
      <c r="ZX2" s="34" t="s">
        <v>87</v>
      </c>
      <c r="ZY2" s="35"/>
      <c r="ZZ2" s="35"/>
      <c r="AAA2" s="22"/>
      <c r="AAB2" s="23"/>
      <c r="AAC2" s="24"/>
      <c r="AAD2" s="15"/>
      <c r="AAE2" s="16"/>
      <c r="AAF2" s="16"/>
      <c r="AAG2" s="16"/>
      <c r="AAH2" s="17"/>
      <c r="AAI2" s="17"/>
      <c r="AAJ2" s="17"/>
      <c r="AAK2" s="17"/>
      <c r="AAL2" s="17"/>
    </row>
    <row r="3" spans="1:714" ht="19" customHeight="1" thickBot="1" x14ac:dyDescent="0.25">
      <c r="B3" s="2"/>
      <c r="C3" s="2"/>
      <c r="D3" s="2"/>
      <c r="E3" s="2"/>
      <c r="F3" s="2"/>
      <c r="G3" s="36" t="s">
        <v>126</v>
      </c>
      <c r="H3" s="37"/>
      <c r="I3" s="37"/>
      <c r="J3" s="37" t="s">
        <v>127</v>
      </c>
      <c r="K3" s="37"/>
      <c r="L3" s="37"/>
      <c r="M3" s="37" t="s">
        <v>128</v>
      </c>
      <c r="N3" s="37"/>
      <c r="O3" s="37"/>
      <c r="P3" s="37" t="s">
        <v>129</v>
      </c>
      <c r="Q3" s="37"/>
      <c r="R3" s="37"/>
      <c r="S3" s="37" t="s">
        <v>130</v>
      </c>
      <c r="T3" s="37"/>
      <c r="U3" s="38"/>
      <c r="V3" s="39"/>
      <c r="W3" s="40"/>
      <c r="X3" s="41"/>
      <c r="Y3" s="36" t="s">
        <v>126</v>
      </c>
      <c r="Z3" s="37"/>
      <c r="AA3" s="37"/>
      <c r="AB3" s="37" t="s">
        <v>131</v>
      </c>
      <c r="AC3" s="37"/>
      <c r="AD3" s="37"/>
      <c r="AE3" s="37" t="s">
        <v>132</v>
      </c>
      <c r="AF3" s="37"/>
      <c r="AG3" s="37"/>
      <c r="AH3" s="37" t="s">
        <v>128</v>
      </c>
      <c r="AI3" s="37"/>
      <c r="AJ3" s="38"/>
      <c r="AK3" s="39"/>
      <c r="AL3" s="40"/>
      <c r="AM3" s="41"/>
      <c r="AN3" s="36" t="s">
        <v>126</v>
      </c>
      <c r="AO3" s="37"/>
      <c r="AP3" s="37"/>
      <c r="AQ3" s="37" t="s">
        <v>131</v>
      </c>
      <c r="AR3" s="37"/>
      <c r="AS3" s="37"/>
      <c r="AT3" s="37" t="s">
        <v>132</v>
      </c>
      <c r="AU3" s="37"/>
      <c r="AV3" s="37"/>
      <c r="AW3" s="37" t="s">
        <v>128</v>
      </c>
      <c r="AX3" s="37"/>
      <c r="AY3" s="38"/>
      <c r="AZ3" s="39"/>
      <c r="BA3" s="40"/>
      <c r="BB3" s="41"/>
      <c r="BC3" s="36" t="s">
        <v>126</v>
      </c>
      <c r="BD3" s="37"/>
      <c r="BE3" s="37"/>
      <c r="BF3" s="37" t="s">
        <v>131</v>
      </c>
      <c r="BG3" s="37"/>
      <c r="BH3" s="37"/>
      <c r="BI3" s="37" t="s">
        <v>132</v>
      </c>
      <c r="BJ3" s="37"/>
      <c r="BK3" s="37"/>
      <c r="BL3" s="37" t="s">
        <v>128</v>
      </c>
      <c r="BM3" s="37"/>
      <c r="BN3" s="38"/>
      <c r="BO3" s="39"/>
      <c r="BP3" s="40"/>
      <c r="BQ3" s="41"/>
      <c r="BR3" s="36" t="s">
        <v>126</v>
      </c>
      <c r="BS3" s="37"/>
      <c r="BT3" s="37"/>
      <c r="BU3" s="37" t="s">
        <v>131</v>
      </c>
      <c r="BV3" s="37"/>
      <c r="BW3" s="37"/>
      <c r="BX3" s="37" t="s">
        <v>132</v>
      </c>
      <c r="BY3" s="37"/>
      <c r="BZ3" s="37"/>
      <c r="CA3" s="37" t="s">
        <v>128</v>
      </c>
      <c r="CB3" s="37"/>
      <c r="CC3" s="38"/>
      <c r="CD3" s="39"/>
      <c r="CE3" s="40"/>
      <c r="CF3" s="41"/>
      <c r="CG3" s="36" t="s">
        <v>126</v>
      </c>
      <c r="CH3" s="37"/>
      <c r="CI3" s="37"/>
      <c r="CJ3" s="37" t="s">
        <v>131</v>
      </c>
      <c r="CK3" s="37"/>
      <c r="CL3" s="37"/>
      <c r="CM3" s="37" t="s">
        <v>132</v>
      </c>
      <c r="CN3" s="37"/>
      <c r="CO3" s="37"/>
      <c r="CP3" s="37" t="s">
        <v>128</v>
      </c>
      <c r="CQ3" s="37"/>
      <c r="CR3" s="38"/>
      <c r="CS3" s="39"/>
      <c r="CT3" s="40"/>
      <c r="CU3" s="41"/>
      <c r="CV3" s="36" t="s">
        <v>126</v>
      </c>
      <c r="CW3" s="37"/>
      <c r="CX3" s="37"/>
      <c r="CY3" s="37" t="s">
        <v>131</v>
      </c>
      <c r="CZ3" s="37"/>
      <c r="DA3" s="37"/>
      <c r="DB3" s="37" t="s">
        <v>132</v>
      </c>
      <c r="DC3" s="37"/>
      <c r="DD3" s="37"/>
      <c r="DE3" s="37" t="s">
        <v>128</v>
      </c>
      <c r="DF3" s="37"/>
      <c r="DG3" s="38"/>
      <c r="DH3" s="39"/>
      <c r="DI3" s="40"/>
      <c r="DJ3" s="41"/>
      <c r="DK3" s="36" t="s">
        <v>126</v>
      </c>
      <c r="DL3" s="37"/>
      <c r="DM3" s="37"/>
      <c r="DN3" s="37" t="s">
        <v>131</v>
      </c>
      <c r="DO3" s="37"/>
      <c r="DP3" s="37"/>
      <c r="DQ3" s="37" t="s">
        <v>132</v>
      </c>
      <c r="DR3" s="37"/>
      <c r="DS3" s="37"/>
      <c r="DT3" s="37" t="s">
        <v>128</v>
      </c>
      <c r="DU3" s="37"/>
      <c r="DV3" s="38"/>
      <c r="DW3" s="39"/>
      <c r="DX3" s="40"/>
      <c r="DY3" s="41"/>
      <c r="DZ3" s="36" t="s">
        <v>126</v>
      </c>
      <c r="EA3" s="37"/>
      <c r="EB3" s="37"/>
      <c r="EC3" s="37" t="s">
        <v>131</v>
      </c>
      <c r="ED3" s="37"/>
      <c r="EE3" s="37"/>
      <c r="EF3" s="37" t="s">
        <v>132</v>
      </c>
      <c r="EG3" s="37"/>
      <c r="EH3" s="37"/>
      <c r="EI3" s="37" t="s">
        <v>128</v>
      </c>
      <c r="EJ3" s="37"/>
      <c r="EK3" s="38"/>
      <c r="EL3" s="39"/>
      <c r="EM3" s="40"/>
      <c r="EN3" s="41"/>
      <c r="EO3" s="36" t="s">
        <v>126</v>
      </c>
      <c r="EP3" s="37"/>
      <c r="EQ3" s="37"/>
      <c r="ER3" s="37" t="s">
        <v>131</v>
      </c>
      <c r="ES3" s="37"/>
      <c r="ET3" s="37"/>
      <c r="EU3" s="37" t="s">
        <v>132</v>
      </c>
      <c r="EV3" s="37"/>
      <c r="EW3" s="37"/>
      <c r="EX3" s="37" t="s">
        <v>128</v>
      </c>
      <c r="EY3" s="37"/>
      <c r="EZ3" s="38"/>
      <c r="FA3" s="39"/>
      <c r="FB3" s="40"/>
      <c r="FC3" s="41"/>
      <c r="FD3" s="36" t="s">
        <v>126</v>
      </c>
      <c r="FE3" s="37"/>
      <c r="FF3" s="37"/>
      <c r="FG3" s="37" t="s">
        <v>131</v>
      </c>
      <c r="FH3" s="37"/>
      <c r="FI3" s="37"/>
      <c r="FJ3" s="37" t="s">
        <v>132</v>
      </c>
      <c r="FK3" s="37"/>
      <c r="FL3" s="37"/>
      <c r="FM3" s="37" t="s">
        <v>128</v>
      </c>
      <c r="FN3" s="37"/>
      <c r="FO3" s="38"/>
      <c r="FP3" s="39"/>
      <c r="FQ3" s="40"/>
      <c r="FR3" s="41"/>
      <c r="FS3" s="36" t="s">
        <v>126</v>
      </c>
      <c r="FT3" s="37"/>
      <c r="FU3" s="37"/>
      <c r="FV3" s="37" t="s">
        <v>131</v>
      </c>
      <c r="FW3" s="37"/>
      <c r="FX3" s="37"/>
      <c r="FY3" s="37" t="s">
        <v>132</v>
      </c>
      <c r="FZ3" s="37"/>
      <c r="GA3" s="37"/>
      <c r="GB3" s="37" t="s">
        <v>128</v>
      </c>
      <c r="GC3" s="37"/>
      <c r="GD3" s="38"/>
      <c r="GE3" s="39"/>
      <c r="GF3" s="40"/>
      <c r="GG3" s="41"/>
      <c r="GH3" s="36" t="s">
        <v>126</v>
      </c>
      <c r="GI3" s="37"/>
      <c r="GJ3" s="37"/>
      <c r="GK3" s="37" t="s">
        <v>131</v>
      </c>
      <c r="GL3" s="37"/>
      <c r="GM3" s="37"/>
      <c r="GN3" s="37" t="s">
        <v>132</v>
      </c>
      <c r="GO3" s="37"/>
      <c r="GP3" s="37"/>
      <c r="GQ3" s="37" t="s">
        <v>128</v>
      </c>
      <c r="GR3" s="37"/>
      <c r="GS3" s="38"/>
      <c r="GT3" s="39"/>
      <c r="GU3" s="40"/>
      <c r="GV3" s="41"/>
      <c r="GW3" s="36" t="s">
        <v>126</v>
      </c>
      <c r="GX3" s="37"/>
      <c r="GY3" s="37"/>
      <c r="GZ3" s="37" t="s">
        <v>131</v>
      </c>
      <c r="HA3" s="37"/>
      <c r="HB3" s="37"/>
      <c r="HC3" s="37" t="s">
        <v>132</v>
      </c>
      <c r="HD3" s="37"/>
      <c r="HE3" s="37"/>
      <c r="HF3" s="37" t="s">
        <v>128</v>
      </c>
      <c r="HG3" s="37"/>
      <c r="HH3" s="38"/>
      <c r="HI3" s="39"/>
      <c r="HJ3" s="40"/>
      <c r="HK3" s="41"/>
      <c r="HL3" s="36" t="s">
        <v>126</v>
      </c>
      <c r="HM3" s="37"/>
      <c r="HN3" s="37"/>
      <c r="HO3" s="37" t="s">
        <v>131</v>
      </c>
      <c r="HP3" s="37"/>
      <c r="HQ3" s="37"/>
      <c r="HR3" s="37" t="s">
        <v>132</v>
      </c>
      <c r="HS3" s="37"/>
      <c r="HT3" s="37"/>
      <c r="HU3" s="37" t="s">
        <v>128</v>
      </c>
      <c r="HV3" s="37"/>
      <c r="HW3" s="38"/>
      <c r="HX3" s="39"/>
      <c r="HY3" s="40"/>
      <c r="HZ3" s="41"/>
      <c r="IA3" s="36" t="s">
        <v>126</v>
      </c>
      <c r="IB3" s="37"/>
      <c r="IC3" s="37"/>
      <c r="ID3" s="37" t="s">
        <v>131</v>
      </c>
      <c r="IE3" s="37"/>
      <c r="IF3" s="37"/>
      <c r="IG3" s="37" t="s">
        <v>132</v>
      </c>
      <c r="IH3" s="37"/>
      <c r="II3" s="37"/>
      <c r="IJ3" s="37" t="s">
        <v>128</v>
      </c>
      <c r="IK3" s="37"/>
      <c r="IL3" s="38"/>
      <c r="IM3" s="39"/>
      <c r="IN3" s="40"/>
      <c r="IO3" s="41"/>
      <c r="IP3" s="36" t="s">
        <v>126</v>
      </c>
      <c r="IQ3" s="37"/>
      <c r="IR3" s="37"/>
      <c r="IS3" s="37" t="s">
        <v>131</v>
      </c>
      <c r="IT3" s="37"/>
      <c r="IU3" s="37"/>
      <c r="IV3" s="37" t="s">
        <v>132</v>
      </c>
      <c r="IW3" s="37"/>
      <c r="IX3" s="37"/>
      <c r="IY3" s="37" t="s">
        <v>128</v>
      </c>
      <c r="IZ3" s="37"/>
      <c r="JA3" s="38"/>
      <c r="JB3" s="39"/>
      <c r="JC3" s="40"/>
      <c r="JD3" s="41"/>
      <c r="JE3" s="36" t="s">
        <v>126</v>
      </c>
      <c r="JF3" s="37"/>
      <c r="JG3" s="37"/>
      <c r="JH3" s="37" t="s">
        <v>131</v>
      </c>
      <c r="JI3" s="37"/>
      <c r="JJ3" s="37"/>
      <c r="JK3" s="37" t="s">
        <v>132</v>
      </c>
      <c r="JL3" s="37"/>
      <c r="JM3" s="37"/>
      <c r="JN3" s="37" t="s">
        <v>128</v>
      </c>
      <c r="JO3" s="37"/>
      <c r="JP3" s="38"/>
      <c r="JQ3" s="39"/>
      <c r="JR3" s="40"/>
      <c r="JS3" s="41"/>
      <c r="JT3" s="36" t="s">
        <v>126</v>
      </c>
      <c r="JU3" s="37"/>
      <c r="JV3" s="37"/>
      <c r="JW3" s="37" t="s">
        <v>131</v>
      </c>
      <c r="JX3" s="37"/>
      <c r="JY3" s="37"/>
      <c r="JZ3" s="37" t="s">
        <v>132</v>
      </c>
      <c r="KA3" s="37"/>
      <c r="KB3" s="37"/>
      <c r="KC3" s="37" t="s">
        <v>128</v>
      </c>
      <c r="KD3" s="37"/>
      <c r="KE3" s="38"/>
      <c r="KF3" s="39"/>
      <c r="KG3" s="40"/>
      <c r="KH3" s="41"/>
      <c r="KI3" s="36" t="s">
        <v>126</v>
      </c>
      <c r="KJ3" s="37"/>
      <c r="KK3" s="37"/>
      <c r="KL3" s="37" t="s">
        <v>133</v>
      </c>
      <c r="KM3" s="37"/>
      <c r="KN3" s="37"/>
      <c r="KO3" s="37" t="s">
        <v>132</v>
      </c>
      <c r="KP3" s="37"/>
      <c r="KQ3" s="37"/>
      <c r="KR3" s="37" t="s">
        <v>128</v>
      </c>
      <c r="KS3" s="37"/>
      <c r="KT3" s="38"/>
      <c r="KU3" s="39"/>
      <c r="KV3" s="40"/>
      <c r="KW3" s="41"/>
      <c r="KX3" s="42"/>
      <c r="KY3" s="43"/>
      <c r="KZ3" s="43"/>
      <c r="LA3" s="43"/>
      <c r="LB3" s="43"/>
      <c r="LC3" s="43"/>
      <c r="LD3" s="43"/>
      <c r="LE3" s="43"/>
      <c r="LF3" s="43"/>
      <c r="LG3" s="43"/>
      <c r="LH3" s="43"/>
      <c r="LI3" s="44"/>
      <c r="LJ3" s="45"/>
      <c r="LK3" s="46"/>
      <c r="LL3" s="47"/>
      <c r="LM3" s="36" t="s">
        <v>126</v>
      </c>
      <c r="LN3" s="37"/>
      <c r="LO3" s="37"/>
      <c r="LP3" s="37" t="s">
        <v>131</v>
      </c>
      <c r="LQ3" s="37"/>
      <c r="LR3" s="37"/>
      <c r="LS3" s="37" t="s">
        <v>132</v>
      </c>
      <c r="LT3" s="37"/>
      <c r="LU3" s="37"/>
      <c r="LV3" s="37" t="s">
        <v>128</v>
      </c>
      <c r="LW3" s="37"/>
      <c r="LX3" s="38"/>
      <c r="LY3" s="39"/>
      <c r="LZ3" s="40"/>
      <c r="MA3" s="41"/>
      <c r="MB3" s="36" t="s">
        <v>126</v>
      </c>
      <c r="MC3" s="37"/>
      <c r="MD3" s="37"/>
      <c r="ME3" s="37" t="s">
        <v>131</v>
      </c>
      <c r="MF3" s="37"/>
      <c r="MG3" s="37"/>
      <c r="MH3" s="37" t="s">
        <v>132</v>
      </c>
      <c r="MI3" s="37"/>
      <c r="MJ3" s="37"/>
      <c r="MK3" s="37" t="s">
        <v>128</v>
      </c>
      <c r="ML3" s="37"/>
      <c r="MM3" s="38"/>
      <c r="MN3" s="39"/>
      <c r="MO3" s="40"/>
      <c r="MP3" s="41"/>
      <c r="MQ3" s="36" t="s">
        <v>126</v>
      </c>
      <c r="MR3" s="37"/>
      <c r="MS3" s="37"/>
      <c r="MT3" s="37" t="s">
        <v>131</v>
      </c>
      <c r="MU3" s="37"/>
      <c r="MV3" s="37"/>
      <c r="MW3" s="37" t="s">
        <v>132</v>
      </c>
      <c r="MX3" s="37"/>
      <c r="MY3" s="37"/>
      <c r="MZ3" s="37" t="s">
        <v>128</v>
      </c>
      <c r="NA3" s="37"/>
      <c r="NB3" s="38"/>
      <c r="NC3" s="39"/>
      <c r="ND3" s="40"/>
      <c r="NE3" s="41"/>
      <c r="NF3" s="36" t="s">
        <v>126</v>
      </c>
      <c r="NG3" s="37"/>
      <c r="NH3" s="37"/>
      <c r="NI3" s="37" t="s">
        <v>131</v>
      </c>
      <c r="NJ3" s="37"/>
      <c r="NK3" s="37"/>
      <c r="NL3" s="37" t="s">
        <v>132</v>
      </c>
      <c r="NM3" s="37"/>
      <c r="NN3" s="37"/>
      <c r="NO3" s="37" t="s">
        <v>128</v>
      </c>
      <c r="NP3" s="37"/>
      <c r="NQ3" s="38"/>
      <c r="NR3" s="39"/>
      <c r="NS3" s="40"/>
      <c r="NT3" s="41"/>
      <c r="NU3" s="36" t="s">
        <v>126</v>
      </c>
      <c r="NV3" s="37"/>
      <c r="NW3" s="37"/>
      <c r="NX3" s="37" t="s">
        <v>131</v>
      </c>
      <c r="NY3" s="37"/>
      <c r="NZ3" s="37"/>
      <c r="OA3" s="37" t="s">
        <v>132</v>
      </c>
      <c r="OB3" s="37"/>
      <c r="OC3" s="37"/>
      <c r="OD3" s="37" t="s">
        <v>128</v>
      </c>
      <c r="OE3" s="37"/>
      <c r="OF3" s="38"/>
      <c r="OG3" s="39"/>
      <c r="OH3" s="40"/>
      <c r="OI3" s="41"/>
      <c r="OJ3" s="36" t="s">
        <v>126</v>
      </c>
      <c r="OK3" s="37"/>
      <c r="OL3" s="37"/>
      <c r="OM3" s="37" t="s">
        <v>131</v>
      </c>
      <c r="ON3" s="37"/>
      <c r="OO3" s="37"/>
      <c r="OP3" s="37" t="s">
        <v>132</v>
      </c>
      <c r="OQ3" s="37"/>
      <c r="OR3" s="37"/>
      <c r="OS3" s="37" t="s">
        <v>128</v>
      </c>
      <c r="OT3" s="37"/>
      <c r="OU3" s="38"/>
      <c r="OV3" s="39"/>
      <c r="OW3" s="40"/>
      <c r="OX3" s="41"/>
      <c r="OY3" s="36" t="s">
        <v>126</v>
      </c>
      <c r="OZ3" s="37"/>
      <c r="PA3" s="37"/>
      <c r="PB3" s="37" t="s">
        <v>131</v>
      </c>
      <c r="PC3" s="37"/>
      <c r="PD3" s="37"/>
      <c r="PE3" s="37" t="s">
        <v>132</v>
      </c>
      <c r="PF3" s="37"/>
      <c r="PG3" s="37"/>
      <c r="PH3" s="37" t="s">
        <v>128</v>
      </c>
      <c r="PI3" s="37"/>
      <c r="PJ3" s="38"/>
      <c r="PK3" s="39"/>
      <c r="PL3" s="40"/>
      <c r="PM3" s="41"/>
      <c r="PN3" s="36" t="s">
        <v>126</v>
      </c>
      <c r="PO3" s="37"/>
      <c r="PP3" s="37"/>
      <c r="PQ3" s="37" t="s">
        <v>131</v>
      </c>
      <c r="PR3" s="37"/>
      <c r="PS3" s="37"/>
      <c r="PT3" s="37" t="s">
        <v>132</v>
      </c>
      <c r="PU3" s="37"/>
      <c r="PV3" s="37"/>
      <c r="PW3" s="37" t="s">
        <v>128</v>
      </c>
      <c r="PX3" s="37"/>
      <c r="PY3" s="38"/>
      <c r="PZ3" s="39"/>
      <c r="QA3" s="40"/>
      <c r="QB3" s="41"/>
      <c r="QC3" s="36" t="s">
        <v>126</v>
      </c>
      <c r="QD3" s="37"/>
      <c r="QE3" s="37"/>
      <c r="QF3" s="37" t="s">
        <v>131</v>
      </c>
      <c r="QG3" s="37"/>
      <c r="QH3" s="37"/>
      <c r="QI3" s="37" t="s">
        <v>132</v>
      </c>
      <c r="QJ3" s="37"/>
      <c r="QK3" s="37"/>
      <c r="QL3" s="37" t="s">
        <v>128</v>
      </c>
      <c r="QM3" s="37"/>
      <c r="QN3" s="38"/>
      <c r="QO3" s="39"/>
      <c r="QP3" s="40"/>
      <c r="QQ3" s="41"/>
      <c r="QR3" s="36" t="s">
        <v>126</v>
      </c>
      <c r="QS3" s="37"/>
      <c r="QT3" s="37"/>
      <c r="QU3" s="37" t="s">
        <v>131</v>
      </c>
      <c r="QV3" s="37"/>
      <c r="QW3" s="37"/>
      <c r="QX3" s="37" t="s">
        <v>132</v>
      </c>
      <c r="QY3" s="37"/>
      <c r="QZ3" s="37"/>
      <c r="RA3" s="37" t="s">
        <v>128</v>
      </c>
      <c r="RB3" s="37"/>
      <c r="RC3" s="38"/>
      <c r="RD3" s="39"/>
      <c r="RE3" s="40"/>
      <c r="RF3" s="41"/>
      <c r="RG3" s="36" t="s">
        <v>126</v>
      </c>
      <c r="RH3" s="37"/>
      <c r="RI3" s="37"/>
      <c r="RJ3" s="37" t="s">
        <v>131</v>
      </c>
      <c r="RK3" s="37"/>
      <c r="RL3" s="37"/>
      <c r="RM3" s="37" t="s">
        <v>132</v>
      </c>
      <c r="RN3" s="37"/>
      <c r="RO3" s="37"/>
      <c r="RP3" s="37" t="s">
        <v>128</v>
      </c>
      <c r="RQ3" s="37"/>
      <c r="RR3" s="38"/>
      <c r="RS3" s="39"/>
      <c r="RT3" s="40"/>
      <c r="RU3" s="41"/>
      <c r="RV3" s="36" t="s">
        <v>126</v>
      </c>
      <c r="RW3" s="37"/>
      <c r="RX3" s="37"/>
      <c r="RY3" s="37" t="s">
        <v>131</v>
      </c>
      <c r="RZ3" s="37"/>
      <c r="SA3" s="37"/>
      <c r="SB3" s="37" t="s">
        <v>132</v>
      </c>
      <c r="SC3" s="37"/>
      <c r="SD3" s="37"/>
      <c r="SE3" s="37" t="s">
        <v>128</v>
      </c>
      <c r="SF3" s="37"/>
      <c r="SG3" s="38"/>
      <c r="SH3" s="39"/>
      <c r="SI3" s="40"/>
      <c r="SJ3" s="41"/>
      <c r="SK3" s="36" t="s">
        <v>126</v>
      </c>
      <c r="SL3" s="37"/>
      <c r="SM3" s="37"/>
      <c r="SN3" s="37" t="s">
        <v>131</v>
      </c>
      <c r="SO3" s="37"/>
      <c r="SP3" s="37"/>
      <c r="SQ3" s="37" t="s">
        <v>132</v>
      </c>
      <c r="SR3" s="37"/>
      <c r="SS3" s="37"/>
      <c r="ST3" s="37" t="s">
        <v>128</v>
      </c>
      <c r="SU3" s="37"/>
      <c r="SV3" s="38"/>
      <c r="SW3" s="39"/>
      <c r="SX3" s="40"/>
      <c r="SY3" s="41"/>
      <c r="SZ3" s="36" t="s">
        <v>126</v>
      </c>
      <c r="TA3" s="37"/>
      <c r="TB3" s="37"/>
      <c r="TC3" s="37" t="s">
        <v>131</v>
      </c>
      <c r="TD3" s="37"/>
      <c r="TE3" s="37"/>
      <c r="TF3" s="37" t="s">
        <v>132</v>
      </c>
      <c r="TG3" s="37"/>
      <c r="TH3" s="37"/>
      <c r="TI3" s="37" t="s">
        <v>128</v>
      </c>
      <c r="TJ3" s="37"/>
      <c r="TK3" s="38"/>
      <c r="TL3" s="39"/>
      <c r="TM3" s="40"/>
      <c r="TN3" s="41"/>
      <c r="TO3" s="36" t="s">
        <v>126</v>
      </c>
      <c r="TP3" s="37"/>
      <c r="TQ3" s="37"/>
      <c r="TR3" s="37" t="s">
        <v>131</v>
      </c>
      <c r="TS3" s="37"/>
      <c r="TT3" s="37"/>
      <c r="TU3" s="37" t="s">
        <v>132</v>
      </c>
      <c r="TV3" s="37"/>
      <c r="TW3" s="37"/>
      <c r="TX3" s="37" t="s">
        <v>128</v>
      </c>
      <c r="TY3" s="37"/>
      <c r="TZ3" s="38"/>
      <c r="UA3" s="39"/>
      <c r="UB3" s="40"/>
      <c r="UC3" s="41"/>
      <c r="UD3" s="36" t="s">
        <v>126</v>
      </c>
      <c r="UE3" s="37"/>
      <c r="UF3" s="37"/>
      <c r="UG3" s="37" t="s">
        <v>131</v>
      </c>
      <c r="UH3" s="37"/>
      <c r="UI3" s="37"/>
      <c r="UJ3" s="37" t="s">
        <v>132</v>
      </c>
      <c r="UK3" s="37"/>
      <c r="UL3" s="37"/>
      <c r="UM3" s="37" t="s">
        <v>128</v>
      </c>
      <c r="UN3" s="37"/>
      <c r="UO3" s="38"/>
      <c r="UP3" s="39"/>
      <c r="UQ3" s="40"/>
      <c r="UR3" s="41"/>
      <c r="US3" s="36" t="s">
        <v>126</v>
      </c>
      <c r="UT3" s="37"/>
      <c r="UU3" s="37"/>
      <c r="UV3" s="37" t="s">
        <v>131</v>
      </c>
      <c r="UW3" s="37"/>
      <c r="UX3" s="37"/>
      <c r="UY3" s="37" t="s">
        <v>132</v>
      </c>
      <c r="UZ3" s="37"/>
      <c r="VA3" s="37"/>
      <c r="VB3" s="37" t="s">
        <v>128</v>
      </c>
      <c r="VC3" s="37"/>
      <c r="VD3" s="38"/>
      <c r="VE3" s="39"/>
      <c r="VF3" s="40"/>
      <c r="VG3" s="41"/>
      <c r="VH3" s="36" t="s">
        <v>126</v>
      </c>
      <c r="VI3" s="37"/>
      <c r="VJ3" s="37"/>
      <c r="VK3" s="37" t="s">
        <v>131</v>
      </c>
      <c r="VL3" s="37"/>
      <c r="VM3" s="37"/>
      <c r="VN3" s="37" t="s">
        <v>132</v>
      </c>
      <c r="VO3" s="37"/>
      <c r="VP3" s="37"/>
      <c r="VQ3" s="37" t="s">
        <v>128</v>
      </c>
      <c r="VR3" s="37"/>
      <c r="VS3" s="38"/>
      <c r="VT3" s="39"/>
      <c r="VU3" s="40"/>
      <c r="VV3" s="41"/>
      <c r="VW3" s="36" t="s">
        <v>126</v>
      </c>
      <c r="VX3" s="37"/>
      <c r="VY3" s="37"/>
      <c r="VZ3" s="37" t="s">
        <v>131</v>
      </c>
      <c r="WA3" s="37"/>
      <c r="WB3" s="37"/>
      <c r="WC3" s="37" t="s">
        <v>132</v>
      </c>
      <c r="WD3" s="37"/>
      <c r="WE3" s="37"/>
      <c r="WF3" s="37" t="s">
        <v>128</v>
      </c>
      <c r="WG3" s="37"/>
      <c r="WH3" s="38"/>
      <c r="WI3" s="39"/>
      <c r="WJ3" s="40"/>
      <c r="WK3" s="41"/>
      <c r="WL3" s="36" t="s">
        <v>126</v>
      </c>
      <c r="WM3" s="37"/>
      <c r="WN3" s="37"/>
      <c r="WO3" s="37" t="s">
        <v>131</v>
      </c>
      <c r="WP3" s="37"/>
      <c r="WQ3" s="37"/>
      <c r="WR3" s="37" t="s">
        <v>132</v>
      </c>
      <c r="WS3" s="37"/>
      <c r="WT3" s="37"/>
      <c r="WU3" s="37" t="s">
        <v>128</v>
      </c>
      <c r="WV3" s="37"/>
      <c r="WW3" s="38"/>
      <c r="WX3" s="39"/>
      <c r="WY3" s="40"/>
      <c r="WZ3" s="41"/>
      <c r="XA3" s="36" t="s">
        <v>126</v>
      </c>
      <c r="XB3" s="37"/>
      <c r="XC3" s="37"/>
      <c r="XD3" s="37" t="s">
        <v>131</v>
      </c>
      <c r="XE3" s="37"/>
      <c r="XF3" s="37"/>
      <c r="XG3" s="37" t="s">
        <v>132</v>
      </c>
      <c r="XH3" s="37"/>
      <c r="XI3" s="37"/>
      <c r="XJ3" s="37" t="s">
        <v>128</v>
      </c>
      <c r="XK3" s="37"/>
      <c r="XL3" s="38"/>
      <c r="XM3" s="39"/>
      <c r="XN3" s="40"/>
      <c r="XO3" s="41"/>
      <c r="XP3" s="36" t="s">
        <v>126</v>
      </c>
      <c r="XQ3" s="37"/>
      <c r="XR3" s="37"/>
      <c r="XS3" s="37" t="s">
        <v>131</v>
      </c>
      <c r="XT3" s="37"/>
      <c r="XU3" s="37"/>
      <c r="XV3" s="37" t="s">
        <v>132</v>
      </c>
      <c r="XW3" s="37"/>
      <c r="XX3" s="37"/>
      <c r="XY3" s="37" t="s">
        <v>128</v>
      </c>
      <c r="XZ3" s="37"/>
      <c r="YA3" s="38"/>
      <c r="YB3" s="39"/>
      <c r="YC3" s="40"/>
      <c r="YD3" s="41"/>
      <c r="YE3" s="36" t="s">
        <v>126</v>
      </c>
      <c r="YF3" s="37"/>
      <c r="YG3" s="37"/>
      <c r="YH3" s="37" t="s">
        <v>131</v>
      </c>
      <c r="YI3" s="37"/>
      <c r="YJ3" s="37"/>
      <c r="YK3" s="37" t="s">
        <v>132</v>
      </c>
      <c r="YL3" s="37"/>
      <c r="YM3" s="37"/>
      <c r="YN3" s="37" t="s">
        <v>128</v>
      </c>
      <c r="YO3" s="37"/>
      <c r="YP3" s="38"/>
      <c r="YQ3" s="39"/>
      <c r="YR3" s="40"/>
      <c r="YS3" s="41"/>
      <c r="YT3" s="36" t="s">
        <v>126</v>
      </c>
      <c r="YU3" s="37"/>
      <c r="YV3" s="37"/>
      <c r="YW3" s="37" t="s">
        <v>131</v>
      </c>
      <c r="YX3" s="37"/>
      <c r="YY3" s="37"/>
      <c r="YZ3" s="37" t="s">
        <v>132</v>
      </c>
      <c r="ZA3" s="37"/>
      <c r="ZB3" s="37"/>
      <c r="ZC3" s="37" t="s">
        <v>128</v>
      </c>
      <c r="ZD3" s="37"/>
      <c r="ZE3" s="38"/>
      <c r="ZF3" s="39"/>
      <c r="ZG3" s="40"/>
      <c r="ZH3" s="41"/>
      <c r="ZI3" s="36" t="s">
        <v>126</v>
      </c>
      <c r="ZJ3" s="37"/>
      <c r="ZK3" s="37"/>
      <c r="ZL3" s="37" t="s">
        <v>131</v>
      </c>
      <c r="ZM3" s="37"/>
      <c r="ZN3" s="37"/>
      <c r="ZO3" s="37" t="s">
        <v>132</v>
      </c>
      <c r="ZP3" s="37"/>
      <c r="ZQ3" s="37"/>
      <c r="ZR3" s="37" t="s">
        <v>128</v>
      </c>
      <c r="ZS3" s="37"/>
      <c r="ZT3" s="38"/>
      <c r="ZU3" s="39"/>
      <c r="ZV3" s="40"/>
      <c r="ZW3" s="41"/>
      <c r="ZX3" s="36" t="s">
        <v>134</v>
      </c>
      <c r="ZY3" s="37"/>
      <c r="ZZ3" s="37"/>
      <c r="AAA3" s="39"/>
      <c r="AAB3" s="40"/>
      <c r="AAC3" s="41"/>
      <c r="AAD3" s="15"/>
      <c r="AAE3" s="16"/>
      <c r="AAF3" s="16"/>
      <c r="AAG3" s="16"/>
      <c r="AAH3" s="17"/>
      <c r="AAI3" s="17"/>
      <c r="AAJ3" s="17"/>
      <c r="AAK3" s="17"/>
      <c r="AAL3" s="17"/>
    </row>
    <row r="4" spans="1:714" ht="18" customHeight="1" thickBot="1" x14ac:dyDescent="0.25">
      <c r="A4" s="48" t="s">
        <v>135</v>
      </c>
      <c r="B4" s="2"/>
      <c r="C4" s="2"/>
      <c r="D4" s="2"/>
      <c r="E4" s="2"/>
      <c r="F4" s="2"/>
      <c r="G4" s="49" t="s">
        <v>136</v>
      </c>
      <c r="H4" s="50" t="s">
        <v>137</v>
      </c>
      <c r="I4" s="51" t="s">
        <v>138</v>
      </c>
      <c r="J4" s="50" t="s">
        <v>136</v>
      </c>
      <c r="K4" s="50" t="s">
        <v>137</v>
      </c>
      <c r="L4" s="51" t="s">
        <v>138</v>
      </c>
      <c r="M4" s="50" t="s">
        <v>136</v>
      </c>
      <c r="N4" s="50" t="s">
        <v>137</v>
      </c>
      <c r="O4" s="51" t="s">
        <v>138</v>
      </c>
      <c r="P4" s="50" t="s">
        <v>136</v>
      </c>
      <c r="Q4" s="50" t="s">
        <v>137</v>
      </c>
      <c r="R4" s="51" t="s">
        <v>138</v>
      </c>
      <c r="S4" s="50" t="s">
        <v>136</v>
      </c>
      <c r="T4" s="50" t="s">
        <v>137</v>
      </c>
      <c r="U4" s="51" t="s">
        <v>138</v>
      </c>
      <c r="V4" s="50" t="s">
        <v>136</v>
      </c>
      <c r="W4" s="50" t="s">
        <v>137</v>
      </c>
      <c r="X4" s="51" t="s">
        <v>138</v>
      </c>
      <c r="Y4" s="49" t="s">
        <v>136</v>
      </c>
      <c r="Z4" s="50" t="s">
        <v>137</v>
      </c>
      <c r="AA4" s="51" t="s">
        <v>138</v>
      </c>
      <c r="AB4" s="50" t="s">
        <v>136</v>
      </c>
      <c r="AC4" s="50" t="s">
        <v>137</v>
      </c>
      <c r="AD4" s="51" t="s">
        <v>138</v>
      </c>
      <c r="AE4" s="50" t="s">
        <v>136</v>
      </c>
      <c r="AF4" s="50" t="s">
        <v>137</v>
      </c>
      <c r="AG4" s="51" t="s">
        <v>138</v>
      </c>
      <c r="AH4" s="50" t="s">
        <v>136</v>
      </c>
      <c r="AI4" s="50" t="s">
        <v>137</v>
      </c>
      <c r="AJ4" s="51" t="s">
        <v>138</v>
      </c>
      <c r="AK4" s="50" t="s">
        <v>136</v>
      </c>
      <c r="AL4" s="50" t="s">
        <v>137</v>
      </c>
      <c r="AM4" s="51" t="s">
        <v>138</v>
      </c>
      <c r="AN4" s="49" t="s">
        <v>136</v>
      </c>
      <c r="AO4" s="50" t="s">
        <v>137</v>
      </c>
      <c r="AP4" s="51" t="s">
        <v>138</v>
      </c>
      <c r="AQ4" s="50" t="s">
        <v>136</v>
      </c>
      <c r="AR4" s="50" t="s">
        <v>137</v>
      </c>
      <c r="AS4" s="51" t="s">
        <v>138</v>
      </c>
      <c r="AT4" s="50" t="s">
        <v>136</v>
      </c>
      <c r="AU4" s="50" t="s">
        <v>137</v>
      </c>
      <c r="AV4" s="51" t="s">
        <v>138</v>
      </c>
      <c r="AW4" s="50" t="s">
        <v>136</v>
      </c>
      <c r="AX4" s="50" t="s">
        <v>137</v>
      </c>
      <c r="AY4" s="51" t="s">
        <v>138</v>
      </c>
      <c r="AZ4" s="50" t="s">
        <v>136</v>
      </c>
      <c r="BA4" s="50" t="s">
        <v>137</v>
      </c>
      <c r="BB4" s="51" t="s">
        <v>138</v>
      </c>
      <c r="BC4" s="49" t="s">
        <v>136</v>
      </c>
      <c r="BD4" s="50" t="s">
        <v>137</v>
      </c>
      <c r="BE4" s="51" t="s">
        <v>138</v>
      </c>
      <c r="BF4" s="50" t="s">
        <v>136</v>
      </c>
      <c r="BG4" s="50" t="s">
        <v>137</v>
      </c>
      <c r="BH4" s="51" t="s">
        <v>138</v>
      </c>
      <c r="BI4" s="50" t="s">
        <v>136</v>
      </c>
      <c r="BJ4" s="50" t="s">
        <v>137</v>
      </c>
      <c r="BK4" s="51" t="s">
        <v>138</v>
      </c>
      <c r="BL4" s="50" t="s">
        <v>136</v>
      </c>
      <c r="BM4" s="50" t="s">
        <v>137</v>
      </c>
      <c r="BN4" s="51" t="s">
        <v>138</v>
      </c>
      <c r="BO4" s="50" t="s">
        <v>136</v>
      </c>
      <c r="BP4" s="50" t="s">
        <v>137</v>
      </c>
      <c r="BQ4" s="51" t="s">
        <v>138</v>
      </c>
      <c r="BR4" s="49" t="s">
        <v>136</v>
      </c>
      <c r="BS4" s="50" t="s">
        <v>137</v>
      </c>
      <c r="BT4" s="51" t="s">
        <v>138</v>
      </c>
      <c r="BU4" s="50" t="s">
        <v>136</v>
      </c>
      <c r="BV4" s="50" t="s">
        <v>137</v>
      </c>
      <c r="BW4" s="51" t="s">
        <v>138</v>
      </c>
      <c r="BX4" s="50" t="s">
        <v>136</v>
      </c>
      <c r="BY4" s="50" t="s">
        <v>137</v>
      </c>
      <c r="BZ4" s="51" t="s">
        <v>138</v>
      </c>
      <c r="CA4" s="50" t="s">
        <v>136</v>
      </c>
      <c r="CB4" s="50" t="s">
        <v>137</v>
      </c>
      <c r="CC4" s="51" t="s">
        <v>138</v>
      </c>
      <c r="CD4" s="50" t="s">
        <v>136</v>
      </c>
      <c r="CE4" s="50" t="s">
        <v>137</v>
      </c>
      <c r="CF4" s="51" t="s">
        <v>138</v>
      </c>
      <c r="CG4" s="49" t="s">
        <v>136</v>
      </c>
      <c r="CH4" s="50" t="s">
        <v>137</v>
      </c>
      <c r="CI4" s="51" t="s">
        <v>138</v>
      </c>
      <c r="CJ4" s="50" t="s">
        <v>136</v>
      </c>
      <c r="CK4" s="50" t="s">
        <v>137</v>
      </c>
      <c r="CL4" s="51" t="s">
        <v>138</v>
      </c>
      <c r="CM4" s="50" t="s">
        <v>136</v>
      </c>
      <c r="CN4" s="50" t="s">
        <v>137</v>
      </c>
      <c r="CO4" s="51" t="s">
        <v>138</v>
      </c>
      <c r="CP4" s="50" t="s">
        <v>136</v>
      </c>
      <c r="CQ4" s="50" t="s">
        <v>137</v>
      </c>
      <c r="CR4" s="51" t="s">
        <v>138</v>
      </c>
      <c r="CS4" s="50" t="s">
        <v>136</v>
      </c>
      <c r="CT4" s="50" t="s">
        <v>137</v>
      </c>
      <c r="CU4" s="51" t="s">
        <v>138</v>
      </c>
      <c r="CV4" s="49" t="s">
        <v>136</v>
      </c>
      <c r="CW4" s="50" t="s">
        <v>137</v>
      </c>
      <c r="CX4" s="51" t="s">
        <v>138</v>
      </c>
      <c r="CY4" s="50" t="s">
        <v>136</v>
      </c>
      <c r="CZ4" s="50" t="s">
        <v>137</v>
      </c>
      <c r="DA4" s="51" t="s">
        <v>138</v>
      </c>
      <c r="DB4" s="50" t="s">
        <v>136</v>
      </c>
      <c r="DC4" s="50" t="s">
        <v>137</v>
      </c>
      <c r="DD4" s="51" t="s">
        <v>138</v>
      </c>
      <c r="DE4" s="50" t="s">
        <v>136</v>
      </c>
      <c r="DF4" s="50" t="s">
        <v>137</v>
      </c>
      <c r="DG4" s="51" t="s">
        <v>138</v>
      </c>
      <c r="DH4" s="50" t="s">
        <v>136</v>
      </c>
      <c r="DI4" s="50" t="s">
        <v>137</v>
      </c>
      <c r="DJ4" s="51" t="s">
        <v>138</v>
      </c>
      <c r="DK4" s="49" t="s">
        <v>136</v>
      </c>
      <c r="DL4" s="50" t="s">
        <v>137</v>
      </c>
      <c r="DM4" s="51" t="s">
        <v>138</v>
      </c>
      <c r="DN4" s="50" t="s">
        <v>136</v>
      </c>
      <c r="DO4" s="50" t="s">
        <v>137</v>
      </c>
      <c r="DP4" s="51" t="s">
        <v>138</v>
      </c>
      <c r="DQ4" s="50" t="s">
        <v>136</v>
      </c>
      <c r="DR4" s="50" t="s">
        <v>137</v>
      </c>
      <c r="DS4" s="51" t="s">
        <v>138</v>
      </c>
      <c r="DT4" s="50" t="s">
        <v>136</v>
      </c>
      <c r="DU4" s="50" t="s">
        <v>137</v>
      </c>
      <c r="DV4" s="51" t="s">
        <v>138</v>
      </c>
      <c r="DW4" s="50" t="s">
        <v>136</v>
      </c>
      <c r="DX4" s="50" t="s">
        <v>137</v>
      </c>
      <c r="DY4" s="51" t="s">
        <v>138</v>
      </c>
      <c r="DZ4" s="49" t="s">
        <v>136</v>
      </c>
      <c r="EA4" s="50" t="s">
        <v>137</v>
      </c>
      <c r="EB4" s="51" t="s">
        <v>138</v>
      </c>
      <c r="EC4" s="50" t="s">
        <v>136</v>
      </c>
      <c r="ED4" s="50" t="s">
        <v>137</v>
      </c>
      <c r="EE4" s="51" t="s">
        <v>138</v>
      </c>
      <c r="EF4" s="50" t="s">
        <v>136</v>
      </c>
      <c r="EG4" s="50" t="s">
        <v>137</v>
      </c>
      <c r="EH4" s="51" t="s">
        <v>138</v>
      </c>
      <c r="EI4" s="50" t="s">
        <v>136</v>
      </c>
      <c r="EJ4" s="50" t="s">
        <v>137</v>
      </c>
      <c r="EK4" s="51" t="s">
        <v>138</v>
      </c>
      <c r="EL4" s="50" t="s">
        <v>136</v>
      </c>
      <c r="EM4" s="50" t="s">
        <v>137</v>
      </c>
      <c r="EN4" s="51" t="s">
        <v>138</v>
      </c>
      <c r="EO4" s="49" t="s">
        <v>136</v>
      </c>
      <c r="EP4" s="50" t="s">
        <v>137</v>
      </c>
      <c r="EQ4" s="51" t="s">
        <v>138</v>
      </c>
      <c r="ER4" s="50" t="s">
        <v>136</v>
      </c>
      <c r="ES4" s="50" t="s">
        <v>137</v>
      </c>
      <c r="ET4" s="51" t="s">
        <v>138</v>
      </c>
      <c r="EU4" s="50" t="s">
        <v>136</v>
      </c>
      <c r="EV4" s="50" t="s">
        <v>137</v>
      </c>
      <c r="EW4" s="51" t="s">
        <v>138</v>
      </c>
      <c r="EX4" s="50" t="s">
        <v>136</v>
      </c>
      <c r="EY4" s="50" t="s">
        <v>137</v>
      </c>
      <c r="EZ4" s="51" t="s">
        <v>138</v>
      </c>
      <c r="FA4" s="50" t="s">
        <v>136</v>
      </c>
      <c r="FB4" s="50" t="s">
        <v>137</v>
      </c>
      <c r="FC4" s="51" t="s">
        <v>138</v>
      </c>
      <c r="FD4" s="49" t="s">
        <v>136</v>
      </c>
      <c r="FE4" s="50" t="s">
        <v>137</v>
      </c>
      <c r="FF4" s="51" t="s">
        <v>138</v>
      </c>
      <c r="FG4" s="50" t="s">
        <v>136</v>
      </c>
      <c r="FH4" s="50" t="s">
        <v>137</v>
      </c>
      <c r="FI4" s="51" t="s">
        <v>138</v>
      </c>
      <c r="FJ4" s="50" t="s">
        <v>136</v>
      </c>
      <c r="FK4" s="50" t="s">
        <v>137</v>
      </c>
      <c r="FL4" s="51" t="s">
        <v>138</v>
      </c>
      <c r="FM4" s="50" t="s">
        <v>136</v>
      </c>
      <c r="FN4" s="50" t="s">
        <v>137</v>
      </c>
      <c r="FO4" s="51" t="s">
        <v>138</v>
      </c>
      <c r="FP4" s="50" t="s">
        <v>136</v>
      </c>
      <c r="FQ4" s="50" t="s">
        <v>137</v>
      </c>
      <c r="FR4" s="51" t="s">
        <v>138</v>
      </c>
      <c r="FS4" s="49" t="s">
        <v>136</v>
      </c>
      <c r="FT4" s="50" t="s">
        <v>137</v>
      </c>
      <c r="FU4" s="51" t="s">
        <v>138</v>
      </c>
      <c r="FV4" s="50" t="s">
        <v>136</v>
      </c>
      <c r="FW4" s="50" t="s">
        <v>137</v>
      </c>
      <c r="FX4" s="51" t="s">
        <v>138</v>
      </c>
      <c r="FY4" s="50" t="s">
        <v>136</v>
      </c>
      <c r="FZ4" s="50" t="s">
        <v>137</v>
      </c>
      <c r="GA4" s="51" t="s">
        <v>138</v>
      </c>
      <c r="GB4" s="50" t="s">
        <v>136</v>
      </c>
      <c r="GC4" s="50" t="s">
        <v>137</v>
      </c>
      <c r="GD4" s="51" t="s">
        <v>138</v>
      </c>
      <c r="GE4" s="50" t="s">
        <v>136</v>
      </c>
      <c r="GF4" s="50" t="s">
        <v>137</v>
      </c>
      <c r="GG4" s="51" t="s">
        <v>138</v>
      </c>
      <c r="GH4" s="49" t="s">
        <v>136</v>
      </c>
      <c r="GI4" s="50" t="s">
        <v>137</v>
      </c>
      <c r="GJ4" s="51" t="s">
        <v>138</v>
      </c>
      <c r="GK4" s="50" t="s">
        <v>136</v>
      </c>
      <c r="GL4" s="50" t="s">
        <v>137</v>
      </c>
      <c r="GM4" s="51" t="s">
        <v>138</v>
      </c>
      <c r="GN4" s="50" t="s">
        <v>136</v>
      </c>
      <c r="GO4" s="50" t="s">
        <v>137</v>
      </c>
      <c r="GP4" s="51" t="s">
        <v>138</v>
      </c>
      <c r="GQ4" s="50" t="s">
        <v>136</v>
      </c>
      <c r="GR4" s="50" t="s">
        <v>137</v>
      </c>
      <c r="GS4" s="51" t="s">
        <v>138</v>
      </c>
      <c r="GT4" s="50" t="s">
        <v>136</v>
      </c>
      <c r="GU4" s="50" t="s">
        <v>137</v>
      </c>
      <c r="GV4" s="51" t="s">
        <v>138</v>
      </c>
      <c r="GW4" s="49" t="s">
        <v>136</v>
      </c>
      <c r="GX4" s="50" t="s">
        <v>137</v>
      </c>
      <c r="GY4" s="51" t="s">
        <v>138</v>
      </c>
      <c r="GZ4" s="50" t="s">
        <v>136</v>
      </c>
      <c r="HA4" s="50" t="s">
        <v>137</v>
      </c>
      <c r="HB4" s="51" t="s">
        <v>138</v>
      </c>
      <c r="HC4" s="50" t="s">
        <v>136</v>
      </c>
      <c r="HD4" s="50" t="s">
        <v>137</v>
      </c>
      <c r="HE4" s="51" t="s">
        <v>138</v>
      </c>
      <c r="HF4" s="50" t="s">
        <v>136</v>
      </c>
      <c r="HG4" s="50" t="s">
        <v>137</v>
      </c>
      <c r="HH4" s="51" t="s">
        <v>138</v>
      </c>
      <c r="HI4" s="50" t="s">
        <v>136</v>
      </c>
      <c r="HJ4" s="50" t="s">
        <v>137</v>
      </c>
      <c r="HK4" s="51" t="s">
        <v>138</v>
      </c>
      <c r="HL4" s="49" t="s">
        <v>136</v>
      </c>
      <c r="HM4" s="50" t="s">
        <v>137</v>
      </c>
      <c r="HN4" s="51" t="s">
        <v>138</v>
      </c>
      <c r="HO4" s="50" t="s">
        <v>136</v>
      </c>
      <c r="HP4" s="50" t="s">
        <v>137</v>
      </c>
      <c r="HQ4" s="51" t="s">
        <v>138</v>
      </c>
      <c r="HR4" s="50" t="s">
        <v>136</v>
      </c>
      <c r="HS4" s="50" t="s">
        <v>137</v>
      </c>
      <c r="HT4" s="51" t="s">
        <v>138</v>
      </c>
      <c r="HU4" s="50" t="s">
        <v>136</v>
      </c>
      <c r="HV4" s="50" t="s">
        <v>137</v>
      </c>
      <c r="HW4" s="51" t="s">
        <v>138</v>
      </c>
      <c r="HX4" s="50" t="s">
        <v>136</v>
      </c>
      <c r="HY4" s="50" t="s">
        <v>137</v>
      </c>
      <c r="HZ4" s="51" t="s">
        <v>138</v>
      </c>
      <c r="IA4" s="49" t="s">
        <v>136</v>
      </c>
      <c r="IB4" s="50" t="s">
        <v>137</v>
      </c>
      <c r="IC4" s="51" t="s">
        <v>138</v>
      </c>
      <c r="ID4" s="50" t="s">
        <v>136</v>
      </c>
      <c r="IE4" s="50" t="s">
        <v>137</v>
      </c>
      <c r="IF4" s="51" t="s">
        <v>138</v>
      </c>
      <c r="IG4" s="50" t="s">
        <v>136</v>
      </c>
      <c r="IH4" s="50" t="s">
        <v>137</v>
      </c>
      <c r="II4" s="51" t="s">
        <v>138</v>
      </c>
      <c r="IJ4" s="50" t="s">
        <v>136</v>
      </c>
      <c r="IK4" s="50" t="s">
        <v>137</v>
      </c>
      <c r="IL4" s="51" t="s">
        <v>138</v>
      </c>
      <c r="IM4" s="50" t="s">
        <v>136</v>
      </c>
      <c r="IN4" s="50" t="s">
        <v>137</v>
      </c>
      <c r="IO4" s="51" t="s">
        <v>138</v>
      </c>
      <c r="IP4" s="49" t="s">
        <v>136</v>
      </c>
      <c r="IQ4" s="50" t="s">
        <v>137</v>
      </c>
      <c r="IR4" s="51" t="s">
        <v>138</v>
      </c>
      <c r="IS4" s="50" t="s">
        <v>136</v>
      </c>
      <c r="IT4" s="50" t="s">
        <v>137</v>
      </c>
      <c r="IU4" s="51" t="s">
        <v>138</v>
      </c>
      <c r="IV4" s="50" t="s">
        <v>136</v>
      </c>
      <c r="IW4" s="50" t="s">
        <v>137</v>
      </c>
      <c r="IX4" s="51" t="s">
        <v>138</v>
      </c>
      <c r="IY4" s="50" t="s">
        <v>136</v>
      </c>
      <c r="IZ4" s="50" t="s">
        <v>137</v>
      </c>
      <c r="JA4" s="51" t="s">
        <v>138</v>
      </c>
      <c r="JB4" s="50" t="s">
        <v>136</v>
      </c>
      <c r="JC4" s="50" t="s">
        <v>137</v>
      </c>
      <c r="JD4" s="51" t="s">
        <v>138</v>
      </c>
      <c r="JE4" s="49" t="s">
        <v>136</v>
      </c>
      <c r="JF4" s="50" t="s">
        <v>137</v>
      </c>
      <c r="JG4" s="51" t="s">
        <v>138</v>
      </c>
      <c r="JH4" s="50" t="s">
        <v>136</v>
      </c>
      <c r="JI4" s="50" t="s">
        <v>137</v>
      </c>
      <c r="JJ4" s="51" t="s">
        <v>138</v>
      </c>
      <c r="JK4" s="50" t="s">
        <v>136</v>
      </c>
      <c r="JL4" s="50" t="s">
        <v>137</v>
      </c>
      <c r="JM4" s="51" t="s">
        <v>138</v>
      </c>
      <c r="JN4" s="50" t="s">
        <v>136</v>
      </c>
      <c r="JO4" s="50" t="s">
        <v>137</v>
      </c>
      <c r="JP4" s="51" t="s">
        <v>138</v>
      </c>
      <c r="JQ4" s="50" t="s">
        <v>136</v>
      </c>
      <c r="JR4" s="50" t="s">
        <v>137</v>
      </c>
      <c r="JS4" s="51" t="s">
        <v>138</v>
      </c>
      <c r="JT4" s="49" t="s">
        <v>136</v>
      </c>
      <c r="JU4" s="50" t="s">
        <v>137</v>
      </c>
      <c r="JV4" s="51" t="s">
        <v>138</v>
      </c>
      <c r="JW4" s="50" t="s">
        <v>136</v>
      </c>
      <c r="JX4" s="50" t="s">
        <v>137</v>
      </c>
      <c r="JY4" s="51" t="s">
        <v>138</v>
      </c>
      <c r="JZ4" s="50" t="s">
        <v>136</v>
      </c>
      <c r="KA4" s="50" t="s">
        <v>137</v>
      </c>
      <c r="KB4" s="51" t="s">
        <v>138</v>
      </c>
      <c r="KC4" s="50" t="s">
        <v>136</v>
      </c>
      <c r="KD4" s="50" t="s">
        <v>137</v>
      </c>
      <c r="KE4" s="51" t="s">
        <v>138</v>
      </c>
      <c r="KF4" s="50" t="s">
        <v>136</v>
      </c>
      <c r="KG4" s="50" t="s">
        <v>137</v>
      </c>
      <c r="KH4" s="51" t="s">
        <v>138</v>
      </c>
      <c r="KI4" s="49" t="s">
        <v>136</v>
      </c>
      <c r="KJ4" s="50" t="s">
        <v>137</v>
      </c>
      <c r="KK4" s="51" t="s">
        <v>138</v>
      </c>
      <c r="KL4" s="50" t="s">
        <v>136</v>
      </c>
      <c r="KM4" s="50" t="s">
        <v>137</v>
      </c>
      <c r="KN4" s="51" t="s">
        <v>138</v>
      </c>
      <c r="KO4" s="50" t="s">
        <v>136</v>
      </c>
      <c r="KP4" s="50" t="s">
        <v>137</v>
      </c>
      <c r="KQ4" s="51" t="s">
        <v>138</v>
      </c>
      <c r="KR4" s="50" t="s">
        <v>136</v>
      </c>
      <c r="KS4" s="50" t="s">
        <v>137</v>
      </c>
      <c r="KT4" s="51" t="s">
        <v>138</v>
      </c>
      <c r="KU4" s="50" t="s">
        <v>136</v>
      </c>
      <c r="KV4" s="50" t="s">
        <v>137</v>
      </c>
      <c r="KW4" s="51" t="s">
        <v>138</v>
      </c>
      <c r="KX4" s="52"/>
      <c r="KY4" s="53"/>
      <c r="KZ4" s="54"/>
      <c r="LA4" s="53"/>
      <c r="LB4" s="53"/>
      <c r="LC4" s="54"/>
      <c r="LD4" s="53"/>
      <c r="LE4" s="53"/>
      <c r="LF4" s="54"/>
      <c r="LG4" s="53"/>
      <c r="LH4" s="53"/>
      <c r="LI4" s="54"/>
      <c r="LJ4" s="53"/>
      <c r="LK4" s="53"/>
      <c r="LL4" s="54"/>
      <c r="LM4" s="49" t="s">
        <v>136</v>
      </c>
      <c r="LN4" s="50" t="s">
        <v>137</v>
      </c>
      <c r="LO4" s="51" t="s">
        <v>138</v>
      </c>
      <c r="LP4" s="50" t="s">
        <v>136</v>
      </c>
      <c r="LQ4" s="50" t="s">
        <v>137</v>
      </c>
      <c r="LR4" s="51" t="s">
        <v>138</v>
      </c>
      <c r="LS4" s="50" t="s">
        <v>136</v>
      </c>
      <c r="LT4" s="50" t="s">
        <v>137</v>
      </c>
      <c r="LU4" s="51" t="s">
        <v>138</v>
      </c>
      <c r="LV4" s="50" t="s">
        <v>136</v>
      </c>
      <c r="LW4" s="50" t="s">
        <v>137</v>
      </c>
      <c r="LX4" s="51" t="s">
        <v>138</v>
      </c>
      <c r="LY4" s="50" t="s">
        <v>136</v>
      </c>
      <c r="LZ4" s="50" t="s">
        <v>137</v>
      </c>
      <c r="MA4" s="51" t="s">
        <v>138</v>
      </c>
      <c r="MB4" s="49" t="s">
        <v>136</v>
      </c>
      <c r="MC4" s="50" t="s">
        <v>137</v>
      </c>
      <c r="MD4" s="51" t="s">
        <v>138</v>
      </c>
      <c r="ME4" s="50" t="s">
        <v>136</v>
      </c>
      <c r="MF4" s="50" t="s">
        <v>137</v>
      </c>
      <c r="MG4" s="51" t="s">
        <v>138</v>
      </c>
      <c r="MH4" s="50" t="s">
        <v>136</v>
      </c>
      <c r="MI4" s="50" t="s">
        <v>137</v>
      </c>
      <c r="MJ4" s="51" t="s">
        <v>138</v>
      </c>
      <c r="MK4" s="50" t="s">
        <v>136</v>
      </c>
      <c r="ML4" s="50" t="s">
        <v>137</v>
      </c>
      <c r="MM4" s="51" t="s">
        <v>138</v>
      </c>
      <c r="MN4" s="50" t="s">
        <v>136</v>
      </c>
      <c r="MO4" s="50" t="s">
        <v>137</v>
      </c>
      <c r="MP4" s="51" t="s">
        <v>138</v>
      </c>
      <c r="MQ4" s="49" t="s">
        <v>136</v>
      </c>
      <c r="MR4" s="50" t="s">
        <v>137</v>
      </c>
      <c r="MS4" s="51" t="s">
        <v>138</v>
      </c>
      <c r="MT4" s="50" t="s">
        <v>136</v>
      </c>
      <c r="MU4" s="50" t="s">
        <v>137</v>
      </c>
      <c r="MV4" s="51" t="s">
        <v>138</v>
      </c>
      <c r="MW4" s="50" t="s">
        <v>136</v>
      </c>
      <c r="MX4" s="50" t="s">
        <v>137</v>
      </c>
      <c r="MY4" s="51" t="s">
        <v>138</v>
      </c>
      <c r="MZ4" s="50" t="s">
        <v>136</v>
      </c>
      <c r="NA4" s="50" t="s">
        <v>137</v>
      </c>
      <c r="NB4" s="51" t="s">
        <v>138</v>
      </c>
      <c r="NC4" s="50" t="s">
        <v>136</v>
      </c>
      <c r="ND4" s="50" t="s">
        <v>137</v>
      </c>
      <c r="NE4" s="51" t="s">
        <v>138</v>
      </c>
      <c r="NF4" s="49" t="s">
        <v>136</v>
      </c>
      <c r="NG4" s="50" t="s">
        <v>137</v>
      </c>
      <c r="NH4" s="51" t="s">
        <v>138</v>
      </c>
      <c r="NI4" s="50" t="s">
        <v>136</v>
      </c>
      <c r="NJ4" s="50" t="s">
        <v>137</v>
      </c>
      <c r="NK4" s="51" t="s">
        <v>138</v>
      </c>
      <c r="NL4" s="50" t="s">
        <v>136</v>
      </c>
      <c r="NM4" s="50" t="s">
        <v>137</v>
      </c>
      <c r="NN4" s="51" t="s">
        <v>138</v>
      </c>
      <c r="NO4" s="50" t="s">
        <v>136</v>
      </c>
      <c r="NP4" s="50" t="s">
        <v>137</v>
      </c>
      <c r="NQ4" s="51" t="s">
        <v>138</v>
      </c>
      <c r="NR4" s="50" t="s">
        <v>136</v>
      </c>
      <c r="NS4" s="50" t="s">
        <v>137</v>
      </c>
      <c r="NT4" s="51" t="s">
        <v>138</v>
      </c>
      <c r="NU4" s="49" t="s">
        <v>136</v>
      </c>
      <c r="NV4" s="50" t="s">
        <v>137</v>
      </c>
      <c r="NW4" s="51" t="s">
        <v>138</v>
      </c>
      <c r="NX4" s="50" t="s">
        <v>136</v>
      </c>
      <c r="NY4" s="50" t="s">
        <v>137</v>
      </c>
      <c r="NZ4" s="51" t="s">
        <v>138</v>
      </c>
      <c r="OA4" s="50" t="s">
        <v>136</v>
      </c>
      <c r="OB4" s="50" t="s">
        <v>137</v>
      </c>
      <c r="OC4" s="51" t="s">
        <v>138</v>
      </c>
      <c r="OD4" s="50" t="s">
        <v>136</v>
      </c>
      <c r="OE4" s="50" t="s">
        <v>137</v>
      </c>
      <c r="OF4" s="51" t="s">
        <v>138</v>
      </c>
      <c r="OG4" s="50" t="s">
        <v>136</v>
      </c>
      <c r="OH4" s="50" t="s">
        <v>137</v>
      </c>
      <c r="OI4" s="51" t="s">
        <v>138</v>
      </c>
      <c r="OJ4" s="49" t="s">
        <v>136</v>
      </c>
      <c r="OK4" s="50" t="s">
        <v>137</v>
      </c>
      <c r="OL4" s="51" t="s">
        <v>138</v>
      </c>
      <c r="OM4" s="50" t="s">
        <v>136</v>
      </c>
      <c r="ON4" s="50" t="s">
        <v>137</v>
      </c>
      <c r="OO4" s="51" t="s">
        <v>138</v>
      </c>
      <c r="OP4" s="50" t="s">
        <v>136</v>
      </c>
      <c r="OQ4" s="50" t="s">
        <v>137</v>
      </c>
      <c r="OR4" s="51" t="s">
        <v>138</v>
      </c>
      <c r="OS4" s="50" t="s">
        <v>136</v>
      </c>
      <c r="OT4" s="50" t="s">
        <v>137</v>
      </c>
      <c r="OU4" s="51" t="s">
        <v>138</v>
      </c>
      <c r="OV4" s="50" t="s">
        <v>136</v>
      </c>
      <c r="OW4" s="50" t="s">
        <v>137</v>
      </c>
      <c r="OX4" s="51" t="s">
        <v>138</v>
      </c>
      <c r="OY4" s="49" t="s">
        <v>136</v>
      </c>
      <c r="OZ4" s="50" t="s">
        <v>137</v>
      </c>
      <c r="PA4" s="51" t="s">
        <v>138</v>
      </c>
      <c r="PB4" s="50" t="s">
        <v>136</v>
      </c>
      <c r="PC4" s="50" t="s">
        <v>137</v>
      </c>
      <c r="PD4" s="51" t="s">
        <v>138</v>
      </c>
      <c r="PE4" s="50" t="s">
        <v>136</v>
      </c>
      <c r="PF4" s="50" t="s">
        <v>137</v>
      </c>
      <c r="PG4" s="51" t="s">
        <v>138</v>
      </c>
      <c r="PH4" s="50" t="s">
        <v>136</v>
      </c>
      <c r="PI4" s="50" t="s">
        <v>137</v>
      </c>
      <c r="PJ4" s="51" t="s">
        <v>138</v>
      </c>
      <c r="PK4" s="50" t="s">
        <v>136</v>
      </c>
      <c r="PL4" s="50" t="s">
        <v>137</v>
      </c>
      <c r="PM4" s="51" t="s">
        <v>138</v>
      </c>
      <c r="PN4" s="49" t="s">
        <v>136</v>
      </c>
      <c r="PO4" s="50" t="s">
        <v>137</v>
      </c>
      <c r="PP4" s="51" t="s">
        <v>138</v>
      </c>
      <c r="PQ4" s="50" t="s">
        <v>136</v>
      </c>
      <c r="PR4" s="50" t="s">
        <v>137</v>
      </c>
      <c r="PS4" s="51" t="s">
        <v>138</v>
      </c>
      <c r="PT4" s="50" t="s">
        <v>136</v>
      </c>
      <c r="PU4" s="50" t="s">
        <v>137</v>
      </c>
      <c r="PV4" s="51" t="s">
        <v>138</v>
      </c>
      <c r="PW4" s="50" t="s">
        <v>136</v>
      </c>
      <c r="PX4" s="50" t="s">
        <v>137</v>
      </c>
      <c r="PY4" s="51" t="s">
        <v>138</v>
      </c>
      <c r="PZ4" s="50" t="s">
        <v>136</v>
      </c>
      <c r="QA4" s="50" t="s">
        <v>137</v>
      </c>
      <c r="QB4" s="51" t="s">
        <v>138</v>
      </c>
      <c r="QC4" s="49" t="s">
        <v>136</v>
      </c>
      <c r="QD4" s="50" t="s">
        <v>137</v>
      </c>
      <c r="QE4" s="51" t="s">
        <v>138</v>
      </c>
      <c r="QF4" s="50" t="s">
        <v>136</v>
      </c>
      <c r="QG4" s="50" t="s">
        <v>137</v>
      </c>
      <c r="QH4" s="51" t="s">
        <v>138</v>
      </c>
      <c r="QI4" s="50" t="s">
        <v>136</v>
      </c>
      <c r="QJ4" s="50" t="s">
        <v>137</v>
      </c>
      <c r="QK4" s="51" t="s">
        <v>138</v>
      </c>
      <c r="QL4" s="50" t="s">
        <v>136</v>
      </c>
      <c r="QM4" s="50" t="s">
        <v>137</v>
      </c>
      <c r="QN4" s="51" t="s">
        <v>138</v>
      </c>
      <c r="QO4" s="50" t="s">
        <v>136</v>
      </c>
      <c r="QP4" s="50" t="s">
        <v>137</v>
      </c>
      <c r="QQ4" s="51" t="s">
        <v>138</v>
      </c>
      <c r="QR4" s="49" t="s">
        <v>136</v>
      </c>
      <c r="QS4" s="50" t="s">
        <v>137</v>
      </c>
      <c r="QT4" s="51" t="s">
        <v>138</v>
      </c>
      <c r="QU4" s="50" t="s">
        <v>136</v>
      </c>
      <c r="QV4" s="50" t="s">
        <v>137</v>
      </c>
      <c r="QW4" s="51" t="s">
        <v>138</v>
      </c>
      <c r="QX4" s="50" t="s">
        <v>136</v>
      </c>
      <c r="QY4" s="50" t="s">
        <v>137</v>
      </c>
      <c r="QZ4" s="51" t="s">
        <v>138</v>
      </c>
      <c r="RA4" s="50" t="s">
        <v>136</v>
      </c>
      <c r="RB4" s="50" t="s">
        <v>137</v>
      </c>
      <c r="RC4" s="51" t="s">
        <v>138</v>
      </c>
      <c r="RD4" s="50" t="s">
        <v>136</v>
      </c>
      <c r="RE4" s="50" t="s">
        <v>137</v>
      </c>
      <c r="RF4" s="51" t="s">
        <v>138</v>
      </c>
      <c r="RG4" s="49" t="s">
        <v>136</v>
      </c>
      <c r="RH4" s="50" t="s">
        <v>137</v>
      </c>
      <c r="RI4" s="51" t="s">
        <v>138</v>
      </c>
      <c r="RJ4" s="50" t="s">
        <v>136</v>
      </c>
      <c r="RK4" s="50" t="s">
        <v>137</v>
      </c>
      <c r="RL4" s="51" t="s">
        <v>138</v>
      </c>
      <c r="RM4" s="50" t="s">
        <v>136</v>
      </c>
      <c r="RN4" s="50" t="s">
        <v>137</v>
      </c>
      <c r="RO4" s="51" t="s">
        <v>138</v>
      </c>
      <c r="RP4" s="50" t="s">
        <v>136</v>
      </c>
      <c r="RQ4" s="50" t="s">
        <v>137</v>
      </c>
      <c r="RR4" s="51" t="s">
        <v>138</v>
      </c>
      <c r="RS4" s="50" t="s">
        <v>136</v>
      </c>
      <c r="RT4" s="50" t="s">
        <v>137</v>
      </c>
      <c r="RU4" s="51" t="s">
        <v>138</v>
      </c>
      <c r="RV4" s="49" t="s">
        <v>136</v>
      </c>
      <c r="RW4" s="50" t="s">
        <v>137</v>
      </c>
      <c r="RX4" s="51" t="s">
        <v>138</v>
      </c>
      <c r="RY4" s="50" t="s">
        <v>136</v>
      </c>
      <c r="RZ4" s="50" t="s">
        <v>137</v>
      </c>
      <c r="SA4" s="51" t="s">
        <v>138</v>
      </c>
      <c r="SB4" s="50" t="s">
        <v>136</v>
      </c>
      <c r="SC4" s="50" t="s">
        <v>137</v>
      </c>
      <c r="SD4" s="51" t="s">
        <v>138</v>
      </c>
      <c r="SE4" s="50" t="s">
        <v>136</v>
      </c>
      <c r="SF4" s="50" t="s">
        <v>137</v>
      </c>
      <c r="SG4" s="51" t="s">
        <v>138</v>
      </c>
      <c r="SH4" s="50" t="s">
        <v>136</v>
      </c>
      <c r="SI4" s="50" t="s">
        <v>137</v>
      </c>
      <c r="SJ4" s="51" t="s">
        <v>138</v>
      </c>
      <c r="SK4" s="49" t="s">
        <v>136</v>
      </c>
      <c r="SL4" s="50" t="s">
        <v>137</v>
      </c>
      <c r="SM4" s="51" t="s">
        <v>138</v>
      </c>
      <c r="SN4" s="50" t="s">
        <v>136</v>
      </c>
      <c r="SO4" s="50" t="s">
        <v>137</v>
      </c>
      <c r="SP4" s="51" t="s">
        <v>138</v>
      </c>
      <c r="SQ4" s="50" t="s">
        <v>136</v>
      </c>
      <c r="SR4" s="50" t="s">
        <v>137</v>
      </c>
      <c r="SS4" s="51" t="s">
        <v>138</v>
      </c>
      <c r="ST4" s="50" t="s">
        <v>136</v>
      </c>
      <c r="SU4" s="50" t="s">
        <v>137</v>
      </c>
      <c r="SV4" s="51" t="s">
        <v>138</v>
      </c>
      <c r="SW4" s="50" t="s">
        <v>136</v>
      </c>
      <c r="SX4" s="50" t="s">
        <v>137</v>
      </c>
      <c r="SY4" s="51" t="s">
        <v>138</v>
      </c>
      <c r="SZ4" s="49" t="s">
        <v>136</v>
      </c>
      <c r="TA4" s="50" t="s">
        <v>137</v>
      </c>
      <c r="TB4" s="51" t="s">
        <v>138</v>
      </c>
      <c r="TC4" s="50" t="s">
        <v>136</v>
      </c>
      <c r="TD4" s="50" t="s">
        <v>137</v>
      </c>
      <c r="TE4" s="51" t="s">
        <v>138</v>
      </c>
      <c r="TF4" s="50" t="s">
        <v>136</v>
      </c>
      <c r="TG4" s="50" t="s">
        <v>137</v>
      </c>
      <c r="TH4" s="51" t="s">
        <v>138</v>
      </c>
      <c r="TI4" s="50" t="s">
        <v>136</v>
      </c>
      <c r="TJ4" s="50" t="s">
        <v>137</v>
      </c>
      <c r="TK4" s="51" t="s">
        <v>138</v>
      </c>
      <c r="TL4" s="50" t="s">
        <v>136</v>
      </c>
      <c r="TM4" s="50" t="s">
        <v>137</v>
      </c>
      <c r="TN4" s="51" t="s">
        <v>138</v>
      </c>
      <c r="TO4" s="49" t="s">
        <v>136</v>
      </c>
      <c r="TP4" s="50" t="s">
        <v>137</v>
      </c>
      <c r="TQ4" s="51" t="s">
        <v>138</v>
      </c>
      <c r="TR4" s="50" t="s">
        <v>136</v>
      </c>
      <c r="TS4" s="50" t="s">
        <v>137</v>
      </c>
      <c r="TT4" s="51" t="s">
        <v>138</v>
      </c>
      <c r="TU4" s="50" t="s">
        <v>136</v>
      </c>
      <c r="TV4" s="50" t="s">
        <v>137</v>
      </c>
      <c r="TW4" s="51" t="s">
        <v>138</v>
      </c>
      <c r="TX4" s="50" t="s">
        <v>136</v>
      </c>
      <c r="TY4" s="50" t="s">
        <v>137</v>
      </c>
      <c r="TZ4" s="51" t="s">
        <v>138</v>
      </c>
      <c r="UA4" s="50" t="s">
        <v>136</v>
      </c>
      <c r="UB4" s="50" t="s">
        <v>137</v>
      </c>
      <c r="UC4" s="51" t="s">
        <v>138</v>
      </c>
      <c r="UD4" s="49" t="s">
        <v>136</v>
      </c>
      <c r="UE4" s="50" t="s">
        <v>137</v>
      </c>
      <c r="UF4" s="51" t="s">
        <v>138</v>
      </c>
      <c r="UG4" s="50" t="s">
        <v>136</v>
      </c>
      <c r="UH4" s="50" t="s">
        <v>137</v>
      </c>
      <c r="UI4" s="51" t="s">
        <v>138</v>
      </c>
      <c r="UJ4" s="50" t="s">
        <v>136</v>
      </c>
      <c r="UK4" s="50" t="s">
        <v>137</v>
      </c>
      <c r="UL4" s="51" t="s">
        <v>138</v>
      </c>
      <c r="UM4" s="50" t="s">
        <v>136</v>
      </c>
      <c r="UN4" s="50" t="s">
        <v>137</v>
      </c>
      <c r="UO4" s="51" t="s">
        <v>138</v>
      </c>
      <c r="UP4" s="50" t="s">
        <v>136</v>
      </c>
      <c r="UQ4" s="50" t="s">
        <v>137</v>
      </c>
      <c r="UR4" s="51" t="s">
        <v>138</v>
      </c>
      <c r="US4" s="49" t="s">
        <v>136</v>
      </c>
      <c r="UT4" s="50" t="s">
        <v>137</v>
      </c>
      <c r="UU4" s="51" t="s">
        <v>138</v>
      </c>
      <c r="UV4" s="50" t="s">
        <v>136</v>
      </c>
      <c r="UW4" s="50" t="s">
        <v>137</v>
      </c>
      <c r="UX4" s="51" t="s">
        <v>138</v>
      </c>
      <c r="UY4" s="50" t="s">
        <v>136</v>
      </c>
      <c r="UZ4" s="50" t="s">
        <v>137</v>
      </c>
      <c r="VA4" s="51" t="s">
        <v>138</v>
      </c>
      <c r="VB4" s="50" t="s">
        <v>136</v>
      </c>
      <c r="VC4" s="50" t="s">
        <v>137</v>
      </c>
      <c r="VD4" s="51" t="s">
        <v>138</v>
      </c>
      <c r="VE4" s="50" t="s">
        <v>136</v>
      </c>
      <c r="VF4" s="50" t="s">
        <v>137</v>
      </c>
      <c r="VG4" s="51" t="s">
        <v>138</v>
      </c>
      <c r="VH4" s="49" t="s">
        <v>136</v>
      </c>
      <c r="VI4" s="50" t="s">
        <v>137</v>
      </c>
      <c r="VJ4" s="51" t="s">
        <v>138</v>
      </c>
      <c r="VK4" s="50" t="s">
        <v>136</v>
      </c>
      <c r="VL4" s="50" t="s">
        <v>137</v>
      </c>
      <c r="VM4" s="51" t="s">
        <v>138</v>
      </c>
      <c r="VN4" s="50" t="s">
        <v>136</v>
      </c>
      <c r="VO4" s="50" t="s">
        <v>137</v>
      </c>
      <c r="VP4" s="51" t="s">
        <v>138</v>
      </c>
      <c r="VQ4" s="50" t="s">
        <v>136</v>
      </c>
      <c r="VR4" s="50" t="s">
        <v>137</v>
      </c>
      <c r="VS4" s="51" t="s">
        <v>138</v>
      </c>
      <c r="VT4" s="50" t="s">
        <v>136</v>
      </c>
      <c r="VU4" s="50" t="s">
        <v>137</v>
      </c>
      <c r="VV4" s="51" t="s">
        <v>138</v>
      </c>
      <c r="VW4" s="49" t="s">
        <v>136</v>
      </c>
      <c r="VX4" s="50" t="s">
        <v>137</v>
      </c>
      <c r="VY4" s="51" t="s">
        <v>138</v>
      </c>
      <c r="VZ4" s="50" t="s">
        <v>136</v>
      </c>
      <c r="WA4" s="50" t="s">
        <v>137</v>
      </c>
      <c r="WB4" s="51" t="s">
        <v>138</v>
      </c>
      <c r="WC4" s="50" t="s">
        <v>136</v>
      </c>
      <c r="WD4" s="50" t="s">
        <v>137</v>
      </c>
      <c r="WE4" s="51" t="s">
        <v>138</v>
      </c>
      <c r="WF4" s="50" t="s">
        <v>136</v>
      </c>
      <c r="WG4" s="50" t="s">
        <v>137</v>
      </c>
      <c r="WH4" s="51" t="s">
        <v>138</v>
      </c>
      <c r="WI4" s="50" t="s">
        <v>136</v>
      </c>
      <c r="WJ4" s="50" t="s">
        <v>137</v>
      </c>
      <c r="WK4" s="51" t="s">
        <v>138</v>
      </c>
      <c r="WL4" s="49" t="s">
        <v>136</v>
      </c>
      <c r="WM4" s="50" t="s">
        <v>137</v>
      </c>
      <c r="WN4" s="51" t="s">
        <v>138</v>
      </c>
      <c r="WO4" s="50" t="s">
        <v>136</v>
      </c>
      <c r="WP4" s="50" t="s">
        <v>137</v>
      </c>
      <c r="WQ4" s="51" t="s">
        <v>138</v>
      </c>
      <c r="WR4" s="50" t="s">
        <v>136</v>
      </c>
      <c r="WS4" s="50" t="s">
        <v>137</v>
      </c>
      <c r="WT4" s="51" t="s">
        <v>138</v>
      </c>
      <c r="WU4" s="50" t="s">
        <v>136</v>
      </c>
      <c r="WV4" s="50" t="s">
        <v>137</v>
      </c>
      <c r="WW4" s="51" t="s">
        <v>138</v>
      </c>
      <c r="WX4" s="50" t="s">
        <v>136</v>
      </c>
      <c r="WY4" s="50" t="s">
        <v>137</v>
      </c>
      <c r="WZ4" s="51" t="s">
        <v>138</v>
      </c>
      <c r="XA4" s="49" t="s">
        <v>136</v>
      </c>
      <c r="XB4" s="50" t="s">
        <v>137</v>
      </c>
      <c r="XC4" s="51" t="s">
        <v>138</v>
      </c>
      <c r="XD4" s="50" t="s">
        <v>136</v>
      </c>
      <c r="XE4" s="50" t="s">
        <v>137</v>
      </c>
      <c r="XF4" s="51" t="s">
        <v>138</v>
      </c>
      <c r="XG4" s="50" t="s">
        <v>136</v>
      </c>
      <c r="XH4" s="50" t="s">
        <v>137</v>
      </c>
      <c r="XI4" s="51" t="s">
        <v>138</v>
      </c>
      <c r="XJ4" s="50" t="s">
        <v>136</v>
      </c>
      <c r="XK4" s="50" t="s">
        <v>137</v>
      </c>
      <c r="XL4" s="51" t="s">
        <v>138</v>
      </c>
      <c r="XM4" s="50" t="s">
        <v>136</v>
      </c>
      <c r="XN4" s="50" t="s">
        <v>137</v>
      </c>
      <c r="XO4" s="51" t="s">
        <v>138</v>
      </c>
      <c r="XP4" s="49" t="s">
        <v>136</v>
      </c>
      <c r="XQ4" s="50" t="s">
        <v>137</v>
      </c>
      <c r="XR4" s="51" t="s">
        <v>138</v>
      </c>
      <c r="XS4" s="50" t="s">
        <v>136</v>
      </c>
      <c r="XT4" s="50" t="s">
        <v>137</v>
      </c>
      <c r="XU4" s="51" t="s">
        <v>138</v>
      </c>
      <c r="XV4" s="50" t="s">
        <v>136</v>
      </c>
      <c r="XW4" s="50" t="s">
        <v>137</v>
      </c>
      <c r="XX4" s="51" t="s">
        <v>138</v>
      </c>
      <c r="XY4" s="50" t="s">
        <v>136</v>
      </c>
      <c r="XZ4" s="50" t="s">
        <v>137</v>
      </c>
      <c r="YA4" s="51" t="s">
        <v>138</v>
      </c>
      <c r="YB4" s="50" t="s">
        <v>136</v>
      </c>
      <c r="YC4" s="50" t="s">
        <v>137</v>
      </c>
      <c r="YD4" s="51" t="s">
        <v>138</v>
      </c>
      <c r="YE4" s="49" t="s">
        <v>136</v>
      </c>
      <c r="YF4" s="50" t="s">
        <v>137</v>
      </c>
      <c r="YG4" s="51" t="s">
        <v>138</v>
      </c>
      <c r="YH4" s="50" t="s">
        <v>136</v>
      </c>
      <c r="YI4" s="50" t="s">
        <v>137</v>
      </c>
      <c r="YJ4" s="51" t="s">
        <v>138</v>
      </c>
      <c r="YK4" s="50" t="s">
        <v>136</v>
      </c>
      <c r="YL4" s="50" t="s">
        <v>137</v>
      </c>
      <c r="YM4" s="51" t="s">
        <v>138</v>
      </c>
      <c r="YN4" s="50" t="s">
        <v>136</v>
      </c>
      <c r="YO4" s="50" t="s">
        <v>137</v>
      </c>
      <c r="YP4" s="51" t="s">
        <v>138</v>
      </c>
      <c r="YQ4" s="50" t="s">
        <v>136</v>
      </c>
      <c r="YR4" s="50" t="s">
        <v>137</v>
      </c>
      <c r="YS4" s="51" t="s">
        <v>138</v>
      </c>
      <c r="YT4" s="49" t="s">
        <v>136</v>
      </c>
      <c r="YU4" s="50" t="s">
        <v>137</v>
      </c>
      <c r="YV4" s="51" t="s">
        <v>138</v>
      </c>
      <c r="YW4" s="50" t="s">
        <v>136</v>
      </c>
      <c r="YX4" s="50" t="s">
        <v>137</v>
      </c>
      <c r="YY4" s="51" t="s">
        <v>138</v>
      </c>
      <c r="YZ4" s="50" t="s">
        <v>136</v>
      </c>
      <c r="ZA4" s="50" t="s">
        <v>137</v>
      </c>
      <c r="ZB4" s="51" t="s">
        <v>138</v>
      </c>
      <c r="ZC4" s="50" t="s">
        <v>136</v>
      </c>
      <c r="ZD4" s="50" t="s">
        <v>137</v>
      </c>
      <c r="ZE4" s="51" t="s">
        <v>138</v>
      </c>
      <c r="ZF4" s="50" t="s">
        <v>136</v>
      </c>
      <c r="ZG4" s="50" t="s">
        <v>137</v>
      </c>
      <c r="ZH4" s="51" t="s">
        <v>138</v>
      </c>
      <c r="ZI4" s="49" t="s">
        <v>136</v>
      </c>
      <c r="ZJ4" s="50" t="s">
        <v>137</v>
      </c>
      <c r="ZK4" s="51" t="s">
        <v>138</v>
      </c>
      <c r="ZL4" s="50" t="s">
        <v>136</v>
      </c>
      <c r="ZM4" s="50" t="s">
        <v>137</v>
      </c>
      <c r="ZN4" s="51" t="s">
        <v>138</v>
      </c>
      <c r="ZO4" s="50" t="s">
        <v>136</v>
      </c>
      <c r="ZP4" s="50" t="s">
        <v>137</v>
      </c>
      <c r="ZQ4" s="51" t="s">
        <v>138</v>
      </c>
      <c r="ZR4" s="50" t="s">
        <v>136</v>
      </c>
      <c r="ZS4" s="50" t="s">
        <v>137</v>
      </c>
      <c r="ZT4" s="51" t="s">
        <v>138</v>
      </c>
      <c r="ZU4" s="50" t="s">
        <v>136</v>
      </c>
      <c r="ZV4" s="50" t="s">
        <v>137</v>
      </c>
      <c r="ZW4" s="51" t="s">
        <v>138</v>
      </c>
      <c r="ZX4" s="49" t="s">
        <v>136</v>
      </c>
      <c r="ZY4" s="50" t="s">
        <v>137</v>
      </c>
      <c r="ZZ4" s="51" t="s">
        <v>138</v>
      </c>
      <c r="AAA4" s="50" t="s">
        <v>136</v>
      </c>
      <c r="AAB4" s="50" t="s">
        <v>137</v>
      </c>
      <c r="AAC4" s="51" t="s">
        <v>138</v>
      </c>
      <c r="AAD4" s="55" t="s">
        <v>136</v>
      </c>
      <c r="AAE4" s="56" t="s">
        <v>139</v>
      </c>
      <c r="AAF4" s="56" t="s">
        <v>140</v>
      </c>
      <c r="AAG4" s="56" t="s">
        <v>138</v>
      </c>
    </row>
    <row r="5" spans="1:714" s="83" customFormat="1" ht="20" customHeight="1" x14ac:dyDescent="0.2">
      <c r="A5" s="57" t="s">
        <v>1</v>
      </c>
      <c r="B5" s="58" t="s">
        <v>136</v>
      </c>
      <c r="C5" s="59"/>
      <c r="D5" s="59"/>
      <c r="E5" s="60">
        <v>2022</v>
      </c>
      <c r="F5" s="61">
        <v>44562</v>
      </c>
      <c r="G5" s="62">
        <v>28000</v>
      </c>
      <c r="H5" s="63">
        <v>28000</v>
      </c>
      <c r="I5" s="64">
        <f>G5-H5</f>
        <v>0</v>
      </c>
      <c r="J5" s="65">
        <v>21000</v>
      </c>
      <c r="K5" s="63">
        <v>21067.360000000001</v>
      </c>
      <c r="L5" s="64">
        <f>J5-K5</f>
        <v>-67.360000000000582</v>
      </c>
      <c r="M5" s="65">
        <v>3500</v>
      </c>
      <c r="N5" s="63">
        <v>3546.07</v>
      </c>
      <c r="O5" s="64">
        <f>M5-N5</f>
        <v>-46.070000000000164</v>
      </c>
      <c r="P5" s="65">
        <v>500</v>
      </c>
      <c r="Q5" s="63">
        <v>293.94</v>
      </c>
      <c r="R5" s="64">
        <f>P5-Q5</f>
        <v>206.06</v>
      </c>
      <c r="S5" s="65">
        <v>600</v>
      </c>
      <c r="T5" s="63">
        <v>0</v>
      </c>
      <c r="U5" s="64">
        <f>S5-T5</f>
        <v>600</v>
      </c>
      <c r="V5" s="66">
        <f>G5+J5+M5+P5+S5</f>
        <v>53600</v>
      </c>
      <c r="W5" s="67">
        <f>H5+K5+N5+Q5+T5</f>
        <v>52907.37</v>
      </c>
      <c r="X5" s="64">
        <f>V5-W5</f>
        <v>692.62999999999738</v>
      </c>
      <c r="Y5" s="62">
        <v>1100</v>
      </c>
      <c r="Z5" s="63">
        <v>1100</v>
      </c>
      <c r="AA5" s="64">
        <f>Y5-Z5</f>
        <v>0</v>
      </c>
      <c r="AB5" s="65"/>
      <c r="AC5" s="63"/>
      <c r="AD5" s="64">
        <f>AB5-AC5</f>
        <v>0</v>
      </c>
      <c r="AE5" s="65"/>
      <c r="AF5" s="63"/>
      <c r="AG5" s="64">
        <f>AE5-AF5</f>
        <v>0</v>
      </c>
      <c r="AH5" s="65"/>
      <c r="AI5" s="63"/>
      <c r="AJ5" s="64">
        <f>AH5-AI5</f>
        <v>0</v>
      </c>
      <c r="AK5" s="66">
        <f>Y5+AB5+AE5+AH5</f>
        <v>1100</v>
      </c>
      <c r="AL5" s="67">
        <f>Z5+AC5+AF5++AI5</f>
        <v>1100</v>
      </c>
      <c r="AM5" s="64">
        <f>AK5-AL5</f>
        <v>0</v>
      </c>
      <c r="AN5" s="62"/>
      <c r="AO5" s="63"/>
      <c r="AP5" s="64">
        <f>AN5-AO5</f>
        <v>0</v>
      </c>
      <c r="AQ5" s="65"/>
      <c r="AR5" s="63"/>
      <c r="AS5" s="64">
        <f>AQ5-AR5</f>
        <v>0</v>
      </c>
      <c r="AT5" s="65"/>
      <c r="AU5" s="63"/>
      <c r="AV5" s="64">
        <f>AT5-AU5</f>
        <v>0</v>
      </c>
      <c r="AW5" s="65"/>
      <c r="AX5" s="63"/>
      <c r="AY5" s="64">
        <f>AW5-AX5</f>
        <v>0</v>
      </c>
      <c r="AZ5" s="66">
        <f>AN5+AQ5+AT5+AW5</f>
        <v>0</v>
      </c>
      <c r="BA5" s="67">
        <f>AO5+AR5+AU5++AX5</f>
        <v>0</v>
      </c>
      <c r="BB5" s="64">
        <f>AZ5-BA5</f>
        <v>0</v>
      </c>
      <c r="BC5" s="62"/>
      <c r="BD5" s="63"/>
      <c r="BE5" s="64">
        <f>BC5-BD5</f>
        <v>0</v>
      </c>
      <c r="BF5" s="65"/>
      <c r="BG5" s="63"/>
      <c r="BH5" s="64">
        <f>BF5-BG5</f>
        <v>0</v>
      </c>
      <c r="BI5" s="65"/>
      <c r="BJ5" s="63"/>
      <c r="BK5" s="64">
        <f>BI5-BJ5</f>
        <v>0</v>
      </c>
      <c r="BL5" s="65">
        <v>100</v>
      </c>
      <c r="BM5" s="63"/>
      <c r="BN5" s="64">
        <f>BL5-BM5</f>
        <v>100</v>
      </c>
      <c r="BO5" s="66">
        <f>BC5+BF5+BI5+BL5</f>
        <v>100</v>
      </c>
      <c r="BP5" s="67">
        <f>BD5+BG5+BJ5++BM5</f>
        <v>0</v>
      </c>
      <c r="BQ5" s="64">
        <f>BO5-BP5</f>
        <v>100</v>
      </c>
      <c r="BR5" s="68"/>
      <c r="BS5" s="69"/>
      <c r="BT5" s="70"/>
      <c r="BU5" s="71"/>
      <c r="BV5" s="69"/>
      <c r="BW5" s="70"/>
      <c r="BX5" s="71"/>
      <c r="BY5" s="69"/>
      <c r="BZ5" s="70"/>
      <c r="CA5" s="71"/>
      <c r="CB5" s="69"/>
      <c r="CC5" s="70"/>
      <c r="CD5" s="66">
        <f>BR5+BU5+BX5+CA5</f>
        <v>0</v>
      </c>
      <c r="CE5" s="67">
        <f>BS5+BV5+BY5++CB5</f>
        <v>0</v>
      </c>
      <c r="CF5" s="64">
        <f>CD5-CE5</f>
        <v>0</v>
      </c>
      <c r="CG5" s="62"/>
      <c r="CH5" s="63"/>
      <c r="CI5" s="64">
        <f>CG5-CH5</f>
        <v>0</v>
      </c>
      <c r="CJ5" s="65"/>
      <c r="CK5" s="63"/>
      <c r="CL5" s="64">
        <f>CJ5-CK5</f>
        <v>0</v>
      </c>
      <c r="CM5" s="65"/>
      <c r="CN5" s="63"/>
      <c r="CO5" s="64">
        <f>CM5-CN5</f>
        <v>0</v>
      </c>
      <c r="CP5" s="65"/>
      <c r="CQ5" s="63"/>
      <c r="CR5" s="64">
        <f>CP5-CQ5</f>
        <v>0</v>
      </c>
      <c r="CS5" s="66">
        <f>CG5+CJ5+CM5+CP5</f>
        <v>0</v>
      </c>
      <c r="CT5" s="67">
        <f>CH5+CK5+CN5++CQ5</f>
        <v>0</v>
      </c>
      <c r="CU5" s="64">
        <f>CS5-CT5</f>
        <v>0</v>
      </c>
      <c r="CV5" s="68"/>
      <c r="CW5" s="69"/>
      <c r="CX5" s="70"/>
      <c r="CY5" s="71"/>
      <c r="CZ5" s="69"/>
      <c r="DA5" s="70"/>
      <c r="DB5" s="71"/>
      <c r="DC5" s="69"/>
      <c r="DD5" s="70"/>
      <c r="DE5" s="71"/>
      <c r="DF5" s="69"/>
      <c r="DG5" s="70"/>
      <c r="DH5" s="66">
        <f>CV5+CY5+DB5+DE5</f>
        <v>0</v>
      </c>
      <c r="DI5" s="67">
        <f>CW5+CZ5+DC5++DF5</f>
        <v>0</v>
      </c>
      <c r="DJ5" s="64">
        <f>DH5-DI5</f>
        <v>0</v>
      </c>
      <c r="DK5" s="68"/>
      <c r="DL5" s="69"/>
      <c r="DM5" s="70"/>
      <c r="DN5" s="71"/>
      <c r="DO5" s="69"/>
      <c r="DP5" s="70"/>
      <c r="DQ5" s="71"/>
      <c r="DR5" s="69"/>
      <c r="DS5" s="70"/>
      <c r="DT5" s="71"/>
      <c r="DU5" s="69"/>
      <c r="DV5" s="70"/>
      <c r="DW5" s="66">
        <f>DK5+DN5+DQ5+DT5</f>
        <v>0</v>
      </c>
      <c r="DX5" s="67">
        <f>DL5+DO5+DR5++DU5</f>
        <v>0</v>
      </c>
      <c r="DY5" s="64">
        <f>DW5-DX5</f>
        <v>0</v>
      </c>
      <c r="DZ5" s="62"/>
      <c r="EA5" s="63"/>
      <c r="EB5" s="64">
        <f>DZ5-EA5</f>
        <v>0</v>
      </c>
      <c r="EC5" s="65"/>
      <c r="ED5" s="63"/>
      <c r="EE5" s="64">
        <f>EC5-ED5</f>
        <v>0</v>
      </c>
      <c r="EF5" s="65"/>
      <c r="EG5" s="63"/>
      <c r="EH5" s="64">
        <f>EF5-EG5</f>
        <v>0</v>
      </c>
      <c r="EI5" s="65">
        <v>100</v>
      </c>
      <c r="EJ5" s="63"/>
      <c r="EK5" s="64">
        <f>EI5-EJ5</f>
        <v>100</v>
      </c>
      <c r="EL5" s="66">
        <f>DZ5+EC5+EF5+EI5</f>
        <v>100</v>
      </c>
      <c r="EM5" s="67">
        <f>EA5+ED5+EG5++EJ5</f>
        <v>0</v>
      </c>
      <c r="EN5" s="64">
        <f>EL5-EM5</f>
        <v>100</v>
      </c>
      <c r="EO5" s="62"/>
      <c r="EP5" s="63"/>
      <c r="EQ5" s="64">
        <f>EO5-EP5</f>
        <v>0</v>
      </c>
      <c r="ER5" s="65"/>
      <c r="ES5" s="63"/>
      <c r="ET5" s="64">
        <f>ER5-ES5</f>
        <v>0</v>
      </c>
      <c r="EU5" s="65"/>
      <c r="EV5" s="63"/>
      <c r="EW5" s="64">
        <f>EU5-EV5</f>
        <v>0</v>
      </c>
      <c r="EX5" s="65">
        <v>100</v>
      </c>
      <c r="EY5" s="63"/>
      <c r="EZ5" s="64">
        <f>EX5-EY5</f>
        <v>100</v>
      </c>
      <c r="FA5" s="66">
        <f>EO5+ER5+EU5+EX5</f>
        <v>100</v>
      </c>
      <c r="FB5" s="67">
        <f>EP5+ES5+EV5++EY5</f>
        <v>0</v>
      </c>
      <c r="FC5" s="64">
        <f>FA5-FB5</f>
        <v>100</v>
      </c>
      <c r="FD5" s="62"/>
      <c r="FE5" s="63"/>
      <c r="FF5" s="64">
        <f>FD5-FE5</f>
        <v>0</v>
      </c>
      <c r="FG5" s="65"/>
      <c r="FH5" s="63"/>
      <c r="FI5" s="64">
        <f>FG5-FH5</f>
        <v>0</v>
      </c>
      <c r="FJ5" s="65"/>
      <c r="FK5" s="63"/>
      <c r="FL5" s="64">
        <f>FJ5-FK5</f>
        <v>0</v>
      </c>
      <c r="FM5" s="65">
        <v>100</v>
      </c>
      <c r="FN5" s="63"/>
      <c r="FO5" s="64">
        <f>FM5-FN5</f>
        <v>100</v>
      </c>
      <c r="FP5" s="66">
        <f>FD5+FG5+FJ5+FM5</f>
        <v>100</v>
      </c>
      <c r="FQ5" s="67">
        <f>FE5+FH5+FK5++FN5</f>
        <v>0</v>
      </c>
      <c r="FR5" s="64">
        <f>FP5-FQ5</f>
        <v>100</v>
      </c>
      <c r="FS5" s="62"/>
      <c r="FT5" s="63"/>
      <c r="FU5" s="64">
        <f>FS5-FT5</f>
        <v>0</v>
      </c>
      <c r="FV5" s="65"/>
      <c r="FW5" s="63"/>
      <c r="FX5" s="64">
        <f>FV5-FW5</f>
        <v>0</v>
      </c>
      <c r="FY5" s="65"/>
      <c r="FZ5" s="63"/>
      <c r="GA5" s="64">
        <f>FY5-FZ5</f>
        <v>0</v>
      </c>
      <c r="GB5" s="65"/>
      <c r="GC5" s="63"/>
      <c r="GD5" s="64">
        <f>GB5-GC5</f>
        <v>0</v>
      </c>
      <c r="GE5" s="66">
        <f>FS5+FV5+FY5+GB5</f>
        <v>0</v>
      </c>
      <c r="GF5" s="67">
        <f>FT5+FW5+FZ5++GC5</f>
        <v>0</v>
      </c>
      <c r="GG5" s="64">
        <f>GE5-GF5</f>
        <v>0</v>
      </c>
      <c r="GH5" s="62"/>
      <c r="GI5" s="63"/>
      <c r="GJ5" s="64">
        <f>GH5-GI5</f>
        <v>0</v>
      </c>
      <c r="GK5" s="65"/>
      <c r="GL5" s="63"/>
      <c r="GM5" s="64">
        <f>GK5-GL5</f>
        <v>0</v>
      </c>
      <c r="GN5" s="65"/>
      <c r="GO5" s="63"/>
      <c r="GP5" s="64">
        <f>GN5-GO5</f>
        <v>0</v>
      </c>
      <c r="GQ5" s="65"/>
      <c r="GR5" s="63"/>
      <c r="GS5" s="64">
        <f>GQ5-GR5</f>
        <v>0</v>
      </c>
      <c r="GT5" s="66">
        <f>GH5+GK5+GN5+GQ5</f>
        <v>0</v>
      </c>
      <c r="GU5" s="67">
        <f>GI5+GL5+GO5++GR5</f>
        <v>0</v>
      </c>
      <c r="GV5" s="64">
        <f>GT5-GU5</f>
        <v>0</v>
      </c>
      <c r="GW5" s="68"/>
      <c r="GX5" s="69"/>
      <c r="GY5" s="70"/>
      <c r="GZ5" s="71"/>
      <c r="HA5" s="69"/>
      <c r="HB5" s="70"/>
      <c r="HC5" s="71"/>
      <c r="HD5" s="69"/>
      <c r="HE5" s="70"/>
      <c r="HF5" s="71"/>
      <c r="HG5" s="69"/>
      <c r="HH5" s="70"/>
      <c r="HI5" s="66">
        <f>GW5+GZ5+HC5+HF5</f>
        <v>0</v>
      </c>
      <c r="HJ5" s="67">
        <f>GX5+HA5+HD5++HG5</f>
        <v>0</v>
      </c>
      <c r="HK5" s="64">
        <f>HI5-HJ5</f>
        <v>0</v>
      </c>
      <c r="HL5" s="62"/>
      <c r="HM5" s="63"/>
      <c r="HN5" s="64">
        <f>HL5-HM5</f>
        <v>0</v>
      </c>
      <c r="HO5" s="65"/>
      <c r="HP5" s="63"/>
      <c r="HQ5" s="64">
        <f>HO5-HP5</f>
        <v>0</v>
      </c>
      <c r="HR5" s="65"/>
      <c r="HS5" s="63"/>
      <c r="HT5" s="64">
        <f>HR5-HS5</f>
        <v>0</v>
      </c>
      <c r="HU5" s="65">
        <v>100</v>
      </c>
      <c r="HV5" s="63"/>
      <c r="HW5" s="64">
        <f>HU5-HV5</f>
        <v>100</v>
      </c>
      <c r="HX5" s="66">
        <f>HL5+HO5+HR5+HU5</f>
        <v>100</v>
      </c>
      <c r="HY5" s="67">
        <f>HM5+HP5+HS5++HV5</f>
        <v>0</v>
      </c>
      <c r="HZ5" s="64">
        <f>HX5-HY5</f>
        <v>100</v>
      </c>
      <c r="IA5" s="62"/>
      <c r="IB5" s="63"/>
      <c r="IC5" s="64">
        <f>IA5-IB5</f>
        <v>0</v>
      </c>
      <c r="ID5" s="65"/>
      <c r="IE5" s="63"/>
      <c r="IF5" s="64">
        <f>ID5-IE5</f>
        <v>0</v>
      </c>
      <c r="IG5" s="65"/>
      <c r="IH5" s="63"/>
      <c r="II5" s="64">
        <f>IG5-IH5</f>
        <v>0</v>
      </c>
      <c r="IJ5" s="65">
        <v>100</v>
      </c>
      <c r="IK5" s="63">
        <v>103.13</v>
      </c>
      <c r="IL5" s="64">
        <f>IJ5-IK5</f>
        <v>-3.1299999999999955</v>
      </c>
      <c r="IM5" s="66">
        <f>IA5+ID5+IG5+IJ5</f>
        <v>100</v>
      </c>
      <c r="IN5" s="67">
        <f>IB5+IE5+IH5++IK5</f>
        <v>103.13</v>
      </c>
      <c r="IO5" s="64">
        <f>IM5-IN5</f>
        <v>-3.1299999999999955</v>
      </c>
      <c r="IP5" s="62"/>
      <c r="IQ5" s="63"/>
      <c r="IR5" s="64">
        <f>IP5-IQ5</f>
        <v>0</v>
      </c>
      <c r="IS5" s="65"/>
      <c r="IT5" s="63"/>
      <c r="IU5" s="64">
        <f>IS5-IT5</f>
        <v>0</v>
      </c>
      <c r="IV5" s="65"/>
      <c r="IW5" s="63"/>
      <c r="IX5" s="64">
        <f>IV5-IW5</f>
        <v>0</v>
      </c>
      <c r="IY5" s="65"/>
      <c r="IZ5" s="63"/>
      <c r="JA5" s="64">
        <f>IY5-IZ5</f>
        <v>0</v>
      </c>
      <c r="JB5" s="66">
        <f>IP5+IS5+IV5+IY5</f>
        <v>0</v>
      </c>
      <c r="JC5" s="67">
        <f>IQ5+IT5+IW5++IZ5</f>
        <v>0</v>
      </c>
      <c r="JD5" s="64">
        <f>JB5-JC5</f>
        <v>0</v>
      </c>
      <c r="JE5" s="62">
        <v>11000</v>
      </c>
      <c r="JF5" s="63">
        <v>11000</v>
      </c>
      <c r="JG5" s="64">
        <f>JE5-JF5</f>
        <v>0</v>
      </c>
      <c r="JH5" s="65"/>
      <c r="JI5" s="63"/>
      <c r="JJ5" s="64">
        <f>JH5-JI5</f>
        <v>0</v>
      </c>
      <c r="JK5" s="65"/>
      <c r="JL5" s="63"/>
      <c r="JM5" s="64">
        <f>JK5-JL5</f>
        <v>0</v>
      </c>
      <c r="JN5" s="65">
        <v>100</v>
      </c>
      <c r="JO5" s="63"/>
      <c r="JP5" s="64">
        <f>JN5-JO5</f>
        <v>100</v>
      </c>
      <c r="JQ5" s="66">
        <f>JE5+JH5+JK5+JN5</f>
        <v>11100</v>
      </c>
      <c r="JR5" s="67">
        <f>JF5+JI5+JL5++JO5</f>
        <v>11000</v>
      </c>
      <c r="JS5" s="64">
        <f>JQ5-JR5</f>
        <v>100</v>
      </c>
      <c r="JT5" s="62">
        <v>4000</v>
      </c>
      <c r="JU5" s="63">
        <v>4000</v>
      </c>
      <c r="JV5" s="64">
        <f>JT5-JU5</f>
        <v>0</v>
      </c>
      <c r="JW5" s="65"/>
      <c r="JX5" s="63"/>
      <c r="JY5" s="64">
        <f>JW5-JX5</f>
        <v>0</v>
      </c>
      <c r="JZ5" s="65"/>
      <c r="KA5" s="63"/>
      <c r="KB5" s="64">
        <f>JZ5-KA5</f>
        <v>0</v>
      </c>
      <c r="KC5" s="65">
        <v>100</v>
      </c>
      <c r="KD5" s="63">
        <v>178.86</v>
      </c>
      <c r="KE5" s="64">
        <f>KC5-KD5</f>
        <v>-78.860000000000014</v>
      </c>
      <c r="KF5" s="66">
        <f>JT5+JW5+JZ5+KC5</f>
        <v>4100</v>
      </c>
      <c r="KG5" s="67">
        <f>JU5+JX5+KA5++KD5</f>
        <v>4178.8599999999997</v>
      </c>
      <c r="KH5" s="64">
        <f>KF5-KG5</f>
        <v>-78.859999999999673</v>
      </c>
      <c r="KI5" s="68"/>
      <c r="KJ5" s="69"/>
      <c r="KK5" s="70"/>
      <c r="KL5" s="71"/>
      <c r="KM5" s="69"/>
      <c r="KN5" s="70"/>
      <c r="KO5" s="71"/>
      <c r="KP5" s="69"/>
      <c r="KQ5" s="70"/>
      <c r="KR5" s="71"/>
      <c r="KS5" s="69"/>
      <c r="KT5" s="64">
        <f t="shared" ref="KT5:KT16" si="0">KR5-KS5</f>
        <v>0</v>
      </c>
      <c r="KU5" s="66">
        <f t="shared" ref="KU5:KU68" si="1">KI5+KL5+KO5+KR5</f>
        <v>0</v>
      </c>
      <c r="KV5" s="67">
        <f t="shared" ref="KV5:KV16" si="2">KJ5+KM5+KP5++KS5</f>
        <v>0</v>
      </c>
      <c r="KW5" s="64">
        <f>KU5-KV5</f>
        <v>0</v>
      </c>
      <c r="KX5" s="72"/>
      <c r="KY5" s="73"/>
      <c r="KZ5" s="74"/>
      <c r="LA5" s="75"/>
      <c r="LB5" s="73"/>
      <c r="LC5" s="74"/>
      <c r="LD5" s="75"/>
      <c r="LE5" s="73"/>
      <c r="LF5" s="74"/>
      <c r="LG5" s="75"/>
      <c r="LH5" s="73"/>
      <c r="LI5" s="74"/>
      <c r="LJ5" s="76"/>
      <c r="LK5" s="77"/>
      <c r="LL5" s="74"/>
      <c r="LM5" s="68"/>
      <c r="LN5" s="69"/>
      <c r="LO5" s="70"/>
      <c r="LP5" s="71"/>
      <c r="LQ5" s="69"/>
      <c r="LR5" s="70"/>
      <c r="LS5" s="71"/>
      <c r="LT5" s="69"/>
      <c r="LU5" s="70"/>
      <c r="LV5" s="71"/>
      <c r="LW5" s="69"/>
      <c r="LX5" s="64">
        <f>LV5-LW5</f>
        <v>0</v>
      </c>
      <c r="LY5" s="66">
        <f>LM5+LP5+LS5+LV5</f>
        <v>0</v>
      </c>
      <c r="LZ5" s="67">
        <f>LN5+LQ5+LT5++LW5</f>
        <v>0</v>
      </c>
      <c r="MA5" s="64">
        <f>LY5-LZ5</f>
        <v>0</v>
      </c>
      <c r="MB5" s="62">
        <v>650</v>
      </c>
      <c r="MC5" s="63">
        <v>650</v>
      </c>
      <c r="MD5" s="64">
        <f>MB5-MC5</f>
        <v>0</v>
      </c>
      <c r="ME5" s="65">
        <v>727.43</v>
      </c>
      <c r="MF5" s="63">
        <v>467.26</v>
      </c>
      <c r="MG5" s="64">
        <f>ME5-MF5</f>
        <v>260.16999999999996</v>
      </c>
      <c r="MH5" s="65"/>
      <c r="MI5" s="63"/>
      <c r="MJ5" s="64">
        <f>MH5-MI5</f>
        <v>0</v>
      </c>
      <c r="MK5" s="65">
        <v>100</v>
      </c>
      <c r="ML5" s="63"/>
      <c r="MM5" s="64">
        <f>MK5-ML5</f>
        <v>100</v>
      </c>
      <c r="MN5" s="66">
        <f>MB5+ME5+MH5+MK5</f>
        <v>1477.4299999999998</v>
      </c>
      <c r="MO5" s="67">
        <f>MC5+MF5+MI5++ML5</f>
        <v>1117.26</v>
      </c>
      <c r="MP5" s="64">
        <f>MN5-MO5</f>
        <v>360.16999999999985</v>
      </c>
      <c r="MQ5" s="62"/>
      <c r="MR5" s="63"/>
      <c r="MS5" s="64">
        <f>MQ5-MR5</f>
        <v>0</v>
      </c>
      <c r="MT5" s="65"/>
      <c r="MU5" s="63"/>
      <c r="MV5" s="64">
        <f>MT5-MU5</f>
        <v>0</v>
      </c>
      <c r="MW5" s="65"/>
      <c r="MX5" s="63"/>
      <c r="MY5" s="64">
        <f>MW5-MX5</f>
        <v>0</v>
      </c>
      <c r="MZ5" s="65"/>
      <c r="NA5" s="63"/>
      <c r="NB5" s="64">
        <f>MZ5-NA5</f>
        <v>0</v>
      </c>
      <c r="NC5" s="66">
        <f>MQ5+MT5+MW5+MZ5</f>
        <v>0</v>
      </c>
      <c r="ND5" s="67">
        <f>MR5+MU5+MX5++NA5</f>
        <v>0</v>
      </c>
      <c r="NE5" s="64">
        <f>NC5-ND5</f>
        <v>0</v>
      </c>
      <c r="NF5" s="62"/>
      <c r="NG5" s="63"/>
      <c r="NH5" s="64">
        <f>NF5-NG5</f>
        <v>0</v>
      </c>
      <c r="NI5" s="65">
        <v>685.09</v>
      </c>
      <c r="NJ5" s="63"/>
      <c r="NK5" s="64">
        <f>NI5-NJ5</f>
        <v>685.09</v>
      </c>
      <c r="NL5" s="65"/>
      <c r="NM5" s="63"/>
      <c r="NN5" s="64">
        <f>NL5-NM5</f>
        <v>0</v>
      </c>
      <c r="NO5" s="65">
        <v>100</v>
      </c>
      <c r="NP5" s="63"/>
      <c r="NQ5" s="64">
        <f>NO5-NP5</f>
        <v>100</v>
      </c>
      <c r="NR5" s="66">
        <f>NF5+NI5+NL5+NO5</f>
        <v>785.09</v>
      </c>
      <c r="NS5" s="67">
        <f>NG5+NJ5+NM5++NP5</f>
        <v>0</v>
      </c>
      <c r="NT5" s="64">
        <f>NR5-NS5</f>
        <v>785.09</v>
      </c>
      <c r="NU5" s="62">
        <v>864</v>
      </c>
      <c r="NV5" s="63">
        <v>864</v>
      </c>
      <c r="NW5" s="64">
        <f>NU5-NV5</f>
        <v>0</v>
      </c>
      <c r="NX5" s="65">
        <v>636.36</v>
      </c>
      <c r="NY5" s="63"/>
      <c r="NZ5" s="64">
        <f>NX5-NY5</f>
        <v>636.36</v>
      </c>
      <c r="OA5" s="65"/>
      <c r="OB5" s="63"/>
      <c r="OC5" s="64">
        <f>OA5-OB5</f>
        <v>0</v>
      </c>
      <c r="OD5" s="65">
        <v>100</v>
      </c>
      <c r="OE5" s="63">
        <v>109.19</v>
      </c>
      <c r="OF5" s="64">
        <f>OD5-OE5</f>
        <v>-9.1899999999999977</v>
      </c>
      <c r="OG5" s="66">
        <f>NU5+NX5+OA5+OD5</f>
        <v>1600.3600000000001</v>
      </c>
      <c r="OH5" s="67">
        <f>NV5+NY5+OB5++OE5</f>
        <v>973.19</v>
      </c>
      <c r="OI5" s="64">
        <f>OG5-OH5</f>
        <v>627.17000000000007</v>
      </c>
      <c r="OJ5" s="62"/>
      <c r="OK5" s="63"/>
      <c r="OL5" s="64">
        <f>OJ5-OK5</f>
        <v>0</v>
      </c>
      <c r="OM5" s="65"/>
      <c r="ON5" s="63"/>
      <c r="OO5" s="64">
        <f>OM5-ON5</f>
        <v>0</v>
      </c>
      <c r="OP5" s="65"/>
      <c r="OQ5" s="63"/>
      <c r="OR5" s="64">
        <f>OP5-OQ5</f>
        <v>0</v>
      </c>
      <c r="OS5" s="65">
        <v>100</v>
      </c>
      <c r="OT5" s="63">
        <v>82.53</v>
      </c>
      <c r="OU5" s="64">
        <f>OS5-OT5</f>
        <v>17.47</v>
      </c>
      <c r="OV5" s="66">
        <f>OJ5+OM5+OP5+OS5</f>
        <v>100</v>
      </c>
      <c r="OW5" s="67">
        <f>OK5+ON5+OQ5++OT5</f>
        <v>82.53</v>
      </c>
      <c r="OX5" s="64">
        <f>OV5-OW5</f>
        <v>17.47</v>
      </c>
      <c r="OY5" s="62"/>
      <c r="OZ5" s="63"/>
      <c r="PA5" s="64">
        <f>OY5-OZ5</f>
        <v>0</v>
      </c>
      <c r="PB5" s="65"/>
      <c r="PC5" s="63"/>
      <c r="PD5" s="64">
        <f>PB5-PC5</f>
        <v>0</v>
      </c>
      <c r="PE5" s="65"/>
      <c r="PF5" s="63"/>
      <c r="PG5" s="64">
        <f>PE5-PF5</f>
        <v>0</v>
      </c>
      <c r="PH5" s="65">
        <v>100</v>
      </c>
      <c r="PI5" s="63"/>
      <c r="PJ5" s="64">
        <f>PH5-PI5</f>
        <v>100</v>
      </c>
      <c r="PK5" s="66">
        <f>OY5+PB5+PE5+PH5</f>
        <v>100</v>
      </c>
      <c r="PL5" s="67">
        <f>OZ5+PC5+PF5++PI5</f>
        <v>0</v>
      </c>
      <c r="PM5" s="64">
        <f>PK5-PL5</f>
        <v>100</v>
      </c>
      <c r="PN5" s="62">
        <v>1400</v>
      </c>
      <c r="PO5" s="63">
        <v>1400</v>
      </c>
      <c r="PP5" s="64">
        <f>PN5-PO5</f>
        <v>0</v>
      </c>
      <c r="PQ5" s="65"/>
      <c r="PR5" s="63"/>
      <c r="PS5" s="64">
        <f>PQ5-PR5</f>
        <v>0</v>
      </c>
      <c r="PT5" s="65"/>
      <c r="PU5" s="63"/>
      <c r="PV5" s="64">
        <f>PT5-PU5</f>
        <v>0</v>
      </c>
      <c r="PW5" s="65">
        <v>100</v>
      </c>
      <c r="PX5" s="63"/>
      <c r="PY5" s="64">
        <f>PW5-PX5</f>
        <v>100</v>
      </c>
      <c r="PZ5" s="66">
        <f>PN5+PQ5+PT5+PW5</f>
        <v>1500</v>
      </c>
      <c r="QA5" s="67">
        <f>PO5+PR5+PU5++PX5</f>
        <v>1400</v>
      </c>
      <c r="QB5" s="64">
        <f>PZ5-QA5</f>
        <v>100</v>
      </c>
      <c r="QC5" s="62"/>
      <c r="QD5" s="63"/>
      <c r="QE5" s="64">
        <f>QC5-QD5</f>
        <v>0</v>
      </c>
      <c r="QF5" s="65"/>
      <c r="QG5" s="63"/>
      <c r="QH5" s="64">
        <f>QF5-QG5</f>
        <v>0</v>
      </c>
      <c r="QI5" s="65"/>
      <c r="QJ5" s="63"/>
      <c r="QK5" s="64">
        <f>QI5-QJ5</f>
        <v>0</v>
      </c>
      <c r="QL5" s="65">
        <v>100</v>
      </c>
      <c r="QM5" s="63">
        <v>183.93</v>
      </c>
      <c r="QN5" s="64">
        <f>QL5-QM5</f>
        <v>-83.93</v>
      </c>
      <c r="QO5" s="66">
        <f>QC5+QF5+QI5+QL5</f>
        <v>100</v>
      </c>
      <c r="QP5" s="67">
        <f>QD5+QG5+QJ5++QM5</f>
        <v>183.93</v>
      </c>
      <c r="QQ5" s="64">
        <f>QO5-QP5</f>
        <v>-83.93</v>
      </c>
      <c r="QR5" s="62"/>
      <c r="QS5" s="63"/>
      <c r="QT5" s="64">
        <f>QR5-QS5</f>
        <v>0</v>
      </c>
      <c r="QU5" s="65"/>
      <c r="QV5" s="63"/>
      <c r="QW5" s="64">
        <f>QU5-QV5</f>
        <v>0</v>
      </c>
      <c r="QX5" s="65"/>
      <c r="QY5" s="63"/>
      <c r="QZ5" s="64">
        <f>QX5-QY5</f>
        <v>0</v>
      </c>
      <c r="RA5" s="65"/>
      <c r="RB5" s="63"/>
      <c r="RC5" s="64">
        <f>RA5-RB5</f>
        <v>0</v>
      </c>
      <c r="RD5" s="66">
        <f>QR5+QU5+QX5+RA5</f>
        <v>0</v>
      </c>
      <c r="RE5" s="67">
        <f>QS5+QV5+QY5++RB5</f>
        <v>0</v>
      </c>
      <c r="RF5" s="64">
        <f>RD5-RE5</f>
        <v>0</v>
      </c>
      <c r="RG5" s="62"/>
      <c r="RH5" s="63"/>
      <c r="RI5" s="64">
        <f>RG5-RH5</f>
        <v>0</v>
      </c>
      <c r="RJ5" s="65"/>
      <c r="RK5" s="63"/>
      <c r="RL5" s="64">
        <f>RJ5-RK5</f>
        <v>0</v>
      </c>
      <c r="RM5" s="65"/>
      <c r="RN5" s="63"/>
      <c r="RO5" s="64">
        <f>RM5-RN5</f>
        <v>0</v>
      </c>
      <c r="RP5" s="65"/>
      <c r="RQ5" s="63"/>
      <c r="RR5" s="64">
        <f>RP5-RQ5</f>
        <v>0</v>
      </c>
      <c r="RS5" s="66">
        <f>RG5+RJ5+RM5+RP5</f>
        <v>0</v>
      </c>
      <c r="RT5" s="67">
        <f>RH5+RK5+RN5++RQ5</f>
        <v>0</v>
      </c>
      <c r="RU5" s="64">
        <f>RS5-RT5</f>
        <v>0</v>
      </c>
      <c r="RV5" s="62"/>
      <c r="RW5" s="63"/>
      <c r="RX5" s="64">
        <f>RV5-RW5</f>
        <v>0</v>
      </c>
      <c r="RY5" s="65"/>
      <c r="RZ5" s="63"/>
      <c r="SA5" s="64">
        <f>RY5-RZ5</f>
        <v>0</v>
      </c>
      <c r="SB5" s="65"/>
      <c r="SC5" s="63"/>
      <c r="SD5" s="64">
        <f>SB5-SC5</f>
        <v>0</v>
      </c>
      <c r="SE5" s="65">
        <v>100</v>
      </c>
      <c r="SF5" s="63">
        <v>246.89</v>
      </c>
      <c r="SG5" s="64">
        <f>SE5-SF5</f>
        <v>-146.88999999999999</v>
      </c>
      <c r="SH5" s="66">
        <f>RV5+RY5+SB5+SE5</f>
        <v>100</v>
      </c>
      <c r="SI5" s="67">
        <f>RW5+RZ5+SC5++SF5</f>
        <v>246.89</v>
      </c>
      <c r="SJ5" s="64">
        <f>SH5-SI5</f>
        <v>-146.88999999999999</v>
      </c>
      <c r="SK5" s="62"/>
      <c r="SL5" s="63"/>
      <c r="SM5" s="64">
        <f>SK5-SL5</f>
        <v>0</v>
      </c>
      <c r="SN5" s="65"/>
      <c r="SO5" s="63"/>
      <c r="SP5" s="64">
        <f>SN5-SO5</f>
        <v>0</v>
      </c>
      <c r="SQ5" s="65"/>
      <c r="SR5" s="63"/>
      <c r="SS5" s="64">
        <f>SQ5-SR5</f>
        <v>0</v>
      </c>
      <c r="ST5" s="65">
        <v>100</v>
      </c>
      <c r="SU5" s="63">
        <v>180.62</v>
      </c>
      <c r="SV5" s="64">
        <f>ST5-SU5</f>
        <v>-80.62</v>
      </c>
      <c r="SW5" s="66">
        <f>SK5+SN5+SQ5+ST5</f>
        <v>100</v>
      </c>
      <c r="SX5" s="67">
        <f>SL5+SO5+SR5++SU5</f>
        <v>180.62</v>
      </c>
      <c r="SY5" s="64">
        <f>SW5-SX5</f>
        <v>-80.62</v>
      </c>
      <c r="SZ5" s="62">
        <v>1257.1199999999999</v>
      </c>
      <c r="TA5" s="63">
        <v>1257.1199999999999</v>
      </c>
      <c r="TB5" s="64">
        <f>SZ5-TA5</f>
        <v>0</v>
      </c>
      <c r="TC5" s="65"/>
      <c r="TD5" s="63"/>
      <c r="TE5" s="64">
        <f>TC5-TD5</f>
        <v>0</v>
      </c>
      <c r="TF5" s="65"/>
      <c r="TG5" s="63"/>
      <c r="TH5" s="64">
        <f>TF5-TG5</f>
        <v>0</v>
      </c>
      <c r="TI5" s="65">
        <v>100</v>
      </c>
      <c r="TJ5" s="63">
        <v>124.74</v>
      </c>
      <c r="TK5" s="64">
        <f>TI5-TJ5</f>
        <v>-24.739999999999995</v>
      </c>
      <c r="TL5" s="66">
        <f>SZ5+TC5+TF5+TI5</f>
        <v>1357.12</v>
      </c>
      <c r="TM5" s="67">
        <f>TA5+TD5+TG5++TJ5</f>
        <v>1381.86</v>
      </c>
      <c r="TN5" s="64">
        <f>TL5-TM5</f>
        <v>-24.740000000000009</v>
      </c>
      <c r="TO5" s="62"/>
      <c r="TP5" s="63"/>
      <c r="TQ5" s="64">
        <f>TO5-TP5</f>
        <v>0</v>
      </c>
      <c r="TR5" s="65"/>
      <c r="TS5" s="63"/>
      <c r="TT5" s="64">
        <f>TR5-TS5</f>
        <v>0</v>
      </c>
      <c r="TU5" s="65"/>
      <c r="TV5" s="63"/>
      <c r="TW5" s="64">
        <f>TU5-TV5</f>
        <v>0</v>
      </c>
      <c r="TX5" s="65">
        <v>100</v>
      </c>
      <c r="TY5" s="63">
        <v>59.61</v>
      </c>
      <c r="TZ5" s="64">
        <f>TX5-TY5</f>
        <v>40.39</v>
      </c>
      <c r="UA5" s="66">
        <f>TO5+TR5+TU5+TX5</f>
        <v>100</v>
      </c>
      <c r="UB5" s="67">
        <f>TP5+TS5+TV5++TY5</f>
        <v>59.61</v>
      </c>
      <c r="UC5" s="64">
        <f>UA5-UB5</f>
        <v>40.39</v>
      </c>
      <c r="UD5" s="68"/>
      <c r="UE5" s="69"/>
      <c r="UF5" s="70"/>
      <c r="UG5" s="71"/>
      <c r="UH5" s="69"/>
      <c r="UI5" s="70"/>
      <c r="UJ5" s="71"/>
      <c r="UK5" s="69"/>
      <c r="UL5" s="70"/>
      <c r="UM5" s="71"/>
      <c r="UN5" s="69"/>
      <c r="UO5" s="64">
        <f>UM5-UN5</f>
        <v>0</v>
      </c>
      <c r="UP5" s="66">
        <f>UD5+UG5+UJ5+UM5</f>
        <v>0</v>
      </c>
      <c r="UQ5" s="67">
        <f>UE5+UH5+UK5++UN5</f>
        <v>0</v>
      </c>
      <c r="UR5" s="64">
        <f>UP5-UQ5</f>
        <v>0</v>
      </c>
      <c r="US5" s="62"/>
      <c r="UT5" s="63"/>
      <c r="UU5" s="64">
        <f>US5-UT5</f>
        <v>0</v>
      </c>
      <c r="UV5" s="65"/>
      <c r="UW5" s="63"/>
      <c r="UX5" s="64">
        <f>UV5-UW5</f>
        <v>0</v>
      </c>
      <c r="UY5" s="65"/>
      <c r="UZ5" s="63"/>
      <c r="VA5" s="64">
        <f>UY5-UZ5</f>
        <v>0</v>
      </c>
      <c r="VB5" s="65">
        <v>100</v>
      </c>
      <c r="VC5" s="63">
        <v>145.85</v>
      </c>
      <c r="VD5" s="64">
        <f>VB5-VC5</f>
        <v>-45.849999999999994</v>
      </c>
      <c r="VE5" s="66">
        <f>US5+UV5+UY5+VB5</f>
        <v>100</v>
      </c>
      <c r="VF5" s="67">
        <f>UT5+UW5+UZ5++VC5</f>
        <v>145.85</v>
      </c>
      <c r="VG5" s="64">
        <f>VE5-VF5</f>
        <v>-45.849999999999994</v>
      </c>
      <c r="VH5" s="62"/>
      <c r="VI5" s="63"/>
      <c r="VJ5" s="64">
        <f>VH5-VI5</f>
        <v>0</v>
      </c>
      <c r="VK5" s="65"/>
      <c r="VL5" s="63"/>
      <c r="VM5" s="64">
        <f>VK5-VL5</f>
        <v>0</v>
      </c>
      <c r="VN5" s="65"/>
      <c r="VO5" s="63"/>
      <c r="VP5" s="64">
        <f>VN5-VO5</f>
        <v>0</v>
      </c>
      <c r="VQ5" s="65">
        <v>100</v>
      </c>
      <c r="VR5" s="63"/>
      <c r="VS5" s="64">
        <f>VQ5-VR5</f>
        <v>100</v>
      </c>
      <c r="VT5" s="66">
        <f>VH5+VK5+VN5+VQ5</f>
        <v>100</v>
      </c>
      <c r="VU5" s="67">
        <f>VI5+VL5+VO5++VR5</f>
        <v>0</v>
      </c>
      <c r="VV5" s="64">
        <f>VT5-VU5</f>
        <v>100</v>
      </c>
      <c r="VW5" s="62">
        <v>1303</v>
      </c>
      <c r="VX5" s="63">
        <v>1303</v>
      </c>
      <c r="VY5" s="64">
        <f>VW5-VX5</f>
        <v>0</v>
      </c>
      <c r="VZ5" s="65"/>
      <c r="WA5" s="63"/>
      <c r="WB5" s="64">
        <f>VZ5-WA5</f>
        <v>0</v>
      </c>
      <c r="WC5" s="65"/>
      <c r="WD5" s="63"/>
      <c r="WE5" s="64">
        <f>WC5-WD5</f>
        <v>0</v>
      </c>
      <c r="WF5" s="65"/>
      <c r="WG5" s="63"/>
      <c r="WH5" s="64">
        <f>WF5-WG5</f>
        <v>0</v>
      </c>
      <c r="WI5" s="66">
        <f>VW5+VZ5+WC5+WF5</f>
        <v>1303</v>
      </c>
      <c r="WJ5" s="67">
        <f>VX5+WA5+WD5++WG5</f>
        <v>1303</v>
      </c>
      <c r="WK5" s="64">
        <f>WI5-WJ5</f>
        <v>0</v>
      </c>
      <c r="WL5" s="62">
        <v>1276.01</v>
      </c>
      <c r="WM5" s="63">
        <v>1276.01</v>
      </c>
      <c r="WN5" s="64">
        <f>WL5-WM5</f>
        <v>0</v>
      </c>
      <c r="WO5" s="65"/>
      <c r="WP5" s="63"/>
      <c r="WQ5" s="64">
        <f>WO5-WP5</f>
        <v>0</v>
      </c>
      <c r="WR5" s="65"/>
      <c r="WS5" s="63"/>
      <c r="WT5" s="64">
        <f>WR5-WS5</f>
        <v>0</v>
      </c>
      <c r="WU5" s="65">
        <v>100</v>
      </c>
      <c r="WV5" s="63"/>
      <c r="WW5" s="64">
        <f>WU5-WV5</f>
        <v>100</v>
      </c>
      <c r="WX5" s="66">
        <f>WL5+WO5+WR5+WU5</f>
        <v>1376.01</v>
      </c>
      <c r="WY5" s="67">
        <f>WM5+WP5+WS5++WV5</f>
        <v>1276.01</v>
      </c>
      <c r="WZ5" s="64">
        <f>WX5-WY5</f>
        <v>100</v>
      </c>
      <c r="XA5" s="62"/>
      <c r="XB5" s="63"/>
      <c r="XC5" s="64">
        <f>XA5-XB5</f>
        <v>0</v>
      </c>
      <c r="XD5" s="65"/>
      <c r="XE5" s="63"/>
      <c r="XF5" s="64">
        <f>XD5-XE5</f>
        <v>0</v>
      </c>
      <c r="XG5" s="65"/>
      <c r="XH5" s="63"/>
      <c r="XI5" s="64">
        <f>XG5-XH5</f>
        <v>0</v>
      </c>
      <c r="XJ5" s="65">
        <v>100</v>
      </c>
      <c r="XK5" s="63">
        <v>314.60000000000002</v>
      </c>
      <c r="XL5" s="64">
        <f>XJ5-XK5</f>
        <v>-214.60000000000002</v>
      </c>
      <c r="XM5" s="66">
        <f>XA5+XD5+XG5+XJ5</f>
        <v>100</v>
      </c>
      <c r="XN5" s="67">
        <f>XB5+XE5+XH5++XK5</f>
        <v>314.60000000000002</v>
      </c>
      <c r="XO5" s="64">
        <f>XM5-XN5</f>
        <v>-214.60000000000002</v>
      </c>
      <c r="XP5" s="62">
        <v>917</v>
      </c>
      <c r="XQ5" s="63">
        <v>917</v>
      </c>
      <c r="XR5" s="64">
        <f>XP5-XQ5</f>
        <v>0</v>
      </c>
      <c r="XS5" s="65">
        <v>462.1</v>
      </c>
      <c r="XT5" s="63">
        <v>462.1</v>
      </c>
      <c r="XU5" s="64">
        <f>XS5-XT5</f>
        <v>0</v>
      </c>
      <c r="XV5" s="65"/>
      <c r="XW5" s="63"/>
      <c r="XX5" s="64">
        <f>XV5-XW5</f>
        <v>0</v>
      </c>
      <c r="XY5" s="65">
        <v>100</v>
      </c>
      <c r="XZ5" s="63">
        <v>220.31</v>
      </c>
      <c r="YA5" s="64">
        <f>XY5-XZ5</f>
        <v>-120.31</v>
      </c>
      <c r="YB5" s="66">
        <f>XP5+XS5+XV5+XY5</f>
        <v>1479.1</v>
      </c>
      <c r="YC5" s="67">
        <f>XQ5+XT5+XW5++XZ5</f>
        <v>1599.4099999999999</v>
      </c>
      <c r="YD5" s="64">
        <f>YB5-YC5</f>
        <v>-120.30999999999995</v>
      </c>
      <c r="YE5" s="62">
        <v>890</v>
      </c>
      <c r="YF5" s="63">
        <v>890</v>
      </c>
      <c r="YG5" s="64">
        <f>YE5-YF5</f>
        <v>0</v>
      </c>
      <c r="YH5" s="65">
        <v>395.25</v>
      </c>
      <c r="YI5" s="63">
        <v>395.25</v>
      </c>
      <c r="YJ5" s="64">
        <f>YH5-YI5</f>
        <v>0</v>
      </c>
      <c r="YK5" s="65"/>
      <c r="YL5" s="63"/>
      <c r="YM5" s="64">
        <f>YK5-YL5</f>
        <v>0</v>
      </c>
      <c r="YN5" s="65">
        <v>100</v>
      </c>
      <c r="YO5" s="63">
        <v>124.34</v>
      </c>
      <c r="YP5" s="64">
        <f>YN5-YO5</f>
        <v>-24.340000000000003</v>
      </c>
      <c r="YQ5" s="66">
        <f>YE5+YH5+YK5+YN5</f>
        <v>1385.25</v>
      </c>
      <c r="YR5" s="67">
        <f>YF5+YI5+YL5++YO5</f>
        <v>1409.59</v>
      </c>
      <c r="YS5" s="64">
        <f>YQ5-YR5</f>
        <v>-24.339999999999918</v>
      </c>
      <c r="YT5" s="62">
        <v>932</v>
      </c>
      <c r="YU5" s="63">
        <v>932</v>
      </c>
      <c r="YV5" s="64">
        <f>YT5-YU5</f>
        <v>0</v>
      </c>
      <c r="YW5" s="65">
        <v>340.23</v>
      </c>
      <c r="YX5" s="63">
        <v>340.23</v>
      </c>
      <c r="YY5" s="64">
        <f>YW5-YX5</f>
        <v>0</v>
      </c>
      <c r="YZ5" s="65"/>
      <c r="ZA5" s="63"/>
      <c r="ZB5" s="64">
        <f>YZ5-ZA5</f>
        <v>0</v>
      </c>
      <c r="ZC5" s="65">
        <v>100</v>
      </c>
      <c r="ZD5" s="63">
        <v>81.760000000000005</v>
      </c>
      <c r="ZE5" s="64">
        <f>ZC5-ZD5</f>
        <v>18.239999999999995</v>
      </c>
      <c r="ZF5" s="66">
        <f>YT5+YW5+YZ5+ZC5</f>
        <v>1372.23</v>
      </c>
      <c r="ZG5" s="67">
        <f>YU5+YX5+ZA5++ZD5</f>
        <v>1353.99</v>
      </c>
      <c r="ZH5" s="64">
        <f>ZF5-ZG5</f>
        <v>18.240000000000009</v>
      </c>
      <c r="ZI5" s="62">
        <v>1250</v>
      </c>
      <c r="ZJ5" s="63">
        <v>1250</v>
      </c>
      <c r="ZK5" s="64">
        <f>ZI5-ZJ5</f>
        <v>0</v>
      </c>
      <c r="ZL5" s="65"/>
      <c r="ZM5" s="63"/>
      <c r="ZN5" s="64">
        <f>ZL5-ZM5</f>
        <v>0</v>
      </c>
      <c r="ZO5" s="65"/>
      <c r="ZP5" s="63"/>
      <c r="ZQ5" s="64">
        <f>ZO5-ZP5</f>
        <v>0</v>
      </c>
      <c r="ZR5" s="65">
        <v>100</v>
      </c>
      <c r="ZS5" s="63"/>
      <c r="ZT5" s="64">
        <f>ZR5-ZS5</f>
        <v>100</v>
      </c>
      <c r="ZU5" s="66">
        <f>ZI5+ZL5+ZO5+ZR5</f>
        <v>1350</v>
      </c>
      <c r="ZV5" s="67">
        <f>ZJ5+ZM5+ZP5++ZS5</f>
        <v>1250</v>
      </c>
      <c r="ZW5" s="64">
        <f>ZU5-ZV5</f>
        <v>100</v>
      </c>
      <c r="ZX5" s="62">
        <v>24.71</v>
      </c>
      <c r="ZY5" s="63">
        <v>24.71</v>
      </c>
      <c r="ZZ5" s="64">
        <f>ZX5-ZY5</f>
        <v>0</v>
      </c>
      <c r="AAA5" s="66">
        <f>ZX5</f>
        <v>24.71</v>
      </c>
      <c r="AAB5" s="67">
        <f>ZY5</f>
        <v>24.71</v>
      </c>
      <c r="AAC5" s="64">
        <f>AAA5-AAB5</f>
        <v>0</v>
      </c>
      <c r="AAD5" s="78">
        <f>ZU5+ZF5+YQ5+YB5+XM5+WX5+VT5+VE5+UP5+UA5+TL5+SW5+SH5+RS5+RD5+QO5+PZ5+PK5+OV5+OG5+NR5+NC5+MN5+LY5+KU5+KF5+JQ5+JB5+IM5+HX5+HI5+GT5+GE5+FP5+FA5+EL5+DW5+DH5+CS5+CD5+BO5+AZ5+AK5+V5+LJ5</f>
        <v>85082.59</v>
      </c>
      <c r="AAE5" s="79">
        <f>ZV5+ZG5+YR5+YC5+XN5+WY5+VU5+VF5+UQ5+UB5+TM5+SX5+SI5+RT5+RE5+QP5+QA5+PL5+OW5+OH5+NS5+ND5+MO5+LZ5+KV5+KG5+JR5+JC5+IN5+HY5+HJ5+GU5+GF5+FQ5+FB5+EM5+DX5+DI5+CT5+CE5+BP5+BA5+AL5+W5+LK5</f>
        <v>82264.700000000012</v>
      </c>
      <c r="AAF5" s="80">
        <f t="shared" ref="AAF5:AAF68" si="3">AAE5/AAD5</f>
        <v>0.96688053337351409</v>
      </c>
      <c r="AAG5" s="81">
        <f t="shared" ref="AAG5:AAG16" si="4">AAE5-AAD5</f>
        <v>-2817.8899999999849</v>
      </c>
      <c r="AAH5" s="58" t="s">
        <v>136</v>
      </c>
      <c r="AAI5" s="59"/>
      <c r="AAJ5" s="59"/>
      <c r="AAK5" s="82">
        <v>2022</v>
      </c>
    </row>
    <row r="6" spans="1:714" s="83" customFormat="1" ht="20" customHeight="1" x14ac:dyDescent="0.2">
      <c r="A6" s="84" t="s">
        <v>141</v>
      </c>
      <c r="B6" s="58"/>
      <c r="C6" s="59"/>
      <c r="D6" s="59"/>
      <c r="E6" s="60"/>
      <c r="F6" s="61">
        <v>44593</v>
      </c>
      <c r="G6" s="62">
        <v>28000</v>
      </c>
      <c r="H6" s="63">
        <v>28000</v>
      </c>
      <c r="I6" s="64">
        <f t="shared" ref="I6:I16" si="5">G6-H6</f>
        <v>0</v>
      </c>
      <c r="J6" s="65">
        <v>0</v>
      </c>
      <c r="K6" s="63">
        <v>0</v>
      </c>
      <c r="L6" s="64">
        <f t="shared" ref="L6:L16" si="6">J6-K6</f>
        <v>0</v>
      </c>
      <c r="M6" s="65">
        <v>1000</v>
      </c>
      <c r="N6" s="63">
        <v>0</v>
      </c>
      <c r="O6" s="64">
        <f t="shared" ref="O6:O16" si="7">M6-N6</f>
        <v>1000</v>
      </c>
      <c r="P6" s="65">
        <v>500</v>
      </c>
      <c r="Q6" s="63">
        <v>605.15</v>
      </c>
      <c r="R6" s="64">
        <f t="shared" ref="R6:R16" si="8">P6-Q6</f>
        <v>-105.14999999999998</v>
      </c>
      <c r="S6" s="65">
        <v>600</v>
      </c>
      <c r="T6" s="63">
        <v>629.34</v>
      </c>
      <c r="U6" s="64">
        <f t="shared" ref="U6:U16" si="9">S6-T6</f>
        <v>-29.340000000000032</v>
      </c>
      <c r="V6" s="66">
        <f t="shared" ref="V6:W16" si="10">G6+J6+M6+P6+S6</f>
        <v>30100</v>
      </c>
      <c r="W6" s="67">
        <f t="shared" si="10"/>
        <v>29234.49</v>
      </c>
      <c r="X6" s="64">
        <f t="shared" ref="X6:X16" si="11">V6-W6</f>
        <v>865.5099999999984</v>
      </c>
      <c r="Y6" s="62">
        <v>1100</v>
      </c>
      <c r="Z6" s="63">
        <v>1100</v>
      </c>
      <c r="AA6" s="64">
        <f t="shared" ref="AA6:AA16" si="12">Y6-Z6</f>
        <v>0</v>
      </c>
      <c r="AB6" s="65"/>
      <c r="AC6" s="63"/>
      <c r="AD6" s="64">
        <f t="shared" ref="AD6:AD16" si="13">AB6-AC6</f>
        <v>0</v>
      </c>
      <c r="AE6" s="65"/>
      <c r="AF6" s="63"/>
      <c r="AG6" s="64">
        <f t="shared" ref="AG6:AG16" si="14">AE6-AF6</f>
        <v>0</v>
      </c>
      <c r="AH6" s="65"/>
      <c r="AI6" s="63"/>
      <c r="AJ6" s="64">
        <f t="shared" ref="AJ6:AJ16" si="15">AH6-AI6</f>
        <v>0</v>
      </c>
      <c r="AK6" s="66">
        <f t="shared" ref="AK6:AK39" si="16">Y6+AB6+AE6+AH6</f>
        <v>1100</v>
      </c>
      <c r="AL6" s="67">
        <f t="shared" ref="AL6:AL39" si="17">Z6+AC6+AF6++AI6</f>
        <v>1100</v>
      </c>
      <c r="AM6" s="64">
        <f t="shared" ref="AM6:AM16" si="18">AK6-AL6</f>
        <v>0</v>
      </c>
      <c r="AN6" s="62"/>
      <c r="AO6" s="63"/>
      <c r="AP6" s="64">
        <f t="shared" ref="AP6:AP16" si="19">AN6-AO6</f>
        <v>0</v>
      </c>
      <c r="AQ6" s="65"/>
      <c r="AR6" s="63"/>
      <c r="AS6" s="64">
        <f t="shared" ref="AS6:AS16" si="20">AQ6-AR6</f>
        <v>0</v>
      </c>
      <c r="AT6" s="65"/>
      <c r="AU6" s="63"/>
      <c r="AV6" s="64">
        <f t="shared" ref="AV6:AV16" si="21">AT6-AU6</f>
        <v>0</v>
      </c>
      <c r="AW6" s="65"/>
      <c r="AX6" s="63"/>
      <c r="AY6" s="64">
        <f t="shared" ref="AY6:AY16" si="22">AW6-AX6</f>
        <v>0</v>
      </c>
      <c r="AZ6" s="66">
        <f t="shared" ref="AZ6:AZ69" si="23">AN6+AQ6+AT6+AW6</f>
        <v>0</v>
      </c>
      <c r="BA6" s="67">
        <f t="shared" ref="BA6:BA16" si="24">AO6+AR6+AU6++AX6</f>
        <v>0</v>
      </c>
      <c r="BB6" s="64">
        <f t="shared" ref="BB6:BB16" si="25">AZ6-BA6</f>
        <v>0</v>
      </c>
      <c r="BC6" s="62">
        <v>6906.3</v>
      </c>
      <c r="BD6" s="63">
        <v>6906.3</v>
      </c>
      <c r="BE6" s="64">
        <f t="shared" ref="BE6:BE16" si="26">BC6-BD6</f>
        <v>0</v>
      </c>
      <c r="BF6" s="65"/>
      <c r="BG6" s="63"/>
      <c r="BH6" s="64">
        <f t="shared" ref="BH6:BH16" si="27">BF6-BG6</f>
        <v>0</v>
      </c>
      <c r="BI6" s="65"/>
      <c r="BJ6" s="63"/>
      <c r="BK6" s="64">
        <f t="shared" ref="BK6:BK16" si="28">BI6-BJ6</f>
        <v>0</v>
      </c>
      <c r="BL6" s="65">
        <v>100</v>
      </c>
      <c r="BM6" s="63">
        <v>33.090000000000003</v>
      </c>
      <c r="BN6" s="64">
        <f t="shared" ref="BN6:BN16" si="29">BL6-BM6</f>
        <v>66.91</v>
      </c>
      <c r="BO6" s="66">
        <f t="shared" ref="BO6:BO69" si="30">BC6+BF6+BI6+BL6</f>
        <v>7006.3</v>
      </c>
      <c r="BP6" s="67">
        <f t="shared" ref="BP6:BP16" si="31">BD6+BG6+BJ6++BM6</f>
        <v>6939.39</v>
      </c>
      <c r="BQ6" s="64">
        <f t="shared" ref="BQ6:BQ16" si="32">BO6-BP6</f>
        <v>66.909999999999854</v>
      </c>
      <c r="BR6" s="68"/>
      <c r="BS6" s="69"/>
      <c r="BT6" s="70"/>
      <c r="BU6" s="71"/>
      <c r="BV6" s="69"/>
      <c r="BW6" s="70"/>
      <c r="BX6" s="71"/>
      <c r="BY6" s="69"/>
      <c r="BZ6" s="70"/>
      <c r="CA6" s="71"/>
      <c r="CB6" s="69"/>
      <c r="CC6" s="70"/>
      <c r="CD6" s="66">
        <f t="shared" ref="CD6:CD43" si="33">BR6+BU6+BX6+CA6</f>
        <v>0</v>
      </c>
      <c r="CE6" s="67">
        <f t="shared" ref="CE6:CE16" si="34">BS6+BV6+BY6++CB6</f>
        <v>0</v>
      </c>
      <c r="CF6" s="64">
        <f t="shared" ref="CF6:CF16" si="35">CD6-CE6</f>
        <v>0</v>
      </c>
      <c r="CG6" s="62"/>
      <c r="CH6" s="63"/>
      <c r="CI6" s="64">
        <f t="shared" ref="CI6:CI16" si="36">CG6-CH6</f>
        <v>0</v>
      </c>
      <c r="CJ6" s="65"/>
      <c r="CK6" s="63"/>
      <c r="CL6" s="64">
        <f t="shared" ref="CL6:CL16" si="37">CJ6-CK6</f>
        <v>0</v>
      </c>
      <c r="CM6" s="65"/>
      <c r="CN6" s="63"/>
      <c r="CO6" s="64">
        <f t="shared" ref="CO6:CO16" si="38">CM6-CN6</f>
        <v>0</v>
      </c>
      <c r="CP6" s="65"/>
      <c r="CQ6" s="63"/>
      <c r="CR6" s="64">
        <f t="shared" ref="CR6:CR16" si="39">CP6-CQ6</f>
        <v>0</v>
      </c>
      <c r="CS6" s="66">
        <f t="shared" ref="CS6:CS69" si="40">CG6+CJ6+CM6+CP6</f>
        <v>0</v>
      </c>
      <c r="CT6" s="67">
        <f t="shared" ref="CT6:CT16" si="41">CH6+CK6+CN6++CQ6</f>
        <v>0</v>
      </c>
      <c r="CU6" s="64">
        <f t="shared" ref="CU6:CU16" si="42">CS6-CT6</f>
        <v>0</v>
      </c>
      <c r="CV6" s="68"/>
      <c r="CW6" s="69"/>
      <c r="CX6" s="70"/>
      <c r="CY6" s="71"/>
      <c r="CZ6" s="69"/>
      <c r="DA6" s="70"/>
      <c r="DB6" s="71"/>
      <c r="DC6" s="69"/>
      <c r="DD6" s="70"/>
      <c r="DE6" s="71"/>
      <c r="DF6" s="69"/>
      <c r="DG6" s="70"/>
      <c r="DH6" s="66">
        <f t="shared" ref="DH6:DH69" si="43">CV6+CY6+DB6+DE6</f>
        <v>0</v>
      </c>
      <c r="DI6" s="67">
        <f t="shared" ref="DI6:DI16" si="44">CW6+CZ6+DC6++DF6</f>
        <v>0</v>
      </c>
      <c r="DJ6" s="64">
        <f t="shared" ref="DJ6:DJ16" si="45">DH6-DI6</f>
        <v>0</v>
      </c>
      <c r="DK6" s="68"/>
      <c r="DL6" s="69"/>
      <c r="DM6" s="70"/>
      <c r="DN6" s="71"/>
      <c r="DO6" s="69"/>
      <c r="DP6" s="70"/>
      <c r="DQ6" s="71"/>
      <c r="DR6" s="69"/>
      <c r="DS6" s="70"/>
      <c r="DT6" s="71"/>
      <c r="DU6" s="69"/>
      <c r="DV6" s="70"/>
      <c r="DW6" s="66">
        <f t="shared" ref="DW6:DW69" si="46">DK6+DN6+DQ6+DT6</f>
        <v>0</v>
      </c>
      <c r="DX6" s="67">
        <f t="shared" ref="DX6:DX16" si="47">DL6+DO6+DR6++DU6</f>
        <v>0</v>
      </c>
      <c r="DY6" s="64">
        <f t="shared" ref="DY6:DY16" si="48">DW6-DX6</f>
        <v>0</v>
      </c>
      <c r="DZ6" s="62"/>
      <c r="EA6" s="63"/>
      <c r="EB6" s="64">
        <f t="shared" ref="EB6:EB16" si="49">DZ6-EA6</f>
        <v>0</v>
      </c>
      <c r="EC6" s="65"/>
      <c r="ED6" s="63"/>
      <c r="EE6" s="64">
        <f t="shared" ref="EE6:EE16" si="50">EC6-ED6</f>
        <v>0</v>
      </c>
      <c r="EF6" s="65"/>
      <c r="EG6" s="63"/>
      <c r="EH6" s="64">
        <f t="shared" ref="EH6:EH16" si="51">EF6-EG6</f>
        <v>0</v>
      </c>
      <c r="EI6" s="65">
        <v>100</v>
      </c>
      <c r="EJ6" s="63"/>
      <c r="EK6" s="64">
        <f t="shared" ref="EK6:EK16" si="52">EI6-EJ6</f>
        <v>100</v>
      </c>
      <c r="EL6" s="66">
        <f t="shared" ref="EL6:EL69" si="53">DZ6+EC6+EF6+EI6</f>
        <v>100</v>
      </c>
      <c r="EM6" s="67">
        <f t="shared" ref="EM6:EM16" si="54">EA6+ED6+EG6++EJ6</f>
        <v>0</v>
      </c>
      <c r="EN6" s="64">
        <f t="shared" ref="EN6:EN16" si="55">EL6-EM6</f>
        <v>100</v>
      </c>
      <c r="EO6" s="62"/>
      <c r="EP6" s="63"/>
      <c r="EQ6" s="64">
        <f t="shared" ref="EQ6:EQ16" si="56">EO6-EP6</f>
        <v>0</v>
      </c>
      <c r="ER6" s="65"/>
      <c r="ES6" s="63"/>
      <c r="ET6" s="64">
        <f t="shared" ref="ET6:ET16" si="57">ER6-ES6</f>
        <v>0</v>
      </c>
      <c r="EU6" s="65"/>
      <c r="EV6" s="63"/>
      <c r="EW6" s="64">
        <f t="shared" ref="EW6:EW16" si="58">EU6-EV6</f>
        <v>0</v>
      </c>
      <c r="EX6" s="65">
        <v>100</v>
      </c>
      <c r="EY6" s="63">
        <v>226.95</v>
      </c>
      <c r="EZ6" s="64">
        <f t="shared" ref="EZ6:EZ16" si="59">EX6-EY6</f>
        <v>-126.94999999999999</v>
      </c>
      <c r="FA6" s="66">
        <f t="shared" ref="FA6:FA69" si="60">EO6+ER6+EU6+EX6</f>
        <v>100</v>
      </c>
      <c r="FB6" s="67">
        <f t="shared" ref="FB6:FB16" si="61">EP6+ES6+EV6++EY6</f>
        <v>226.95</v>
      </c>
      <c r="FC6" s="64">
        <f t="shared" ref="FC6:FC16" si="62">FA6-FB6</f>
        <v>-126.94999999999999</v>
      </c>
      <c r="FD6" s="62"/>
      <c r="FE6" s="63"/>
      <c r="FF6" s="64">
        <f t="shared" ref="FF6:FF16" si="63">FD6-FE6</f>
        <v>0</v>
      </c>
      <c r="FG6" s="65"/>
      <c r="FH6" s="63"/>
      <c r="FI6" s="64">
        <f t="shared" ref="FI6:FI16" si="64">FG6-FH6</f>
        <v>0</v>
      </c>
      <c r="FJ6" s="65"/>
      <c r="FK6" s="63"/>
      <c r="FL6" s="64">
        <f t="shared" ref="FL6:FL16" si="65">FJ6-FK6</f>
        <v>0</v>
      </c>
      <c r="FM6" s="65">
        <v>100</v>
      </c>
      <c r="FN6" s="63">
        <v>85.47</v>
      </c>
      <c r="FO6" s="64">
        <f t="shared" ref="FO6:FO16" si="66">FM6-FN6</f>
        <v>14.530000000000001</v>
      </c>
      <c r="FP6" s="66">
        <f t="shared" ref="FP6:FP69" si="67">FD6+FG6+FJ6+FM6</f>
        <v>100</v>
      </c>
      <c r="FQ6" s="67">
        <f t="shared" ref="FQ6:FQ16" si="68">FE6+FH6+FK6++FN6</f>
        <v>85.47</v>
      </c>
      <c r="FR6" s="64">
        <f t="shared" ref="FR6:FR16" si="69">FP6-FQ6</f>
        <v>14.530000000000001</v>
      </c>
      <c r="FS6" s="62"/>
      <c r="FT6" s="63"/>
      <c r="FU6" s="64">
        <f t="shared" ref="FU6:FU16" si="70">FS6-FT6</f>
        <v>0</v>
      </c>
      <c r="FV6" s="65"/>
      <c r="FW6" s="63"/>
      <c r="FX6" s="64">
        <f t="shared" ref="FX6:FX16" si="71">FV6-FW6</f>
        <v>0</v>
      </c>
      <c r="FY6" s="65"/>
      <c r="FZ6" s="63"/>
      <c r="GA6" s="64">
        <f t="shared" ref="GA6:GA16" si="72">FY6-FZ6</f>
        <v>0</v>
      </c>
      <c r="GB6" s="65"/>
      <c r="GC6" s="63"/>
      <c r="GD6" s="64">
        <f t="shared" ref="GD6:GD16" si="73">GB6-GC6</f>
        <v>0</v>
      </c>
      <c r="GE6" s="66">
        <f t="shared" ref="GE6:GE69" si="74">FS6+FV6+FY6+GB6</f>
        <v>0</v>
      </c>
      <c r="GF6" s="67">
        <f t="shared" ref="GF6:GF16" si="75">FT6+FW6+FZ6++GC6</f>
        <v>0</v>
      </c>
      <c r="GG6" s="64">
        <f t="shared" ref="GG6:GG16" si="76">GE6-GF6</f>
        <v>0</v>
      </c>
      <c r="GH6" s="62"/>
      <c r="GI6" s="63"/>
      <c r="GJ6" s="64">
        <f t="shared" ref="GJ6:GJ16" si="77">GH6-GI6</f>
        <v>0</v>
      </c>
      <c r="GK6" s="65"/>
      <c r="GL6" s="63"/>
      <c r="GM6" s="64">
        <f t="shared" ref="GM6:GM16" si="78">GK6-GL6</f>
        <v>0</v>
      </c>
      <c r="GN6" s="65"/>
      <c r="GO6" s="63"/>
      <c r="GP6" s="64">
        <f t="shared" ref="GP6:GP16" si="79">GN6-GO6</f>
        <v>0</v>
      </c>
      <c r="GQ6" s="65"/>
      <c r="GR6" s="63"/>
      <c r="GS6" s="64">
        <f t="shared" ref="GS6:GS16" si="80">GQ6-GR6</f>
        <v>0</v>
      </c>
      <c r="GT6" s="66">
        <f t="shared" ref="GT6:GT69" si="81">GH6+GK6+GN6+GQ6</f>
        <v>0</v>
      </c>
      <c r="GU6" s="67">
        <f t="shared" ref="GU6:GU16" si="82">GI6+GL6+GO6++GR6</f>
        <v>0</v>
      </c>
      <c r="GV6" s="64">
        <f t="shared" ref="GV6:GV16" si="83">GT6-GU6</f>
        <v>0</v>
      </c>
      <c r="GW6" s="68"/>
      <c r="GX6" s="69"/>
      <c r="GY6" s="70"/>
      <c r="GZ6" s="71"/>
      <c r="HA6" s="69"/>
      <c r="HB6" s="70"/>
      <c r="HC6" s="71"/>
      <c r="HD6" s="69"/>
      <c r="HE6" s="70"/>
      <c r="HF6" s="71"/>
      <c r="HG6" s="69"/>
      <c r="HH6" s="70"/>
      <c r="HI6" s="66">
        <f t="shared" ref="HI6:HI69" si="84">GW6+GZ6+HC6+HF6</f>
        <v>0</v>
      </c>
      <c r="HJ6" s="67">
        <f t="shared" ref="HJ6:HJ16" si="85">GX6+HA6+HD6++HG6</f>
        <v>0</v>
      </c>
      <c r="HK6" s="64">
        <f t="shared" ref="HK6:HK16" si="86">HI6-HJ6</f>
        <v>0</v>
      </c>
      <c r="HL6" s="62">
        <v>6906.3</v>
      </c>
      <c r="HM6" s="63">
        <v>6906.3</v>
      </c>
      <c r="HN6" s="64">
        <f t="shared" ref="HN6:HN16" si="87">HL6-HM6</f>
        <v>0</v>
      </c>
      <c r="HO6" s="65"/>
      <c r="HP6" s="63"/>
      <c r="HQ6" s="64">
        <f t="shared" ref="HQ6:HQ16" si="88">HO6-HP6</f>
        <v>0</v>
      </c>
      <c r="HR6" s="65"/>
      <c r="HS6" s="63"/>
      <c r="HT6" s="64">
        <f t="shared" ref="HT6:HT16" si="89">HR6-HS6</f>
        <v>0</v>
      </c>
      <c r="HU6" s="65">
        <v>100</v>
      </c>
      <c r="HV6" s="63"/>
      <c r="HW6" s="64">
        <f t="shared" ref="HW6:HW16" si="90">HU6-HV6</f>
        <v>100</v>
      </c>
      <c r="HX6" s="66">
        <f t="shared" ref="HX6:HX69" si="91">HL6+HO6+HR6+HU6</f>
        <v>7006.3</v>
      </c>
      <c r="HY6" s="67">
        <f t="shared" ref="HY6:HY16" si="92">HM6+HP6+HS6++HV6</f>
        <v>6906.3</v>
      </c>
      <c r="HZ6" s="64">
        <f t="shared" ref="HZ6:HZ16" si="93">HX6-HY6</f>
        <v>100</v>
      </c>
      <c r="IA6" s="62">
        <v>21106.560000000001</v>
      </c>
      <c r="IB6" s="63">
        <v>21106.560000000001</v>
      </c>
      <c r="IC6" s="64">
        <f t="shared" ref="IC6:IC16" si="94">IA6-IB6</f>
        <v>0</v>
      </c>
      <c r="ID6" s="65"/>
      <c r="IE6" s="63"/>
      <c r="IF6" s="64">
        <f t="shared" ref="IF6:IF16" si="95">ID6-IE6</f>
        <v>0</v>
      </c>
      <c r="IG6" s="65"/>
      <c r="IH6" s="63"/>
      <c r="II6" s="64">
        <f t="shared" ref="II6:II16" si="96">IG6-IH6</f>
        <v>0</v>
      </c>
      <c r="IJ6" s="65">
        <v>100</v>
      </c>
      <c r="IK6" s="63"/>
      <c r="IL6" s="64">
        <f t="shared" ref="IL6:IL16" si="97">IJ6-IK6</f>
        <v>100</v>
      </c>
      <c r="IM6" s="66">
        <f t="shared" ref="IM6:IM69" si="98">IA6+ID6+IG6+IJ6</f>
        <v>21206.560000000001</v>
      </c>
      <c r="IN6" s="67">
        <f t="shared" ref="IN6:IN16" si="99">IB6+IE6+IH6++IK6</f>
        <v>21106.560000000001</v>
      </c>
      <c r="IO6" s="64">
        <f t="shared" ref="IO6:IO16" si="100">IM6-IN6</f>
        <v>100</v>
      </c>
      <c r="IP6" s="62"/>
      <c r="IQ6" s="63"/>
      <c r="IR6" s="64">
        <f t="shared" ref="IR6:IR16" si="101">IP6-IQ6</f>
        <v>0</v>
      </c>
      <c r="IS6" s="65"/>
      <c r="IT6" s="63"/>
      <c r="IU6" s="64">
        <f t="shared" ref="IU6:IU16" si="102">IS6-IT6</f>
        <v>0</v>
      </c>
      <c r="IV6" s="65"/>
      <c r="IW6" s="63"/>
      <c r="IX6" s="64">
        <f t="shared" ref="IX6:IX16" si="103">IV6-IW6</f>
        <v>0</v>
      </c>
      <c r="IY6" s="65"/>
      <c r="IZ6" s="63"/>
      <c r="JA6" s="64">
        <f t="shared" ref="JA6:JA16" si="104">IY6-IZ6</f>
        <v>0</v>
      </c>
      <c r="JB6" s="66">
        <f t="shared" ref="JB6:JB69" si="105">IP6+IS6+IV6+IY6</f>
        <v>0</v>
      </c>
      <c r="JC6" s="67">
        <f t="shared" ref="JC6:JC16" si="106">IQ6+IT6+IW6++IZ6</f>
        <v>0</v>
      </c>
      <c r="JD6" s="64">
        <f t="shared" ref="JD6:JD16" si="107">JB6-JC6</f>
        <v>0</v>
      </c>
      <c r="JE6" s="62"/>
      <c r="JF6" s="63"/>
      <c r="JG6" s="64">
        <f t="shared" ref="JG6:JG16" si="108">JE6-JF6</f>
        <v>0</v>
      </c>
      <c r="JH6" s="65"/>
      <c r="JI6" s="63"/>
      <c r="JJ6" s="64">
        <f t="shared" ref="JJ6:JJ16" si="109">JH6-JI6</f>
        <v>0</v>
      </c>
      <c r="JK6" s="65">
        <v>301.94</v>
      </c>
      <c r="JL6" s="63">
        <v>301.94</v>
      </c>
      <c r="JM6" s="64">
        <f t="shared" ref="JM6:JM16" si="110">JK6-JL6</f>
        <v>0</v>
      </c>
      <c r="JN6" s="65">
        <v>100</v>
      </c>
      <c r="JO6" s="63">
        <v>64.900000000000006</v>
      </c>
      <c r="JP6" s="64">
        <f t="shared" ref="JP6:JP16" si="111">JN6-JO6</f>
        <v>35.099999999999994</v>
      </c>
      <c r="JQ6" s="66">
        <f t="shared" ref="JQ6:JQ43" si="112">JE6+JH6+JK6+JN6</f>
        <v>401.94</v>
      </c>
      <c r="JR6" s="67">
        <f t="shared" ref="JR6:JR16" si="113">JF6+JI6+JL6++JO6</f>
        <v>366.84000000000003</v>
      </c>
      <c r="JS6" s="64">
        <f t="shared" ref="JS6:JS16" si="114">JQ6-JR6</f>
        <v>35.099999999999966</v>
      </c>
      <c r="JT6" s="62">
        <v>4000</v>
      </c>
      <c r="JU6" s="63">
        <v>4000</v>
      </c>
      <c r="JV6" s="64">
        <f t="shared" ref="JV6:JV16" si="115">JT6-JU6</f>
        <v>0</v>
      </c>
      <c r="JW6" s="65"/>
      <c r="JX6" s="63"/>
      <c r="JY6" s="64">
        <f t="shared" ref="JY6:JY16" si="116">JW6-JX6</f>
        <v>0</v>
      </c>
      <c r="JZ6" s="65"/>
      <c r="KA6" s="63"/>
      <c r="KB6" s="64">
        <f t="shared" ref="KB6:KB16" si="117">JZ6-KA6</f>
        <v>0</v>
      </c>
      <c r="KC6" s="65">
        <v>100</v>
      </c>
      <c r="KD6" s="63"/>
      <c r="KE6" s="64">
        <f t="shared" ref="KE6:KE16" si="118">KC6-KD6</f>
        <v>100</v>
      </c>
      <c r="KF6" s="66">
        <f t="shared" ref="KF6:KF43" si="119">JT6+JW6+JZ6+KC6</f>
        <v>4100</v>
      </c>
      <c r="KG6" s="67">
        <f t="shared" ref="KG6:KG16" si="120">JU6+JX6+KA6++KD6</f>
        <v>4000</v>
      </c>
      <c r="KH6" s="64">
        <f t="shared" ref="KH6:KH16" si="121">KF6-KG6</f>
        <v>100</v>
      </c>
      <c r="KI6" s="68"/>
      <c r="KJ6" s="69"/>
      <c r="KK6" s="70"/>
      <c r="KL6" s="71"/>
      <c r="KM6" s="69"/>
      <c r="KN6" s="70"/>
      <c r="KO6" s="71"/>
      <c r="KP6" s="69"/>
      <c r="KQ6" s="70"/>
      <c r="KR6" s="71"/>
      <c r="KS6" s="69"/>
      <c r="KT6" s="64">
        <f t="shared" si="0"/>
        <v>0</v>
      </c>
      <c r="KU6" s="66">
        <f t="shared" si="1"/>
        <v>0</v>
      </c>
      <c r="KV6" s="67">
        <f t="shared" si="2"/>
        <v>0</v>
      </c>
      <c r="KW6" s="64">
        <f t="shared" ref="KW6:KW16" si="122">KU6-KV6</f>
        <v>0</v>
      </c>
      <c r="KX6" s="72"/>
      <c r="KY6" s="73"/>
      <c r="KZ6" s="74"/>
      <c r="LA6" s="75"/>
      <c r="LB6" s="73"/>
      <c r="LC6" s="74"/>
      <c r="LD6" s="75"/>
      <c r="LE6" s="73"/>
      <c r="LF6" s="74"/>
      <c r="LG6" s="75"/>
      <c r="LH6" s="73"/>
      <c r="LI6" s="74"/>
      <c r="LJ6" s="76"/>
      <c r="LK6" s="77"/>
      <c r="LL6" s="74"/>
      <c r="LM6" s="68"/>
      <c r="LN6" s="69"/>
      <c r="LO6" s="70"/>
      <c r="LP6" s="71"/>
      <c r="LQ6" s="69"/>
      <c r="LR6" s="70"/>
      <c r="LS6" s="71"/>
      <c r="LT6" s="69"/>
      <c r="LU6" s="70"/>
      <c r="LV6" s="71"/>
      <c r="LW6" s="69"/>
      <c r="LX6" s="64">
        <f t="shared" ref="LX6:LX16" si="123">LV6-LW6</f>
        <v>0</v>
      </c>
      <c r="LY6" s="66">
        <f t="shared" ref="LY6:LY69" si="124">LM6+LP6+LS6+LV6</f>
        <v>0</v>
      </c>
      <c r="LZ6" s="67">
        <f t="shared" ref="LZ6:LZ16" si="125">LN6+LQ6+LT6++LW6</f>
        <v>0</v>
      </c>
      <c r="MA6" s="64">
        <f t="shared" ref="MA6:MA16" si="126">LY6-LZ6</f>
        <v>0</v>
      </c>
      <c r="MB6" s="62">
        <v>650</v>
      </c>
      <c r="MC6" s="63">
        <v>650</v>
      </c>
      <c r="MD6" s="64">
        <f t="shared" ref="MD6:MD16" si="127">MB6-MC6</f>
        <v>0</v>
      </c>
      <c r="ME6" s="65">
        <v>727.43</v>
      </c>
      <c r="MF6" s="63">
        <v>622.41</v>
      </c>
      <c r="MG6" s="64">
        <f t="shared" ref="MG6:MG16" si="128">ME6-MF6</f>
        <v>105.01999999999998</v>
      </c>
      <c r="MH6" s="65"/>
      <c r="MI6" s="63"/>
      <c r="MJ6" s="64">
        <f t="shared" ref="MJ6:MJ16" si="129">MH6-MI6</f>
        <v>0</v>
      </c>
      <c r="MK6" s="65">
        <v>100</v>
      </c>
      <c r="ML6" s="63"/>
      <c r="MM6" s="64">
        <f t="shared" ref="MM6:MM16" si="130">MK6-ML6</f>
        <v>100</v>
      </c>
      <c r="MN6" s="66">
        <f t="shared" ref="MN6:MN69" si="131">MB6+ME6+MH6+MK6</f>
        <v>1477.4299999999998</v>
      </c>
      <c r="MO6" s="67">
        <f t="shared" ref="MO6:MO16" si="132">MC6+MF6+MI6++ML6</f>
        <v>1272.4099999999999</v>
      </c>
      <c r="MP6" s="64">
        <f t="shared" ref="MP6:MP16" si="133">MN6-MO6</f>
        <v>205.01999999999998</v>
      </c>
      <c r="MQ6" s="62"/>
      <c r="MR6" s="63"/>
      <c r="MS6" s="64">
        <f t="shared" ref="MS6:MS16" si="134">MQ6-MR6</f>
        <v>0</v>
      </c>
      <c r="MT6" s="65"/>
      <c r="MU6" s="63"/>
      <c r="MV6" s="64">
        <f t="shared" ref="MV6:MV16" si="135">MT6-MU6</f>
        <v>0</v>
      </c>
      <c r="MW6" s="65"/>
      <c r="MX6" s="63"/>
      <c r="MY6" s="64">
        <f t="shared" ref="MY6:MY16" si="136">MW6-MX6</f>
        <v>0</v>
      </c>
      <c r="MZ6" s="65"/>
      <c r="NA6" s="63"/>
      <c r="NB6" s="64">
        <f t="shared" ref="NB6:NB16" si="137">MZ6-NA6</f>
        <v>0</v>
      </c>
      <c r="NC6" s="66">
        <f t="shared" ref="NC6:NC69" si="138">MQ6+MT6+MW6+MZ6</f>
        <v>0</v>
      </c>
      <c r="ND6" s="67">
        <f t="shared" ref="ND6:ND16" si="139">MR6+MU6+MX6++NA6</f>
        <v>0</v>
      </c>
      <c r="NE6" s="64">
        <f t="shared" ref="NE6:NE16" si="140">NC6-ND6</f>
        <v>0</v>
      </c>
      <c r="NF6" s="62"/>
      <c r="NG6" s="63"/>
      <c r="NH6" s="64">
        <f t="shared" ref="NH6:NH16" si="141">NF6-NG6</f>
        <v>0</v>
      </c>
      <c r="NI6" s="65">
        <v>685.09</v>
      </c>
      <c r="NJ6" s="63">
        <v>2022.27</v>
      </c>
      <c r="NK6" s="64">
        <f t="shared" ref="NK6:NK16" si="142">NI6-NJ6</f>
        <v>-1337.1799999999998</v>
      </c>
      <c r="NL6" s="65"/>
      <c r="NM6" s="63"/>
      <c r="NN6" s="64">
        <f t="shared" ref="NN6:NN16" si="143">NL6-NM6</f>
        <v>0</v>
      </c>
      <c r="NO6" s="65">
        <v>100</v>
      </c>
      <c r="NP6" s="63">
        <v>205.27</v>
      </c>
      <c r="NQ6" s="64">
        <f t="shared" ref="NQ6:NQ16" si="144">NO6-NP6</f>
        <v>-105.27000000000001</v>
      </c>
      <c r="NR6" s="66">
        <f t="shared" ref="NR6:NR69" si="145">NF6+NI6+NL6+NO6</f>
        <v>785.09</v>
      </c>
      <c r="NS6" s="67">
        <f t="shared" ref="NS6:NS16" si="146">NG6+NJ6+NM6++NP6</f>
        <v>2227.54</v>
      </c>
      <c r="NT6" s="64">
        <f t="shared" ref="NT6:NT16" si="147">NR6-NS6</f>
        <v>-1442.4499999999998</v>
      </c>
      <c r="NU6" s="62">
        <v>864</v>
      </c>
      <c r="NV6" s="63">
        <v>864</v>
      </c>
      <c r="NW6" s="64">
        <f t="shared" ref="NW6:NW16" si="148">NU6-NV6</f>
        <v>0</v>
      </c>
      <c r="NX6" s="65">
        <v>636.36</v>
      </c>
      <c r="NY6" s="63"/>
      <c r="NZ6" s="64">
        <f t="shared" ref="NZ6:NZ16" si="149">NX6-NY6</f>
        <v>636.36</v>
      </c>
      <c r="OA6" s="65"/>
      <c r="OB6" s="63"/>
      <c r="OC6" s="64">
        <f t="shared" ref="OC6:OC16" si="150">OA6-OB6</f>
        <v>0</v>
      </c>
      <c r="OD6" s="65">
        <v>100</v>
      </c>
      <c r="OE6" s="63"/>
      <c r="OF6" s="64">
        <f t="shared" ref="OF6:OF16" si="151">OD6-OE6</f>
        <v>100</v>
      </c>
      <c r="OG6" s="66">
        <f t="shared" ref="OG6:OG69" si="152">NU6+NX6+OA6+OD6</f>
        <v>1600.3600000000001</v>
      </c>
      <c r="OH6" s="67">
        <f t="shared" ref="OH6:OH16" si="153">NV6+NY6+OB6++OE6</f>
        <v>864</v>
      </c>
      <c r="OI6" s="64">
        <f t="shared" ref="OI6:OI16" si="154">OG6-OH6</f>
        <v>736.36000000000013</v>
      </c>
      <c r="OJ6" s="62"/>
      <c r="OK6" s="63"/>
      <c r="OL6" s="64">
        <f t="shared" ref="OL6:OL16" si="155">OJ6-OK6</f>
        <v>0</v>
      </c>
      <c r="OM6" s="65"/>
      <c r="ON6" s="63"/>
      <c r="OO6" s="64">
        <f t="shared" ref="OO6:OO16" si="156">OM6-ON6</f>
        <v>0</v>
      </c>
      <c r="OP6" s="65"/>
      <c r="OQ6" s="63"/>
      <c r="OR6" s="64">
        <f t="shared" ref="OR6:OR16" si="157">OP6-OQ6</f>
        <v>0</v>
      </c>
      <c r="OS6" s="65">
        <v>100</v>
      </c>
      <c r="OT6" s="63"/>
      <c r="OU6" s="64">
        <f t="shared" ref="OU6:OU16" si="158">OS6-OT6</f>
        <v>100</v>
      </c>
      <c r="OV6" s="66">
        <f t="shared" ref="OV6:OV69" si="159">OJ6+OM6+OP6+OS6</f>
        <v>100</v>
      </c>
      <c r="OW6" s="67">
        <f t="shared" ref="OW6:OW16" si="160">OK6+ON6+OQ6++OT6</f>
        <v>0</v>
      </c>
      <c r="OX6" s="64">
        <f t="shared" ref="OX6:OX16" si="161">OV6-OW6</f>
        <v>100</v>
      </c>
      <c r="OY6" s="62"/>
      <c r="OZ6" s="63"/>
      <c r="PA6" s="64">
        <f t="shared" ref="PA6:PA16" si="162">OY6-OZ6</f>
        <v>0</v>
      </c>
      <c r="PB6" s="65"/>
      <c r="PC6" s="63"/>
      <c r="PD6" s="64">
        <f t="shared" ref="PD6:PD16" si="163">PB6-PC6</f>
        <v>0</v>
      </c>
      <c r="PE6" s="65"/>
      <c r="PF6" s="63"/>
      <c r="PG6" s="64">
        <f t="shared" ref="PG6:PG16" si="164">PE6-PF6</f>
        <v>0</v>
      </c>
      <c r="PH6" s="65">
        <v>100</v>
      </c>
      <c r="PI6" s="63"/>
      <c r="PJ6" s="64">
        <f t="shared" ref="PJ6:PJ16" si="165">PH6-PI6</f>
        <v>100</v>
      </c>
      <c r="PK6" s="66">
        <f t="shared" ref="PK6:PK69" si="166">OY6+PB6+PE6+PH6</f>
        <v>100</v>
      </c>
      <c r="PL6" s="67">
        <f t="shared" ref="PL6:PL16" si="167">OZ6+PC6+PF6++PI6</f>
        <v>0</v>
      </c>
      <c r="PM6" s="64">
        <f t="shared" ref="PM6:PM16" si="168">PK6-PL6</f>
        <v>100</v>
      </c>
      <c r="PN6" s="62">
        <v>1400</v>
      </c>
      <c r="PO6" s="63">
        <v>1400</v>
      </c>
      <c r="PP6" s="64">
        <f t="shared" ref="PP6:PP16" si="169">PN6-PO6</f>
        <v>0</v>
      </c>
      <c r="PQ6" s="65"/>
      <c r="PR6" s="63"/>
      <c r="PS6" s="64">
        <f t="shared" ref="PS6:PS16" si="170">PQ6-PR6</f>
        <v>0</v>
      </c>
      <c r="PT6" s="65"/>
      <c r="PU6" s="63"/>
      <c r="PV6" s="64">
        <f t="shared" ref="PV6:PV16" si="171">PT6-PU6</f>
        <v>0</v>
      </c>
      <c r="PW6" s="65">
        <v>100</v>
      </c>
      <c r="PX6" s="63"/>
      <c r="PY6" s="64">
        <f t="shared" ref="PY6:PY16" si="172">PW6-PX6</f>
        <v>100</v>
      </c>
      <c r="PZ6" s="66">
        <f t="shared" ref="PZ6:PZ69" si="173">PN6+PQ6+PT6+PW6</f>
        <v>1500</v>
      </c>
      <c r="QA6" s="67">
        <f t="shared" ref="QA6:QA16" si="174">PO6+PR6+PU6++PX6</f>
        <v>1400</v>
      </c>
      <c r="QB6" s="64">
        <f t="shared" ref="QB6:QB16" si="175">PZ6-QA6</f>
        <v>100</v>
      </c>
      <c r="QC6" s="62"/>
      <c r="QD6" s="63"/>
      <c r="QE6" s="64">
        <f t="shared" ref="QE6:QE16" si="176">QC6-QD6</f>
        <v>0</v>
      </c>
      <c r="QF6" s="65"/>
      <c r="QG6" s="63"/>
      <c r="QH6" s="64">
        <f t="shared" ref="QH6:QH16" si="177">QF6-QG6</f>
        <v>0</v>
      </c>
      <c r="QI6" s="65"/>
      <c r="QJ6" s="63"/>
      <c r="QK6" s="64">
        <f t="shared" ref="QK6:QK16" si="178">QI6-QJ6</f>
        <v>0</v>
      </c>
      <c r="QL6" s="65">
        <v>100</v>
      </c>
      <c r="QM6" s="63">
        <v>183.93</v>
      </c>
      <c r="QN6" s="64">
        <f t="shared" ref="QN6:QN16" si="179">QL6-QM6</f>
        <v>-83.93</v>
      </c>
      <c r="QO6" s="66">
        <f t="shared" ref="QO6:QO69" si="180">QC6+QF6+QI6+QL6</f>
        <v>100</v>
      </c>
      <c r="QP6" s="67">
        <f t="shared" ref="QP6:QP16" si="181">QD6+QG6+QJ6++QM6</f>
        <v>183.93</v>
      </c>
      <c r="QQ6" s="64">
        <f t="shared" ref="QQ6:QQ16" si="182">QO6-QP6</f>
        <v>-83.93</v>
      </c>
      <c r="QR6" s="62"/>
      <c r="QS6" s="63"/>
      <c r="QT6" s="64">
        <f t="shared" ref="QT6:QT16" si="183">QR6-QS6</f>
        <v>0</v>
      </c>
      <c r="QU6" s="65"/>
      <c r="QV6" s="63"/>
      <c r="QW6" s="64">
        <f t="shared" ref="QW6:QW16" si="184">QU6-QV6</f>
        <v>0</v>
      </c>
      <c r="QX6" s="65"/>
      <c r="QY6" s="63"/>
      <c r="QZ6" s="64">
        <f t="shared" ref="QZ6:QZ16" si="185">QX6-QY6</f>
        <v>0</v>
      </c>
      <c r="RA6" s="65"/>
      <c r="RB6" s="63"/>
      <c r="RC6" s="64">
        <f t="shared" ref="RC6:RC16" si="186">RA6-RB6</f>
        <v>0</v>
      </c>
      <c r="RD6" s="66">
        <f t="shared" ref="RD6:RD52" si="187">QR6+QU6+QX6+RA6</f>
        <v>0</v>
      </c>
      <c r="RE6" s="67">
        <f t="shared" ref="RE6:RE16" si="188">QS6+QV6+QY6++RB6</f>
        <v>0</v>
      </c>
      <c r="RF6" s="64">
        <f t="shared" ref="RF6:RF16" si="189">RD6-RE6</f>
        <v>0</v>
      </c>
      <c r="RG6" s="62"/>
      <c r="RH6" s="63"/>
      <c r="RI6" s="64">
        <f t="shared" ref="RI6:RI16" si="190">RG6-RH6</f>
        <v>0</v>
      </c>
      <c r="RJ6" s="65"/>
      <c r="RK6" s="63"/>
      <c r="RL6" s="64">
        <f t="shared" ref="RL6:RL16" si="191">RJ6-RK6</f>
        <v>0</v>
      </c>
      <c r="RM6" s="65"/>
      <c r="RN6" s="63"/>
      <c r="RO6" s="64">
        <f t="shared" ref="RO6:RO16" si="192">RM6-RN6</f>
        <v>0</v>
      </c>
      <c r="RP6" s="65"/>
      <c r="RQ6" s="63"/>
      <c r="RR6" s="64">
        <f t="shared" ref="RR6:RR16" si="193">RP6-RQ6</f>
        <v>0</v>
      </c>
      <c r="RS6" s="66">
        <f t="shared" ref="RS6:RS43" si="194">RG6+RJ6+RM6+RP6</f>
        <v>0</v>
      </c>
      <c r="RT6" s="67">
        <f t="shared" ref="RT6:RT16" si="195">RH6+RK6+RN6++RQ6</f>
        <v>0</v>
      </c>
      <c r="RU6" s="64">
        <f t="shared" ref="RU6:RU16" si="196">RS6-RT6</f>
        <v>0</v>
      </c>
      <c r="RV6" s="62"/>
      <c r="RW6" s="63"/>
      <c r="RX6" s="64">
        <f t="shared" ref="RX6:RX16" si="197">RV6-RW6</f>
        <v>0</v>
      </c>
      <c r="RY6" s="65"/>
      <c r="RZ6" s="63"/>
      <c r="SA6" s="64">
        <f t="shared" ref="SA6:SA16" si="198">RY6-RZ6</f>
        <v>0</v>
      </c>
      <c r="SB6" s="65"/>
      <c r="SC6" s="63"/>
      <c r="SD6" s="64">
        <f t="shared" ref="SD6:SD16" si="199">SB6-SC6</f>
        <v>0</v>
      </c>
      <c r="SE6" s="65">
        <v>100</v>
      </c>
      <c r="SF6" s="63"/>
      <c r="SG6" s="64">
        <f t="shared" ref="SG6:SG16" si="200">SE6-SF6</f>
        <v>100</v>
      </c>
      <c r="SH6" s="66">
        <f t="shared" ref="SH6:SH52" si="201">RV6+RY6+SB6+SE6</f>
        <v>100</v>
      </c>
      <c r="SI6" s="67">
        <f t="shared" ref="SI6:SI16" si="202">RW6+RZ6+SC6++SF6</f>
        <v>0</v>
      </c>
      <c r="SJ6" s="64">
        <f t="shared" ref="SJ6:SJ16" si="203">SH6-SI6</f>
        <v>100</v>
      </c>
      <c r="SK6" s="62"/>
      <c r="SL6" s="63"/>
      <c r="SM6" s="64">
        <f t="shared" ref="SM6:SM16" si="204">SK6-SL6</f>
        <v>0</v>
      </c>
      <c r="SN6" s="65"/>
      <c r="SO6" s="63"/>
      <c r="SP6" s="64">
        <f t="shared" ref="SP6:SP16" si="205">SN6-SO6</f>
        <v>0</v>
      </c>
      <c r="SQ6" s="65"/>
      <c r="SR6" s="63"/>
      <c r="SS6" s="64">
        <f t="shared" ref="SS6:SS16" si="206">SQ6-SR6</f>
        <v>0</v>
      </c>
      <c r="ST6" s="65">
        <v>100</v>
      </c>
      <c r="SU6" s="63"/>
      <c r="SV6" s="64">
        <f t="shared" ref="SV6:SV16" si="207">ST6-SU6</f>
        <v>100</v>
      </c>
      <c r="SW6" s="66">
        <f t="shared" ref="SW6:SW69" si="208">SK6+SN6+SQ6+ST6</f>
        <v>100</v>
      </c>
      <c r="SX6" s="67">
        <f t="shared" ref="SX6:SX16" si="209">SL6+SO6+SR6++SU6</f>
        <v>0</v>
      </c>
      <c r="SY6" s="64">
        <f t="shared" ref="SY6:SY16" si="210">SW6-SX6</f>
        <v>100</v>
      </c>
      <c r="SZ6" s="62">
        <v>1257.1199999999999</v>
      </c>
      <c r="TA6" s="63">
        <v>1257.1199999999999</v>
      </c>
      <c r="TB6" s="64">
        <f t="shared" ref="TB6:TB16" si="211">SZ6-TA6</f>
        <v>0</v>
      </c>
      <c r="TC6" s="65"/>
      <c r="TD6" s="63"/>
      <c r="TE6" s="64">
        <f t="shared" ref="TE6:TE16" si="212">TC6-TD6</f>
        <v>0</v>
      </c>
      <c r="TF6" s="65"/>
      <c r="TG6" s="63"/>
      <c r="TH6" s="64">
        <f t="shared" ref="TH6:TH16" si="213">TF6-TG6</f>
        <v>0</v>
      </c>
      <c r="TI6" s="65">
        <v>100</v>
      </c>
      <c r="TJ6" s="63"/>
      <c r="TK6" s="64">
        <f t="shared" ref="TK6:TK16" si="214">TI6-TJ6</f>
        <v>100</v>
      </c>
      <c r="TL6" s="66">
        <f t="shared" ref="TL6:TL69" si="215">SZ6+TC6+TF6+TI6</f>
        <v>1357.12</v>
      </c>
      <c r="TM6" s="67">
        <f t="shared" ref="TM6:TM16" si="216">TA6+TD6+TG6++TJ6</f>
        <v>1257.1199999999999</v>
      </c>
      <c r="TN6" s="64">
        <f t="shared" ref="TN6:TN16" si="217">TL6-TM6</f>
        <v>100</v>
      </c>
      <c r="TO6" s="62"/>
      <c r="TP6" s="63"/>
      <c r="TQ6" s="64">
        <f t="shared" ref="TQ6:TQ16" si="218">TO6-TP6</f>
        <v>0</v>
      </c>
      <c r="TR6" s="65"/>
      <c r="TS6" s="63"/>
      <c r="TT6" s="64">
        <f t="shared" ref="TT6:TT16" si="219">TR6-TS6</f>
        <v>0</v>
      </c>
      <c r="TU6" s="65"/>
      <c r="TV6" s="63"/>
      <c r="TW6" s="64">
        <f t="shared" ref="TW6:TW16" si="220">TU6-TV6</f>
        <v>0</v>
      </c>
      <c r="TX6" s="65">
        <v>100</v>
      </c>
      <c r="TY6" s="63"/>
      <c r="TZ6" s="64">
        <f t="shared" ref="TZ6:TZ16" si="221">TX6-TY6</f>
        <v>100</v>
      </c>
      <c r="UA6" s="66">
        <f t="shared" ref="UA6:UA69" si="222">TO6+TR6+TU6+TX6</f>
        <v>100</v>
      </c>
      <c r="UB6" s="67">
        <f t="shared" ref="UB6:UB16" si="223">TP6+TS6+TV6++TY6</f>
        <v>0</v>
      </c>
      <c r="UC6" s="64">
        <f t="shared" ref="UC6:UC16" si="224">UA6-UB6</f>
        <v>100</v>
      </c>
      <c r="UD6" s="68"/>
      <c r="UE6" s="69"/>
      <c r="UF6" s="70"/>
      <c r="UG6" s="71"/>
      <c r="UH6" s="69"/>
      <c r="UI6" s="70"/>
      <c r="UJ6" s="71"/>
      <c r="UK6" s="69"/>
      <c r="UL6" s="70"/>
      <c r="UM6" s="71"/>
      <c r="UN6" s="69"/>
      <c r="UO6" s="64">
        <f t="shared" ref="UO6:UO16" si="225">UM6-UN6</f>
        <v>0</v>
      </c>
      <c r="UP6" s="66">
        <f t="shared" ref="UP6:UP69" si="226">UD6+UG6+UJ6+UM6</f>
        <v>0</v>
      </c>
      <c r="UQ6" s="67">
        <f t="shared" ref="UQ6:UQ16" si="227">UE6+UH6+UK6++UN6</f>
        <v>0</v>
      </c>
      <c r="UR6" s="64">
        <f t="shared" ref="UR6:UR16" si="228">UP6-UQ6</f>
        <v>0</v>
      </c>
      <c r="US6" s="62"/>
      <c r="UT6" s="63"/>
      <c r="UU6" s="64">
        <f t="shared" ref="UU6:UU16" si="229">US6-UT6</f>
        <v>0</v>
      </c>
      <c r="UV6" s="65"/>
      <c r="UW6" s="63"/>
      <c r="UX6" s="64">
        <f t="shared" ref="UX6:UX16" si="230">UV6-UW6</f>
        <v>0</v>
      </c>
      <c r="UY6" s="65"/>
      <c r="UZ6" s="63"/>
      <c r="VA6" s="64">
        <f t="shared" ref="VA6:VA16" si="231">UY6-UZ6</f>
        <v>0</v>
      </c>
      <c r="VB6" s="65">
        <v>100</v>
      </c>
      <c r="VC6" s="63"/>
      <c r="VD6" s="64">
        <f t="shared" ref="VD6:VD16" si="232">VB6-VC6</f>
        <v>100</v>
      </c>
      <c r="VE6" s="66">
        <f t="shared" ref="VE6:VE43" si="233">US6+UV6+UY6+VB6</f>
        <v>100</v>
      </c>
      <c r="VF6" s="67">
        <f t="shared" ref="VF6:VF16" si="234">UT6+UW6+UZ6++VC6</f>
        <v>0</v>
      </c>
      <c r="VG6" s="64">
        <f t="shared" ref="VG6:VG16" si="235">VE6-VF6</f>
        <v>100</v>
      </c>
      <c r="VH6" s="62"/>
      <c r="VI6" s="63"/>
      <c r="VJ6" s="64">
        <f t="shared" ref="VJ6:VJ16" si="236">VH6-VI6</f>
        <v>0</v>
      </c>
      <c r="VK6" s="65"/>
      <c r="VL6" s="63"/>
      <c r="VM6" s="64">
        <f t="shared" ref="VM6:VM16" si="237">VK6-VL6</f>
        <v>0</v>
      </c>
      <c r="VN6" s="65"/>
      <c r="VO6" s="63"/>
      <c r="VP6" s="64">
        <f t="shared" ref="VP6:VP16" si="238">VN6-VO6</f>
        <v>0</v>
      </c>
      <c r="VQ6" s="65">
        <v>100</v>
      </c>
      <c r="VR6" s="63">
        <v>70.62</v>
      </c>
      <c r="VS6" s="64">
        <f t="shared" ref="VS6:VS16" si="239">VQ6-VR6</f>
        <v>29.379999999999995</v>
      </c>
      <c r="VT6" s="66">
        <f t="shared" ref="VT6:VT69" si="240">VH6+VK6+VN6+VQ6</f>
        <v>100</v>
      </c>
      <c r="VU6" s="67">
        <f t="shared" ref="VU6:VU16" si="241">VI6+VL6+VO6++VR6</f>
        <v>70.62</v>
      </c>
      <c r="VV6" s="64">
        <f t="shared" ref="VV6:VV16" si="242">VT6-VU6</f>
        <v>29.379999999999995</v>
      </c>
      <c r="VW6" s="62">
        <v>1303</v>
      </c>
      <c r="VX6" s="63">
        <v>1303</v>
      </c>
      <c r="VY6" s="64">
        <f t="shared" ref="VY6:VY16" si="243">VW6-VX6</f>
        <v>0</v>
      </c>
      <c r="VZ6" s="65"/>
      <c r="WA6" s="63"/>
      <c r="WB6" s="64">
        <f t="shared" ref="WB6:WB16" si="244">VZ6-WA6</f>
        <v>0</v>
      </c>
      <c r="WC6" s="65"/>
      <c r="WD6" s="63"/>
      <c r="WE6" s="64">
        <f t="shared" ref="WE6:WE16" si="245">WC6-WD6</f>
        <v>0</v>
      </c>
      <c r="WF6" s="65"/>
      <c r="WG6" s="63"/>
      <c r="WH6" s="64">
        <f t="shared" ref="WH6:WH16" si="246">WF6-WG6</f>
        <v>0</v>
      </c>
      <c r="WI6" s="66">
        <f t="shared" ref="WI6:WI30" si="247">VW6+VZ6+WC6+WF6</f>
        <v>1303</v>
      </c>
      <c r="WJ6" s="67">
        <f t="shared" ref="WJ6:WJ16" si="248">VX6+WA6+WD6++WG6</f>
        <v>1303</v>
      </c>
      <c r="WK6" s="64">
        <f t="shared" ref="WK6:WK16" si="249">WI6-WJ6</f>
        <v>0</v>
      </c>
      <c r="WL6" s="62">
        <v>1276.01</v>
      </c>
      <c r="WM6" s="63">
        <v>1276.01</v>
      </c>
      <c r="WN6" s="64">
        <f t="shared" ref="WN6:WN16" si="250">WL6-WM6</f>
        <v>0</v>
      </c>
      <c r="WO6" s="65"/>
      <c r="WP6" s="63"/>
      <c r="WQ6" s="64">
        <f t="shared" ref="WQ6:WQ16" si="251">WO6-WP6</f>
        <v>0</v>
      </c>
      <c r="WR6" s="65"/>
      <c r="WS6" s="63"/>
      <c r="WT6" s="64">
        <f t="shared" ref="WT6:WT16" si="252">WR6-WS6</f>
        <v>0</v>
      </c>
      <c r="WU6" s="65">
        <v>100</v>
      </c>
      <c r="WV6" s="63">
        <v>67.52</v>
      </c>
      <c r="WW6" s="64">
        <f t="shared" ref="WW6:WW16" si="253">WU6-WV6</f>
        <v>32.480000000000004</v>
      </c>
      <c r="WX6" s="66">
        <f t="shared" ref="WX6:WX56" si="254">WL6+WO6+WR6+WU6</f>
        <v>1376.01</v>
      </c>
      <c r="WY6" s="67">
        <f t="shared" ref="WY6:WY16" si="255">WM6+WP6+WS6++WV6</f>
        <v>1343.53</v>
      </c>
      <c r="WZ6" s="64">
        <f t="shared" ref="WZ6:WZ16" si="256">WX6-WY6</f>
        <v>32.480000000000018</v>
      </c>
      <c r="XA6" s="62"/>
      <c r="XB6" s="63"/>
      <c r="XC6" s="64">
        <f t="shared" ref="XC6:XC16" si="257">XA6-XB6</f>
        <v>0</v>
      </c>
      <c r="XD6" s="65"/>
      <c r="XE6" s="63"/>
      <c r="XF6" s="64">
        <f t="shared" ref="XF6:XF16" si="258">XD6-XE6</f>
        <v>0</v>
      </c>
      <c r="XG6" s="65"/>
      <c r="XH6" s="63"/>
      <c r="XI6" s="64">
        <f t="shared" ref="XI6:XI16" si="259">XG6-XH6</f>
        <v>0</v>
      </c>
      <c r="XJ6" s="65">
        <v>100</v>
      </c>
      <c r="XK6" s="63"/>
      <c r="XL6" s="64">
        <f t="shared" ref="XL6:XL16" si="260">XJ6-XK6</f>
        <v>100</v>
      </c>
      <c r="XM6" s="66">
        <f t="shared" ref="XM6:XM56" si="261">XA6+XD6+XG6+XJ6</f>
        <v>100</v>
      </c>
      <c r="XN6" s="67">
        <f t="shared" ref="XN6:XN16" si="262">XB6+XE6+XH6++XK6</f>
        <v>0</v>
      </c>
      <c r="XO6" s="64">
        <f t="shared" ref="XO6:XO16" si="263">XM6-XN6</f>
        <v>100</v>
      </c>
      <c r="XP6" s="62">
        <v>917</v>
      </c>
      <c r="XQ6" s="63">
        <v>917</v>
      </c>
      <c r="XR6" s="64">
        <f t="shared" ref="XR6:XR16" si="264">XP6-XQ6</f>
        <v>0</v>
      </c>
      <c r="XS6" s="65">
        <v>462.1</v>
      </c>
      <c r="XT6" s="63">
        <v>462.1</v>
      </c>
      <c r="XU6" s="64">
        <f t="shared" ref="XU6:XU16" si="265">XS6-XT6</f>
        <v>0</v>
      </c>
      <c r="XV6" s="65"/>
      <c r="XW6" s="63"/>
      <c r="XX6" s="64">
        <f t="shared" ref="XX6:XX16" si="266">XV6-XW6</f>
        <v>0</v>
      </c>
      <c r="XY6" s="65">
        <v>100</v>
      </c>
      <c r="XZ6" s="63"/>
      <c r="YA6" s="64">
        <f t="shared" ref="YA6:YA16" si="267">XY6-XZ6</f>
        <v>100</v>
      </c>
      <c r="YB6" s="66">
        <f t="shared" ref="YB6:YB69" si="268">XP6+XS6+XV6+XY6</f>
        <v>1479.1</v>
      </c>
      <c r="YC6" s="67">
        <f t="shared" ref="YC6:YC16" si="269">XQ6+XT6+XW6++XZ6</f>
        <v>1379.1</v>
      </c>
      <c r="YD6" s="64">
        <f t="shared" ref="YD6:YD16" si="270">YB6-YC6</f>
        <v>100</v>
      </c>
      <c r="YE6" s="62">
        <v>890</v>
      </c>
      <c r="YF6" s="63">
        <v>890</v>
      </c>
      <c r="YG6" s="64">
        <f t="shared" ref="YG6:YG16" si="271">YE6-YF6</f>
        <v>0</v>
      </c>
      <c r="YH6" s="65">
        <v>466.5</v>
      </c>
      <c r="YI6" s="63">
        <v>466.5</v>
      </c>
      <c r="YJ6" s="64">
        <f t="shared" ref="YJ6:YJ16" si="272">YH6-YI6</f>
        <v>0</v>
      </c>
      <c r="YK6" s="65"/>
      <c r="YL6" s="63"/>
      <c r="YM6" s="64">
        <f t="shared" ref="YM6:YM16" si="273">YK6-YL6</f>
        <v>0</v>
      </c>
      <c r="YN6" s="65">
        <v>100</v>
      </c>
      <c r="YO6" s="63"/>
      <c r="YP6" s="64">
        <f t="shared" ref="YP6:YP16" si="274">YN6-YO6</f>
        <v>100</v>
      </c>
      <c r="YQ6" s="66">
        <f t="shared" ref="YQ6:YQ69" si="275">YE6+YH6+YK6+YN6</f>
        <v>1456.5</v>
      </c>
      <c r="YR6" s="67">
        <f t="shared" ref="YR6:YR16" si="276">YF6+YI6+YL6++YO6</f>
        <v>1356.5</v>
      </c>
      <c r="YS6" s="64">
        <f t="shared" ref="YS6:YS16" si="277">YQ6-YR6</f>
        <v>100</v>
      </c>
      <c r="YT6" s="62">
        <v>932</v>
      </c>
      <c r="YU6" s="63">
        <v>932</v>
      </c>
      <c r="YV6" s="64">
        <f t="shared" ref="YV6:YV16" si="278">YT6-YU6</f>
        <v>0</v>
      </c>
      <c r="YW6" s="65">
        <v>448.46</v>
      </c>
      <c r="YX6" s="63">
        <v>448.46</v>
      </c>
      <c r="YY6" s="64">
        <f t="shared" ref="YY6:YY16" si="279">YW6-YX6</f>
        <v>0</v>
      </c>
      <c r="YZ6" s="65"/>
      <c r="ZA6" s="63"/>
      <c r="ZB6" s="64">
        <f t="shared" ref="ZB6:ZB16" si="280">YZ6-ZA6</f>
        <v>0</v>
      </c>
      <c r="ZC6" s="65">
        <v>100</v>
      </c>
      <c r="ZD6" s="63"/>
      <c r="ZE6" s="64">
        <f t="shared" ref="ZE6:ZE16" si="281">ZC6-ZD6</f>
        <v>100</v>
      </c>
      <c r="ZF6" s="66">
        <f t="shared" ref="ZF6:ZF69" si="282">YT6+YW6+YZ6+ZC6</f>
        <v>1480.46</v>
      </c>
      <c r="ZG6" s="67">
        <f t="shared" ref="ZG6:ZG16" si="283">YU6+YX6+ZA6++ZD6</f>
        <v>1380.46</v>
      </c>
      <c r="ZH6" s="64">
        <f t="shared" ref="ZH6:ZH16" si="284">ZF6-ZG6</f>
        <v>100</v>
      </c>
      <c r="ZI6" s="62">
        <v>1250</v>
      </c>
      <c r="ZJ6" s="63">
        <v>1250</v>
      </c>
      <c r="ZK6" s="64">
        <f t="shared" ref="ZK6:ZK16" si="285">ZI6-ZJ6</f>
        <v>0</v>
      </c>
      <c r="ZL6" s="65"/>
      <c r="ZM6" s="63"/>
      <c r="ZN6" s="64">
        <f t="shared" ref="ZN6:ZN16" si="286">ZL6-ZM6</f>
        <v>0</v>
      </c>
      <c r="ZO6" s="65"/>
      <c r="ZP6" s="63"/>
      <c r="ZQ6" s="64">
        <f t="shared" ref="ZQ6:ZQ16" si="287">ZO6-ZP6</f>
        <v>0</v>
      </c>
      <c r="ZR6" s="65">
        <v>100</v>
      </c>
      <c r="ZS6" s="63">
        <v>439.9</v>
      </c>
      <c r="ZT6" s="64">
        <f t="shared" ref="ZT6:ZT16" si="288">ZR6-ZS6</f>
        <v>-339.9</v>
      </c>
      <c r="ZU6" s="66">
        <f t="shared" ref="ZU6:ZU43" si="289">ZI6+ZL6+ZO6+ZR6</f>
        <v>1350</v>
      </c>
      <c r="ZV6" s="67">
        <f t="shared" ref="ZV6:ZV16" si="290">ZJ6+ZM6+ZP6++ZS6</f>
        <v>1689.9</v>
      </c>
      <c r="ZW6" s="64">
        <f t="shared" ref="ZW6:ZW16" si="291">ZU6-ZV6</f>
        <v>-339.90000000000009</v>
      </c>
      <c r="ZX6" s="62">
        <v>24.71</v>
      </c>
      <c r="ZY6" s="63">
        <v>24.71</v>
      </c>
      <c r="ZZ6" s="64">
        <f t="shared" ref="ZZ6:ZZ16" si="292">ZX6-ZY6</f>
        <v>0</v>
      </c>
      <c r="AAA6" s="66">
        <f t="shared" ref="AAA6:AAB69" si="293">ZX6</f>
        <v>24.71</v>
      </c>
      <c r="AAB6" s="67">
        <f t="shared" si="293"/>
        <v>24.71</v>
      </c>
      <c r="AAC6" s="64">
        <f t="shared" ref="AAC6:AAC16" si="294">AAA6-AAB6</f>
        <v>0</v>
      </c>
      <c r="AAD6" s="85">
        <f t="shared" ref="AAD6:AAE69" si="295">ZU6+ZF6+YQ6+YB6+XM6+WX6+VT6+VE6+UP6+UA6+TL6+SW6+SH6+RS6+RD6+QO6+PZ6+PK6+OV6+OG6+NR6+NC6+MN6+LY6+KU6+KF6+JQ6+JB6+IM6+HX6+HI6+GT6+GE6+FP6+FA6+EL6+DW6+DH6+CS6+CD6+BO6+AZ6+AK6+V6+LJ6</f>
        <v>85983.170000000013</v>
      </c>
      <c r="AAE6" s="86">
        <f t="shared" si="295"/>
        <v>84391.11</v>
      </c>
      <c r="AAF6" s="87">
        <f t="shared" si="3"/>
        <v>0.98148405089042412</v>
      </c>
      <c r="AAG6" s="88">
        <f t="shared" si="4"/>
        <v>-1592.0600000000122</v>
      </c>
      <c r="AAH6" s="58"/>
      <c r="AAI6" s="59"/>
      <c r="AAJ6" s="59"/>
      <c r="AAK6" s="82"/>
    </row>
    <row r="7" spans="1:714" s="83" customFormat="1" ht="20" customHeight="1" x14ac:dyDescent="0.2">
      <c r="A7" s="57" t="s">
        <v>142</v>
      </c>
      <c r="B7" s="89">
        <f>AAH7</f>
        <v>1212833.3199999998</v>
      </c>
      <c r="C7" s="90"/>
      <c r="D7" s="90"/>
      <c r="E7" s="60"/>
      <c r="F7" s="61">
        <v>44621</v>
      </c>
      <c r="G7" s="62">
        <v>29428</v>
      </c>
      <c r="H7" s="63">
        <v>29428</v>
      </c>
      <c r="I7" s="64">
        <f t="shared" si="5"/>
        <v>0</v>
      </c>
      <c r="J7" s="65">
        <v>18000</v>
      </c>
      <c r="K7" s="63">
        <v>18540.439999999999</v>
      </c>
      <c r="L7" s="64">
        <f t="shared" si="6"/>
        <v>-540.43999999999869</v>
      </c>
      <c r="M7" s="65">
        <v>1000</v>
      </c>
      <c r="N7" s="63">
        <v>0</v>
      </c>
      <c r="O7" s="64">
        <f t="shared" si="7"/>
        <v>1000</v>
      </c>
      <c r="P7" s="65">
        <v>500</v>
      </c>
      <c r="Q7" s="63">
        <v>367.41</v>
      </c>
      <c r="R7" s="64">
        <f t="shared" si="8"/>
        <v>132.58999999999997</v>
      </c>
      <c r="S7" s="65">
        <v>600</v>
      </c>
      <c r="T7" s="63">
        <v>629.34</v>
      </c>
      <c r="U7" s="64">
        <f t="shared" si="9"/>
        <v>-29.340000000000032</v>
      </c>
      <c r="V7" s="66">
        <f t="shared" si="10"/>
        <v>49528</v>
      </c>
      <c r="W7" s="67">
        <f t="shared" si="10"/>
        <v>48965.19</v>
      </c>
      <c r="X7" s="64">
        <f t="shared" si="11"/>
        <v>562.80999999999767</v>
      </c>
      <c r="Y7" s="62">
        <v>1100</v>
      </c>
      <c r="Z7" s="63">
        <v>1100</v>
      </c>
      <c r="AA7" s="64">
        <f t="shared" si="12"/>
        <v>0</v>
      </c>
      <c r="AB7" s="65"/>
      <c r="AC7" s="63"/>
      <c r="AD7" s="64">
        <f t="shared" si="13"/>
        <v>0</v>
      </c>
      <c r="AE7" s="65"/>
      <c r="AF7" s="63"/>
      <c r="AG7" s="64">
        <f t="shared" si="14"/>
        <v>0</v>
      </c>
      <c r="AH7" s="65"/>
      <c r="AI7" s="63"/>
      <c r="AJ7" s="64">
        <f t="shared" si="15"/>
        <v>0</v>
      </c>
      <c r="AK7" s="66">
        <f t="shared" si="16"/>
        <v>1100</v>
      </c>
      <c r="AL7" s="67">
        <f t="shared" si="17"/>
        <v>1100</v>
      </c>
      <c r="AM7" s="64">
        <f t="shared" si="18"/>
        <v>0</v>
      </c>
      <c r="AN7" s="62"/>
      <c r="AO7" s="63"/>
      <c r="AP7" s="64">
        <f t="shared" si="19"/>
        <v>0</v>
      </c>
      <c r="AQ7" s="65"/>
      <c r="AR7" s="63"/>
      <c r="AS7" s="64">
        <f t="shared" si="20"/>
        <v>0</v>
      </c>
      <c r="AT7" s="65"/>
      <c r="AU7" s="63"/>
      <c r="AV7" s="64">
        <f t="shared" si="21"/>
        <v>0</v>
      </c>
      <c r="AW7" s="65"/>
      <c r="AX7" s="63"/>
      <c r="AY7" s="64">
        <f t="shared" si="22"/>
        <v>0</v>
      </c>
      <c r="AZ7" s="66">
        <f t="shared" si="23"/>
        <v>0</v>
      </c>
      <c r="BA7" s="67">
        <f t="shared" si="24"/>
        <v>0</v>
      </c>
      <c r="BB7" s="64">
        <f t="shared" si="25"/>
        <v>0</v>
      </c>
      <c r="BC7" s="62"/>
      <c r="BD7" s="63"/>
      <c r="BE7" s="64">
        <f t="shared" si="26"/>
        <v>0</v>
      </c>
      <c r="BF7" s="65"/>
      <c r="BG7" s="63"/>
      <c r="BH7" s="64">
        <f t="shared" si="27"/>
        <v>0</v>
      </c>
      <c r="BI7" s="65"/>
      <c r="BJ7" s="63"/>
      <c r="BK7" s="64">
        <f t="shared" si="28"/>
        <v>0</v>
      </c>
      <c r="BL7" s="65">
        <v>100</v>
      </c>
      <c r="BM7" s="63"/>
      <c r="BN7" s="64">
        <f t="shared" si="29"/>
        <v>100</v>
      </c>
      <c r="BO7" s="66">
        <f t="shared" si="30"/>
        <v>100</v>
      </c>
      <c r="BP7" s="67">
        <f t="shared" si="31"/>
        <v>0</v>
      </c>
      <c r="BQ7" s="64">
        <f t="shared" si="32"/>
        <v>100</v>
      </c>
      <c r="BR7" s="68"/>
      <c r="BS7" s="69"/>
      <c r="BT7" s="70"/>
      <c r="BU7" s="71"/>
      <c r="BV7" s="69"/>
      <c r="BW7" s="70"/>
      <c r="BX7" s="71"/>
      <c r="BY7" s="69"/>
      <c r="BZ7" s="70"/>
      <c r="CA7" s="71"/>
      <c r="CB7" s="69"/>
      <c r="CC7" s="70"/>
      <c r="CD7" s="66">
        <f t="shared" si="33"/>
        <v>0</v>
      </c>
      <c r="CE7" s="67">
        <f t="shared" si="34"/>
        <v>0</v>
      </c>
      <c r="CF7" s="64">
        <f t="shared" si="35"/>
        <v>0</v>
      </c>
      <c r="CG7" s="62"/>
      <c r="CH7" s="63"/>
      <c r="CI7" s="64">
        <f t="shared" si="36"/>
        <v>0</v>
      </c>
      <c r="CJ7" s="65"/>
      <c r="CK7" s="63"/>
      <c r="CL7" s="64">
        <f t="shared" si="37"/>
        <v>0</v>
      </c>
      <c r="CM7" s="65"/>
      <c r="CN7" s="63"/>
      <c r="CO7" s="64">
        <f t="shared" si="38"/>
        <v>0</v>
      </c>
      <c r="CP7" s="65"/>
      <c r="CQ7" s="63"/>
      <c r="CR7" s="64">
        <f t="shared" si="39"/>
        <v>0</v>
      </c>
      <c r="CS7" s="66">
        <f t="shared" si="40"/>
        <v>0</v>
      </c>
      <c r="CT7" s="67">
        <f t="shared" si="41"/>
        <v>0</v>
      </c>
      <c r="CU7" s="64">
        <f t="shared" si="42"/>
        <v>0</v>
      </c>
      <c r="CV7" s="68"/>
      <c r="CW7" s="69"/>
      <c r="CX7" s="70"/>
      <c r="CY7" s="71"/>
      <c r="CZ7" s="69"/>
      <c r="DA7" s="70"/>
      <c r="DB7" s="71"/>
      <c r="DC7" s="69"/>
      <c r="DD7" s="70"/>
      <c r="DE7" s="71"/>
      <c r="DF7" s="69"/>
      <c r="DG7" s="70"/>
      <c r="DH7" s="66">
        <f t="shared" si="43"/>
        <v>0</v>
      </c>
      <c r="DI7" s="67">
        <f t="shared" si="44"/>
        <v>0</v>
      </c>
      <c r="DJ7" s="64">
        <f t="shared" si="45"/>
        <v>0</v>
      </c>
      <c r="DK7" s="68"/>
      <c r="DL7" s="69"/>
      <c r="DM7" s="70"/>
      <c r="DN7" s="71"/>
      <c r="DO7" s="69"/>
      <c r="DP7" s="70"/>
      <c r="DQ7" s="71"/>
      <c r="DR7" s="69"/>
      <c r="DS7" s="70"/>
      <c r="DT7" s="71"/>
      <c r="DU7" s="69"/>
      <c r="DV7" s="70"/>
      <c r="DW7" s="66">
        <f t="shared" si="46"/>
        <v>0</v>
      </c>
      <c r="DX7" s="67">
        <f t="shared" si="47"/>
        <v>0</v>
      </c>
      <c r="DY7" s="64">
        <f t="shared" si="48"/>
        <v>0</v>
      </c>
      <c r="DZ7" s="62"/>
      <c r="EA7" s="63"/>
      <c r="EB7" s="64">
        <f t="shared" si="49"/>
        <v>0</v>
      </c>
      <c r="EC7" s="65"/>
      <c r="ED7" s="63"/>
      <c r="EE7" s="64">
        <f t="shared" si="50"/>
        <v>0</v>
      </c>
      <c r="EF7" s="65"/>
      <c r="EG7" s="63"/>
      <c r="EH7" s="64">
        <f t="shared" si="51"/>
        <v>0</v>
      </c>
      <c r="EI7" s="65">
        <v>100</v>
      </c>
      <c r="EJ7" s="63"/>
      <c r="EK7" s="64">
        <f t="shared" si="52"/>
        <v>100</v>
      </c>
      <c r="EL7" s="66">
        <f t="shared" si="53"/>
        <v>100</v>
      </c>
      <c r="EM7" s="67">
        <f t="shared" si="54"/>
        <v>0</v>
      </c>
      <c r="EN7" s="64">
        <f t="shared" si="55"/>
        <v>100</v>
      </c>
      <c r="EO7" s="62">
        <v>5596.25</v>
      </c>
      <c r="EP7" s="63">
        <v>5596.25</v>
      </c>
      <c r="EQ7" s="64">
        <f t="shared" si="56"/>
        <v>0</v>
      </c>
      <c r="ER7" s="65"/>
      <c r="ES7" s="63"/>
      <c r="ET7" s="64">
        <f t="shared" si="57"/>
        <v>0</v>
      </c>
      <c r="EU7" s="65"/>
      <c r="EV7" s="63"/>
      <c r="EW7" s="64">
        <f t="shared" si="58"/>
        <v>0</v>
      </c>
      <c r="EX7" s="65">
        <v>100</v>
      </c>
      <c r="EY7" s="63"/>
      <c r="EZ7" s="64">
        <f t="shared" si="59"/>
        <v>100</v>
      </c>
      <c r="FA7" s="66">
        <f t="shared" si="60"/>
        <v>5696.25</v>
      </c>
      <c r="FB7" s="67">
        <f t="shared" si="61"/>
        <v>5596.25</v>
      </c>
      <c r="FC7" s="64">
        <f t="shared" si="62"/>
        <v>100</v>
      </c>
      <c r="FD7" s="62">
        <v>5596.25</v>
      </c>
      <c r="FE7" s="63">
        <v>5596.25</v>
      </c>
      <c r="FF7" s="64">
        <f t="shared" si="63"/>
        <v>0</v>
      </c>
      <c r="FG7" s="65"/>
      <c r="FH7" s="63"/>
      <c r="FI7" s="64">
        <f t="shared" si="64"/>
        <v>0</v>
      </c>
      <c r="FJ7" s="65"/>
      <c r="FK7" s="63"/>
      <c r="FL7" s="64">
        <f t="shared" si="65"/>
        <v>0</v>
      </c>
      <c r="FM7" s="65">
        <v>100</v>
      </c>
      <c r="FN7" s="63"/>
      <c r="FO7" s="64">
        <f t="shared" si="66"/>
        <v>100</v>
      </c>
      <c r="FP7" s="66">
        <f t="shared" si="67"/>
        <v>5696.25</v>
      </c>
      <c r="FQ7" s="67">
        <f t="shared" si="68"/>
        <v>5596.25</v>
      </c>
      <c r="FR7" s="64">
        <f t="shared" si="69"/>
        <v>100</v>
      </c>
      <c r="FS7" s="62"/>
      <c r="FT7" s="63"/>
      <c r="FU7" s="64">
        <f t="shared" si="70"/>
        <v>0</v>
      </c>
      <c r="FV7" s="65"/>
      <c r="FW7" s="63"/>
      <c r="FX7" s="64">
        <f t="shared" si="71"/>
        <v>0</v>
      </c>
      <c r="FY7" s="65"/>
      <c r="FZ7" s="63"/>
      <c r="GA7" s="64">
        <f t="shared" si="72"/>
        <v>0</v>
      </c>
      <c r="GB7" s="65"/>
      <c r="GC7" s="63"/>
      <c r="GD7" s="64">
        <f t="shared" si="73"/>
        <v>0</v>
      </c>
      <c r="GE7" s="66">
        <f t="shared" si="74"/>
        <v>0</v>
      </c>
      <c r="GF7" s="67">
        <f t="shared" si="75"/>
        <v>0</v>
      </c>
      <c r="GG7" s="64">
        <f t="shared" si="76"/>
        <v>0</v>
      </c>
      <c r="GH7" s="62"/>
      <c r="GI7" s="63"/>
      <c r="GJ7" s="64">
        <f t="shared" si="77"/>
        <v>0</v>
      </c>
      <c r="GK7" s="65"/>
      <c r="GL7" s="63"/>
      <c r="GM7" s="64">
        <f t="shared" si="78"/>
        <v>0</v>
      </c>
      <c r="GN7" s="65"/>
      <c r="GO7" s="63"/>
      <c r="GP7" s="64">
        <f t="shared" si="79"/>
        <v>0</v>
      </c>
      <c r="GQ7" s="65"/>
      <c r="GR7" s="63"/>
      <c r="GS7" s="64">
        <f t="shared" si="80"/>
        <v>0</v>
      </c>
      <c r="GT7" s="66">
        <f t="shared" si="81"/>
        <v>0</v>
      </c>
      <c r="GU7" s="67">
        <f t="shared" si="82"/>
        <v>0</v>
      </c>
      <c r="GV7" s="64">
        <f t="shared" si="83"/>
        <v>0</v>
      </c>
      <c r="GW7" s="68"/>
      <c r="GX7" s="69"/>
      <c r="GY7" s="70"/>
      <c r="GZ7" s="71"/>
      <c r="HA7" s="69"/>
      <c r="HB7" s="70"/>
      <c r="HC7" s="71"/>
      <c r="HD7" s="69"/>
      <c r="HE7" s="70"/>
      <c r="HF7" s="71"/>
      <c r="HG7" s="69"/>
      <c r="HH7" s="70"/>
      <c r="HI7" s="66">
        <f t="shared" si="84"/>
        <v>0</v>
      </c>
      <c r="HJ7" s="67">
        <f t="shared" si="85"/>
        <v>0</v>
      </c>
      <c r="HK7" s="64">
        <f t="shared" si="86"/>
        <v>0</v>
      </c>
      <c r="HL7" s="62"/>
      <c r="HM7" s="63"/>
      <c r="HN7" s="64">
        <f t="shared" si="87"/>
        <v>0</v>
      </c>
      <c r="HO7" s="65"/>
      <c r="HP7" s="63"/>
      <c r="HQ7" s="64">
        <f t="shared" si="88"/>
        <v>0</v>
      </c>
      <c r="HR7" s="65"/>
      <c r="HS7" s="63"/>
      <c r="HT7" s="64">
        <f t="shared" si="89"/>
        <v>0</v>
      </c>
      <c r="HU7" s="65">
        <v>100</v>
      </c>
      <c r="HV7" s="63"/>
      <c r="HW7" s="64">
        <f t="shared" si="90"/>
        <v>100</v>
      </c>
      <c r="HX7" s="66">
        <f t="shared" si="91"/>
        <v>100</v>
      </c>
      <c r="HY7" s="67">
        <f t="shared" si="92"/>
        <v>0</v>
      </c>
      <c r="HZ7" s="64">
        <f t="shared" si="93"/>
        <v>100</v>
      </c>
      <c r="IA7" s="62"/>
      <c r="IB7" s="63"/>
      <c r="IC7" s="64">
        <f t="shared" si="94"/>
        <v>0</v>
      </c>
      <c r="ID7" s="65"/>
      <c r="IE7" s="63"/>
      <c r="IF7" s="64">
        <f t="shared" si="95"/>
        <v>0</v>
      </c>
      <c r="IG7" s="65">
        <v>1021.08</v>
      </c>
      <c r="IH7" s="63"/>
      <c r="II7" s="64">
        <f t="shared" si="96"/>
        <v>1021.08</v>
      </c>
      <c r="IJ7" s="65">
        <v>100</v>
      </c>
      <c r="IK7" s="63"/>
      <c r="IL7" s="64">
        <f t="shared" si="97"/>
        <v>100</v>
      </c>
      <c r="IM7" s="66">
        <f t="shared" si="98"/>
        <v>1121.08</v>
      </c>
      <c r="IN7" s="67">
        <f t="shared" si="99"/>
        <v>0</v>
      </c>
      <c r="IO7" s="64">
        <f t="shared" si="100"/>
        <v>1121.08</v>
      </c>
      <c r="IP7" s="62"/>
      <c r="IQ7" s="63"/>
      <c r="IR7" s="64">
        <f t="shared" si="101"/>
        <v>0</v>
      </c>
      <c r="IS7" s="65"/>
      <c r="IT7" s="63"/>
      <c r="IU7" s="64">
        <f t="shared" si="102"/>
        <v>0</v>
      </c>
      <c r="IV7" s="65"/>
      <c r="IW7" s="63"/>
      <c r="IX7" s="64">
        <f t="shared" si="103"/>
        <v>0</v>
      </c>
      <c r="IY7" s="65"/>
      <c r="IZ7" s="63"/>
      <c r="JA7" s="64">
        <f t="shared" si="104"/>
        <v>0</v>
      </c>
      <c r="JB7" s="66">
        <f t="shared" si="105"/>
        <v>0</v>
      </c>
      <c r="JC7" s="67">
        <f t="shared" si="106"/>
        <v>0</v>
      </c>
      <c r="JD7" s="64">
        <f t="shared" si="107"/>
        <v>0</v>
      </c>
      <c r="JE7" s="62"/>
      <c r="JF7" s="63"/>
      <c r="JG7" s="64">
        <f t="shared" si="108"/>
        <v>0</v>
      </c>
      <c r="JH7" s="65"/>
      <c r="JI7" s="63"/>
      <c r="JJ7" s="64">
        <f t="shared" si="109"/>
        <v>0</v>
      </c>
      <c r="JK7" s="65"/>
      <c r="JL7" s="63"/>
      <c r="JM7" s="64">
        <f t="shared" si="110"/>
        <v>0</v>
      </c>
      <c r="JN7" s="65">
        <v>100</v>
      </c>
      <c r="JO7" s="63"/>
      <c r="JP7" s="64">
        <f t="shared" si="111"/>
        <v>100</v>
      </c>
      <c r="JQ7" s="66">
        <f t="shared" si="112"/>
        <v>100</v>
      </c>
      <c r="JR7" s="67">
        <f t="shared" si="113"/>
        <v>0</v>
      </c>
      <c r="JS7" s="64">
        <f t="shared" si="114"/>
        <v>100</v>
      </c>
      <c r="JT7" s="62">
        <v>4920</v>
      </c>
      <c r="JU7" s="63">
        <v>4920</v>
      </c>
      <c r="JV7" s="64">
        <f t="shared" si="115"/>
        <v>0</v>
      </c>
      <c r="JW7" s="65"/>
      <c r="JX7" s="63"/>
      <c r="JY7" s="64">
        <f t="shared" si="116"/>
        <v>0</v>
      </c>
      <c r="JZ7" s="65"/>
      <c r="KA7" s="63"/>
      <c r="KB7" s="64">
        <f t="shared" si="117"/>
        <v>0</v>
      </c>
      <c r="KC7" s="65">
        <v>100</v>
      </c>
      <c r="KD7" s="63">
        <v>178.86</v>
      </c>
      <c r="KE7" s="64">
        <f t="shared" si="118"/>
        <v>-78.860000000000014</v>
      </c>
      <c r="KF7" s="66">
        <f t="shared" si="119"/>
        <v>5020</v>
      </c>
      <c r="KG7" s="67">
        <f t="shared" si="120"/>
        <v>5098.8599999999997</v>
      </c>
      <c r="KH7" s="64">
        <f t="shared" si="121"/>
        <v>-78.859999999999673</v>
      </c>
      <c r="KI7" s="68"/>
      <c r="KJ7" s="69"/>
      <c r="KK7" s="70"/>
      <c r="KL7" s="71"/>
      <c r="KM7" s="69"/>
      <c r="KN7" s="70"/>
      <c r="KO7" s="71"/>
      <c r="KP7" s="69"/>
      <c r="KQ7" s="70"/>
      <c r="KR7" s="71"/>
      <c r="KS7" s="69"/>
      <c r="KT7" s="64">
        <f t="shared" si="0"/>
        <v>0</v>
      </c>
      <c r="KU7" s="66">
        <f t="shared" si="1"/>
        <v>0</v>
      </c>
      <c r="KV7" s="67">
        <f t="shared" si="2"/>
        <v>0</v>
      </c>
      <c r="KW7" s="64">
        <f t="shared" si="122"/>
        <v>0</v>
      </c>
      <c r="KX7" s="72"/>
      <c r="KY7" s="73"/>
      <c r="KZ7" s="74"/>
      <c r="LA7" s="75"/>
      <c r="LB7" s="73"/>
      <c r="LC7" s="74"/>
      <c r="LD7" s="75"/>
      <c r="LE7" s="73"/>
      <c r="LF7" s="74"/>
      <c r="LG7" s="75"/>
      <c r="LH7" s="73"/>
      <c r="LI7" s="74"/>
      <c r="LJ7" s="76"/>
      <c r="LK7" s="77"/>
      <c r="LL7" s="74"/>
      <c r="LM7" s="68"/>
      <c r="LN7" s="69"/>
      <c r="LO7" s="70"/>
      <c r="LP7" s="71"/>
      <c r="LQ7" s="69"/>
      <c r="LR7" s="70"/>
      <c r="LS7" s="71"/>
      <c r="LT7" s="69"/>
      <c r="LU7" s="70"/>
      <c r="LV7" s="71"/>
      <c r="LW7" s="69"/>
      <c r="LX7" s="64">
        <f t="shared" si="123"/>
        <v>0</v>
      </c>
      <c r="LY7" s="66">
        <f t="shared" si="124"/>
        <v>0</v>
      </c>
      <c r="LZ7" s="67">
        <f t="shared" si="125"/>
        <v>0</v>
      </c>
      <c r="MA7" s="64">
        <f t="shared" si="126"/>
        <v>0</v>
      </c>
      <c r="MB7" s="62">
        <v>650</v>
      </c>
      <c r="MC7" s="63">
        <v>650</v>
      </c>
      <c r="MD7" s="64">
        <f t="shared" si="127"/>
        <v>0</v>
      </c>
      <c r="ME7" s="65">
        <v>727.43</v>
      </c>
      <c r="MF7" s="63">
        <v>723.43</v>
      </c>
      <c r="MG7" s="64">
        <f t="shared" si="128"/>
        <v>4</v>
      </c>
      <c r="MH7" s="65">
        <v>1316.81</v>
      </c>
      <c r="MI7" s="63">
        <f>198.8+1118.01</f>
        <v>1316.81</v>
      </c>
      <c r="MJ7" s="64">
        <f t="shared" si="129"/>
        <v>0</v>
      </c>
      <c r="MK7" s="65">
        <v>100</v>
      </c>
      <c r="ML7" s="63"/>
      <c r="MM7" s="64">
        <f t="shared" si="130"/>
        <v>100</v>
      </c>
      <c r="MN7" s="66">
        <f t="shared" si="131"/>
        <v>2794.24</v>
      </c>
      <c r="MO7" s="67">
        <f t="shared" si="132"/>
        <v>2690.24</v>
      </c>
      <c r="MP7" s="64">
        <f t="shared" si="133"/>
        <v>104</v>
      </c>
      <c r="MQ7" s="62"/>
      <c r="MR7" s="63"/>
      <c r="MS7" s="64">
        <f t="shared" si="134"/>
        <v>0</v>
      </c>
      <c r="MT7" s="65"/>
      <c r="MU7" s="63"/>
      <c r="MV7" s="64">
        <f t="shared" si="135"/>
        <v>0</v>
      </c>
      <c r="MW7" s="65"/>
      <c r="MX7" s="63"/>
      <c r="MY7" s="64">
        <f t="shared" si="136"/>
        <v>0</v>
      </c>
      <c r="MZ7" s="65"/>
      <c r="NA7" s="63"/>
      <c r="NB7" s="64">
        <f t="shared" si="137"/>
        <v>0</v>
      </c>
      <c r="NC7" s="66">
        <f t="shared" si="138"/>
        <v>0</v>
      </c>
      <c r="ND7" s="67">
        <f t="shared" si="139"/>
        <v>0</v>
      </c>
      <c r="NE7" s="64">
        <f t="shared" si="140"/>
        <v>0</v>
      </c>
      <c r="NF7" s="62"/>
      <c r="NG7" s="63"/>
      <c r="NH7" s="64">
        <f t="shared" si="141"/>
        <v>0</v>
      </c>
      <c r="NI7" s="65">
        <v>685.09</v>
      </c>
      <c r="NJ7" s="63">
        <v>721.27</v>
      </c>
      <c r="NK7" s="64">
        <f t="shared" si="142"/>
        <v>-36.17999999999995</v>
      </c>
      <c r="NL7" s="65"/>
      <c r="NM7" s="63"/>
      <c r="NN7" s="64">
        <f t="shared" si="143"/>
        <v>0</v>
      </c>
      <c r="NO7" s="65">
        <v>100</v>
      </c>
      <c r="NP7" s="63"/>
      <c r="NQ7" s="64">
        <f t="shared" si="144"/>
        <v>100</v>
      </c>
      <c r="NR7" s="66">
        <f t="shared" si="145"/>
        <v>785.09</v>
      </c>
      <c r="NS7" s="67">
        <f t="shared" si="146"/>
        <v>721.27</v>
      </c>
      <c r="NT7" s="64">
        <f t="shared" si="147"/>
        <v>63.82000000000005</v>
      </c>
      <c r="NU7" s="62">
        <v>864</v>
      </c>
      <c r="NV7" s="63">
        <v>864</v>
      </c>
      <c r="NW7" s="64">
        <f t="shared" si="148"/>
        <v>0</v>
      </c>
      <c r="NX7" s="65">
        <v>636.36</v>
      </c>
      <c r="NY7" s="63"/>
      <c r="NZ7" s="64">
        <f t="shared" si="149"/>
        <v>636.36</v>
      </c>
      <c r="OA7" s="65"/>
      <c r="OB7" s="63"/>
      <c r="OC7" s="64">
        <f t="shared" si="150"/>
        <v>0</v>
      </c>
      <c r="OD7" s="65">
        <v>100</v>
      </c>
      <c r="OE7" s="63">
        <v>87.95</v>
      </c>
      <c r="OF7" s="64">
        <f t="shared" si="151"/>
        <v>12.049999999999997</v>
      </c>
      <c r="OG7" s="66">
        <f t="shared" si="152"/>
        <v>1600.3600000000001</v>
      </c>
      <c r="OH7" s="67">
        <f t="shared" si="153"/>
        <v>951.95</v>
      </c>
      <c r="OI7" s="64">
        <f t="shared" si="154"/>
        <v>648.41000000000008</v>
      </c>
      <c r="OJ7" s="62"/>
      <c r="OK7" s="63"/>
      <c r="OL7" s="64">
        <f t="shared" si="155"/>
        <v>0</v>
      </c>
      <c r="OM7" s="65"/>
      <c r="ON7" s="63"/>
      <c r="OO7" s="64">
        <f t="shared" si="156"/>
        <v>0</v>
      </c>
      <c r="OP7" s="65"/>
      <c r="OQ7" s="63"/>
      <c r="OR7" s="64">
        <f t="shared" si="157"/>
        <v>0</v>
      </c>
      <c r="OS7" s="65">
        <v>100</v>
      </c>
      <c r="OT7" s="63"/>
      <c r="OU7" s="64">
        <f t="shared" si="158"/>
        <v>100</v>
      </c>
      <c r="OV7" s="66">
        <f t="shared" si="159"/>
        <v>100</v>
      </c>
      <c r="OW7" s="67">
        <f t="shared" si="160"/>
        <v>0</v>
      </c>
      <c r="OX7" s="64">
        <f t="shared" si="161"/>
        <v>100</v>
      </c>
      <c r="OY7" s="62"/>
      <c r="OZ7" s="63"/>
      <c r="PA7" s="64">
        <f t="shared" si="162"/>
        <v>0</v>
      </c>
      <c r="PB7" s="65"/>
      <c r="PC7" s="63"/>
      <c r="PD7" s="64">
        <f t="shared" si="163"/>
        <v>0</v>
      </c>
      <c r="PE7" s="65"/>
      <c r="PF7" s="63"/>
      <c r="PG7" s="64">
        <f t="shared" si="164"/>
        <v>0</v>
      </c>
      <c r="PH7" s="65">
        <v>100</v>
      </c>
      <c r="PI7" s="63">
        <v>112.79</v>
      </c>
      <c r="PJ7" s="64">
        <f t="shared" si="165"/>
        <v>-12.790000000000006</v>
      </c>
      <c r="PK7" s="66">
        <f t="shared" si="166"/>
        <v>100</v>
      </c>
      <c r="PL7" s="67">
        <f t="shared" si="167"/>
        <v>112.79</v>
      </c>
      <c r="PM7" s="64">
        <f t="shared" si="168"/>
        <v>-12.790000000000006</v>
      </c>
      <c r="PN7" s="62">
        <v>1400</v>
      </c>
      <c r="PO7" s="63">
        <v>1400</v>
      </c>
      <c r="PP7" s="64">
        <f t="shared" si="169"/>
        <v>0</v>
      </c>
      <c r="PQ7" s="65"/>
      <c r="PR7" s="63"/>
      <c r="PS7" s="64">
        <f t="shared" si="170"/>
        <v>0</v>
      </c>
      <c r="PT7" s="65"/>
      <c r="PU7" s="63"/>
      <c r="PV7" s="64">
        <f t="shared" si="171"/>
        <v>0</v>
      </c>
      <c r="PW7" s="65">
        <v>100</v>
      </c>
      <c r="PX7" s="63"/>
      <c r="PY7" s="64">
        <f t="shared" si="172"/>
        <v>100</v>
      </c>
      <c r="PZ7" s="66">
        <f t="shared" si="173"/>
        <v>1500</v>
      </c>
      <c r="QA7" s="67">
        <f t="shared" si="174"/>
        <v>1400</v>
      </c>
      <c r="QB7" s="64">
        <f t="shared" si="175"/>
        <v>100</v>
      </c>
      <c r="QC7" s="62"/>
      <c r="QD7" s="63"/>
      <c r="QE7" s="64">
        <f t="shared" si="176"/>
        <v>0</v>
      </c>
      <c r="QF7" s="65"/>
      <c r="QG7" s="63"/>
      <c r="QH7" s="64">
        <f t="shared" si="177"/>
        <v>0</v>
      </c>
      <c r="QI7" s="65"/>
      <c r="QJ7" s="63"/>
      <c r="QK7" s="64">
        <f t="shared" si="178"/>
        <v>0</v>
      </c>
      <c r="QL7" s="65">
        <v>100</v>
      </c>
      <c r="QM7" s="63">
        <v>183.93</v>
      </c>
      <c r="QN7" s="64">
        <f t="shared" si="179"/>
        <v>-83.93</v>
      </c>
      <c r="QO7" s="66">
        <f t="shared" si="180"/>
        <v>100</v>
      </c>
      <c r="QP7" s="67">
        <f t="shared" si="181"/>
        <v>183.93</v>
      </c>
      <c r="QQ7" s="64">
        <f t="shared" si="182"/>
        <v>-83.93</v>
      </c>
      <c r="QR7" s="62"/>
      <c r="QS7" s="63"/>
      <c r="QT7" s="64">
        <f t="shared" si="183"/>
        <v>0</v>
      </c>
      <c r="QU7" s="65"/>
      <c r="QV7" s="63"/>
      <c r="QW7" s="64">
        <f t="shared" si="184"/>
        <v>0</v>
      </c>
      <c r="QX7" s="65"/>
      <c r="QY7" s="63"/>
      <c r="QZ7" s="64">
        <f t="shared" si="185"/>
        <v>0</v>
      </c>
      <c r="RA7" s="65"/>
      <c r="RB7" s="63"/>
      <c r="RC7" s="64">
        <f t="shared" si="186"/>
        <v>0</v>
      </c>
      <c r="RD7" s="66">
        <f t="shared" si="187"/>
        <v>0</v>
      </c>
      <c r="RE7" s="67">
        <f t="shared" si="188"/>
        <v>0</v>
      </c>
      <c r="RF7" s="64">
        <f t="shared" si="189"/>
        <v>0</v>
      </c>
      <c r="RG7" s="62"/>
      <c r="RH7" s="63"/>
      <c r="RI7" s="64">
        <f t="shared" si="190"/>
        <v>0</v>
      </c>
      <c r="RJ7" s="65"/>
      <c r="RK7" s="63"/>
      <c r="RL7" s="64">
        <f t="shared" si="191"/>
        <v>0</v>
      </c>
      <c r="RM7" s="65"/>
      <c r="RN7" s="63"/>
      <c r="RO7" s="64">
        <f t="shared" si="192"/>
        <v>0</v>
      </c>
      <c r="RP7" s="65"/>
      <c r="RQ7" s="63"/>
      <c r="RR7" s="64">
        <f t="shared" si="193"/>
        <v>0</v>
      </c>
      <c r="RS7" s="66">
        <f t="shared" si="194"/>
        <v>0</v>
      </c>
      <c r="RT7" s="67">
        <f t="shared" si="195"/>
        <v>0</v>
      </c>
      <c r="RU7" s="64">
        <f t="shared" si="196"/>
        <v>0</v>
      </c>
      <c r="RV7" s="62"/>
      <c r="RW7" s="63"/>
      <c r="RX7" s="64">
        <f t="shared" si="197"/>
        <v>0</v>
      </c>
      <c r="RY7" s="65"/>
      <c r="RZ7" s="63"/>
      <c r="SA7" s="64">
        <f t="shared" si="198"/>
        <v>0</v>
      </c>
      <c r="SB7" s="65"/>
      <c r="SC7" s="63"/>
      <c r="SD7" s="64">
        <f t="shared" si="199"/>
        <v>0</v>
      </c>
      <c r="SE7" s="65">
        <v>100</v>
      </c>
      <c r="SF7" s="63"/>
      <c r="SG7" s="64">
        <f t="shared" si="200"/>
        <v>100</v>
      </c>
      <c r="SH7" s="66">
        <f t="shared" si="201"/>
        <v>100</v>
      </c>
      <c r="SI7" s="67">
        <f t="shared" si="202"/>
        <v>0</v>
      </c>
      <c r="SJ7" s="64">
        <f t="shared" si="203"/>
        <v>100</v>
      </c>
      <c r="SK7" s="62"/>
      <c r="SL7" s="63"/>
      <c r="SM7" s="64">
        <f t="shared" si="204"/>
        <v>0</v>
      </c>
      <c r="SN7" s="65"/>
      <c r="SO7" s="63"/>
      <c r="SP7" s="64">
        <f t="shared" si="205"/>
        <v>0</v>
      </c>
      <c r="SQ7" s="65"/>
      <c r="SR7" s="63"/>
      <c r="SS7" s="64">
        <f t="shared" si="206"/>
        <v>0</v>
      </c>
      <c r="ST7" s="65">
        <v>100</v>
      </c>
      <c r="SU7" s="63">
        <v>212.23</v>
      </c>
      <c r="SV7" s="64">
        <f t="shared" si="207"/>
        <v>-112.22999999999999</v>
      </c>
      <c r="SW7" s="66">
        <f t="shared" si="208"/>
        <v>100</v>
      </c>
      <c r="SX7" s="67">
        <f t="shared" si="209"/>
        <v>212.23</v>
      </c>
      <c r="SY7" s="64">
        <f t="shared" si="210"/>
        <v>-112.22999999999999</v>
      </c>
      <c r="SZ7" s="62">
        <v>1257.1199999999999</v>
      </c>
      <c r="TA7" s="63">
        <v>1257.1199999999999</v>
      </c>
      <c r="TB7" s="64">
        <f t="shared" si="211"/>
        <v>0</v>
      </c>
      <c r="TC7" s="65"/>
      <c r="TD7" s="63"/>
      <c r="TE7" s="64">
        <f t="shared" si="212"/>
        <v>0</v>
      </c>
      <c r="TF7" s="65"/>
      <c r="TG7" s="63"/>
      <c r="TH7" s="64">
        <f t="shared" si="213"/>
        <v>0</v>
      </c>
      <c r="TI7" s="65">
        <v>100</v>
      </c>
      <c r="TJ7" s="63"/>
      <c r="TK7" s="64">
        <f t="shared" si="214"/>
        <v>100</v>
      </c>
      <c r="TL7" s="66">
        <f t="shared" si="215"/>
        <v>1357.12</v>
      </c>
      <c r="TM7" s="67">
        <f t="shared" si="216"/>
        <v>1257.1199999999999</v>
      </c>
      <c r="TN7" s="64">
        <f t="shared" si="217"/>
        <v>100</v>
      </c>
      <c r="TO7" s="62"/>
      <c r="TP7" s="63"/>
      <c r="TQ7" s="64">
        <f t="shared" si="218"/>
        <v>0</v>
      </c>
      <c r="TR7" s="65"/>
      <c r="TS7" s="63"/>
      <c r="TT7" s="64">
        <f t="shared" si="219"/>
        <v>0</v>
      </c>
      <c r="TU7" s="65"/>
      <c r="TV7" s="63"/>
      <c r="TW7" s="64">
        <f t="shared" si="220"/>
        <v>0</v>
      </c>
      <c r="TX7" s="65">
        <v>100</v>
      </c>
      <c r="TY7" s="63"/>
      <c r="TZ7" s="64">
        <f t="shared" si="221"/>
        <v>100</v>
      </c>
      <c r="UA7" s="66">
        <f t="shared" si="222"/>
        <v>100</v>
      </c>
      <c r="UB7" s="67">
        <f t="shared" si="223"/>
        <v>0</v>
      </c>
      <c r="UC7" s="64">
        <f t="shared" si="224"/>
        <v>100</v>
      </c>
      <c r="UD7" s="68"/>
      <c r="UE7" s="69"/>
      <c r="UF7" s="70"/>
      <c r="UG7" s="71"/>
      <c r="UH7" s="69"/>
      <c r="UI7" s="70"/>
      <c r="UJ7" s="71"/>
      <c r="UK7" s="69"/>
      <c r="UL7" s="70"/>
      <c r="UM7" s="71"/>
      <c r="UN7" s="69"/>
      <c r="UO7" s="64">
        <f t="shared" si="225"/>
        <v>0</v>
      </c>
      <c r="UP7" s="66">
        <f t="shared" si="226"/>
        <v>0</v>
      </c>
      <c r="UQ7" s="67">
        <f t="shared" si="227"/>
        <v>0</v>
      </c>
      <c r="UR7" s="64">
        <f t="shared" si="228"/>
        <v>0</v>
      </c>
      <c r="US7" s="62">
        <v>15000</v>
      </c>
      <c r="UT7" s="63">
        <v>15000</v>
      </c>
      <c r="UU7" s="64">
        <f t="shared" si="229"/>
        <v>0</v>
      </c>
      <c r="UV7" s="65"/>
      <c r="UW7" s="63"/>
      <c r="UX7" s="64">
        <f t="shared" si="230"/>
        <v>0</v>
      </c>
      <c r="UY7" s="65"/>
      <c r="UZ7" s="63"/>
      <c r="VA7" s="64">
        <f t="shared" si="231"/>
        <v>0</v>
      </c>
      <c r="VB7" s="65">
        <v>100</v>
      </c>
      <c r="VC7" s="63">
        <v>167.34</v>
      </c>
      <c r="VD7" s="64">
        <f t="shared" si="232"/>
        <v>-67.34</v>
      </c>
      <c r="VE7" s="66">
        <f t="shared" si="233"/>
        <v>15100</v>
      </c>
      <c r="VF7" s="67">
        <f t="shared" si="234"/>
        <v>15167.34</v>
      </c>
      <c r="VG7" s="64">
        <f t="shared" si="235"/>
        <v>-67.340000000000146</v>
      </c>
      <c r="VH7" s="62"/>
      <c r="VI7" s="63"/>
      <c r="VJ7" s="64">
        <f t="shared" si="236"/>
        <v>0</v>
      </c>
      <c r="VK7" s="65"/>
      <c r="VL7" s="63"/>
      <c r="VM7" s="64">
        <f t="shared" si="237"/>
        <v>0</v>
      </c>
      <c r="VN7" s="65"/>
      <c r="VO7" s="63"/>
      <c r="VP7" s="64">
        <f t="shared" si="238"/>
        <v>0</v>
      </c>
      <c r="VQ7" s="65">
        <v>100</v>
      </c>
      <c r="VR7" s="63">
        <v>92.93</v>
      </c>
      <c r="VS7" s="64">
        <f t="shared" si="239"/>
        <v>7.0699999999999932</v>
      </c>
      <c r="VT7" s="66">
        <f t="shared" si="240"/>
        <v>100</v>
      </c>
      <c r="VU7" s="67">
        <f t="shared" si="241"/>
        <v>92.93</v>
      </c>
      <c r="VV7" s="64">
        <f t="shared" si="242"/>
        <v>7.0699999999999932</v>
      </c>
      <c r="VW7" s="62">
        <v>1303</v>
      </c>
      <c r="VX7" s="63">
        <v>1303</v>
      </c>
      <c r="VY7" s="64">
        <f t="shared" si="243"/>
        <v>0</v>
      </c>
      <c r="VZ7" s="65"/>
      <c r="WA7" s="63"/>
      <c r="WB7" s="64">
        <f t="shared" si="244"/>
        <v>0</v>
      </c>
      <c r="WC7" s="65"/>
      <c r="WD7" s="63"/>
      <c r="WE7" s="64">
        <f t="shared" si="245"/>
        <v>0</v>
      </c>
      <c r="WF7" s="65"/>
      <c r="WG7" s="63"/>
      <c r="WH7" s="64">
        <f t="shared" si="246"/>
        <v>0</v>
      </c>
      <c r="WI7" s="66">
        <f t="shared" si="247"/>
        <v>1303</v>
      </c>
      <c r="WJ7" s="67">
        <f t="shared" si="248"/>
        <v>1303</v>
      </c>
      <c r="WK7" s="64">
        <f t="shared" si="249"/>
        <v>0</v>
      </c>
      <c r="WL7" s="62">
        <v>1276.01</v>
      </c>
      <c r="WM7" s="63">
        <v>1276.01</v>
      </c>
      <c r="WN7" s="64">
        <f t="shared" si="250"/>
        <v>0</v>
      </c>
      <c r="WO7" s="65"/>
      <c r="WP7" s="63"/>
      <c r="WQ7" s="64">
        <f t="shared" si="251"/>
        <v>0</v>
      </c>
      <c r="WR7" s="65"/>
      <c r="WS7" s="63"/>
      <c r="WT7" s="64">
        <f t="shared" si="252"/>
        <v>0</v>
      </c>
      <c r="WU7" s="65">
        <v>100</v>
      </c>
      <c r="WV7" s="63"/>
      <c r="WW7" s="64">
        <f t="shared" si="253"/>
        <v>100</v>
      </c>
      <c r="WX7" s="66">
        <f t="shared" si="254"/>
        <v>1376.01</v>
      </c>
      <c r="WY7" s="67">
        <f t="shared" si="255"/>
        <v>1276.01</v>
      </c>
      <c r="WZ7" s="64">
        <f t="shared" si="256"/>
        <v>100</v>
      </c>
      <c r="XA7" s="62"/>
      <c r="XB7" s="63"/>
      <c r="XC7" s="64">
        <f t="shared" si="257"/>
        <v>0</v>
      </c>
      <c r="XD7" s="65"/>
      <c r="XE7" s="63"/>
      <c r="XF7" s="64">
        <f t="shared" si="258"/>
        <v>0</v>
      </c>
      <c r="XG7" s="65"/>
      <c r="XH7" s="63">
        <v>1290.51</v>
      </c>
      <c r="XI7" s="64">
        <f t="shared" si="259"/>
        <v>-1290.51</v>
      </c>
      <c r="XJ7" s="65">
        <v>100</v>
      </c>
      <c r="XK7" s="63">
        <v>190.66</v>
      </c>
      <c r="XL7" s="64">
        <f t="shared" si="260"/>
        <v>-90.66</v>
      </c>
      <c r="XM7" s="66">
        <f t="shared" si="261"/>
        <v>100</v>
      </c>
      <c r="XN7" s="67">
        <f t="shared" si="262"/>
        <v>1481.17</v>
      </c>
      <c r="XO7" s="64">
        <f t="shared" si="263"/>
        <v>-1381.17</v>
      </c>
      <c r="XP7" s="62">
        <v>917</v>
      </c>
      <c r="XQ7" s="63">
        <v>917</v>
      </c>
      <c r="XR7" s="64">
        <f t="shared" si="264"/>
        <v>0</v>
      </c>
      <c r="XS7" s="65">
        <v>462.1</v>
      </c>
      <c r="XT7" s="63">
        <v>462.1</v>
      </c>
      <c r="XU7" s="64">
        <f t="shared" si="265"/>
        <v>0</v>
      </c>
      <c r="XV7" s="65"/>
      <c r="XW7" s="63"/>
      <c r="XX7" s="64">
        <f t="shared" si="266"/>
        <v>0</v>
      </c>
      <c r="XY7" s="65">
        <v>100</v>
      </c>
      <c r="XZ7" s="63">
        <v>140.61000000000001</v>
      </c>
      <c r="YA7" s="64">
        <f t="shared" si="267"/>
        <v>-40.610000000000014</v>
      </c>
      <c r="YB7" s="66">
        <f t="shared" si="268"/>
        <v>1479.1</v>
      </c>
      <c r="YC7" s="67">
        <f t="shared" si="269"/>
        <v>1519.71</v>
      </c>
      <c r="YD7" s="64">
        <f t="shared" si="270"/>
        <v>-40.610000000000127</v>
      </c>
      <c r="YE7" s="62">
        <v>890</v>
      </c>
      <c r="YF7" s="63">
        <v>890</v>
      </c>
      <c r="YG7" s="64">
        <f t="shared" si="271"/>
        <v>0</v>
      </c>
      <c r="YH7" s="65">
        <v>466.5</v>
      </c>
      <c r="YI7" s="63">
        <v>466.5</v>
      </c>
      <c r="YJ7" s="64">
        <f t="shared" si="272"/>
        <v>0</v>
      </c>
      <c r="YK7" s="65"/>
      <c r="YL7" s="63"/>
      <c r="YM7" s="64">
        <f t="shared" si="273"/>
        <v>0</v>
      </c>
      <c r="YN7" s="65">
        <v>100</v>
      </c>
      <c r="YO7" s="63">
        <v>108.94</v>
      </c>
      <c r="YP7" s="64">
        <f t="shared" si="274"/>
        <v>-8.9399999999999977</v>
      </c>
      <c r="YQ7" s="66">
        <f t="shared" si="275"/>
        <v>1456.5</v>
      </c>
      <c r="YR7" s="67">
        <f t="shared" si="276"/>
        <v>1465.44</v>
      </c>
      <c r="YS7" s="64">
        <f t="shared" si="277"/>
        <v>-8.9400000000000546</v>
      </c>
      <c r="YT7" s="62">
        <v>932</v>
      </c>
      <c r="YU7" s="63">
        <v>932</v>
      </c>
      <c r="YV7" s="64">
        <f t="shared" si="278"/>
        <v>0</v>
      </c>
      <c r="YW7" s="65">
        <v>448.46</v>
      </c>
      <c r="YX7" s="63">
        <v>448.46</v>
      </c>
      <c r="YY7" s="64">
        <f t="shared" si="279"/>
        <v>0</v>
      </c>
      <c r="YZ7" s="65"/>
      <c r="ZA7" s="63"/>
      <c r="ZB7" s="64">
        <f t="shared" si="280"/>
        <v>0</v>
      </c>
      <c r="ZC7" s="65">
        <v>100</v>
      </c>
      <c r="ZD7" s="63">
        <v>108.42</v>
      </c>
      <c r="ZE7" s="64">
        <f t="shared" si="281"/>
        <v>-8.4200000000000017</v>
      </c>
      <c r="ZF7" s="66">
        <f t="shared" si="282"/>
        <v>1480.46</v>
      </c>
      <c r="ZG7" s="67">
        <f t="shared" si="283"/>
        <v>1488.88</v>
      </c>
      <c r="ZH7" s="64">
        <f t="shared" si="284"/>
        <v>-8.4200000000000728</v>
      </c>
      <c r="ZI7" s="62">
        <v>1250</v>
      </c>
      <c r="ZJ7" s="63">
        <v>1250</v>
      </c>
      <c r="ZK7" s="64">
        <f t="shared" si="285"/>
        <v>0</v>
      </c>
      <c r="ZL7" s="65"/>
      <c r="ZM7" s="63"/>
      <c r="ZN7" s="64">
        <f t="shared" si="286"/>
        <v>0</v>
      </c>
      <c r="ZO7" s="65"/>
      <c r="ZP7" s="63"/>
      <c r="ZQ7" s="64">
        <f t="shared" si="287"/>
        <v>0</v>
      </c>
      <c r="ZR7" s="65">
        <v>100</v>
      </c>
      <c r="ZS7" s="63"/>
      <c r="ZT7" s="64">
        <f t="shared" si="288"/>
        <v>100</v>
      </c>
      <c r="ZU7" s="66">
        <f t="shared" si="289"/>
        <v>1350</v>
      </c>
      <c r="ZV7" s="67">
        <f t="shared" si="290"/>
        <v>1250</v>
      </c>
      <c r="ZW7" s="64">
        <f t="shared" si="291"/>
        <v>100</v>
      </c>
      <c r="ZX7" s="62">
        <v>24.71</v>
      </c>
      <c r="ZY7" s="63">
        <v>24.71</v>
      </c>
      <c r="ZZ7" s="64">
        <f t="shared" si="292"/>
        <v>0</v>
      </c>
      <c r="AAA7" s="66">
        <f t="shared" si="293"/>
        <v>24.71</v>
      </c>
      <c r="AAB7" s="67">
        <f t="shared" si="293"/>
        <v>24.71</v>
      </c>
      <c r="AAC7" s="64">
        <f t="shared" si="294"/>
        <v>0</v>
      </c>
      <c r="AAD7" s="85">
        <f t="shared" si="295"/>
        <v>99640.459999999992</v>
      </c>
      <c r="AAE7" s="86">
        <f t="shared" si="295"/>
        <v>97627.56</v>
      </c>
      <c r="AAF7" s="87">
        <f t="shared" si="3"/>
        <v>0.97979836704888768</v>
      </c>
      <c r="AAG7" s="88">
        <f t="shared" si="4"/>
        <v>-2012.8999999999942</v>
      </c>
      <c r="AAH7" s="91">
        <f>AAD17</f>
        <v>1212833.3199999998</v>
      </c>
      <c r="AAI7" s="92"/>
      <c r="AAJ7" s="92"/>
      <c r="AAK7" s="82"/>
    </row>
    <row r="8" spans="1:714" s="83" customFormat="1" ht="20" customHeight="1" x14ac:dyDescent="0.2">
      <c r="A8" s="84" t="s">
        <v>143</v>
      </c>
      <c r="B8" s="93"/>
      <c r="C8" s="90"/>
      <c r="D8" s="90"/>
      <c r="E8" s="60"/>
      <c r="F8" s="61">
        <v>44652</v>
      </c>
      <c r="G8" s="62">
        <v>29428</v>
      </c>
      <c r="H8" s="63">
        <v>29428</v>
      </c>
      <c r="I8" s="64">
        <f t="shared" si="5"/>
        <v>0</v>
      </c>
      <c r="J8" s="65">
        <v>0</v>
      </c>
      <c r="K8" s="63">
        <v>0</v>
      </c>
      <c r="L8" s="64">
        <f t="shared" si="6"/>
        <v>0</v>
      </c>
      <c r="M8" s="65">
        <v>1000</v>
      </c>
      <c r="N8" s="63">
        <v>3759.03</v>
      </c>
      <c r="O8" s="64">
        <f t="shared" si="7"/>
        <v>-2759.03</v>
      </c>
      <c r="P8" s="65">
        <v>500</v>
      </c>
      <c r="Q8" s="63">
        <v>39.869999999999997</v>
      </c>
      <c r="R8" s="64">
        <f t="shared" si="8"/>
        <v>460.13</v>
      </c>
      <c r="S8" s="65">
        <v>600</v>
      </c>
      <c r="T8" s="63">
        <v>495.72</v>
      </c>
      <c r="U8" s="64">
        <f t="shared" si="9"/>
        <v>104.27999999999997</v>
      </c>
      <c r="V8" s="66">
        <f t="shared" si="10"/>
        <v>31528</v>
      </c>
      <c r="W8" s="67">
        <f t="shared" si="10"/>
        <v>33722.620000000003</v>
      </c>
      <c r="X8" s="64">
        <f t="shared" si="11"/>
        <v>-2194.6200000000026</v>
      </c>
      <c r="Y8" s="62">
        <v>1100</v>
      </c>
      <c r="Z8" s="63">
        <v>1100</v>
      </c>
      <c r="AA8" s="64">
        <f t="shared" si="12"/>
        <v>0</v>
      </c>
      <c r="AB8" s="65"/>
      <c r="AC8" s="63"/>
      <c r="AD8" s="64">
        <f t="shared" si="13"/>
        <v>0</v>
      </c>
      <c r="AE8" s="65"/>
      <c r="AF8" s="63"/>
      <c r="AG8" s="64">
        <f t="shared" si="14"/>
        <v>0</v>
      </c>
      <c r="AH8" s="65"/>
      <c r="AI8" s="63"/>
      <c r="AJ8" s="64">
        <f t="shared" si="15"/>
        <v>0</v>
      </c>
      <c r="AK8" s="66">
        <f t="shared" si="16"/>
        <v>1100</v>
      </c>
      <c r="AL8" s="67">
        <f t="shared" si="17"/>
        <v>1100</v>
      </c>
      <c r="AM8" s="64">
        <f t="shared" si="18"/>
        <v>0</v>
      </c>
      <c r="AN8" s="62"/>
      <c r="AO8" s="63"/>
      <c r="AP8" s="64">
        <f t="shared" si="19"/>
        <v>0</v>
      </c>
      <c r="AQ8" s="65"/>
      <c r="AR8" s="63"/>
      <c r="AS8" s="64">
        <f t="shared" si="20"/>
        <v>0</v>
      </c>
      <c r="AT8" s="65"/>
      <c r="AU8" s="63"/>
      <c r="AV8" s="64">
        <f t="shared" si="21"/>
        <v>0</v>
      </c>
      <c r="AW8" s="65"/>
      <c r="AX8" s="63"/>
      <c r="AY8" s="64">
        <f t="shared" si="22"/>
        <v>0</v>
      </c>
      <c r="AZ8" s="66">
        <f t="shared" si="23"/>
        <v>0</v>
      </c>
      <c r="BA8" s="67">
        <f t="shared" si="24"/>
        <v>0</v>
      </c>
      <c r="BB8" s="64">
        <f t="shared" si="25"/>
        <v>0</v>
      </c>
      <c r="BC8" s="62"/>
      <c r="BD8" s="63"/>
      <c r="BE8" s="64">
        <f t="shared" si="26"/>
        <v>0</v>
      </c>
      <c r="BF8" s="65"/>
      <c r="BG8" s="63"/>
      <c r="BH8" s="64">
        <f t="shared" si="27"/>
        <v>0</v>
      </c>
      <c r="BI8" s="65"/>
      <c r="BJ8" s="63"/>
      <c r="BK8" s="64">
        <f t="shared" si="28"/>
        <v>0</v>
      </c>
      <c r="BL8" s="65">
        <v>100</v>
      </c>
      <c r="BM8" s="63"/>
      <c r="BN8" s="64">
        <f t="shared" si="29"/>
        <v>100</v>
      </c>
      <c r="BO8" s="66">
        <f t="shared" si="30"/>
        <v>100</v>
      </c>
      <c r="BP8" s="67">
        <f t="shared" si="31"/>
        <v>0</v>
      </c>
      <c r="BQ8" s="64">
        <f t="shared" si="32"/>
        <v>100</v>
      </c>
      <c r="BR8" s="68"/>
      <c r="BS8" s="69"/>
      <c r="BT8" s="70"/>
      <c r="BU8" s="71"/>
      <c r="BV8" s="69"/>
      <c r="BW8" s="70"/>
      <c r="BX8" s="71"/>
      <c r="BY8" s="69"/>
      <c r="BZ8" s="70"/>
      <c r="CA8" s="71"/>
      <c r="CB8" s="69"/>
      <c r="CC8" s="70"/>
      <c r="CD8" s="66">
        <f t="shared" si="33"/>
        <v>0</v>
      </c>
      <c r="CE8" s="67">
        <f t="shared" si="34"/>
        <v>0</v>
      </c>
      <c r="CF8" s="64">
        <f t="shared" si="35"/>
        <v>0</v>
      </c>
      <c r="CG8" s="62"/>
      <c r="CH8" s="63"/>
      <c r="CI8" s="64">
        <f t="shared" si="36"/>
        <v>0</v>
      </c>
      <c r="CJ8" s="65"/>
      <c r="CK8" s="63"/>
      <c r="CL8" s="64">
        <f t="shared" si="37"/>
        <v>0</v>
      </c>
      <c r="CM8" s="65"/>
      <c r="CN8" s="63"/>
      <c r="CO8" s="64">
        <f t="shared" si="38"/>
        <v>0</v>
      </c>
      <c r="CP8" s="65"/>
      <c r="CQ8" s="63"/>
      <c r="CR8" s="64">
        <f t="shared" si="39"/>
        <v>0</v>
      </c>
      <c r="CS8" s="66">
        <f t="shared" si="40"/>
        <v>0</v>
      </c>
      <c r="CT8" s="67">
        <f t="shared" si="41"/>
        <v>0</v>
      </c>
      <c r="CU8" s="64">
        <f t="shared" si="42"/>
        <v>0</v>
      </c>
      <c r="CV8" s="68"/>
      <c r="CW8" s="69"/>
      <c r="CX8" s="70"/>
      <c r="CY8" s="71"/>
      <c r="CZ8" s="69"/>
      <c r="DA8" s="70"/>
      <c r="DB8" s="71"/>
      <c r="DC8" s="69"/>
      <c r="DD8" s="70"/>
      <c r="DE8" s="71"/>
      <c r="DF8" s="69"/>
      <c r="DG8" s="70"/>
      <c r="DH8" s="66">
        <f t="shared" si="43"/>
        <v>0</v>
      </c>
      <c r="DI8" s="67">
        <f t="shared" si="44"/>
        <v>0</v>
      </c>
      <c r="DJ8" s="64">
        <f t="shared" si="45"/>
        <v>0</v>
      </c>
      <c r="DK8" s="68"/>
      <c r="DL8" s="69"/>
      <c r="DM8" s="70"/>
      <c r="DN8" s="71"/>
      <c r="DO8" s="69"/>
      <c r="DP8" s="70"/>
      <c r="DQ8" s="71"/>
      <c r="DR8" s="69"/>
      <c r="DS8" s="70"/>
      <c r="DT8" s="71"/>
      <c r="DU8" s="69"/>
      <c r="DV8" s="70"/>
      <c r="DW8" s="66">
        <f t="shared" si="46"/>
        <v>0</v>
      </c>
      <c r="DX8" s="67">
        <f t="shared" si="47"/>
        <v>0</v>
      </c>
      <c r="DY8" s="64">
        <f t="shared" si="48"/>
        <v>0</v>
      </c>
      <c r="DZ8" s="62"/>
      <c r="EA8" s="63"/>
      <c r="EB8" s="64">
        <f t="shared" si="49"/>
        <v>0</v>
      </c>
      <c r="EC8" s="65"/>
      <c r="ED8" s="63"/>
      <c r="EE8" s="64">
        <f t="shared" si="50"/>
        <v>0</v>
      </c>
      <c r="EF8" s="65"/>
      <c r="EG8" s="63"/>
      <c r="EH8" s="64">
        <f t="shared" si="51"/>
        <v>0</v>
      </c>
      <c r="EI8" s="65">
        <v>100</v>
      </c>
      <c r="EJ8" s="63"/>
      <c r="EK8" s="64">
        <f t="shared" si="52"/>
        <v>100</v>
      </c>
      <c r="EL8" s="66">
        <f t="shared" si="53"/>
        <v>100</v>
      </c>
      <c r="EM8" s="67">
        <f t="shared" si="54"/>
        <v>0</v>
      </c>
      <c r="EN8" s="64">
        <f t="shared" si="55"/>
        <v>100</v>
      </c>
      <c r="EO8" s="62"/>
      <c r="EP8" s="63"/>
      <c r="EQ8" s="64">
        <f t="shared" si="56"/>
        <v>0</v>
      </c>
      <c r="ER8" s="65"/>
      <c r="ES8" s="63"/>
      <c r="ET8" s="64">
        <f t="shared" si="57"/>
        <v>0</v>
      </c>
      <c r="EU8" s="65"/>
      <c r="EV8" s="63"/>
      <c r="EW8" s="64">
        <f t="shared" si="58"/>
        <v>0</v>
      </c>
      <c r="EX8" s="65">
        <v>100</v>
      </c>
      <c r="EY8" s="63"/>
      <c r="EZ8" s="64">
        <f t="shared" si="59"/>
        <v>100</v>
      </c>
      <c r="FA8" s="66">
        <f t="shared" si="60"/>
        <v>100</v>
      </c>
      <c r="FB8" s="67">
        <f t="shared" si="61"/>
        <v>0</v>
      </c>
      <c r="FC8" s="64">
        <f t="shared" si="62"/>
        <v>100</v>
      </c>
      <c r="FD8" s="62"/>
      <c r="FE8" s="63"/>
      <c r="FF8" s="64">
        <f t="shared" si="63"/>
        <v>0</v>
      </c>
      <c r="FG8" s="65"/>
      <c r="FH8" s="63"/>
      <c r="FI8" s="64">
        <f t="shared" si="64"/>
        <v>0</v>
      </c>
      <c r="FJ8" s="65"/>
      <c r="FK8" s="63"/>
      <c r="FL8" s="64">
        <f t="shared" si="65"/>
        <v>0</v>
      </c>
      <c r="FM8" s="65">
        <v>100</v>
      </c>
      <c r="FN8" s="63"/>
      <c r="FO8" s="64">
        <f t="shared" si="66"/>
        <v>100</v>
      </c>
      <c r="FP8" s="66">
        <f t="shared" si="67"/>
        <v>100</v>
      </c>
      <c r="FQ8" s="67">
        <f t="shared" si="68"/>
        <v>0</v>
      </c>
      <c r="FR8" s="64">
        <f t="shared" si="69"/>
        <v>100</v>
      </c>
      <c r="FS8" s="62"/>
      <c r="FT8" s="63"/>
      <c r="FU8" s="64">
        <f t="shared" si="70"/>
        <v>0</v>
      </c>
      <c r="FV8" s="65"/>
      <c r="FW8" s="63"/>
      <c r="FX8" s="64">
        <f t="shared" si="71"/>
        <v>0</v>
      </c>
      <c r="FY8" s="65"/>
      <c r="FZ8" s="63"/>
      <c r="GA8" s="64">
        <f t="shared" si="72"/>
        <v>0</v>
      </c>
      <c r="GB8" s="65"/>
      <c r="GC8" s="63"/>
      <c r="GD8" s="64">
        <f t="shared" si="73"/>
        <v>0</v>
      </c>
      <c r="GE8" s="66">
        <f t="shared" si="74"/>
        <v>0</v>
      </c>
      <c r="GF8" s="67">
        <f t="shared" si="75"/>
        <v>0</v>
      </c>
      <c r="GG8" s="64">
        <f t="shared" si="76"/>
        <v>0</v>
      </c>
      <c r="GH8" s="62"/>
      <c r="GI8" s="63"/>
      <c r="GJ8" s="64">
        <f t="shared" si="77"/>
        <v>0</v>
      </c>
      <c r="GK8" s="65"/>
      <c r="GL8" s="63"/>
      <c r="GM8" s="64">
        <f t="shared" si="78"/>
        <v>0</v>
      </c>
      <c r="GN8" s="65"/>
      <c r="GO8" s="63">
        <v>1044.25</v>
      </c>
      <c r="GP8" s="64">
        <f t="shared" si="79"/>
        <v>-1044.25</v>
      </c>
      <c r="GQ8" s="65"/>
      <c r="GR8" s="63"/>
      <c r="GS8" s="64">
        <f t="shared" si="80"/>
        <v>0</v>
      </c>
      <c r="GT8" s="66">
        <f t="shared" si="81"/>
        <v>0</v>
      </c>
      <c r="GU8" s="67">
        <f t="shared" si="82"/>
        <v>1044.25</v>
      </c>
      <c r="GV8" s="64">
        <f t="shared" si="83"/>
        <v>-1044.25</v>
      </c>
      <c r="GW8" s="68"/>
      <c r="GX8" s="69"/>
      <c r="GY8" s="70"/>
      <c r="GZ8" s="71"/>
      <c r="HA8" s="69"/>
      <c r="HB8" s="70"/>
      <c r="HC8" s="71"/>
      <c r="HD8" s="69"/>
      <c r="HE8" s="70"/>
      <c r="HF8" s="71"/>
      <c r="HG8" s="69"/>
      <c r="HH8" s="70"/>
      <c r="HI8" s="66">
        <f t="shared" si="84"/>
        <v>0</v>
      </c>
      <c r="HJ8" s="67">
        <f t="shared" si="85"/>
        <v>0</v>
      </c>
      <c r="HK8" s="64">
        <f t="shared" si="86"/>
        <v>0</v>
      </c>
      <c r="HL8" s="62"/>
      <c r="HM8" s="63"/>
      <c r="HN8" s="64">
        <f t="shared" si="87"/>
        <v>0</v>
      </c>
      <c r="HO8" s="65"/>
      <c r="HP8" s="63"/>
      <c r="HQ8" s="64">
        <f t="shared" si="88"/>
        <v>0</v>
      </c>
      <c r="HR8" s="65">
        <v>3200.88</v>
      </c>
      <c r="HS8" s="63">
        <v>2995.74</v>
      </c>
      <c r="HT8" s="64">
        <f t="shared" si="89"/>
        <v>205.14000000000033</v>
      </c>
      <c r="HU8" s="65">
        <v>100</v>
      </c>
      <c r="HV8" s="63"/>
      <c r="HW8" s="64">
        <f t="shared" si="90"/>
        <v>100</v>
      </c>
      <c r="HX8" s="66">
        <f t="shared" si="91"/>
        <v>3300.88</v>
      </c>
      <c r="HY8" s="67">
        <f t="shared" si="92"/>
        <v>2995.74</v>
      </c>
      <c r="HZ8" s="64">
        <f t="shared" si="93"/>
        <v>305.14000000000033</v>
      </c>
      <c r="IA8" s="62"/>
      <c r="IB8" s="63"/>
      <c r="IC8" s="64">
        <f t="shared" si="94"/>
        <v>0</v>
      </c>
      <c r="ID8" s="65"/>
      <c r="IE8" s="63"/>
      <c r="IF8" s="64">
        <f t="shared" si="95"/>
        <v>0</v>
      </c>
      <c r="IG8" s="65"/>
      <c r="IH8" s="63"/>
      <c r="II8" s="64">
        <f t="shared" si="96"/>
        <v>0</v>
      </c>
      <c r="IJ8" s="65">
        <v>100</v>
      </c>
      <c r="IK8" s="63">
        <v>156.80000000000001</v>
      </c>
      <c r="IL8" s="64">
        <f t="shared" si="97"/>
        <v>-56.800000000000011</v>
      </c>
      <c r="IM8" s="66">
        <f t="shared" si="98"/>
        <v>100</v>
      </c>
      <c r="IN8" s="67">
        <f t="shared" si="99"/>
        <v>156.80000000000001</v>
      </c>
      <c r="IO8" s="64">
        <f t="shared" si="100"/>
        <v>-56.800000000000011</v>
      </c>
      <c r="IP8" s="62"/>
      <c r="IQ8" s="63"/>
      <c r="IR8" s="64">
        <f t="shared" si="101"/>
        <v>0</v>
      </c>
      <c r="IS8" s="65"/>
      <c r="IT8" s="63"/>
      <c r="IU8" s="64">
        <f t="shared" si="102"/>
        <v>0</v>
      </c>
      <c r="IV8" s="65"/>
      <c r="IW8" s="63"/>
      <c r="IX8" s="64">
        <f t="shared" si="103"/>
        <v>0</v>
      </c>
      <c r="IY8" s="65"/>
      <c r="IZ8" s="63"/>
      <c r="JA8" s="64">
        <f t="shared" si="104"/>
        <v>0</v>
      </c>
      <c r="JB8" s="66">
        <f t="shared" si="105"/>
        <v>0</v>
      </c>
      <c r="JC8" s="67">
        <f t="shared" si="106"/>
        <v>0</v>
      </c>
      <c r="JD8" s="64">
        <f t="shared" si="107"/>
        <v>0</v>
      </c>
      <c r="JE8" s="62"/>
      <c r="JF8" s="63"/>
      <c r="JG8" s="64">
        <f t="shared" si="108"/>
        <v>0</v>
      </c>
      <c r="JH8" s="65"/>
      <c r="JI8" s="63"/>
      <c r="JJ8" s="64">
        <f t="shared" si="109"/>
        <v>0</v>
      </c>
      <c r="JK8" s="65"/>
      <c r="JL8" s="63">
        <v>1671.76</v>
      </c>
      <c r="JM8" s="64">
        <f t="shared" si="110"/>
        <v>-1671.76</v>
      </c>
      <c r="JN8" s="65">
        <v>100</v>
      </c>
      <c r="JO8" s="63">
        <v>62.16</v>
      </c>
      <c r="JP8" s="64">
        <f t="shared" si="111"/>
        <v>37.840000000000003</v>
      </c>
      <c r="JQ8" s="66">
        <f t="shared" si="112"/>
        <v>100</v>
      </c>
      <c r="JR8" s="67">
        <f t="shared" si="113"/>
        <v>1733.92</v>
      </c>
      <c r="JS8" s="64">
        <f t="shared" si="114"/>
        <v>-1633.92</v>
      </c>
      <c r="JT8" s="62">
        <v>4920</v>
      </c>
      <c r="JU8" s="63">
        <v>4920</v>
      </c>
      <c r="JV8" s="64">
        <f t="shared" si="115"/>
        <v>0</v>
      </c>
      <c r="JW8" s="65"/>
      <c r="JX8" s="63"/>
      <c r="JY8" s="64">
        <f t="shared" si="116"/>
        <v>0</v>
      </c>
      <c r="JZ8" s="65"/>
      <c r="KA8" s="63"/>
      <c r="KB8" s="64">
        <f t="shared" si="117"/>
        <v>0</v>
      </c>
      <c r="KC8" s="65">
        <v>100</v>
      </c>
      <c r="KD8" s="63"/>
      <c r="KE8" s="64">
        <f t="shared" si="118"/>
        <v>100</v>
      </c>
      <c r="KF8" s="66">
        <f t="shared" si="119"/>
        <v>5020</v>
      </c>
      <c r="KG8" s="67">
        <f t="shared" si="120"/>
        <v>4920</v>
      </c>
      <c r="KH8" s="64">
        <f t="shared" si="121"/>
        <v>100</v>
      </c>
      <c r="KI8" s="68"/>
      <c r="KJ8" s="69"/>
      <c r="KK8" s="70"/>
      <c r="KL8" s="71"/>
      <c r="KM8" s="69"/>
      <c r="KN8" s="70"/>
      <c r="KO8" s="71"/>
      <c r="KP8" s="69"/>
      <c r="KQ8" s="70"/>
      <c r="KR8" s="71"/>
      <c r="KS8" s="69"/>
      <c r="KT8" s="64">
        <f t="shared" si="0"/>
        <v>0</v>
      </c>
      <c r="KU8" s="66">
        <f t="shared" si="1"/>
        <v>0</v>
      </c>
      <c r="KV8" s="67">
        <f t="shared" si="2"/>
        <v>0</v>
      </c>
      <c r="KW8" s="64">
        <f t="shared" si="122"/>
        <v>0</v>
      </c>
      <c r="KX8" s="72"/>
      <c r="KY8" s="73"/>
      <c r="KZ8" s="74"/>
      <c r="LA8" s="75"/>
      <c r="LB8" s="73"/>
      <c r="LC8" s="74"/>
      <c r="LD8" s="75"/>
      <c r="LE8" s="73"/>
      <c r="LF8" s="74"/>
      <c r="LG8" s="75"/>
      <c r="LH8" s="73"/>
      <c r="LI8" s="74"/>
      <c r="LJ8" s="76"/>
      <c r="LK8" s="77"/>
      <c r="LL8" s="74"/>
      <c r="LM8" s="68"/>
      <c r="LN8" s="69"/>
      <c r="LO8" s="70"/>
      <c r="LP8" s="71"/>
      <c r="LQ8" s="69"/>
      <c r="LR8" s="70"/>
      <c r="LS8" s="71"/>
      <c r="LT8" s="69"/>
      <c r="LU8" s="70"/>
      <c r="LV8" s="71"/>
      <c r="LW8" s="69"/>
      <c r="LX8" s="64">
        <f t="shared" si="123"/>
        <v>0</v>
      </c>
      <c r="LY8" s="66">
        <f t="shared" si="124"/>
        <v>0</v>
      </c>
      <c r="LZ8" s="67">
        <f t="shared" si="125"/>
        <v>0</v>
      </c>
      <c r="MA8" s="64">
        <f t="shared" si="126"/>
        <v>0</v>
      </c>
      <c r="MB8" s="62">
        <v>650</v>
      </c>
      <c r="MC8" s="63">
        <v>650</v>
      </c>
      <c r="MD8" s="64">
        <f t="shared" si="127"/>
        <v>0</v>
      </c>
      <c r="ME8" s="65">
        <v>727.43</v>
      </c>
      <c r="MF8" s="63">
        <v>185.49</v>
      </c>
      <c r="MG8" s="64">
        <f t="shared" si="128"/>
        <v>541.93999999999994</v>
      </c>
      <c r="MH8" s="65"/>
      <c r="MI8" s="63"/>
      <c r="MJ8" s="64">
        <f t="shared" si="129"/>
        <v>0</v>
      </c>
      <c r="MK8" s="65">
        <v>100</v>
      </c>
      <c r="ML8" s="63">
        <v>318.23</v>
      </c>
      <c r="MM8" s="64">
        <f t="shared" si="130"/>
        <v>-218.23000000000002</v>
      </c>
      <c r="MN8" s="66">
        <f t="shared" si="131"/>
        <v>1477.4299999999998</v>
      </c>
      <c r="MO8" s="67">
        <f t="shared" si="132"/>
        <v>1153.72</v>
      </c>
      <c r="MP8" s="64">
        <f t="shared" si="133"/>
        <v>323.70999999999981</v>
      </c>
      <c r="MQ8" s="62"/>
      <c r="MR8" s="63"/>
      <c r="MS8" s="64">
        <f t="shared" si="134"/>
        <v>0</v>
      </c>
      <c r="MT8" s="65"/>
      <c r="MU8" s="63"/>
      <c r="MV8" s="64">
        <f t="shared" si="135"/>
        <v>0</v>
      </c>
      <c r="MW8" s="65"/>
      <c r="MX8" s="63"/>
      <c r="MY8" s="64">
        <f t="shared" si="136"/>
        <v>0</v>
      </c>
      <c r="MZ8" s="65"/>
      <c r="NA8" s="63"/>
      <c r="NB8" s="64">
        <f t="shared" si="137"/>
        <v>0</v>
      </c>
      <c r="NC8" s="66">
        <f t="shared" si="138"/>
        <v>0</v>
      </c>
      <c r="ND8" s="67">
        <f t="shared" si="139"/>
        <v>0</v>
      </c>
      <c r="NE8" s="64">
        <f t="shared" si="140"/>
        <v>0</v>
      </c>
      <c r="NF8" s="62"/>
      <c r="NG8" s="63"/>
      <c r="NH8" s="64">
        <f t="shared" si="141"/>
        <v>0</v>
      </c>
      <c r="NI8" s="65">
        <v>685.09</v>
      </c>
      <c r="NJ8" s="63">
        <v>667</v>
      </c>
      <c r="NK8" s="64">
        <f t="shared" si="142"/>
        <v>18.090000000000032</v>
      </c>
      <c r="NL8" s="65"/>
      <c r="NM8" s="63"/>
      <c r="NN8" s="64">
        <f t="shared" si="143"/>
        <v>0</v>
      </c>
      <c r="NO8" s="65">
        <v>100</v>
      </c>
      <c r="NP8" s="63">
        <v>56.12</v>
      </c>
      <c r="NQ8" s="64">
        <f t="shared" si="144"/>
        <v>43.88</v>
      </c>
      <c r="NR8" s="66">
        <f t="shared" si="145"/>
        <v>785.09</v>
      </c>
      <c r="NS8" s="67">
        <f t="shared" si="146"/>
        <v>723.12</v>
      </c>
      <c r="NT8" s="64">
        <f t="shared" si="147"/>
        <v>61.970000000000027</v>
      </c>
      <c r="NU8" s="62">
        <v>864</v>
      </c>
      <c r="NV8" s="63">
        <v>864</v>
      </c>
      <c r="NW8" s="64">
        <f t="shared" si="148"/>
        <v>0</v>
      </c>
      <c r="NX8" s="65">
        <v>636.36</v>
      </c>
      <c r="NY8" s="63"/>
      <c r="NZ8" s="64">
        <f t="shared" si="149"/>
        <v>636.36</v>
      </c>
      <c r="OA8" s="65"/>
      <c r="OB8" s="63"/>
      <c r="OC8" s="64">
        <f t="shared" si="150"/>
        <v>0</v>
      </c>
      <c r="OD8" s="65">
        <v>100</v>
      </c>
      <c r="OE8" s="63"/>
      <c r="OF8" s="64">
        <f t="shared" si="151"/>
        <v>100</v>
      </c>
      <c r="OG8" s="66">
        <f t="shared" si="152"/>
        <v>1600.3600000000001</v>
      </c>
      <c r="OH8" s="67">
        <f t="shared" si="153"/>
        <v>864</v>
      </c>
      <c r="OI8" s="64">
        <f t="shared" si="154"/>
        <v>736.36000000000013</v>
      </c>
      <c r="OJ8" s="62"/>
      <c r="OK8" s="63"/>
      <c r="OL8" s="64">
        <f t="shared" si="155"/>
        <v>0</v>
      </c>
      <c r="OM8" s="65"/>
      <c r="ON8" s="63"/>
      <c r="OO8" s="64">
        <f t="shared" si="156"/>
        <v>0</v>
      </c>
      <c r="OP8" s="65"/>
      <c r="OQ8" s="63"/>
      <c r="OR8" s="64">
        <f t="shared" si="157"/>
        <v>0</v>
      </c>
      <c r="OS8" s="65">
        <v>100</v>
      </c>
      <c r="OT8" s="63"/>
      <c r="OU8" s="64">
        <f t="shared" si="158"/>
        <v>100</v>
      </c>
      <c r="OV8" s="66">
        <f t="shared" si="159"/>
        <v>100</v>
      </c>
      <c r="OW8" s="67">
        <f t="shared" si="160"/>
        <v>0</v>
      </c>
      <c r="OX8" s="64">
        <f t="shared" si="161"/>
        <v>100</v>
      </c>
      <c r="OY8" s="62"/>
      <c r="OZ8" s="63"/>
      <c r="PA8" s="64">
        <f t="shared" si="162"/>
        <v>0</v>
      </c>
      <c r="PB8" s="65"/>
      <c r="PC8" s="63"/>
      <c r="PD8" s="64">
        <f t="shared" si="163"/>
        <v>0</v>
      </c>
      <c r="PE8" s="65"/>
      <c r="PF8" s="63"/>
      <c r="PG8" s="64">
        <f t="shared" si="164"/>
        <v>0</v>
      </c>
      <c r="PH8" s="65">
        <v>100</v>
      </c>
      <c r="PI8" s="63"/>
      <c r="PJ8" s="64">
        <f t="shared" si="165"/>
        <v>100</v>
      </c>
      <c r="PK8" s="66">
        <f t="shared" si="166"/>
        <v>100</v>
      </c>
      <c r="PL8" s="67">
        <f t="shared" si="167"/>
        <v>0</v>
      </c>
      <c r="PM8" s="64">
        <f t="shared" si="168"/>
        <v>100</v>
      </c>
      <c r="PN8" s="62">
        <v>1400</v>
      </c>
      <c r="PO8" s="63">
        <v>1400</v>
      </c>
      <c r="PP8" s="64">
        <f t="shared" si="169"/>
        <v>0</v>
      </c>
      <c r="PQ8" s="65"/>
      <c r="PR8" s="63"/>
      <c r="PS8" s="64">
        <f t="shared" si="170"/>
        <v>0</v>
      </c>
      <c r="PT8" s="65"/>
      <c r="PU8" s="63"/>
      <c r="PV8" s="64">
        <f t="shared" si="171"/>
        <v>0</v>
      </c>
      <c r="PW8" s="65">
        <v>100</v>
      </c>
      <c r="PX8" s="63">
        <v>130.82</v>
      </c>
      <c r="PY8" s="64">
        <f t="shared" si="172"/>
        <v>-30.819999999999993</v>
      </c>
      <c r="PZ8" s="66">
        <f t="shared" si="173"/>
        <v>1500</v>
      </c>
      <c r="QA8" s="67">
        <f t="shared" si="174"/>
        <v>1530.82</v>
      </c>
      <c r="QB8" s="64">
        <f t="shared" si="175"/>
        <v>-30.819999999999936</v>
      </c>
      <c r="QC8" s="62"/>
      <c r="QD8" s="63"/>
      <c r="QE8" s="64">
        <f t="shared" si="176"/>
        <v>0</v>
      </c>
      <c r="QF8" s="65"/>
      <c r="QG8" s="63"/>
      <c r="QH8" s="64">
        <f t="shared" si="177"/>
        <v>0</v>
      </c>
      <c r="QI8" s="65"/>
      <c r="QJ8" s="63"/>
      <c r="QK8" s="64">
        <f t="shared" si="178"/>
        <v>0</v>
      </c>
      <c r="QL8" s="65">
        <v>100</v>
      </c>
      <c r="QM8" s="63"/>
      <c r="QN8" s="64">
        <f t="shared" si="179"/>
        <v>100</v>
      </c>
      <c r="QO8" s="66">
        <f t="shared" si="180"/>
        <v>100</v>
      </c>
      <c r="QP8" s="67">
        <f t="shared" si="181"/>
        <v>0</v>
      </c>
      <c r="QQ8" s="64">
        <f t="shared" si="182"/>
        <v>100</v>
      </c>
      <c r="QR8" s="62"/>
      <c r="QS8" s="63"/>
      <c r="QT8" s="64">
        <f t="shared" si="183"/>
        <v>0</v>
      </c>
      <c r="QU8" s="65"/>
      <c r="QV8" s="63"/>
      <c r="QW8" s="64">
        <f t="shared" si="184"/>
        <v>0</v>
      </c>
      <c r="QX8" s="65"/>
      <c r="QY8" s="63"/>
      <c r="QZ8" s="64">
        <f t="shared" si="185"/>
        <v>0</v>
      </c>
      <c r="RA8" s="65"/>
      <c r="RB8" s="63"/>
      <c r="RC8" s="64">
        <f t="shared" si="186"/>
        <v>0</v>
      </c>
      <c r="RD8" s="66">
        <f t="shared" si="187"/>
        <v>0</v>
      </c>
      <c r="RE8" s="67">
        <f t="shared" si="188"/>
        <v>0</v>
      </c>
      <c r="RF8" s="64">
        <f t="shared" si="189"/>
        <v>0</v>
      </c>
      <c r="RG8" s="62"/>
      <c r="RH8" s="63"/>
      <c r="RI8" s="64">
        <f t="shared" si="190"/>
        <v>0</v>
      </c>
      <c r="RJ8" s="65"/>
      <c r="RK8" s="63"/>
      <c r="RL8" s="64">
        <f t="shared" si="191"/>
        <v>0</v>
      </c>
      <c r="RM8" s="65"/>
      <c r="RN8" s="63"/>
      <c r="RO8" s="64">
        <f t="shared" si="192"/>
        <v>0</v>
      </c>
      <c r="RP8" s="65"/>
      <c r="RQ8" s="63"/>
      <c r="RR8" s="64">
        <f t="shared" si="193"/>
        <v>0</v>
      </c>
      <c r="RS8" s="66">
        <f t="shared" si="194"/>
        <v>0</v>
      </c>
      <c r="RT8" s="67">
        <f t="shared" si="195"/>
        <v>0</v>
      </c>
      <c r="RU8" s="64">
        <f t="shared" si="196"/>
        <v>0</v>
      </c>
      <c r="RV8" s="62"/>
      <c r="RW8" s="63"/>
      <c r="RX8" s="64">
        <f t="shared" si="197"/>
        <v>0</v>
      </c>
      <c r="RY8" s="65"/>
      <c r="RZ8" s="63"/>
      <c r="SA8" s="64">
        <f t="shared" si="198"/>
        <v>0</v>
      </c>
      <c r="SB8" s="65"/>
      <c r="SC8" s="63"/>
      <c r="SD8" s="64">
        <f t="shared" si="199"/>
        <v>0</v>
      </c>
      <c r="SE8" s="65">
        <v>100</v>
      </c>
      <c r="SF8" s="63">
        <v>86.79</v>
      </c>
      <c r="SG8" s="64">
        <f t="shared" si="200"/>
        <v>13.209999999999994</v>
      </c>
      <c r="SH8" s="66">
        <f t="shared" si="201"/>
        <v>100</v>
      </c>
      <c r="SI8" s="67">
        <f t="shared" si="202"/>
        <v>86.79</v>
      </c>
      <c r="SJ8" s="64">
        <f t="shared" si="203"/>
        <v>13.209999999999994</v>
      </c>
      <c r="SK8" s="62"/>
      <c r="SL8" s="63"/>
      <c r="SM8" s="64">
        <f t="shared" si="204"/>
        <v>0</v>
      </c>
      <c r="SN8" s="65"/>
      <c r="SO8" s="63"/>
      <c r="SP8" s="64">
        <f t="shared" si="205"/>
        <v>0</v>
      </c>
      <c r="SQ8" s="65"/>
      <c r="SR8" s="63"/>
      <c r="SS8" s="64">
        <f t="shared" si="206"/>
        <v>0</v>
      </c>
      <c r="ST8" s="65">
        <v>100</v>
      </c>
      <c r="SU8" s="63"/>
      <c r="SV8" s="64">
        <f t="shared" si="207"/>
        <v>100</v>
      </c>
      <c r="SW8" s="66">
        <f t="shared" si="208"/>
        <v>100</v>
      </c>
      <c r="SX8" s="67">
        <f t="shared" si="209"/>
        <v>0</v>
      </c>
      <c r="SY8" s="64">
        <f t="shared" si="210"/>
        <v>100</v>
      </c>
      <c r="SZ8" s="62">
        <v>1257.1199999999999</v>
      </c>
      <c r="TA8" s="63">
        <v>1257.1199999999999</v>
      </c>
      <c r="TB8" s="64">
        <f t="shared" si="211"/>
        <v>0</v>
      </c>
      <c r="TC8" s="65"/>
      <c r="TD8" s="63"/>
      <c r="TE8" s="64">
        <f t="shared" si="212"/>
        <v>0</v>
      </c>
      <c r="TF8" s="65"/>
      <c r="TG8" s="63"/>
      <c r="TH8" s="64">
        <f t="shared" si="213"/>
        <v>0</v>
      </c>
      <c r="TI8" s="65">
        <v>100</v>
      </c>
      <c r="TJ8" s="63"/>
      <c r="TK8" s="64">
        <f t="shared" si="214"/>
        <v>100</v>
      </c>
      <c r="TL8" s="66">
        <f t="shared" si="215"/>
        <v>1357.12</v>
      </c>
      <c r="TM8" s="67">
        <f t="shared" si="216"/>
        <v>1257.1199999999999</v>
      </c>
      <c r="TN8" s="64">
        <f t="shared" si="217"/>
        <v>100</v>
      </c>
      <c r="TO8" s="62"/>
      <c r="TP8" s="63"/>
      <c r="TQ8" s="64">
        <f t="shared" si="218"/>
        <v>0</v>
      </c>
      <c r="TR8" s="65"/>
      <c r="TS8" s="63"/>
      <c r="TT8" s="64">
        <f t="shared" si="219"/>
        <v>0</v>
      </c>
      <c r="TU8" s="65"/>
      <c r="TV8" s="63"/>
      <c r="TW8" s="64">
        <f t="shared" si="220"/>
        <v>0</v>
      </c>
      <c r="TX8" s="65">
        <v>100</v>
      </c>
      <c r="TY8" s="63"/>
      <c r="TZ8" s="64">
        <f t="shared" si="221"/>
        <v>100</v>
      </c>
      <c r="UA8" s="66">
        <f t="shared" si="222"/>
        <v>100</v>
      </c>
      <c r="UB8" s="67">
        <f t="shared" si="223"/>
        <v>0</v>
      </c>
      <c r="UC8" s="64">
        <f t="shared" si="224"/>
        <v>100</v>
      </c>
      <c r="UD8" s="68"/>
      <c r="UE8" s="69"/>
      <c r="UF8" s="70"/>
      <c r="UG8" s="71"/>
      <c r="UH8" s="69"/>
      <c r="UI8" s="70"/>
      <c r="UJ8" s="71"/>
      <c r="UK8" s="69"/>
      <c r="UL8" s="70"/>
      <c r="UM8" s="71"/>
      <c r="UN8" s="69"/>
      <c r="UO8" s="64">
        <f t="shared" si="225"/>
        <v>0</v>
      </c>
      <c r="UP8" s="66">
        <f t="shared" si="226"/>
        <v>0</v>
      </c>
      <c r="UQ8" s="67">
        <f t="shared" si="227"/>
        <v>0</v>
      </c>
      <c r="UR8" s="64">
        <f t="shared" si="228"/>
        <v>0</v>
      </c>
      <c r="US8" s="62"/>
      <c r="UT8" s="63"/>
      <c r="UU8" s="64">
        <f t="shared" si="229"/>
        <v>0</v>
      </c>
      <c r="UV8" s="65"/>
      <c r="UW8" s="63"/>
      <c r="UX8" s="64">
        <f t="shared" si="230"/>
        <v>0</v>
      </c>
      <c r="UY8" s="65"/>
      <c r="UZ8" s="63"/>
      <c r="VA8" s="64">
        <f t="shared" si="231"/>
        <v>0</v>
      </c>
      <c r="VB8" s="65">
        <v>100</v>
      </c>
      <c r="VC8" s="63"/>
      <c r="VD8" s="64">
        <f t="shared" si="232"/>
        <v>100</v>
      </c>
      <c r="VE8" s="66">
        <f t="shared" si="233"/>
        <v>100</v>
      </c>
      <c r="VF8" s="67">
        <f t="shared" si="234"/>
        <v>0</v>
      </c>
      <c r="VG8" s="64">
        <f t="shared" si="235"/>
        <v>100</v>
      </c>
      <c r="VH8" s="62"/>
      <c r="VI8" s="63"/>
      <c r="VJ8" s="64">
        <f t="shared" si="236"/>
        <v>0</v>
      </c>
      <c r="VK8" s="65"/>
      <c r="VL8" s="63"/>
      <c r="VM8" s="64">
        <f t="shared" si="237"/>
        <v>0</v>
      </c>
      <c r="VN8" s="65"/>
      <c r="VO8" s="63"/>
      <c r="VP8" s="64">
        <f t="shared" si="238"/>
        <v>0</v>
      </c>
      <c r="VQ8" s="65">
        <v>100</v>
      </c>
      <c r="VR8" s="63"/>
      <c r="VS8" s="64">
        <f t="shared" si="239"/>
        <v>100</v>
      </c>
      <c r="VT8" s="66">
        <f t="shared" si="240"/>
        <v>100</v>
      </c>
      <c r="VU8" s="67">
        <f t="shared" si="241"/>
        <v>0</v>
      </c>
      <c r="VV8" s="64">
        <f t="shared" si="242"/>
        <v>100</v>
      </c>
      <c r="VW8" s="62">
        <v>1303</v>
      </c>
      <c r="VX8" s="63">
        <v>1303</v>
      </c>
      <c r="VY8" s="64">
        <f t="shared" si="243"/>
        <v>0</v>
      </c>
      <c r="VZ8" s="65"/>
      <c r="WA8" s="63"/>
      <c r="WB8" s="64">
        <f t="shared" si="244"/>
        <v>0</v>
      </c>
      <c r="WC8" s="65"/>
      <c r="WD8" s="63"/>
      <c r="WE8" s="64">
        <f t="shared" si="245"/>
        <v>0</v>
      </c>
      <c r="WF8" s="65"/>
      <c r="WG8" s="63"/>
      <c r="WH8" s="64">
        <f t="shared" si="246"/>
        <v>0</v>
      </c>
      <c r="WI8" s="66">
        <f t="shared" si="247"/>
        <v>1303</v>
      </c>
      <c r="WJ8" s="67">
        <f t="shared" si="248"/>
        <v>1303</v>
      </c>
      <c r="WK8" s="64">
        <f t="shared" si="249"/>
        <v>0</v>
      </c>
      <c r="WL8" s="62">
        <v>1276.01</v>
      </c>
      <c r="WM8" s="63">
        <v>1276.01</v>
      </c>
      <c r="WN8" s="64">
        <f t="shared" si="250"/>
        <v>0</v>
      </c>
      <c r="WO8" s="65"/>
      <c r="WP8" s="63"/>
      <c r="WQ8" s="64">
        <f t="shared" si="251"/>
        <v>0</v>
      </c>
      <c r="WR8" s="65"/>
      <c r="WS8" s="63"/>
      <c r="WT8" s="64">
        <f t="shared" si="252"/>
        <v>0</v>
      </c>
      <c r="WU8" s="65">
        <v>100</v>
      </c>
      <c r="WV8" s="63"/>
      <c r="WW8" s="64">
        <f t="shared" si="253"/>
        <v>100</v>
      </c>
      <c r="WX8" s="66">
        <f t="shared" si="254"/>
        <v>1376.01</v>
      </c>
      <c r="WY8" s="67">
        <f t="shared" si="255"/>
        <v>1276.01</v>
      </c>
      <c r="WZ8" s="64">
        <f t="shared" si="256"/>
        <v>100</v>
      </c>
      <c r="XA8" s="62"/>
      <c r="XB8" s="63"/>
      <c r="XC8" s="64">
        <f t="shared" si="257"/>
        <v>0</v>
      </c>
      <c r="XD8" s="65"/>
      <c r="XE8" s="63"/>
      <c r="XF8" s="64">
        <f t="shared" si="258"/>
        <v>0</v>
      </c>
      <c r="XG8" s="65"/>
      <c r="XH8" s="63"/>
      <c r="XI8" s="64">
        <f t="shared" si="259"/>
        <v>0</v>
      </c>
      <c r="XJ8" s="65">
        <v>100</v>
      </c>
      <c r="XK8" s="63"/>
      <c r="XL8" s="64">
        <f t="shared" si="260"/>
        <v>100</v>
      </c>
      <c r="XM8" s="66">
        <f t="shared" si="261"/>
        <v>100</v>
      </c>
      <c r="XN8" s="67">
        <f t="shared" si="262"/>
        <v>0</v>
      </c>
      <c r="XO8" s="64">
        <f t="shared" si="263"/>
        <v>100</v>
      </c>
      <c r="XP8" s="62">
        <v>917</v>
      </c>
      <c r="XQ8" s="63">
        <v>917</v>
      </c>
      <c r="XR8" s="64">
        <f t="shared" si="264"/>
        <v>0</v>
      </c>
      <c r="XS8" s="65">
        <v>462.1</v>
      </c>
      <c r="XT8" s="63">
        <v>462.1</v>
      </c>
      <c r="XU8" s="64">
        <f t="shared" si="265"/>
        <v>0</v>
      </c>
      <c r="XV8" s="65"/>
      <c r="XW8" s="63"/>
      <c r="XX8" s="64">
        <f t="shared" si="266"/>
        <v>0</v>
      </c>
      <c r="XY8" s="65">
        <v>100</v>
      </c>
      <c r="XZ8" s="63"/>
      <c r="YA8" s="64">
        <f t="shared" si="267"/>
        <v>100</v>
      </c>
      <c r="YB8" s="66">
        <f t="shared" si="268"/>
        <v>1479.1</v>
      </c>
      <c r="YC8" s="67">
        <f t="shared" si="269"/>
        <v>1379.1</v>
      </c>
      <c r="YD8" s="64">
        <f t="shared" si="270"/>
        <v>100</v>
      </c>
      <c r="YE8" s="62">
        <v>890</v>
      </c>
      <c r="YF8" s="63">
        <v>890</v>
      </c>
      <c r="YG8" s="64">
        <f t="shared" si="271"/>
        <v>0</v>
      </c>
      <c r="YH8" s="65">
        <v>466.5</v>
      </c>
      <c r="YI8" s="63">
        <v>466.5</v>
      </c>
      <c r="YJ8" s="64">
        <f t="shared" si="272"/>
        <v>0</v>
      </c>
      <c r="YK8" s="65"/>
      <c r="YL8" s="63"/>
      <c r="YM8" s="64">
        <f t="shared" si="273"/>
        <v>0</v>
      </c>
      <c r="YN8" s="65">
        <v>100</v>
      </c>
      <c r="YO8" s="63"/>
      <c r="YP8" s="64">
        <f t="shared" si="274"/>
        <v>100</v>
      </c>
      <c r="YQ8" s="66">
        <f t="shared" si="275"/>
        <v>1456.5</v>
      </c>
      <c r="YR8" s="67">
        <f t="shared" si="276"/>
        <v>1356.5</v>
      </c>
      <c r="YS8" s="64">
        <f t="shared" si="277"/>
        <v>100</v>
      </c>
      <c r="YT8" s="62">
        <v>932</v>
      </c>
      <c r="YU8" s="63">
        <v>932</v>
      </c>
      <c r="YV8" s="64">
        <f t="shared" si="278"/>
        <v>0</v>
      </c>
      <c r="YW8" s="65">
        <v>448.46</v>
      </c>
      <c r="YX8" s="63">
        <v>448.46</v>
      </c>
      <c r="YY8" s="64">
        <f t="shared" si="279"/>
        <v>0</v>
      </c>
      <c r="YZ8" s="65"/>
      <c r="ZA8" s="63"/>
      <c r="ZB8" s="64">
        <f t="shared" si="280"/>
        <v>0</v>
      </c>
      <c r="ZC8" s="65">
        <v>100</v>
      </c>
      <c r="ZD8" s="63"/>
      <c r="ZE8" s="64">
        <f t="shared" si="281"/>
        <v>100</v>
      </c>
      <c r="ZF8" s="66">
        <f t="shared" si="282"/>
        <v>1480.46</v>
      </c>
      <c r="ZG8" s="67">
        <f t="shared" si="283"/>
        <v>1380.46</v>
      </c>
      <c r="ZH8" s="64">
        <f t="shared" si="284"/>
        <v>100</v>
      </c>
      <c r="ZI8" s="62">
        <v>1250</v>
      </c>
      <c r="ZJ8" s="63">
        <v>1250</v>
      </c>
      <c r="ZK8" s="64">
        <f t="shared" si="285"/>
        <v>0</v>
      </c>
      <c r="ZL8" s="65"/>
      <c r="ZM8" s="63"/>
      <c r="ZN8" s="64">
        <f t="shared" si="286"/>
        <v>0</v>
      </c>
      <c r="ZO8" s="65"/>
      <c r="ZP8" s="63"/>
      <c r="ZQ8" s="64">
        <f t="shared" si="287"/>
        <v>0</v>
      </c>
      <c r="ZR8" s="65">
        <v>100</v>
      </c>
      <c r="ZS8" s="63">
        <v>612.30999999999995</v>
      </c>
      <c r="ZT8" s="64">
        <f t="shared" si="288"/>
        <v>-512.30999999999995</v>
      </c>
      <c r="ZU8" s="66">
        <f t="shared" si="289"/>
        <v>1350</v>
      </c>
      <c r="ZV8" s="67">
        <f t="shared" si="290"/>
        <v>1862.31</v>
      </c>
      <c r="ZW8" s="64">
        <f t="shared" si="291"/>
        <v>-512.30999999999995</v>
      </c>
      <c r="ZX8" s="62">
        <v>24.71</v>
      </c>
      <c r="ZY8" s="63">
        <v>24.71</v>
      </c>
      <c r="ZZ8" s="64">
        <f t="shared" si="292"/>
        <v>0</v>
      </c>
      <c r="AAA8" s="66">
        <f t="shared" si="293"/>
        <v>24.71</v>
      </c>
      <c r="AAB8" s="67">
        <f t="shared" si="293"/>
        <v>24.71</v>
      </c>
      <c r="AAC8" s="64">
        <f t="shared" si="294"/>
        <v>0</v>
      </c>
      <c r="AAD8" s="85">
        <f t="shared" si="295"/>
        <v>56310.95</v>
      </c>
      <c r="AAE8" s="86">
        <f t="shared" si="295"/>
        <v>58543.280000000006</v>
      </c>
      <c r="AAF8" s="87">
        <f t="shared" si="3"/>
        <v>1.0396429113698136</v>
      </c>
      <c r="AAG8" s="88">
        <f t="shared" si="4"/>
        <v>2232.330000000009</v>
      </c>
      <c r="AAH8" s="91"/>
      <c r="AAI8" s="92"/>
      <c r="AAJ8" s="92"/>
      <c r="AAK8" s="82"/>
    </row>
    <row r="9" spans="1:714" s="83" customFormat="1" ht="20" customHeight="1" x14ac:dyDescent="0.2">
      <c r="A9" s="57" t="s">
        <v>144</v>
      </c>
      <c r="B9" s="58" t="s">
        <v>145</v>
      </c>
      <c r="C9" s="59"/>
      <c r="D9" s="59"/>
      <c r="E9" s="60"/>
      <c r="F9" s="61">
        <v>44682</v>
      </c>
      <c r="G9" s="62">
        <v>29428</v>
      </c>
      <c r="H9" s="63">
        <v>29428</v>
      </c>
      <c r="I9" s="64">
        <f t="shared" si="5"/>
        <v>0</v>
      </c>
      <c r="J9" s="65">
        <v>12679</v>
      </c>
      <c r="K9" s="63">
        <v>12679.43</v>
      </c>
      <c r="L9" s="64">
        <f t="shared" si="6"/>
        <v>-0.43000000000029104</v>
      </c>
      <c r="M9" s="65">
        <v>1000</v>
      </c>
      <c r="N9" s="63">
        <v>0</v>
      </c>
      <c r="O9" s="64">
        <f t="shared" si="7"/>
        <v>1000</v>
      </c>
      <c r="P9" s="65">
        <v>500</v>
      </c>
      <c r="Q9" s="63">
        <v>427.08</v>
      </c>
      <c r="R9" s="64">
        <f t="shared" si="8"/>
        <v>72.920000000000016</v>
      </c>
      <c r="S9" s="65">
        <v>600</v>
      </c>
      <c r="T9" s="63">
        <v>0</v>
      </c>
      <c r="U9" s="64">
        <f t="shared" si="9"/>
        <v>600</v>
      </c>
      <c r="V9" s="66">
        <f t="shared" si="10"/>
        <v>44207</v>
      </c>
      <c r="W9" s="67">
        <f t="shared" si="10"/>
        <v>42534.51</v>
      </c>
      <c r="X9" s="64">
        <f t="shared" si="11"/>
        <v>1672.489999999998</v>
      </c>
      <c r="Y9" s="62">
        <v>1100</v>
      </c>
      <c r="Z9" s="63">
        <v>1100</v>
      </c>
      <c r="AA9" s="64">
        <f t="shared" si="12"/>
        <v>0</v>
      </c>
      <c r="AB9" s="65"/>
      <c r="AC9" s="63"/>
      <c r="AD9" s="64">
        <f t="shared" si="13"/>
        <v>0</v>
      </c>
      <c r="AE9" s="65"/>
      <c r="AF9" s="63"/>
      <c r="AG9" s="64">
        <f t="shared" si="14"/>
        <v>0</v>
      </c>
      <c r="AH9" s="65"/>
      <c r="AI9" s="63"/>
      <c r="AJ9" s="64">
        <f t="shared" si="15"/>
        <v>0</v>
      </c>
      <c r="AK9" s="66">
        <f t="shared" si="16"/>
        <v>1100</v>
      </c>
      <c r="AL9" s="67">
        <f t="shared" si="17"/>
        <v>1100</v>
      </c>
      <c r="AM9" s="64">
        <f t="shared" si="18"/>
        <v>0</v>
      </c>
      <c r="AN9" s="62"/>
      <c r="AO9" s="63"/>
      <c r="AP9" s="64">
        <f t="shared" si="19"/>
        <v>0</v>
      </c>
      <c r="AQ9" s="65"/>
      <c r="AR9" s="63"/>
      <c r="AS9" s="64">
        <f t="shared" si="20"/>
        <v>0</v>
      </c>
      <c r="AT9" s="65"/>
      <c r="AU9" s="63"/>
      <c r="AV9" s="64">
        <f t="shared" si="21"/>
        <v>0</v>
      </c>
      <c r="AW9" s="65"/>
      <c r="AX9" s="63"/>
      <c r="AY9" s="64">
        <f t="shared" si="22"/>
        <v>0</v>
      </c>
      <c r="AZ9" s="66">
        <f t="shared" si="23"/>
        <v>0</v>
      </c>
      <c r="BA9" s="67">
        <f t="shared" si="24"/>
        <v>0</v>
      </c>
      <c r="BB9" s="64">
        <f t="shared" si="25"/>
        <v>0</v>
      </c>
      <c r="BC9" s="62">
        <v>6365.25</v>
      </c>
      <c r="BD9" s="63">
        <v>6365.25</v>
      </c>
      <c r="BE9" s="64">
        <f t="shared" si="26"/>
        <v>0</v>
      </c>
      <c r="BF9" s="65"/>
      <c r="BG9" s="63"/>
      <c r="BH9" s="64">
        <f t="shared" si="27"/>
        <v>0</v>
      </c>
      <c r="BI9" s="65">
        <v>15000</v>
      </c>
      <c r="BJ9" s="63">
        <v>13596.91</v>
      </c>
      <c r="BK9" s="64">
        <f t="shared" si="28"/>
        <v>1403.0900000000001</v>
      </c>
      <c r="BL9" s="65">
        <v>100</v>
      </c>
      <c r="BM9" s="63"/>
      <c r="BN9" s="64">
        <f t="shared" si="29"/>
        <v>100</v>
      </c>
      <c r="BO9" s="66">
        <f t="shared" si="30"/>
        <v>21465.25</v>
      </c>
      <c r="BP9" s="67">
        <f t="shared" si="31"/>
        <v>19962.16</v>
      </c>
      <c r="BQ9" s="64">
        <f t="shared" si="32"/>
        <v>1503.0900000000001</v>
      </c>
      <c r="BR9" s="68"/>
      <c r="BS9" s="69"/>
      <c r="BT9" s="70"/>
      <c r="BU9" s="71"/>
      <c r="BV9" s="69"/>
      <c r="BW9" s="70"/>
      <c r="BX9" s="71"/>
      <c r="BY9" s="69"/>
      <c r="BZ9" s="70"/>
      <c r="CA9" s="71"/>
      <c r="CB9" s="69"/>
      <c r="CC9" s="70"/>
      <c r="CD9" s="66">
        <f t="shared" si="33"/>
        <v>0</v>
      </c>
      <c r="CE9" s="67">
        <f t="shared" si="34"/>
        <v>0</v>
      </c>
      <c r="CF9" s="64">
        <f t="shared" si="35"/>
        <v>0</v>
      </c>
      <c r="CG9" s="62"/>
      <c r="CH9" s="63"/>
      <c r="CI9" s="64">
        <f t="shared" si="36"/>
        <v>0</v>
      </c>
      <c r="CJ9" s="65"/>
      <c r="CK9" s="63"/>
      <c r="CL9" s="64">
        <f t="shared" si="37"/>
        <v>0</v>
      </c>
      <c r="CM9" s="65"/>
      <c r="CN9" s="63"/>
      <c r="CO9" s="64">
        <f t="shared" si="38"/>
        <v>0</v>
      </c>
      <c r="CP9" s="65"/>
      <c r="CQ9" s="63"/>
      <c r="CR9" s="64">
        <f t="shared" si="39"/>
        <v>0</v>
      </c>
      <c r="CS9" s="66">
        <f t="shared" si="40"/>
        <v>0</v>
      </c>
      <c r="CT9" s="67">
        <f t="shared" si="41"/>
        <v>0</v>
      </c>
      <c r="CU9" s="64">
        <f t="shared" si="42"/>
        <v>0</v>
      </c>
      <c r="CV9" s="68"/>
      <c r="CW9" s="69"/>
      <c r="CX9" s="70"/>
      <c r="CY9" s="71"/>
      <c r="CZ9" s="69"/>
      <c r="DA9" s="70"/>
      <c r="DB9" s="71"/>
      <c r="DC9" s="69"/>
      <c r="DD9" s="70"/>
      <c r="DE9" s="71"/>
      <c r="DF9" s="69"/>
      <c r="DG9" s="70"/>
      <c r="DH9" s="66">
        <f t="shared" si="43"/>
        <v>0</v>
      </c>
      <c r="DI9" s="67">
        <f t="shared" si="44"/>
        <v>0</v>
      </c>
      <c r="DJ9" s="64">
        <f t="shared" si="45"/>
        <v>0</v>
      </c>
      <c r="DK9" s="68"/>
      <c r="DL9" s="69"/>
      <c r="DM9" s="70"/>
      <c r="DN9" s="71"/>
      <c r="DO9" s="69"/>
      <c r="DP9" s="70"/>
      <c r="DQ9" s="71"/>
      <c r="DR9" s="69"/>
      <c r="DS9" s="70"/>
      <c r="DT9" s="71"/>
      <c r="DU9" s="69"/>
      <c r="DV9" s="70"/>
      <c r="DW9" s="66">
        <f t="shared" si="46"/>
        <v>0</v>
      </c>
      <c r="DX9" s="67">
        <f t="shared" si="47"/>
        <v>0</v>
      </c>
      <c r="DY9" s="64">
        <f t="shared" si="48"/>
        <v>0</v>
      </c>
      <c r="DZ9" s="62"/>
      <c r="EA9" s="63"/>
      <c r="EB9" s="64">
        <f t="shared" si="49"/>
        <v>0</v>
      </c>
      <c r="EC9" s="65"/>
      <c r="ED9" s="63"/>
      <c r="EE9" s="64">
        <f t="shared" si="50"/>
        <v>0</v>
      </c>
      <c r="EF9" s="65"/>
      <c r="EG9" s="63"/>
      <c r="EH9" s="64">
        <f t="shared" si="51"/>
        <v>0</v>
      </c>
      <c r="EI9" s="65">
        <v>100</v>
      </c>
      <c r="EJ9" s="63">
        <v>117.57</v>
      </c>
      <c r="EK9" s="64">
        <f t="shared" si="52"/>
        <v>-17.569999999999993</v>
      </c>
      <c r="EL9" s="66">
        <f t="shared" si="53"/>
        <v>100</v>
      </c>
      <c r="EM9" s="67">
        <f t="shared" si="54"/>
        <v>117.57</v>
      </c>
      <c r="EN9" s="64">
        <f t="shared" si="55"/>
        <v>-17.569999999999993</v>
      </c>
      <c r="EO9" s="62"/>
      <c r="EP9" s="63"/>
      <c r="EQ9" s="64">
        <f t="shared" si="56"/>
        <v>0</v>
      </c>
      <c r="ER9" s="65"/>
      <c r="ES9" s="63"/>
      <c r="ET9" s="64">
        <f t="shared" si="57"/>
        <v>0</v>
      </c>
      <c r="EU9" s="65">
        <v>2612.71</v>
      </c>
      <c r="EV9" s="63">
        <v>3291.85</v>
      </c>
      <c r="EW9" s="64">
        <f t="shared" si="58"/>
        <v>-679.13999999999987</v>
      </c>
      <c r="EX9" s="65">
        <v>100</v>
      </c>
      <c r="EY9" s="63">
        <v>232.68</v>
      </c>
      <c r="EZ9" s="64">
        <f t="shared" si="59"/>
        <v>-132.68</v>
      </c>
      <c r="FA9" s="66">
        <f t="shared" si="60"/>
        <v>2712.71</v>
      </c>
      <c r="FB9" s="67">
        <f t="shared" si="61"/>
        <v>3524.5299999999997</v>
      </c>
      <c r="FC9" s="64">
        <f t="shared" si="62"/>
        <v>-811.81999999999971</v>
      </c>
      <c r="FD9" s="62"/>
      <c r="FE9" s="63"/>
      <c r="FF9" s="64">
        <f t="shared" si="63"/>
        <v>0</v>
      </c>
      <c r="FG9" s="65"/>
      <c r="FH9" s="63"/>
      <c r="FI9" s="64">
        <f t="shared" si="64"/>
        <v>0</v>
      </c>
      <c r="FJ9" s="65">
        <v>2612.71</v>
      </c>
      <c r="FK9" s="63">
        <v>3291.85</v>
      </c>
      <c r="FL9" s="64">
        <f t="shared" si="65"/>
        <v>-679.13999999999987</v>
      </c>
      <c r="FM9" s="65">
        <v>100</v>
      </c>
      <c r="FN9" s="63">
        <v>93.66</v>
      </c>
      <c r="FO9" s="64">
        <f t="shared" si="66"/>
        <v>6.3400000000000034</v>
      </c>
      <c r="FP9" s="66">
        <f t="shared" si="67"/>
        <v>2712.71</v>
      </c>
      <c r="FQ9" s="67">
        <f t="shared" si="68"/>
        <v>3385.5099999999998</v>
      </c>
      <c r="FR9" s="64">
        <f t="shared" si="69"/>
        <v>-672.79999999999973</v>
      </c>
      <c r="FS9" s="62"/>
      <c r="FT9" s="63"/>
      <c r="FU9" s="64">
        <f t="shared" si="70"/>
        <v>0</v>
      </c>
      <c r="FV9" s="65"/>
      <c r="FW9" s="63"/>
      <c r="FX9" s="64">
        <f t="shared" si="71"/>
        <v>0</v>
      </c>
      <c r="FY9" s="65"/>
      <c r="FZ9" s="63"/>
      <c r="GA9" s="64">
        <f t="shared" si="72"/>
        <v>0</v>
      </c>
      <c r="GB9" s="65"/>
      <c r="GC9" s="63"/>
      <c r="GD9" s="64">
        <f t="shared" si="73"/>
        <v>0</v>
      </c>
      <c r="GE9" s="66">
        <f t="shared" si="74"/>
        <v>0</v>
      </c>
      <c r="GF9" s="67">
        <f t="shared" si="75"/>
        <v>0</v>
      </c>
      <c r="GG9" s="64">
        <f t="shared" si="76"/>
        <v>0</v>
      </c>
      <c r="GH9" s="62"/>
      <c r="GI9" s="63"/>
      <c r="GJ9" s="64">
        <f t="shared" si="77"/>
        <v>0</v>
      </c>
      <c r="GK9" s="65"/>
      <c r="GL9" s="63"/>
      <c r="GM9" s="64">
        <f t="shared" si="78"/>
        <v>0</v>
      </c>
      <c r="GN9" s="65"/>
      <c r="GO9" s="63"/>
      <c r="GP9" s="64">
        <f t="shared" si="79"/>
        <v>0</v>
      </c>
      <c r="GQ9" s="65"/>
      <c r="GR9" s="63"/>
      <c r="GS9" s="64">
        <f t="shared" si="80"/>
        <v>0</v>
      </c>
      <c r="GT9" s="66">
        <f t="shared" si="81"/>
        <v>0</v>
      </c>
      <c r="GU9" s="67">
        <f t="shared" si="82"/>
        <v>0</v>
      </c>
      <c r="GV9" s="64">
        <f t="shared" si="83"/>
        <v>0</v>
      </c>
      <c r="GW9" s="68"/>
      <c r="GX9" s="69"/>
      <c r="GY9" s="70"/>
      <c r="GZ9" s="71"/>
      <c r="HA9" s="69"/>
      <c r="HB9" s="70"/>
      <c r="HC9" s="71"/>
      <c r="HD9" s="69"/>
      <c r="HE9" s="70"/>
      <c r="HF9" s="71"/>
      <c r="HG9" s="69"/>
      <c r="HH9" s="70"/>
      <c r="HI9" s="66">
        <f t="shared" si="84"/>
        <v>0</v>
      </c>
      <c r="HJ9" s="67">
        <f t="shared" si="85"/>
        <v>0</v>
      </c>
      <c r="HK9" s="64">
        <f t="shared" si="86"/>
        <v>0</v>
      </c>
      <c r="HL9" s="62">
        <v>6365.25</v>
      </c>
      <c r="HM9" s="63">
        <v>6365.25</v>
      </c>
      <c r="HN9" s="64">
        <f t="shared" si="87"/>
        <v>0</v>
      </c>
      <c r="HO9" s="65"/>
      <c r="HP9" s="63"/>
      <c r="HQ9" s="64">
        <f t="shared" si="88"/>
        <v>0</v>
      </c>
      <c r="HR9" s="65"/>
      <c r="HS9" s="63"/>
      <c r="HT9" s="64">
        <f t="shared" si="89"/>
        <v>0</v>
      </c>
      <c r="HU9" s="65">
        <v>100</v>
      </c>
      <c r="HV9" s="63"/>
      <c r="HW9" s="64">
        <f t="shared" si="90"/>
        <v>100</v>
      </c>
      <c r="HX9" s="66">
        <f t="shared" si="91"/>
        <v>6465.25</v>
      </c>
      <c r="HY9" s="67">
        <f t="shared" si="92"/>
        <v>6365.25</v>
      </c>
      <c r="HZ9" s="64">
        <f t="shared" si="93"/>
        <v>100</v>
      </c>
      <c r="IA9" s="62"/>
      <c r="IB9" s="63"/>
      <c r="IC9" s="64">
        <f t="shared" si="94"/>
        <v>0</v>
      </c>
      <c r="ID9" s="65"/>
      <c r="IE9" s="63"/>
      <c r="IF9" s="64">
        <f t="shared" si="95"/>
        <v>0</v>
      </c>
      <c r="IG9" s="65"/>
      <c r="IH9" s="63"/>
      <c r="II9" s="64">
        <f t="shared" si="96"/>
        <v>0</v>
      </c>
      <c r="IJ9" s="65">
        <v>100</v>
      </c>
      <c r="IK9" s="63"/>
      <c r="IL9" s="64">
        <f t="shared" si="97"/>
        <v>100</v>
      </c>
      <c r="IM9" s="66">
        <f t="shared" si="98"/>
        <v>100</v>
      </c>
      <c r="IN9" s="67">
        <f t="shared" si="99"/>
        <v>0</v>
      </c>
      <c r="IO9" s="64">
        <f t="shared" si="100"/>
        <v>100</v>
      </c>
      <c r="IP9" s="62"/>
      <c r="IQ9" s="63"/>
      <c r="IR9" s="64">
        <f t="shared" si="101"/>
        <v>0</v>
      </c>
      <c r="IS9" s="65"/>
      <c r="IT9" s="63"/>
      <c r="IU9" s="64">
        <f t="shared" si="102"/>
        <v>0</v>
      </c>
      <c r="IV9" s="65"/>
      <c r="IW9" s="63"/>
      <c r="IX9" s="64">
        <f t="shared" si="103"/>
        <v>0</v>
      </c>
      <c r="IY9" s="65"/>
      <c r="IZ9" s="63"/>
      <c r="JA9" s="64">
        <f t="shared" si="104"/>
        <v>0</v>
      </c>
      <c r="JB9" s="66">
        <f t="shared" si="105"/>
        <v>0</v>
      </c>
      <c r="JC9" s="67">
        <f t="shared" si="106"/>
        <v>0</v>
      </c>
      <c r="JD9" s="64">
        <f t="shared" si="107"/>
        <v>0</v>
      </c>
      <c r="JE9" s="62"/>
      <c r="JF9" s="63"/>
      <c r="JG9" s="64">
        <f t="shared" si="108"/>
        <v>0</v>
      </c>
      <c r="JH9" s="65"/>
      <c r="JI9" s="63"/>
      <c r="JJ9" s="64">
        <f t="shared" si="109"/>
        <v>0</v>
      </c>
      <c r="JK9" s="65"/>
      <c r="JL9" s="63"/>
      <c r="JM9" s="64">
        <f t="shared" si="110"/>
        <v>0</v>
      </c>
      <c r="JN9" s="65">
        <v>100</v>
      </c>
      <c r="JO9" s="63"/>
      <c r="JP9" s="64">
        <f t="shared" si="111"/>
        <v>100</v>
      </c>
      <c r="JQ9" s="66">
        <f t="shared" si="112"/>
        <v>100</v>
      </c>
      <c r="JR9" s="67">
        <f t="shared" si="113"/>
        <v>0</v>
      </c>
      <c r="JS9" s="64">
        <f t="shared" si="114"/>
        <v>100</v>
      </c>
      <c r="JT9" s="62">
        <v>4920</v>
      </c>
      <c r="JU9" s="63">
        <v>4920</v>
      </c>
      <c r="JV9" s="64">
        <f t="shared" si="115"/>
        <v>0</v>
      </c>
      <c r="JW9" s="65"/>
      <c r="JX9" s="63"/>
      <c r="JY9" s="64">
        <f t="shared" si="116"/>
        <v>0</v>
      </c>
      <c r="JZ9" s="65"/>
      <c r="KA9" s="63"/>
      <c r="KB9" s="64">
        <f t="shared" si="117"/>
        <v>0</v>
      </c>
      <c r="KC9" s="65">
        <v>100</v>
      </c>
      <c r="KD9" s="63"/>
      <c r="KE9" s="64">
        <f t="shared" si="118"/>
        <v>100</v>
      </c>
      <c r="KF9" s="66">
        <f t="shared" si="119"/>
        <v>5020</v>
      </c>
      <c r="KG9" s="67">
        <f t="shared" si="120"/>
        <v>4920</v>
      </c>
      <c r="KH9" s="64">
        <f t="shared" si="121"/>
        <v>100</v>
      </c>
      <c r="KI9" s="68"/>
      <c r="KJ9" s="69"/>
      <c r="KK9" s="70"/>
      <c r="KL9" s="71"/>
      <c r="KM9" s="69"/>
      <c r="KN9" s="70"/>
      <c r="KO9" s="71"/>
      <c r="KP9" s="69"/>
      <c r="KQ9" s="70"/>
      <c r="KR9" s="71"/>
      <c r="KS9" s="69"/>
      <c r="KT9" s="64">
        <f t="shared" si="0"/>
        <v>0</v>
      </c>
      <c r="KU9" s="66">
        <f t="shared" si="1"/>
        <v>0</v>
      </c>
      <c r="KV9" s="67">
        <f t="shared" si="2"/>
        <v>0</v>
      </c>
      <c r="KW9" s="64">
        <f t="shared" si="122"/>
        <v>0</v>
      </c>
      <c r="KX9" s="72"/>
      <c r="KY9" s="73"/>
      <c r="KZ9" s="74"/>
      <c r="LA9" s="75"/>
      <c r="LB9" s="73"/>
      <c r="LC9" s="74"/>
      <c r="LD9" s="75"/>
      <c r="LE9" s="73"/>
      <c r="LF9" s="74"/>
      <c r="LG9" s="75"/>
      <c r="LH9" s="73"/>
      <c r="LI9" s="74"/>
      <c r="LJ9" s="76"/>
      <c r="LK9" s="77"/>
      <c r="LL9" s="74"/>
      <c r="LM9" s="68"/>
      <c r="LN9" s="69"/>
      <c r="LO9" s="70"/>
      <c r="LP9" s="71"/>
      <c r="LQ9" s="69"/>
      <c r="LR9" s="70"/>
      <c r="LS9" s="71"/>
      <c r="LT9" s="69"/>
      <c r="LU9" s="70"/>
      <c r="LV9" s="71"/>
      <c r="LW9" s="69"/>
      <c r="LX9" s="64">
        <f t="shared" si="123"/>
        <v>0</v>
      </c>
      <c r="LY9" s="66">
        <f t="shared" si="124"/>
        <v>0</v>
      </c>
      <c r="LZ9" s="67">
        <f t="shared" si="125"/>
        <v>0</v>
      </c>
      <c r="MA9" s="64">
        <f t="shared" si="126"/>
        <v>0</v>
      </c>
      <c r="MB9" s="62">
        <v>650</v>
      </c>
      <c r="MC9" s="63">
        <v>650</v>
      </c>
      <c r="MD9" s="64">
        <f t="shared" si="127"/>
        <v>0</v>
      </c>
      <c r="ME9" s="65">
        <v>727.43</v>
      </c>
      <c r="MF9" s="63">
        <v>757.77</v>
      </c>
      <c r="MG9" s="64">
        <f t="shared" si="128"/>
        <v>-30.340000000000032</v>
      </c>
      <c r="MH9" s="65"/>
      <c r="MI9" s="63"/>
      <c r="MJ9" s="64">
        <f t="shared" si="129"/>
        <v>0</v>
      </c>
      <c r="MK9" s="65">
        <v>100</v>
      </c>
      <c r="ML9" s="63"/>
      <c r="MM9" s="64">
        <f t="shared" si="130"/>
        <v>100</v>
      </c>
      <c r="MN9" s="66">
        <f t="shared" si="131"/>
        <v>1477.4299999999998</v>
      </c>
      <c r="MO9" s="67">
        <f t="shared" si="132"/>
        <v>1407.77</v>
      </c>
      <c r="MP9" s="64">
        <f t="shared" si="133"/>
        <v>69.659999999999854</v>
      </c>
      <c r="MQ9" s="62"/>
      <c r="MR9" s="63"/>
      <c r="MS9" s="64">
        <f t="shared" si="134"/>
        <v>0</v>
      </c>
      <c r="MT9" s="65"/>
      <c r="MU9" s="63"/>
      <c r="MV9" s="64">
        <f t="shared" si="135"/>
        <v>0</v>
      </c>
      <c r="MW9" s="65"/>
      <c r="MX9" s="63"/>
      <c r="MY9" s="64">
        <f t="shared" si="136"/>
        <v>0</v>
      </c>
      <c r="MZ9" s="65"/>
      <c r="NA9" s="63"/>
      <c r="NB9" s="64">
        <f t="shared" si="137"/>
        <v>0</v>
      </c>
      <c r="NC9" s="66">
        <f t="shared" si="138"/>
        <v>0</v>
      </c>
      <c r="ND9" s="67">
        <f t="shared" si="139"/>
        <v>0</v>
      </c>
      <c r="NE9" s="64">
        <f t="shared" si="140"/>
        <v>0</v>
      </c>
      <c r="NF9" s="62"/>
      <c r="NG9" s="63"/>
      <c r="NH9" s="64">
        <f t="shared" si="141"/>
        <v>0</v>
      </c>
      <c r="NI9" s="65">
        <v>685.09</v>
      </c>
      <c r="NJ9" s="63">
        <v>685.09</v>
      </c>
      <c r="NK9" s="64">
        <f t="shared" si="142"/>
        <v>0</v>
      </c>
      <c r="NL9" s="65"/>
      <c r="NM9" s="63"/>
      <c r="NN9" s="64">
        <f t="shared" si="143"/>
        <v>0</v>
      </c>
      <c r="NO9" s="65">
        <v>100</v>
      </c>
      <c r="NP9" s="63"/>
      <c r="NQ9" s="64">
        <f t="shared" si="144"/>
        <v>100</v>
      </c>
      <c r="NR9" s="66">
        <f t="shared" si="145"/>
        <v>785.09</v>
      </c>
      <c r="NS9" s="67">
        <f t="shared" si="146"/>
        <v>685.09</v>
      </c>
      <c r="NT9" s="64">
        <f t="shared" si="147"/>
        <v>100</v>
      </c>
      <c r="NU9" s="62">
        <v>864</v>
      </c>
      <c r="NV9" s="63">
        <v>864</v>
      </c>
      <c r="NW9" s="64">
        <f t="shared" si="148"/>
        <v>0</v>
      </c>
      <c r="NX9" s="65">
        <v>636.36</v>
      </c>
      <c r="NY9" s="63"/>
      <c r="NZ9" s="64">
        <f t="shared" si="149"/>
        <v>636.36</v>
      </c>
      <c r="OA9" s="65"/>
      <c r="OB9" s="63"/>
      <c r="OC9" s="64">
        <f t="shared" si="150"/>
        <v>0</v>
      </c>
      <c r="OD9" s="65">
        <v>100</v>
      </c>
      <c r="OE9" s="63">
        <v>169.93</v>
      </c>
      <c r="OF9" s="64">
        <f t="shared" si="151"/>
        <v>-69.930000000000007</v>
      </c>
      <c r="OG9" s="66">
        <f t="shared" si="152"/>
        <v>1600.3600000000001</v>
      </c>
      <c r="OH9" s="67">
        <f t="shared" si="153"/>
        <v>1033.93</v>
      </c>
      <c r="OI9" s="64">
        <f t="shared" si="154"/>
        <v>566.43000000000006</v>
      </c>
      <c r="OJ9" s="62"/>
      <c r="OK9" s="63"/>
      <c r="OL9" s="64">
        <f t="shared" si="155"/>
        <v>0</v>
      </c>
      <c r="OM9" s="65"/>
      <c r="ON9" s="63"/>
      <c r="OO9" s="64">
        <f t="shared" si="156"/>
        <v>0</v>
      </c>
      <c r="OP9" s="65"/>
      <c r="OQ9" s="63"/>
      <c r="OR9" s="64">
        <f t="shared" si="157"/>
        <v>0</v>
      </c>
      <c r="OS9" s="65">
        <v>100</v>
      </c>
      <c r="OT9" s="63"/>
      <c r="OU9" s="64">
        <f t="shared" si="158"/>
        <v>100</v>
      </c>
      <c r="OV9" s="66">
        <f t="shared" si="159"/>
        <v>100</v>
      </c>
      <c r="OW9" s="67">
        <f t="shared" si="160"/>
        <v>0</v>
      </c>
      <c r="OX9" s="64">
        <f t="shared" si="161"/>
        <v>100</v>
      </c>
      <c r="OY9" s="62"/>
      <c r="OZ9" s="63"/>
      <c r="PA9" s="64">
        <f t="shared" si="162"/>
        <v>0</v>
      </c>
      <c r="PB9" s="65"/>
      <c r="PC9" s="63"/>
      <c r="PD9" s="64">
        <f t="shared" si="163"/>
        <v>0</v>
      </c>
      <c r="PE9" s="65"/>
      <c r="PF9" s="63"/>
      <c r="PG9" s="64">
        <f t="shared" si="164"/>
        <v>0</v>
      </c>
      <c r="PH9" s="65">
        <v>100</v>
      </c>
      <c r="PI9" s="63"/>
      <c r="PJ9" s="64">
        <f t="shared" si="165"/>
        <v>100</v>
      </c>
      <c r="PK9" s="66">
        <f t="shared" si="166"/>
        <v>100</v>
      </c>
      <c r="PL9" s="67">
        <f t="shared" si="167"/>
        <v>0</v>
      </c>
      <c r="PM9" s="64">
        <f t="shared" si="168"/>
        <v>100</v>
      </c>
      <c r="PN9" s="62">
        <v>1400</v>
      </c>
      <c r="PO9" s="63">
        <v>1400</v>
      </c>
      <c r="PP9" s="64">
        <f t="shared" si="169"/>
        <v>0</v>
      </c>
      <c r="PQ9" s="65"/>
      <c r="PR9" s="63"/>
      <c r="PS9" s="64">
        <f t="shared" si="170"/>
        <v>0</v>
      </c>
      <c r="PT9" s="65"/>
      <c r="PU9" s="63"/>
      <c r="PV9" s="64">
        <f t="shared" si="171"/>
        <v>0</v>
      </c>
      <c r="PW9" s="65">
        <v>100</v>
      </c>
      <c r="PX9" s="63"/>
      <c r="PY9" s="64">
        <f t="shared" si="172"/>
        <v>100</v>
      </c>
      <c r="PZ9" s="66">
        <f t="shared" si="173"/>
        <v>1500</v>
      </c>
      <c r="QA9" s="67">
        <f t="shared" si="174"/>
        <v>1400</v>
      </c>
      <c r="QB9" s="64">
        <f t="shared" si="175"/>
        <v>100</v>
      </c>
      <c r="QC9" s="62"/>
      <c r="QD9" s="63"/>
      <c r="QE9" s="64">
        <f t="shared" si="176"/>
        <v>0</v>
      </c>
      <c r="QF9" s="65"/>
      <c r="QG9" s="63"/>
      <c r="QH9" s="64">
        <f t="shared" si="177"/>
        <v>0</v>
      </c>
      <c r="QI9" s="65"/>
      <c r="QJ9" s="63"/>
      <c r="QK9" s="64">
        <f t="shared" si="178"/>
        <v>0</v>
      </c>
      <c r="QL9" s="65">
        <v>100</v>
      </c>
      <c r="QM9" s="63"/>
      <c r="QN9" s="64">
        <f t="shared" si="179"/>
        <v>100</v>
      </c>
      <c r="QO9" s="66">
        <f t="shared" si="180"/>
        <v>100</v>
      </c>
      <c r="QP9" s="67">
        <f t="shared" si="181"/>
        <v>0</v>
      </c>
      <c r="QQ9" s="64">
        <f t="shared" si="182"/>
        <v>100</v>
      </c>
      <c r="QR9" s="62"/>
      <c r="QS9" s="63"/>
      <c r="QT9" s="64">
        <f t="shared" si="183"/>
        <v>0</v>
      </c>
      <c r="QU9" s="65"/>
      <c r="QV9" s="63"/>
      <c r="QW9" s="64">
        <f t="shared" si="184"/>
        <v>0</v>
      </c>
      <c r="QX9" s="65"/>
      <c r="QY9" s="63"/>
      <c r="QZ9" s="64">
        <f t="shared" si="185"/>
        <v>0</v>
      </c>
      <c r="RA9" s="65"/>
      <c r="RB9" s="63"/>
      <c r="RC9" s="64">
        <f t="shared" si="186"/>
        <v>0</v>
      </c>
      <c r="RD9" s="66">
        <f t="shared" si="187"/>
        <v>0</v>
      </c>
      <c r="RE9" s="67">
        <f t="shared" si="188"/>
        <v>0</v>
      </c>
      <c r="RF9" s="64">
        <f t="shared" si="189"/>
        <v>0</v>
      </c>
      <c r="RG9" s="62"/>
      <c r="RH9" s="63"/>
      <c r="RI9" s="64">
        <f t="shared" si="190"/>
        <v>0</v>
      </c>
      <c r="RJ9" s="65"/>
      <c r="RK9" s="63"/>
      <c r="RL9" s="64">
        <f t="shared" si="191"/>
        <v>0</v>
      </c>
      <c r="RM9" s="65"/>
      <c r="RN9" s="63"/>
      <c r="RO9" s="64">
        <f t="shared" si="192"/>
        <v>0</v>
      </c>
      <c r="RP9" s="65"/>
      <c r="RQ9" s="63"/>
      <c r="RR9" s="64">
        <f t="shared" si="193"/>
        <v>0</v>
      </c>
      <c r="RS9" s="66">
        <f t="shared" si="194"/>
        <v>0</v>
      </c>
      <c r="RT9" s="67">
        <f t="shared" si="195"/>
        <v>0</v>
      </c>
      <c r="RU9" s="64">
        <f t="shared" si="196"/>
        <v>0</v>
      </c>
      <c r="RV9" s="62"/>
      <c r="RW9" s="63"/>
      <c r="RX9" s="64">
        <f t="shared" si="197"/>
        <v>0</v>
      </c>
      <c r="RY9" s="65"/>
      <c r="RZ9" s="63"/>
      <c r="SA9" s="64">
        <f t="shared" si="198"/>
        <v>0</v>
      </c>
      <c r="SB9" s="65"/>
      <c r="SC9" s="63"/>
      <c r="SD9" s="64">
        <f t="shared" si="199"/>
        <v>0</v>
      </c>
      <c r="SE9" s="65">
        <v>100</v>
      </c>
      <c r="SF9" s="63"/>
      <c r="SG9" s="64">
        <f t="shared" si="200"/>
        <v>100</v>
      </c>
      <c r="SH9" s="66">
        <f t="shared" si="201"/>
        <v>100</v>
      </c>
      <c r="SI9" s="67">
        <f t="shared" si="202"/>
        <v>0</v>
      </c>
      <c r="SJ9" s="64">
        <f t="shared" si="203"/>
        <v>100</v>
      </c>
      <c r="SK9" s="62"/>
      <c r="SL9" s="63"/>
      <c r="SM9" s="64">
        <f t="shared" si="204"/>
        <v>0</v>
      </c>
      <c r="SN9" s="65"/>
      <c r="SO9" s="63"/>
      <c r="SP9" s="64">
        <f t="shared" si="205"/>
        <v>0</v>
      </c>
      <c r="SQ9" s="65"/>
      <c r="SR9" s="63"/>
      <c r="SS9" s="64">
        <f t="shared" si="206"/>
        <v>0</v>
      </c>
      <c r="ST9" s="65">
        <v>100</v>
      </c>
      <c r="SU9" s="63"/>
      <c r="SV9" s="64">
        <f t="shared" si="207"/>
        <v>100</v>
      </c>
      <c r="SW9" s="66">
        <f t="shared" si="208"/>
        <v>100</v>
      </c>
      <c r="SX9" s="67">
        <f t="shared" si="209"/>
        <v>0</v>
      </c>
      <c r="SY9" s="64">
        <f t="shared" si="210"/>
        <v>100</v>
      </c>
      <c r="SZ9" s="62">
        <v>1257.1199999999999</v>
      </c>
      <c r="TA9" s="63">
        <v>1257.1199999999999</v>
      </c>
      <c r="TB9" s="64">
        <f t="shared" si="211"/>
        <v>0</v>
      </c>
      <c r="TC9" s="65"/>
      <c r="TD9" s="63"/>
      <c r="TE9" s="64">
        <f t="shared" si="212"/>
        <v>0</v>
      </c>
      <c r="TF9" s="65"/>
      <c r="TG9" s="63"/>
      <c r="TH9" s="64">
        <f t="shared" si="213"/>
        <v>0</v>
      </c>
      <c r="TI9" s="65">
        <v>100</v>
      </c>
      <c r="TJ9" s="63"/>
      <c r="TK9" s="64">
        <f t="shared" si="214"/>
        <v>100</v>
      </c>
      <c r="TL9" s="66">
        <f t="shared" si="215"/>
        <v>1357.12</v>
      </c>
      <c r="TM9" s="67">
        <f t="shared" si="216"/>
        <v>1257.1199999999999</v>
      </c>
      <c r="TN9" s="64">
        <f t="shared" si="217"/>
        <v>100</v>
      </c>
      <c r="TO9" s="62"/>
      <c r="TP9" s="63"/>
      <c r="TQ9" s="64">
        <f t="shared" si="218"/>
        <v>0</v>
      </c>
      <c r="TR9" s="65"/>
      <c r="TS9" s="63"/>
      <c r="TT9" s="64">
        <f t="shared" si="219"/>
        <v>0</v>
      </c>
      <c r="TU9" s="65"/>
      <c r="TV9" s="63"/>
      <c r="TW9" s="64">
        <f t="shared" si="220"/>
        <v>0</v>
      </c>
      <c r="TX9" s="65">
        <v>100</v>
      </c>
      <c r="TY9" s="63">
        <v>138.37</v>
      </c>
      <c r="TZ9" s="64">
        <f t="shared" si="221"/>
        <v>-38.370000000000005</v>
      </c>
      <c r="UA9" s="66">
        <f t="shared" si="222"/>
        <v>100</v>
      </c>
      <c r="UB9" s="67">
        <f t="shared" si="223"/>
        <v>138.37</v>
      </c>
      <c r="UC9" s="64">
        <f t="shared" si="224"/>
        <v>-38.370000000000005</v>
      </c>
      <c r="UD9" s="68"/>
      <c r="UE9" s="69"/>
      <c r="UF9" s="70"/>
      <c r="UG9" s="71"/>
      <c r="UH9" s="69"/>
      <c r="UI9" s="70"/>
      <c r="UJ9" s="71"/>
      <c r="UK9" s="69"/>
      <c r="UL9" s="70"/>
      <c r="UM9" s="71"/>
      <c r="UN9" s="69"/>
      <c r="UO9" s="64">
        <f t="shared" si="225"/>
        <v>0</v>
      </c>
      <c r="UP9" s="66">
        <f t="shared" si="226"/>
        <v>0</v>
      </c>
      <c r="UQ9" s="67">
        <f t="shared" si="227"/>
        <v>0</v>
      </c>
      <c r="UR9" s="64">
        <f t="shared" si="228"/>
        <v>0</v>
      </c>
      <c r="US9" s="62"/>
      <c r="UT9" s="63"/>
      <c r="UU9" s="64">
        <f t="shared" si="229"/>
        <v>0</v>
      </c>
      <c r="UV9" s="65"/>
      <c r="UW9" s="63"/>
      <c r="UX9" s="64">
        <f t="shared" si="230"/>
        <v>0</v>
      </c>
      <c r="UY9" s="65"/>
      <c r="UZ9" s="63"/>
      <c r="VA9" s="64">
        <f t="shared" si="231"/>
        <v>0</v>
      </c>
      <c r="VB9" s="65">
        <v>100</v>
      </c>
      <c r="VC9" s="63">
        <v>113.98</v>
      </c>
      <c r="VD9" s="64">
        <f t="shared" si="232"/>
        <v>-13.980000000000004</v>
      </c>
      <c r="VE9" s="66">
        <f t="shared" si="233"/>
        <v>100</v>
      </c>
      <c r="VF9" s="67">
        <f t="shared" si="234"/>
        <v>113.98</v>
      </c>
      <c r="VG9" s="64">
        <f t="shared" si="235"/>
        <v>-13.980000000000004</v>
      </c>
      <c r="VH9" s="62"/>
      <c r="VI9" s="63"/>
      <c r="VJ9" s="64">
        <f t="shared" si="236"/>
        <v>0</v>
      </c>
      <c r="VK9" s="65"/>
      <c r="VL9" s="63"/>
      <c r="VM9" s="64">
        <f t="shared" si="237"/>
        <v>0</v>
      </c>
      <c r="VN9" s="65"/>
      <c r="VO9" s="63"/>
      <c r="VP9" s="64">
        <f t="shared" si="238"/>
        <v>0</v>
      </c>
      <c r="VQ9" s="65">
        <v>100</v>
      </c>
      <c r="VR9" s="63">
        <v>58.92</v>
      </c>
      <c r="VS9" s="64">
        <f t="shared" si="239"/>
        <v>41.08</v>
      </c>
      <c r="VT9" s="66">
        <f t="shared" si="240"/>
        <v>100</v>
      </c>
      <c r="VU9" s="67">
        <f t="shared" si="241"/>
        <v>58.92</v>
      </c>
      <c r="VV9" s="64">
        <f t="shared" si="242"/>
        <v>41.08</v>
      </c>
      <c r="VW9" s="62">
        <v>1303</v>
      </c>
      <c r="VX9" s="63">
        <v>1303</v>
      </c>
      <c r="VY9" s="64">
        <f t="shared" si="243"/>
        <v>0</v>
      </c>
      <c r="VZ9" s="65"/>
      <c r="WA9" s="63"/>
      <c r="WB9" s="64">
        <f t="shared" si="244"/>
        <v>0</v>
      </c>
      <c r="WC9" s="65"/>
      <c r="WD9" s="63"/>
      <c r="WE9" s="64">
        <f t="shared" si="245"/>
        <v>0</v>
      </c>
      <c r="WF9" s="65"/>
      <c r="WG9" s="63"/>
      <c r="WH9" s="64">
        <f t="shared" si="246"/>
        <v>0</v>
      </c>
      <c r="WI9" s="66">
        <f t="shared" si="247"/>
        <v>1303</v>
      </c>
      <c r="WJ9" s="67">
        <f t="shared" si="248"/>
        <v>1303</v>
      </c>
      <c r="WK9" s="64">
        <f t="shared" si="249"/>
        <v>0</v>
      </c>
      <c r="WL9" s="62">
        <v>1276.01</v>
      </c>
      <c r="WM9" s="63">
        <v>1276.01</v>
      </c>
      <c r="WN9" s="64">
        <f t="shared" si="250"/>
        <v>0</v>
      </c>
      <c r="WO9" s="65"/>
      <c r="WP9" s="63"/>
      <c r="WQ9" s="64">
        <f t="shared" si="251"/>
        <v>0</v>
      </c>
      <c r="WR9" s="65"/>
      <c r="WS9" s="63"/>
      <c r="WT9" s="64">
        <f t="shared" si="252"/>
        <v>0</v>
      </c>
      <c r="WU9" s="65">
        <v>100</v>
      </c>
      <c r="WV9" s="63"/>
      <c r="WW9" s="64">
        <f t="shared" si="253"/>
        <v>100</v>
      </c>
      <c r="WX9" s="66">
        <f t="shared" si="254"/>
        <v>1376.01</v>
      </c>
      <c r="WY9" s="67">
        <f t="shared" si="255"/>
        <v>1276.01</v>
      </c>
      <c r="WZ9" s="64">
        <f t="shared" si="256"/>
        <v>100</v>
      </c>
      <c r="XA9" s="62"/>
      <c r="XB9" s="63"/>
      <c r="XC9" s="64">
        <f t="shared" si="257"/>
        <v>0</v>
      </c>
      <c r="XD9" s="65"/>
      <c r="XE9" s="63"/>
      <c r="XF9" s="64">
        <f t="shared" si="258"/>
        <v>0</v>
      </c>
      <c r="XG9" s="65"/>
      <c r="XH9" s="63"/>
      <c r="XI9" s="64">
        <f t="shared" si="259"/>
        <v>0</v>
      </c>
      <c r="XJ9" s="65">
        <v>100</v>
      </c>
      <c r="XK9" s="63"/>
      <c r="XL9" s="64">
        <f t="shared" si="260"/>
        <v>100</v>
      </c>
      <c r="XM9" s="66">
        <f t="shared" si="261"/>
        <v>100</v>
      </c>
      <c r="XN9" s="67">
        <f t="shared" si="262"/>
        <v>0</v>
      </c>
      <c r="XO9" s="64">
        <f t="shared" si="263"/>
        <v>100</v>
      </c>
      <c r="XP9" s="62">
        <v>917</v>
      </c>
      <c r="XQ9" s="63">
        <v>917</v>
      </c>
      <c r="XR9" s="64">
        <f t="shared" si="264"/>
        <v>0</v>
      </c>
      <c r="XS9" s="65">
        <v>462.1</v>
      </c>
      <c r="XT9" s="63">
        <v>462.1</v>
      </c>
      <c r="XU9" s="64">
        <f t="shared" si="265"/>
        <v>0</v>
      </c>
      <c r="XV9" s="65"/>
      <c r="XW9" s="63"/>
      <c r="XX9" s="64">
        <f t="shared" si="266"/>
        <v>0</v>
      </c>
      <c r="XY9" s="65">
        <v>100</v>
      </c>
      <c r="XZ9" s="63">
        <v>74.209999999999994</v>
      </c>
      <c r="YA9" s="64">
        <f t="shared" si="267"/>
        <v>25.790000000000006</v>
      </c>
      <c r="YB9" s="66">
        <f t="shared" si="268"/>
        <v>1479.1</v>
      </c>
      <c r="YC9" s="67">
        <f t="shared" si="269"/>
        <v>1453.31</v>
      </c>
      <c r="YD9" s="64">
        <f t="shared" si="270"/>
        <v>25.789999999999964</v>
      </c>
      <c r="YE9" s="62">
        <v>890</v>
      </c>
      <c r="YF9" s="63">
        <v>890</v>
      </c>
      <c r="YG9" s="64">
        <f t="shared" si="271"/>
        <v>0</v>
      </c>
      <c r="YH9" s="65">
        <v>466.5</v>
      </c>
      <c r="YI9" s="63">
        <v>466.5</v>
      </c>
      <c r="YJ9" s="64">
        <f t="shared" si="272"/>
        <v>0</v>
      </c>
      <c r="YK9" s="65"/>
      <c r="YL9" s="63"/>
      <c r="YM9" s="64">
        <f t="shared" si="273"/>
        <v>0</v>
      </c>
      <c r="YN9" s="65">
        <v>100</v>
      </c>
      <c r="YO9" s="63">
        <v>255.16</v>
      </c>
      <c r="YP9" s="64">
        <f t="shared" si="274"/>
        <v>-155.16</v>
      </c>
      <c r="YQ9" s="66">
        <f t="shared" si="275"/>
        <v>1456.5</v>
      </c>
      <c r="YR9" s="67">
        <f t="shared" si="276"/>
        <v>1611.66</v>
      </c>
      <c r="YS9" s="64">
        <f t="shared" si="277"/>
        <v>-155.16000000000008</v>
      </c>
      <c r="YT9" s="62">
        <v>932</v>
      </c>
      <c r="YU9" s="63">
        <v>932</v>
      </c>
      <c r="YV9" s="64">
        <f t="shared" si="278"/>
        <v>0</v>
      </c>
      <c r="YW9" s="65">
        <v>448.46</v>
      </c>
      <c r="YX9" s="63">
        <v>448.46</v>
      </c>
      <c r="YY9" s="64">
        <f t="shared" si="279"/>
        <v>0</v>
      </c>
      <c r="YZ9" s="65"/>
      <c r="ZA9" s="63"/>
      <c r="ZB9" s="64">
        <f t="shared" si="280"/>
        <v>0</v>
      </c>
      <c r="ZC9" s="65">
        <v>100</v>
      </c>
      <c r="ZD9" s="63">
        <v>160.55000000000001</v>
      </c>
      <c r="ZE9" s="64">
        <f t="shared" si="281"/>
        <v>-60.550000000000011</v>
      </c>
      <c r="ZF9" s="66">
        <f t="shared" si="282"/>
        <v>1480.46</v>
      </c>
      <c r="ZG9" s="67">
        <f t="shared" si="283"/>
        <v>1541.01</v>
      </c>
      <c r="ZH9" s="64">
        <f t="shared" si="284"/>
        <v>-60.549999999999955</v>
      </c>
      <c r="ZI9" s="62">
        <v>1250</v>
      </c>
      <c r="ZJ9" s="63">
        <v>1250</v>
      </c>
      <c r="ZK9" s="64">
        <f t="shared" si="285"/>
        <v>0</v>
      </c>
      <c r="ZL9" s="65"/>
      <c r="ZM9" s="63"/>
      <c r="ZN9" s="64">
        <f t="shared" si="286"/>
        <v>0</v>
      </c>
      <c r="ZO9" s="65"/>
      <c r="ZP9" s="63"/>
      <c r="ZQ9" s="64">
        <f t="shared" si="287"/>
        <v>0</v>
      </c>
      <c r="ZR9" s="65">
        <v>100</v>
      </c>
      <c r="ZS9" s="63"/>
      <c r="ZT9" s="64">
        <f t="shared" si="288"/>
        <v>100</v>
      </c>
      <c r="ZU9" s="66">
        <f t="shared" si="289"/>
        <v>1350</v>
      </c>
      <c r="ZV9" s="67">
        <f t="shared" si="290"/>
        <v>1250</v>
      </c>
      <c r="ZW9" s="64">
        <f t="shared" si="291"/>
        <v>100</v>
      </c>
      <c r="ZX9" s="62">
        <v>24.71</v>
      </c>
      <c r="ZY9" s="63">
        <v>24.71</v>
      </c>
      <c r="ZZ9" s="64">
        <f t="shared" si="292"/>
        <v>0</v>
      </c>
      <c r="AAA9" s="66">
        <f t="shared" si="293"/>
        <v>24.71</v>
      </c>
      <c r="AAB9" s="67">
        <f t="shared" si="293"/>
        <v>24.71</v>
      </c>
      <c r="AAC9" s="64">
        <f t="shared" si="294"/>
        <v>0</v>
      </c>
      <c r="AAD9" s="85">
        <f t="shared" si="295"/>
        <v>98744.989999999991</v>
      </c>
      <c r="AAE9" s="86">
        <f t="shared" si="295"/>
        <v>95136.7</v>
      </c>
      <c r="AAF9" s="87">
        <f t="shared" si="3"/>
        <v>0.96345850052746984</v>
      </c>
      <c r="AAG9" s="88">
        <f t="shared" si="4"/>
        <v>-3608.2899999999936</v>
      </c>
      <c r="AAH9" s="58" t="s">
        <v>145</v>
      </c>
      <c r="AAI9" s="59"/>
      <c r="AAJ9" s="59"/>
      <c r="AAK9" s="82"/>
    </row>
    <row r="10" spans="1:714" s="83" customFormat="1" ht="20" customHeight="1" x14ac:dyDescent="0.2">
      <c r="A10" s="84" t="s">
        <v>146</v>
      </c>
      <c r="B10" s="58"/>
      <c r="C10" s="59"/>
      <c r="D10" s="59"/>
      <c r="E10" s="60"/>
      <c r="F10" s="61">
        <v>44713</v>
      </c>
      <c r="G10" s="62">
        <v>29428</v>
      </c>
      <c r="H10" s="63">
        <v>29428</v>
      </c>
      <c r="I10" s="64">
        <f t="shared" si="5"/>
        <v>0</v>
      </c>
      <c r="J10" s="65">
        <v>0</v>
      </c>
      <c r="K10" s="63">
        <v>0</v>
      </c>
      <c r="L10" s="64">
        <f t="shared" si="6"/>
        <v>0</v>
      </c>
      <c r="M10" s="65">
        <v>1000</v>
      </c>
      <c r="N10" s="63">
        <v>4284.74</v>
      </c>
      <c r="O10" s="64">
        <f t="shared" si="7"/>
        <v>-3284.74</v>
      </c>
      <c r="P10" s="65">
        <v>500</v>
      </c>
      <c r="Q10" s="63">
        <v>918.13</v>
      </c>
      <c r="R10" s="64">
        <f t="shared" si="8"/>
        <v>-418.13</v>
      </c>
      <c r="S10" s="65">
        <v>1000</v>
      </c>
      <c r="T10" s="63">
        <v>0</v>
      </c>
      <c r="U10" s="64">
        <f t="shared" si="9"/>
        <v>1000</v>
      </c>
      <c r="V10" s="66">
        <f t="shared" si="10"/>
        <v>31928</v>
      </c>
      <c r="W10" s="67">
        <f t="shared" si="10"/>
        <v>34630.869999999995</v>
      </c>
      <c r="X10" s="64">
        <f t="shared" si="11"/>
        <v>-2702.8699999999953</v>
      </c>
      <c r="Y10" s="62">
        <v>1100</v>
      </c>
      <c r="Z10" s="63">
        <v>1100</v>
      </c>
      <c r="AA10" s="64">
        <f t="shared" si="12"/>
        <v>0</v>
      </c>
      <c r="AB10" s="65"/>
      <c r="AC10" s="63"/>
      <c r="AD10" s="64">
        <f t="shared" si="13"/>
        <v>0</v>
      </c>
      <c r="AE10" s="65"/>
      <c r="AF10" s="63"/>
      <c r="AG10" s="64">
        <f t="shared" si="14"/>
        <v>0</v>
      </c>
      <c r="AH10" s="65"/>
      <c r="AI10" s="63"/>
      <c r="AJ10" s="64">
        <f t="shared" si="15"/>
        <v>0</v>
      </c>
      <c r="AK10" s="66">
        <f t="shared" si="16"/>
        <v>1100</v>
      </c>
      <c r="AL10" s="67">
        <f t="shared" si="17"/>
        <v>1100</v>
      </c>
      <c r="AM10" s="64">
        <f t="shared" si="18"/>
        <v>0</v>
      </c>
      <c r="AN10" s="62"/>
      <c r="AO10" s="63"/>
      <c r="AP10" s="64">
        <f t="shared" si="19"/>
        <v>0</v>
      </c>
      <c r="AQ10" s="65"/>
      <c r="AR10" s="63"/>
      <c r="AS10" s="64">
        <f t="shared" si="20"/>
        <v>0</v>
      </c>
      <c r="AT10" s="65"/>
      <c r="AU10" s="63"/>
      <c r="AV10" s="64">
        <f t="shared" si="21"/>
        <v>0</v>
      </c>
      <c r="AW10" s="65"/>
      <c r="AX10" s="63"/>
      <c r="AY10" s="64">
        <f t="shared" si="22"/>
        <v>0</v>
      </c>
      <c r="AZ10" s="66">
        <f t="shared" si="23"/>
        <v>0</v>
      </c>
      <c r="BA10" s="67">
        <f t="shared" si="24"/>
        <v>0</v>
      </c>
      <c r="BB10" s="64">
        <f t="shared" si="25"/>
        <v>0</v>
      </c>
      <c r="BC10" s="62"/>
      <c r="BD10" s="63"/>
      <c r="BE10" s="64">
        <f t="shared" si="26"/>
        <v>0</v>
      </c>
      <c r="BF10" s="65"/>
      <c r="BG10" s="63"/>
      <c r="BH10" s="64">
        <f t="shared" si="27"/>
        <v>0</v>
      </c>
      <c r="BI10" s="65"/>
      <c r="BJ10" s="63"/>
      <c r="BK10" s="64">
        <f t="shared" si="28"/>
        <v>0</v>
      </c>
      <c r="BL10" s="65">
        <v>100</v>
      </c>
      <c r="BM10" s="63"/>
      <c r="BN10" s="64">
        <f t="shared" si="29"/>
        <v>100</v>
      </c>
      <c r="BO10" s="66">
        <f t="shared" si="30"/>
        <v>100</v>
      </c>
      <c r="BP10" s="67">
        <f t="shared" si="31"/>
        <v>0</v>
      </c>
      <c r="BQ10" s="64">
        <f t="shared" si="32"/>
        <v>100</v>
      </c>
      <c r="BR10" s="68"/>
      <c r="BS10" s="69"/>
      <c r="BT10" s="70"/>
      <c r="BU10" s="71"/>
      <c r="BV10" s="69"/>
      <c r="BW10" s="70"/>
      <c r="BX10" s="71"/>
      <c r="BY10" s="69"/>
      <c r="BZ10" s="70"/>
      <c r="CA10" s="71"/>
      <c r="CB10" s="69"/>
      <c r="CC10" s="70"/>
      <c r="CD10" s="66">
        <f t="shared" si="33"/>
        <v>0</v>
      </c>
      <c r="CE10" s="67">
        <f t="shared" si="34"/>
        <v>0</v>
      </c>
      <c r="CF10" s="64">
        <f t="shared" si="35"/>
        <v>0</v>
      </c>
      <c r="CG10" s="62">
        <v>4000</v>
      </c>
      <c r="CH10" s="63">
        <v>5000</v>
      </c>
      <c r="CI10" s="64">
        <f t="shared" si="36"/>
        <v>-1000</v>
      </c>
      <c r="CJ10" s="65"/>
      <c r="CK10" s="63"/>
      <c r="CL10" s="64">
        <f t="shared" si="37"/>
        <v>0</v>
      </c>
      <c r="CM10" s="65"/>
      <c r="CN10" s="63"/>
      <c r="CO10" s="64">
        <f t="shared" si="38"/>
        <v>0</v>
      </c>
      <c r="CP10" s="65"/>
      <c r="CQ10" s="63"/>
      <c r="CR10" s="64">
        <f t="shared" si="39"/>
        <v>0</v>
      </c>
      <c r="CS10" s="66">
        <f t="shared" si="40"/>
        <v>4000</v>
      </c>
      <c r="CT10" s="67">
        <f t="shared" si="41"/>
        <v>5000</v>
      </c>
      <c r="CU10" s="64">
        <f t="shared" si="42"/>
        <v>-1000</v>
      </c>
      <c r="CV10" s="68"/>
      <c r="CW10" s="69"/>
      <c r="CX10" s="70"/>
      <c r="CY10" s="71"/>
      <c r="CZ10" s="69"/>
      <c r="DA10" s="70"/>
      <c r="DB10" s="71"/>
      <c r="DC10" s="69"/>
      <c r="DD10" s="70"/>
      <c r="DE10" s="71"/>
      <c r="DF10" s="69"/>
      <c r="DG10" s="70"/>
      <c r="DH10" s="66">
        <f t="shared" si="43"/>
        <v>0</v>
      </c>
      <c r="DI10" s="67">
        <f t="shared" si="44"/>
        <v>0</v>
      </c>
      <c r="DJ10" s="64">
        <f t="shared" si="45"/>
        <v>0</v>
      </c>
      <c r="DK10" s="68"/>
      <c r="DL10" s="69"/>
      <c r="DM10" s="70"/>
      <c r="DN10" s="71"/>
      <c r="DO10" s="69"/>
      <c r="DP10" s="70"/>
      <c r="DQ10" s="71"/>
      <c r="DR10" s="69"/>
      <c r="DS10" s="70"/>
      <c r="DT10" s="71"/>
      <c r="DU10" s="69"/>
      <c r="DV10" s="70"/>
      <c r="DW10" s="66">
        <f t="shared" si="46"/>
        <v>0</v>
      </c>
      <c r="DX10" s="67">
        <f t="shared" si="47"/>
        <v>0</v>
      </c>
      <c r="DY10" s="64">
        <f t="shared" si="48"/>
        <v>0</v>
      </c>
      <c r="DZ10" s="62"/>
      <c r="EA10" s="63"/>
      <c r="EB10" s="64">
        <f t="shared" si="49"/>
        <v>0</v>
      </c>
      <c r="EC10" s="65"/>
      <c r="ED10" s="63"/>
      <c r="EE10" s="64">
        <f t="shared" si="50"/>
        <v>0</v>
      </c>
      <c r="EF10" s="65"/>
      <c r="EG10" s="63"/>
      <c r="EH10" s="64">
        <f t="shared" si="51"/>
        <v>0</v>
      </c>
      <c r="EI10" s="65">
        <v>100</v>
      </c>
      <c r="EJ10" s="63">
        <v>194.4</v>
      </c>
      <c r="EK10" s="64">
        <f t="shared" si="52"/>
        <v>-94.4</v>
      </c>
      <c r="EL10" s="66">
        <f t="shared" si="53"/>
        <v>100</v>
      </c>
      <c r="EM10" s="67">
        <f t="shared" si="54"/>
        <v>194.4</v>
      </c>
      <c r="EN10" s="64">
        <f t="shared" si="55"/>
        <v>-94.4</v>
      </c>
      <c r="EO10" s="62">
        <v>5596.25</v>
      </c>
      <c r="EP10" s="63">
        <v>5596.25</v>
      </c>
      <c r="EQ10" s="64">
        <f t="shared" si="56"/>
        <v>0</v>
      </c>
      <c r="ER10" s="65"/>
      <c r="ES10" s="63"/>
      <c r="ET10" s="64">
        <f t="shared" si="57"/>
        <v>0</v>
      </c>
      <c r="EU10" s="65"/>
      <c r="EV10" s="63"/>
      <c r="EW10" s="64">
        <f t="shared" si="58"/>
        <v>0</v>
      </c>
      <c r="EX10" s="65">
        <v>100</v>
      </c>
      <c r="EY10" s="63"/>
      <c r="EZ10" s="64">
        <f t="shared" si="59"/>
        <v>100</v>
      </c>
      <c r="FA10" s="66">
        <f t="shared" si="60"/>
        <v>5696.25</v>
      </c>
      <c r="FB10" s="67">
        <f t="shared" si="61"/>
        <v>5596.25</v>
      </c>
      <c r="FC10" s="64">
        <f t="shared" si="62"/>
        <v>100</v>
      </c>
      <c r="FD10" s="62">
        <v>5596.25</v>
      </c>
      <c r="FE10" s="63">
        <v>5596.25</v>
      </c>
      <c r="FF10" s="64">
        <f t="shared" si="63"/>
        <v>0</v>
      </c>
      <c r="FG10" s="65"/>
      <c r="FH10" s="63"/>
      <c r="FI10" s="64">
        <f t="shared" si="64"/>
        <v>0</v>
      </c>
      <c r="FJ10" s="65"/>
      <c r="FK10" s="63"/>
      <c r="FL10" s="64">
        <f t="shared" si="65"/>
        <v>0</v>
      </c>
      <c r="FM10" s="65">
        <v>100</v>
      </c>
      <c r="FN10" s="63"/>
      <c r="FO10" s="64">
        <f t="shared" si="66"/>
        <v>100</v>
      </c>
      <c r="FP10" s="66">
        <f t="shared" si="67"/>
        <v>5696.25</v>
      </c>
      <c r="FQ10" s="67">
        <f t="shared" si="68"/>
        <v>5596.25</v>
      </c>
      <c r="FR10" s="64">
        <f t="shared" si="69"/>
        <v>100</v>
      </c>
      <c r="FS10" s="62"/>
      <c r="FT10" s="63"/>
      <c r="FU10" s="64">
        <f t="shared" si="70"/>
        <v>0</v>
      </c>
      <c r="FV10" s="65"/>
      <c r="FW10" s="63"/>
      <c r="FX10" s="64">
        <f t="shared" si="71"/>
        <v>0</v>
      </c>
      <c r="FY10" s="65"/>
      <c r="FZ10" s="63"/>
      <c r="GA10" s="64">
        <f t="shared" si="72"/>
        <v>0</v>
      </c>
      <c r="GB10" s="65"/>
      <c r="GC10" s="63"/>
      <c r="GD10" s="64">
        <f t="shared" si="73"/>
        <v>0</v>
      </c>
      <c r="GE10" s="66">
        <f t="shared" si="74"/>
        <v>0</v>
      </c>
      <c r="GF10" s="67">
        <f t="shared" si="75"/>
        <v>0</v>
      </c>
      <c r="GG10" s="64">
        <f t="shared" si="76"/>
        <v>0</v>
      </c>
      <c r="GH10" s="62"/>
      <c r="GI10" s="63"/>
      <c r="GJ10" s="64">
        <f t="shared" si="77"/>
        <v>0</v>
      </c>
      <c r="GK10" s="65"/>
      <c r="GL10" s="63"/>
      <c r="GM10" s="64">
        <f t="shared" si="78"/>
        <v>0</v>
      </c>
      <c r="GN10" s="65"/>
      <c r="GO10" s="63"/>
      <c r="GP10" s="64">
        <f t="shared" si="79"/>
        <v>0</v>
      </c>
      <c r="GQ10" s="65"/>
      <c r="GR10" s="63"/>
      <c r="GS10" s="64">
        <f t="shared" si="80"/>
        <v>0</v>
      </c>
      <c r="GT10" s="66">
        <f t="shared" si="81"/>
        <v>0</v>
      </c>
      <c r="GU10" s="67">
        <f t="shared" si="82"/>
        <v>0</v>
      </c>
      <c r="GV10" s="64">
        <f t="shared" si="83"/>
        <v>0</v>
      </c>
      <c r="GW10" s="68"/>
      <c r="GX10" s="69"/>
      <c r="GY10" s="70"/>
      <c r="GZ10" s="71"/>
      <c r="HA10" s="69"/>
      <c r="HB10" s="70"/>
      <c r="HC10" s="71"/>
      <c r="HD10" s="69"/>
      <c r="HE10" s="70"/>
      <c r="HF10" s="71"/>
      <c r="HG10" s="69"/>
      <c r="HH10" s="70"/>
      <c r="HI10" s="66">
        <f t="shared" si="84"/>
        <v>0</v>
      </c>
      <c r="HJ10" s="67">
        <f t="shared" si="85"/>
        <v>0</v>
      </c>
      <c r="HK10" s="64">
        <f t="shared" si="86"/>
        <v>0</v>
      </c>
      <c r="HL10" s="62"/>
      <c r="HM10" s="63"/>
      <c r="HN10" s="64">
        <f t="shared" si="87"/>
        <v>0</v>
      </c>
      <c r="HO10" s="65"/>
      <c r="HP10" s="63">
        <v>2184</v>
      </c>
      <c r="HQ10" s="64">
        <f t="shared" si="88"/>
        <v>-2184</v>
      </c>
      <c r="HR10" s="65"/>
      <c r="HS10" s="63"/>
      <c r="HT10" s="64">
        <f t="shared" si="89"/>
        <v>0</v>
      </c>
      <c r="HU10" s="65">
        <v>100</v>
      </c>
      <c r="HV10" s="63"/>
      <c r="HW10" s="64">
        <f t="shared" si="90"/>
        <v>100</v>
      </c>
      <c r="HX10" s="66">
        <f t="shared" si="91"/>
        <v>100</v>
      </c>
      <c r="HY10" s="67">
        <f t="shared" si="92"/>
        <v>2184</v>
      </c>
      <c r="HZ10" s="64">
        <f t="shared" si="93"/>
        <v>-2084</v>
      </c>
      <c r="IA10" s="62"/>
      <c r="IB10" s="63"/>
      <c r="IC10" s="64">
        <f t="shared" si="94"/>
        <v>0</v>
      </c>
      <c r="ID10" s="65"/>
      <c r="IE10" s="63"/>
      <c r="IF10" s="64">
        <f t="shared" si="95"/>
        <v>0</v>
      </c>
      <c r="IG10" s="65">
        <v>601.78</v>
      </c>
      <c r="IH10" s="63"/>
      <c r="II10" s="64">
        <f t="shared" si="96"/>
        <v>601.78</v>
      </c>
      <c r="IJ10" s="65">
        <v>100</v>
      </c>
      <c r="IK10" s="63">
        <v>127.63</v>
      </c>
      <c r="IL10" s="64">
        <f t="shared" si="97"/>
        <v>-27.629999999999995</v>
      </c>
      <c r="IM10" s="66">
        <f t="shared" si="98"/>
        <v>701.78</v>
      </c>
      <c r="IN10" s="67">
        <f t="shared" si="99"/>
        <v>127.63</v>
      </c>
      <c r="IO10" s="64">
        <f t="shared" si="100"/>
        <v>574.15</v>
      </c>
      <c r="IP10" s="62">
        <v>3000</v>
      </c>
      <c r="IQ10" s="63">
        <v>3000</v>
      </c>
      <c r="IR10" s="64">
        <f t="shared" si="101"/>
        <v>0</v>
      </c>
      <c r="IS10" s="65"/>
      <c r="IT10" s="63"/>
      <c r="IU10" s="64">
        <f t="shared" si="102"/>
        <v>0</v>
      </c>
      <c r="IV10" s="65"/>
      <c r="IW10" s="63"/>
      <c r="IX10" s="64">
        <f t="shared" si="103"/>
        <v>0</v>
      </c>
      <c r="IY10" s="65"/>
      <c r="IZ10" s="63"/>
      <c r="JA10" s="64">
        <f t="shared" si="104"/>
        <v>0</v>
      </c>
      <c r="JB10" s="66">
        <f t="shared" si="105"/>
        <v>3000</v>
      </c>
      <c r="JC10" s="67">
        <f t="shared" si="106"/>
        <v>3000</v>
      </c>
      <c r="JD10" s="64">
        <f t="shared" si="107"/>
        <v>0</v>
      </c>
      <c r="JE10" s="62"/>
      <c r="JF10" s="63"/>
      <c r="JG10" s="64">
        <f t="shared" si="108"/>
        <v>0</v>
      </c>
      <c r="JH10" s="65"/>
      <c r="JI10" s="63"/>
      <c r="JJ10" s="64">
        <f t="shared" si="109"/>
        <v>0</v>
      </c>
      <c r="JK10" s="65"/>
      <c r="JL10" s="63"/>
      <c r="JM10" s="64">
        <f t="shared" si="110"/>
        <v>0</v>
      </c>
      <c r="JN10" s="65">
        <v>100</v>
      </c>
      <c r="JO10" s="63">
        <v>138.44999999999999</v>
      </c>
      <c r="JP10" s="64">
        <f t="shared" si="111"/>
        <v>-38.449999999999989</v>
      </c>
      <c r="JQ10" s="66">
        <f t="shared" si="112"/>
        <v>100</v>
      </c>
      <c r="JR10" s="67">
        <f t="shared" si="113"/>
        <v>138.44999999999999</v>
      </c>
      <c r="JS10" s="64">
        <f t="shared" si="114"/>
        <v>-38.449999999999989</v>
      </c>
      <c r="JT10" s="62">
        <v>4920</v>
      </c>
      <c r="JU10" s="63">
        <v>4920</v>
      </c>
      <c r="JV10" s="64">
        <f t="shared" si="115"/>
        <v>0</v>
      </c>
      <c r="JW10" s="65"/>
      <c r="JX10" s="63"/>
      <c r="JY10" s="64">
        <f t="shared" si="116"/>
        <v>0</v>
      </c>
      <c r="JZ10" s="65"/>
      <c r="KA10" s="63"/>
      <c r="KB10" s="64">
        <f t="shared" si="117"/>
        <v>0</v>
      </c>
      <c r="KC10" s="65">
        <v>100</v>
      </c>
      <c r="KD10" s="63">
        <v>189.24</v>
      </c>
      <c r="KE10" s="64">
        <f t="shared" si="118"/>
        <v>-89.240000000000009</v>
      </c>
      <c r="KF10" s="66">
        <f t="shared" si="119"/>
        <v>5020</v>
      </c>
      <c r="KG10" s="67">
        <f t="shared" si="120"/>
        <v>5109.24</v>
      </c>
      <c r="KH10" s="64">
        <f t="shared" si="121"/>
        <v>-89.239999999999782</v>
      </c>
      <c r="KI10" s="68"/>
      <c r="KJ10" s="69"/>
      <c r="KK10" s="70"/>
      <c r="KL10" s="71"/>
      <c r="KM10" s="69"/>
      <c r="KN10" s="70"/>
      <c r="KO10" s="71"/>
      <c r="KP10" s="69"/>
      <c r="KQ10" s="70"/>
      <c r="KR10" s="71"/>
      <c r="KS10" s="69"/>
      <c r="KT10" s="64">
        <f t="shared" si="0"/>
        <v>0</v>
      </c>
      <c r="KU10" s="66">
        <f t="shared" si="1"/>
        <v>0</v>
      </c>
      <c r="KV10" s="67">
        <f t="shared" si="2"/>
        <v>0</v>
      </c>
      <c r="KW10" s="64">
        <f t="shared" si="122"/>
        <v>0</v>
      </c>
      <c r="KX10" s="72"/>
      <c r="KY10" s="73"/>
      <c r="KZ10" s="74"/>
      <c r="LA10" s="75"/>
      <c r="LB10" s="73"/>
      <c r="LC10" s="74"/>
      <c r="LD10" s="75"/>
      <c r="LE10" s="73"/>
      <c r="LF10" s="74"/>
      <c r="LG10" s="75"/>
      <c r="LH10" s="73"/>
      <c r="LI10" s="74"/>
      <c r="LJ10" s="76"/>
      <c r="LK10" s="77"/>
      <c r="LL10" s="74"/>
      <c r="LM10" s="68"/>
      <c r="LN10" s="69"/>
      <c r="LO10" s="70"/>
      <c r="LP10" s="71"/>
      <c r="LQ10" s="69"/>
      <c r="LR10" s="70"/>
      <c r="LS10" s="71"/>
      <c r="LT10" s="69"/>
      <c r="LU10" s="70"/>
      <c r="LV10" s="71"/>
      <c r="LW10" s="69"/>
      <c r="LX10" s="64">
        <f t="shared" si="123"/>
        <v>0</v>
      </c>
      <c r="LY10" s="66">
        <f t="shared" si="124"/>
        <v>0</v>
      </c>
      <c r="LZ10" s="67">
        <f t="shared" si="125"/>
        <v>0</v>
      </c>
      <c r="MA10" s="64">
        <f t="shared" si="126"/>
        <v>0</v>
      </c>
      <c r="MB10" s="62">
        <v>650</v>
      </c>
      <c r="MC10" s="63">
        <v>650</v>
      </c>
      <c r="MD10" s="64">
        <f t="shared" si="127"/>
        <v>0</v>
      </c>
      <c r="ME10" s="65">
        <v>727.43</v>
      </c>
      <c r="MF10" s="63">
        <v>757.77</v>
      </c>
      <c r="MG10" s="64">
        <f t="shared" si="128"/>
        <v>-30.340000000000032</v>
      </c>
      <c r="MH10" s="65"/>
      <c r="MI10" s="63"/>
      <c r="MJ10" s="64">
        <f t="shared" si="129"/>
        <v>0</v>
      </c>
      <c r="MK10" s="65">
        <v>100</v>
      </c>
      <c r="ML10" s="63">
        <v>355.93</v>
      </c>
      <c r="MM10" s="64">
        <f t="shared" si="130"/>
        <v>-255.93</v>
      </c>
      <c r="MN10" s="66">
        <f t="shared" si="131"/>
        <v>1477.4299999999998</v>
      </c>
      <c r="MO10" s="67">
        <f t="shared" si="132"/>
        <v>1763.7</v>
      </c>
      <c r="MP10" s="64">
        <f t="shared" si="133"/>
        <v>-286.27000000000021</v>
      </c>
      <c r="MQ10" s="62">
        <v>7500</v>
      </c>
      <c r="MR10" s="63">
        <v>7500</v>
      </c>
      <c r="MS10" s="64">
        <f t="shared" si="134"/>
        <v>0</v>
      </c>
      <c r="MT10" s="65"/>
      <c r="MU10" s="63"/>
      <c r="MV10" s="64">
        <f t="shared" si="135"/>
        <v>0</v>
      </c>
      <c r="MW10" s="65"/>
      <c r="MX10" s="63"/>
      <c r="MY10" s="64">
        <f t="shared" si="136"/>
        <v>0</v>
      </c>
      <c r="MZ10" s="65"/>
      <c r="NA10" s="63"/>
      <c r="NB10" s="64">
        <f t="shared" si="137"/>
        <v>0</v>
      </c>
      <c r="NC10" s="66">
        <f t="shared" si="138"/>
        <v>7500</v>
      </c>
      <c r="ND10" s="67">
        <f t="shared" si="139"/>
        <v>7500</v>
      </c>
      <c r="NE10" s="64">
        <f t="shared" si="140"/>
        <v>0</v>
      </c>
      <c r="NF10" s="62"/>
      <c r="NG10" s="63"/>
      <c r="NH10" s="64">
        <f t="shared" si="141"/>
        <v>0</v>
      </c>
      <c r="NI10" s="65">
        <v>685.09</v>
      </c>
      <c r="NJ10" s="63">
        <v>703.09</v>
      </c>
      <c r="NK10" s="64">
        <f t="shared" si="142"/>
        <v>-18</v>
      </c>
      <c r="NL10" s="65"/>
      <c r="NM10" s="63"/>
      <c r="NN10" s="64">
        <f t="shared" si="143"/>
        <v>0</v>
      </c>
      <c r="NO10" s="65">
        <v>100</v>
      </c>
      <c r="NP10" s="63">
        <v>248.61</v>
      </c>
      <c r="NQ10" s="64">
        <f t="shared" si="144"/>
        <v>-148.61000000000001</v>
      </c>
      <c r="NR10" s="66">
        <f t="shared" si="145"/>
        <v>785.09</v>
      </c>
      <c r="NS10" s="67">
        <f t="shared" si="146"/>
        <v>951.7</v>
      </c>
      <c r="NT10" s="64">
        <f t="shared" si="147"/>
        <v>-166.61</v>
      </c>
      <c r="NU10" s="62">
        <v>864</v>
      </c>
      <c r="NV10" s="63">
        <v>864</v>
      </c>
      <c r="NW10" s="64">
        <f t="shared" si="148"/>
        <v>0</v>
      </c>
      <c r="NX10" s="65">
        <v>636.36</v>
      </c>
      <c r="NY10" s="63"/>
      <c r="NZ10" s="64">
        <f t="shared" si="149"/>
        <v>636.36</v>
      </c>
      <c r="OA10" s="65"/>
      <c r="OB10" s="63"/>
      <c r="OC10" s="64">
        <f t="shared" si="150"/>
        <v>0</v>
      </c>
      <c r="OD10" s="65">
        <v>100</v>
      </c>
      <c r="OE10" s="63">
        <v>23.09</v>
      </c>
      <c r="OF10" s="64">
        <f t="shared" si="151"/>
        <v>76.91</v>
      </c>
      <c r="OG10" s="66">
        <f t="shared" si="152"/>
        <v>1600.3600000000001</v>
      </c>
      <c r="OH10" s="67">
        <f t="shared" si="153"/>
        <v>887.09</v>
      </c>
      <c r="OI10" s="64">
        <f t="shared" si="154"/>
        <v>713.2700000000001</v>
      </c>
      <c r="OJ10" s="62"/>
      <c r="OK10" s="63"/>
      <c r="OL10" s="64">
        <f t="shared" si="155"/>
        <v>0</v>
      </c>
      <c r="OM10" s="65"/>
      <c r="ON10" s="63"/>
      <c r="OO10" s="64">
        <f t="shared" si="156"/>
        <v>0</v>
      </c>
      <c r="OP10" s="65"/>
      <c r="OQ10" s="63"/>
      <c r="OR10" s="64">
        <f t="shared" si="157"/>
        <v>0</v>
      </c>
      <c r="OS10" s="65">
        <v>100</v>
      </c>
      <c r="OT10" s="63">
        <v>167.13</v>
      </c>
      <c r="OU10" s="64">
        <f t="shared" si="158"/>
        <v>-67.13</v>
      </c>
      <c r="OV10" s="66">
        <f t="shared" si="159"/>
        <v>100</v>
      </c>
      <c r="OW10" s="67">
        <f t="shared" si="160"/>
        <v>167.13</v>
      </c>
      <c r="OX10" s="64">
        <f t="shared" si="161"/>
        <v>-67.13</v>
      </c>
      <c r="OY10" s="62"/>
      <c r="OZ10" s="63"/>
      <c r="PA10" s="64">
        <f t="shared" si="162"/>
        <v>0</v>
      </c>
      <c r="PB10" s="65"/>
      <c r="PC10" s="63"/>
      <c r="PD10" s="64">
        <f t="shared" si="163"/>
        <v>0</v>
      </c>
      <c r="PE10" s="65"/>
      <c r="PF10" s="63"/>
      <c r="PG10" s="64">
        <f t="shared" si="164"/>
        <v>0</v>
      </c>
      <c r="PH10" s="65">
        <v>100</v>
      </c>
      <c r="PI10" s="63">
        <v>123.74</v>
      </c>
      <c r="PJ10" s="64">
        <f t="shared" si="165"/>
        <v>-23.739999999999995</v>
      </c>
      <c r="PK10" s="66">
        <f t="shared" si="166"/>
        <v>100</v>
      </c>
      <c r="PL10" s="67">
        <f t="shared" si="167"/>
        <v>123.74</v>
      </c>
      <c r="PM10" s="64">
        <f t="shared" si="168"/>
        <v>-23.739999999999995</v>
      </c>
      <c r="PN10" s="62">
        <v>1400</v>
      </c>
      <c r="PO10" s="63">
        <v>1400</v>
      </c>
      <c r="PP10" s="64">
        <f t="shared" si="169"/>
        <v>0</v>
      </c>
      <c r="PQ10" s="65"/>
      <c r="PR10" s="63"/>
      <c r="PS10" s="64">
        <f t="shared" si="170"/>
        <v>0</v>
      </c>
      <c r="PT10" s="65"/>
      <c r="PU10" s="63"/>
      <c r="PV10" s="64">
        <f t="shared" si="171"/>
        <v>0</v>
      </c>
      <c r="PW10" s="65">
        <v>100</v>
      </c>
      <c r="PX10" s="63">
        <v>123.05</v>
      </c>
      <c r="PY10" s="64">
        <f t="shared" si="172"/>
        <v>-23.049999999999997</v>
      </c>
      <c r="PZ10" s="66">
        <f t="shared" si="173"/>
        <v>1500</v>
      </c>
      <c r="QA10" s="67">
        <f t="shared" si="174"/>
        <v>1523.05</v>
      </c>
      <c r="QB10" s="64">
        <f t="shared" si="175"/>
        <v>-23.049999999999955</v>
      </c>
      <c r="QC10" s="62"/>
      <c r="QD10" s="63"/>
      <c r="QE10" s="64">
        <f t="shared" si="176"/>
        <v>0</v>
      </c>
      <c r="QF10" s="65"/>
      <c r="QG10" s="63"/>
      <c r="QH10" s="64">
        <f t="shared" si="177"/>
        <v>0</v>
      </c>
      <c r="QI10" s="65"/>
      <c r="QJ10" s="63"/>
      <c r="QK10" s="64">
        <f t="shared" si="178"/>
        <v>0</v>
      </c>
      <c r="QL10" s="65">
        <v>100</v>
      </c>
      <c r="QM10" s="63">
        <v>127.68</v>
      </c>
      <c r="QN10" s="64">
        <f t="shared" si="179"/>
        <v>-27.680000000000007</v>
      </c>
      <c r="QO10" s="66">
        <f t="shared" si="180"/>
        <v>100</v>
      </c>
      <c r="QP10" s="67">
        <f t="shared" si="181"/>
        <v>127.68</v>
      </c>
      <c r="QQ10" s="64">
        <f t="shared" si="182"/>
        <v>-27.680000000000007</v>
      </c>
      <c r="QR10" s="62"/>
      <c r="QS10" s="63"/>
      <c r="QT10" s="64">
        <f t="shared" si="183"/>
        <v>0</v>
      </c>
      <c r="QU10" s="65"/>
      <c r="QV10" s="63"/>
      <c r="QW10" s="64">
        <f t="shared" si="184"/>
        <v>0</v>
      </c>
      <c r="QX10" s="65"/>
      <c r="QY10" s="63"/>
      <c r="QZ10" s="64">
        <f t="shared" si="185"/>
        <v>0</v>
      </c>
      <c r="RA10" s="65"/>
      <c r="RB10" s="63"/>
      <c r="RC10" s="64">
        <f t="shared" si="186"/>
        <v>0</v>
      </c>
      <c r="RD10" s="66">
        <f t="shared" si="187"/>
        <v>0</v>
      </c>
      <c r="RE10" s="67">
        <f t="shared" si="188"/>
        <v>0</v>
      </c>
      <c r="RF10" s="64">
        <f t="shared" si="189"/>
        <v>0</v>
      </c>
      <c r="RG10" s="62"/>
      <c r="RH10" s="63"/>
      <c r="RI10" s="64">
        <f t="shared" si="190"/>
        <v>0</v>
      </c>
      <c r="RJ10" s="65"/>
      <c r="RK10" s="63"/>
      <c r="RL10" s="64">
        <f t="shared" si="191"/>
        <v>0</v>
      </c>
      <c r="RM10" s="65"/>
      <c r="RN10" s="63"/>
      <c r="RO10" s="64">
        <f t="shared" si="192"/>
        <v>0</v>
      </c>
      <c r="RP10" s="65"/>
      <c r="RQ10" s="63"/>
      <c r="RR10" s="64">
        <f t="shared" si="193"/>
        <v>0</v>
      </c>
      <c r="RS10" s="66">
        <f t="shared" si="194"/>
        <v>0</v>
      </c>
      <c r="RT10" s="67">
        <f t="shared" si="195"/>
        <v>0</v>
      </c>
      <c r="RU10" s="64">
        <f t="shared" si="196"/>
        <v>0</v>
      </c>
      <c r="RV10" s="62"/>
      <c r="RW10" s="63"/>
      <c r="RX10" s="64">
        <f t="shared" si="197"/>
        <v>0</v>
      </c>
      <c r="RY10" s="65"/>
      <c r="RZ10" s="63"/>
      <c r="SA10" s="64">
        <f t="shared" si="198"/>
        <v>0</v>
      </c>
      <c r="SB10" s="65"/>
      <c r="SC10" s="63"/>
      <c r="SD10" s="64">
        <f t="shared" si="199"/>
        <v>0</v>
      </c>
      <c r="SE10" s="65">
        <v>100</v>
      </c>
      <c r="SF10" s="63">
        <v>222.54</v>
      </c>
      <c r="SG10" s="64">
        <f t="shared" si="200"/>
        <v>-122.53999999999999</v>
      </c>
      <c r="SH10" s="66">
        <f t="shared" si="201"/>
        <v>100</v>
      </c>
      <c r="SI10" s="67">
        <f t="shared" si="202"/>
        <v>222.54</v>
      </c>
      <c r="SJ10" s="64">
        <f t="shared" si="203"/>
        <v>-122.53999999999999</v>
      </c>
      <c r="SK10" s="62"/>
      <c r="SL10" s="63"/>
      <c r="SM10" s="64">
        <f t="shared" si="204"/>
        <v>0</v>
      </c>
      <c r="SN10" s="65"/>
      <c r="SO10" s="63"/>
      <c r="SP10" s="64">
        <f t="shared" si="205"/>
        <v>0</v>
      </c>
      <c r="SQ10" s="65"/>
      <c r="SR10" s="63"/>
      <c r="SS10" s="64">
        <f t="shared" si="206"/>
        <v>0</v>
      </c>
      <c r="ST10" s="65">
        <v>100</v>
      </c>
      <c r="SU10" s="63">
        <v>272.62</v>
      </c>
      <c r="SV10" s="64">
        <f t="shared" si="207"/>
        <v>-172.62</v>
      </c>
      <c r="SW10" s="66">
        <f t="shared" si="208"/>
        <v>100</v>
      </c>
      <c r="SX10" s="67">
        <f t="shared" si="209"/>
        <v>272.62</v>
      </c>
      <c r="SY10" s="64">
        <f t="shared" si="210"/>
        <v>-172.62</v>
      </c>
      <c r="SZ10" s="62">
        <v>1257.1199999999999</v>
      </c>
      <c r="TA10" s="63">
        <v>1257.1199999999999</v>
      </c>
      <c r="TB10" s="64">
        <f t="shared" si="211"/>
        <v>0</v>
      </c>
      <c r="TC10" s="65"/>
      <c r="TD10" s="63"/>
      <c r="TE10" s="64">
        <f t="shared" si="212"/>
        <v>0</v>
      </c>
      <c r="TF10" s="65"/>
      <c r="TG10" s="63"/>
      <c r="TH10" s="64">
        <f t="shared" si="213"/>
        <v>0</v>
      </c>
      <c r="TI10" s="65">
        <v>100</v>
      </c>
      <c r="TJ10" s="63">
        <v>183.24</v>
      </c>
      <c r="TK10" s="64">
        <f t="shared" si="214"/>
        <v>-83.240000000000009</v>
      </c>
      <c r="TL10" s="66">
        <f t="shared" si="215"/>
        <v>1357.12</v>
      </c>
      <c r="TM10" s="67">
        <f t="shared" si="216"/>
        <v>1440.36</v>
      </c>
      <c r="TN10" s="64">
        <f t="shared" si="217"/>
        <v>-83.240000000000009</v>
      </c>
      <c r="TO10" s="62"/>
      <c r="TP10" s="63"/>
      <c r="TQ10" s="64">
        <f t="shared" si="218"/>
        <v>0</v>
      </c>
      <c r="TR10" s="65"/>
      <c r="TS10" s="63"/>
      <c r="TT10" s="64">
        <f t="shared" si="219"/>
        <v>0</v>
      </c>
      <c r="TU10" s="65"/>
      <c r="TV10" s="63"/>
      <c r="TW10" s="64">
        <f t="shared" si="220"/>
        <v>0</v>
      </c>
      <c r="TX10" s="65">
        <v>100</v>
      </c>
      <c r="TY10" s="63">
        <v>67.11</v>
      </c>
      <c r="TZ10" s="64">
        <f t="shared" si="221"/>
        <v>32.89</v>
      </c>
      <c r="UA10" s="66">
        <f t="shared" si="222"/>
        <v>100</v>
      </c>
      <c r="UB10" s="67">
        <f t="shared" si="223"/>
        <v>67.11</v>
      </c>
      <c r="UC10" s="64">
        <f t="shared" si="224"/>
        <v>32.89</v>
      </c>
      <c r="UD10" s="68"/>
      <c r="UE10" s="69"/>
      <c r="UF10" s="70"/>
      <c r="UG10" s="71"/>
      <c r="UH10" s="69"/>
      <c r="UI10" s="70"/>
      <c r="UJ10" s="71"/>
      <c r="UK10" s="69"/>
      <c r="UL10" s="70"/>
      <c r="UM10" s="71"/>
      <c r="UN10" s="69"/>
      <c r="UO10" s="64">
        <f t="shared" si="225"/>
        <v>0</v>
      </c>
      <c r="UP10" s="66">
        <f t="shared" si="226"/>
        <v>0</v>
      </c>
      <c r="UQ10" s="67">
        <f t="shared" si="227"/>
        <v>0</v>
      </c>
      <c r="UR10" s="64">
        <f t="shared" si="228"/>
        <v>0</v>
      </c>
      <c r="US10" s="62"/>
      <c r="UT10" s="63"/>
      <c r="UU10" s="64">
        <f t="shared" si="229"/>
        <v>0</v>
      </c>
      <c r="UV10" s="65"/>
      <c r="UW10" s="63"/>
      <c r="UX10" s="64">
        <f t="shared" si="230"/>
        <v>0</v>
      </c>
      <c r="UY10" s="65"/>
      <c r="UZ10" s="63"/>
      <c r="VA10" s="64">
        <f t="shared" si="231"/>
        <v>0</v>
      </c>
      <c r="VB10" s="65">
        <v>100</v>
      </c>
      <c r="VC10" s="63"/>
      <c r="VD10" s="64">
        <f t="shared" si="232"/>
        <v>100</v>
      </c>
      <c r="VE10" s="66">
        <f t="shared" si="233"/>
        <v>100</v>
      </c>
      <c r="VF10" s="67">
        <f t="shared" si="234"/>
        <v>0</v>
      </c>
      <c r="VG10" s="64">
        <f t="shared" si="235"/>
        <v>100</v>
      </c>
      <c r="VH10" s="62"/>
      <c r="VI10" s="63"/>
      <c r="VJ10" s="64">
        <f t="shared" si="236"/>
        <v>0</v>
      </c>
      <c r="VK10" s="65"/>
      <c r="VL10" s="63"/>
      <c r="VM10" s="64">
        <f t="shared" si="237"/>
        <v>0</v>
      </c>
      <c r="VN10" s="65"/>
      <c r="VO10" s="63"/>
      <c r="VP10" s="64">
        <f t="shared" si="238"/>
        <v>0</v>
      </c>
      <c r="VQ10" s="65">
        <v>100</v>
      </c>
      <c r="VR10" s="63">
        <v>28.7</v>
      </c>
      <c r="VS10" s="64">
        <f t="shared" si="239"/>
        <v>71.3</v>
      </c>
      <c r="VT10" s="66">
        <f t="shared" si="240"/>
        <v>100</v>
      </c>
      <c r="VU10" s="67">
        <f t="shared" si="241"/>
        <v>28.7</v>
      </c>
      <c r="VV10" s="64">
        <f t="shared" si="242"/>
        <v>71.3</v>
      </c>
      <c r="VW10" s="62">
        <v>1303</v>
      </c>
      <c r="VX10" s="63">
        <v>1303</v>
      </c>
      <c r="VY10" s="64">
        <f t="shared" si="243"/>
        <v>0</v>
      </c>
      <c r="VZ10" s="65"/>
      <c r="WA10" s="63"/>
      <c r="WB10" s="64">
        <f t="shared" si="244"/>
        <v>0</v>
      </c>
      <c r="WC10" s="65"/>
      <c r="WD10" s="63"/>
      <c r="WE10" s="64">
        <f t="shared" si="245"/>
        <v>0</v>
      </c>
      <c r="WF10" s="65"/>
      <c r="WG10" s="63"/>
      <c r="WH10" s="64">
        <f t="shared" si="246"/>
        <v>0</v>
      </c>
      <c r="WI10" s="66">
        <f t="shared" si="247"/>
        <v>1303</v>
      </c>
      <c r="WJ10" s="67">
        <f t="shared" si="248"/>
        <v>1303</v>
      </c>
      <c r="WK10" s="64">
        <f t="shared" si="249"/>
        <v>0</v>
      </c>
      <c r="WL10" s="62">
        <v>1276.01</v>
      </c>
      <c r="WM10" s="63">
        <v>1276.01</v>
      </c>
      <c r="WN10" s="64">
        <f t="shared" si="250"/>
        <v>0</v>
      </c>
      <c r="WO10" s="65"/>
      <c r="WP10" s="63"/>
      <c r="WQ10" s="64">
        <f t="shared" si="251"/>
        <v>0</v>
      </c>
      <c r="WR10" s="65"/>
      <c r="WS10" s="63"/>
      <c r="WT10" s="64">
        <f t="shared" si="252"/>
        <v>0</v>
      </c>
      <c r="WU10" s="65">
        <v>100</v>
      </c>
      <c r="WV10" s="63">
        <v>221.73</v>
      </c>
      <c r="WW10" s="64">
        <f t="shared" si="253"/>
        <v>-121.72999999999999</v>
      </c>
      <c r="WX10" s="66">
        <f t="shared" si="254"/>
        <v>1376.01</v>
      </c>
      <c r="WY10" s="67">
        <f t="shared" si="255"/>
        <v>1497.74</v>
      </c>
      <c r="WZ10" s="64">
        <f t="shared" si="256"/>
        <v>-121.73000000000002</v>
      </c>
      <c r="XA10" s="62"/>
      <c r="XB10" s="63"/>
      <c r="XC10" s="64">
        <f t="shared" si="257"/>
        <v>0</v>
      </c>
      <c r="XD10" s="65"/>
      <c r="XE10" s="63"/>
      <c r="XF10" s="64">
        <f t="shared" si="258"/>
        <v>0</v>
      </c>
      <c r="XG10" s="65"/>
      <c r="XH10" s="63"/>
      <c r="XI10" s="64">
        <f t="shared" si="259"/>
        <v>0</v>
      </c>
      <c r="XJ10" s="65">
        <v>100</v>
      </c>
      <c r="XK10" s="63">
        <v>196.4</v>
      </c>
      <c r="XL10" s="64">
        <f t="shared" si="260"/>
        <v>-96.4</v>
      </c>
      <c r="XM10" s="66">
        <f t="shared" si="261"/>
        <v>100</v>
      </c>
      <c r="XN10" s="67">
        <f t="shared" si="262"/>
        <v>196.4</v>
      </c>
      <c r="XO10" s="64">
        <f t="shared" si="263"/>
        <v>-96.4</v>
      </c>
      <c r="XP10" s="62">
        <v>917</v>
      </c>
      <c r="XQ10" s="63">
        <v>917</v>
      </c>
      <c r="XR10" s="64">
        <f t="shared" si="264"/>
        <v>0</v>
      </c>
      <c r="XS10" s="65">
        <v>474.92</v>
      </c>
      <c r="XT10" s="63">
        <v>474.92</v>
      </c>
      <c r="XU10" s="64">
        <f t="shared" si="265"/>
        <v>0</v>
      </c>
      <c r="XV10" s="65"/>
      <c r="XW10" s="63">
        <v>1427.97</v>
      </c>
      <c r="XX10" s="64">
        <f t="shared" si="266"/>
        <v>-1427.97</v>
      </c>
      <c r="XY10" s="65">
        <v>100</v>
      </c>
      <c r="XZ10" s="63">
        <v>27.91</v>
      </c>
      <c r="YA10" s="64">
        <f t="shared" si="267"/>
        <v>72.09</v>
      </c>
      <c r="YB10" s="66">
        <f t="shared" si="268"/>
        <v>1491.92</v>
      </c>
      <c r="YC10" s="67">
        <f t="shared" si="269"/>
        <v>2847.8</v>
      </c>
      <c r="YD10" s="64">
        <f t="shared" si="270"/>
        <v>-1355.88</v>
      </c>
      <c r="YE10" s="62">
        <v>890</v>
      </c>
      <c r="YF10" s="63">
        <v>890</v>
      </c>
      <c r="YG10" s="64">
        <f t="shared" si="271"/>
        <v>0</v>
      </c>
      <c r="YH10" s="65">
        <v>410.28</v>
      </c>
      <c r="YI10" s="63">
        <v>410.28</v>
      </c>
      <c r="YJ10" s="64">
        <f t="shared" si="272"/>
        <v>0</v>
      </c>
      <c r="YK10" s="65"/>
      <c r="YL10" s="63"/>
      <c r="YM10" s="64">
        <f t="shared" si="273"/>
        <v>0</v>
      </c>
      <c r="YN10" s="65">
        <v>100</v>
      </c>
      <c r="YO10" s="63">
        <v>112.55</v>
      </c>
      <c r="YP10" s="64">
        <f t="shared" si="274"/>
        <v>-12.549999999999997</v>
      </c>
      <c r="YQ10" s="66">
        <f t="shared" si="275"/>
        <v>1400.28</v>
      </c>
      <c r="YR10" s="67">
        <f t="shared" si="276"/>
        <v>1412.83</v>
      </c>
      <c r="YS10" s="64">
        <f t="shared" si="277"/>
        <v>-12.549999999999955</v>
      </c>
      <c r="YT10" s="62">
        <v>932</v>
      </c>
      <c r="YU10" s="63">
        <v>932</v>
      </c>
      <c r="YV10" s="64">
        <f t="shared" si="278"/>
        <v>0</v>
      </c>
      <c r="YW10" s="65">
        <v>448.46</v>
      </c>
      <c r="YX10" s="63">
        <v>448.46</v>
      </c>
      <c r="YY10" s="64">
        <f t="shared" si="279"/>
        <v>0</v>
      </c>
      <c r="YZ10" s="65"/>
      <c r="ZA10" s="63">
        <v>2243.9299999999998</v>
      </c>
      <c r="ZB10" s="64">
        <f t="shared" si="280"/>
        <v>-2243.9299999999998</v>
      </c>
      <c r="ZC10" s="65">
        <v>100</v>
      </c>
      <c r="ZD10" s="63">
        <v>86.57</v>
      </c>
      <c r="ZE10" s="64">
        <f t="shared" si="281"/>
        <v>13.430000000000007</v>
      </c>
      <c r="ZF10" s="66">
        <f t="shared" si="282"/>
        <v>1480.46</v>
      </c>
      <c r="ZG10" s="67">
        <f t="shared" si="283"/>
        <v>3710.96</v>
      </c>
      <c r="ZH10" s="64">
        <f t="shared" si="284"/>
        <v>-2230.5</v>
      </c>
      <c r="ZI10" s="62">
        <v>1250</v>
      </c>
      <c r="ZJ10" s="63">
        <v>1250</v>
      </c>
      <c r="ZK10" s="64">
        <f t="shared" si="285"/>
        <v>0</v>
      </c>
      <c r="ZL10" s="65"/>
      <c r="ZM10" s="63"/>
      <c r="ZN10" s="64">
        <f t="shared" si="286"/>
        <v>0</v>
      </c>
      <c r="ZO10" s="65"/>
      <c r="ZP10" s="63"/>
      <c r="ZQ10" s="64">
        <f t="shared" si="287"/>
        <v>0</v>
      </c>
      <c r="ZR10" s="65">
        <v>100</v>
      </c>
      <c r="ZS10" s="63">
        <v>150.37</v>
      </c>
      <c r="ZT10" s="64">
        <f t="shared" si="288"/>
        <v>-50.370000000000005</v>
      </c>
      <c r="ZU10" s="66">
        <f t="shared" si="289"/>
        <v>1350</v>
      </c>
      <c r="ZV10" s="67">
        <f t="shared" si="290"/>
        <v>1400.37</v>
      </c>
      <c r="ZW10" s="64">
        <f t="shared" si="291"/>
        <v>-50.369999999999891</v>
      </c>
      <c r="ZX10" s="62">
        <v>24.71</v>
      </c>
      <c r="ZY10" s="63">
        <v>24.71</v>
      </c>
      <c r="ZZ10" s="64">
        <f t="shared" si="292"/>
        <v>0</v>
      </c>
      <c r="AAA10" s="66">
        <f t="shared" si="293"/>
        <v>24.71</v>
      </c>
      <c r="AAB10" s="67">
        <f t="shared" si="293"/>
        <v>24.71</v>
      </c>
      <c r="AAC10" s="64">
        <f t="shared" si="294"/>
        <v>0</v>
      </c>
      <c r="AAD10" s="85">
        <f t="shared" si="295"/>
        <v>79760.95</v>
      </c>
      <c r="AAE10" s="86">
        <f t="shared" si="295"/>
        <v>88818.61</v>
      </c>
      <c r="AAF10" s="87">
        <f t="shared" si="3"/>
        <v>1.1135600817191873</v>
      </c>
      <c r="AAG10" s="88">
        <f t="shared" si="4"/>
        <v>9057.6600000000035</v>
      </c>
      <c r="AAH10" s="58"/>
      <c r="AAI10" s="59"/>
      <c r="AAJ10" s="59"/>
      <c r="AAK10" s="82"/>
    </row>
    <row r="11" spans="1:714" s="83" customFormat="1" ht="20" customHeight="1" x14ac:dyDescent="0.2">
      <c r="A11" s="57" t="s">
        <v>147</v>
      </c>
      <c r="B11" s="89">
        <f>AAH11</f>
        <v>1231783.9200000002</v>
      </c>
      <c r="C11" s="90"/>
      <c r="D11" s="90"/>
      <c r="E11" s="60"/>
      <c r="F11" s="61">
        <v>44743</v>
      </c>
      <c r="G11" s="62">
        <v>29428</v>
      </c>
      <c r="H11" s="63">
        <v>29428</v>
      </c>
      <c r="I11" s="64">
        <f t="shared" si="5"/>
        <v>0</v>
      </c>
      <c r="J11" s="65">
        <v>7289</v>
      </c>
      <c r="K11" s="63">
        <v>7288.6</v>
      </c>
      <c r="L11" s="64">
        <f t="shared" si="6"/>
        <v>0.3999999999996362</v>
      </c>
      <c r="M11" s="65">
        <v>1000</v>
      </c>
      <c r="N11" s="63">
        <v>0</v>
      </c>
      <c r="O11" s="64">
        <f t="shared" si="7"/>
        <v>1000</v>
      </c>
      <c r="P11" s="65">
        <v>500</v>
      </c>
      <c r="Q11" s="63">
        <v>1255.93</v>
      </c>
      <c r="R11" s="64">
        <f t="shared" si="8"/>
        <v>-755.93000000000006</v>
      </c>
      <c r="S11" s="65">
        <v>2000</v>
      </c>
      <c r="T11" s="63">
        <v>0</v>
      </c>
      <c r="U11" s="64">
        <f t="shared" si="9"/>
        <v>2000</v>
      </c>
      <c r="V11" s="66">
        <f t="shared" si="10"/>
        <v>40217</v>
      </c>
      <c r="W11" s="67">
        <f t="shared" si="10"/>
        <v>37972.53</v>
      </c>
      <c r="X11" s="64">
        <f t="shared" si="11"/>
        <v>2244.4700000000012</v>
      </c>
      <c r="Y11" s="62">
        <v>1100</v>
      </c>
      <c r="Z11" s="63">
        <v>1100</v>
      </c>
      <c r="AA11" s="64">
        <f t="shared" si="12"/>
        <v>0</v>
      </c>
      <c r="AB11" s="65"/>
      <c r="AC11" s="63"/>
      <c r="AD11" s="64">
        <f t="shared" si="13"/>
        <v>0</v>
      </c>
      <c r="AE11" s="65"/>
      <c r="AF11" s="63"/>
      <c r="AG11" s="64">
        <f t="shared" si="14"/>
        <v>0</v>
      </c>
      <c r="AH11" s="65"/>
      <c r="AI11" s="63"/>
      <c r="AJ11" s="64">
        <f t="shared" si="15"/>
        <v>0</v>
      </c>
      <c r="AK11" s="66">
        <f t="shared" si="16"/>
        <v>1100</v>
      </c>
      <c r="AL11" s="67">
        <f t="shared" si="17"/>
        <v>1100</v>
      </c>
      <c r="AM11" s="64">
        <f t="shared" si="18"/>
        <v>0</v>
      </c>
      <c r="AN11" s="62">
        <v>5500</v>
      </c>
      <c r="AO11" s="63">
        <v>6000</v>
      </c>
      <c r="AP11" s="64">
        <f t="shared" si="19"/>
        <v>-500</v>
      </c>
      <c r="AQ11" s="65"/>
      <c r="AR11" s="63"/>
      <c r="AS11" s="64">
        <f t="shared" si="20"/>
        <v>0</v>
      </c>
      <c r="AT11" s="65"/>
      <c r="AU11" s="63"/>
      <c r="AV11" s="64">
        <f t="shared" si="21"/>
        <v>0</v>
      </c>
      <c r="AW11" s="65"/>
      <c r="AX11" s="63"/>
      <c r="AY11" s="64">
        <f t="shared" si="22"/>
        <v>0</v>
      </c>
      <c r="AZ11" s="66">
        <f t="shared" si="23"/>
        <v>5500</v>
      </c>
      <c r="BA11" s="67">
        <f t="shared" si="24"/>
        <v>6000</v>
      </c>
      <c r="BB11" s="64">
        <f t="shared" si="25"/>
        <v>-500</v>
      </c>
      <c r="BC11" s="62"/>
      <c r="BD11" s="63"/>
      <c r="BE11" s="64">
        <f t="shared" si="26"/>
        <v>0</v>
      </c>
      <c r="BF11" s="65"/>
      <c r="BG11" s="63"/>
      <c r="BH11" s="64">
        <f t="shared" si="27"/>
        <v>0</v>
      </c>
      <c r="BI11" s="65"/>
      <c r="BJ11" s="63">
        <v>3522.66</v>
      </c>
      <c r="BK11" s="64">
        <f t="shared" si="28"/>
        <v>-3522.66</v>
      </c>
      <c r="BL11" s="65">
        <v>100</v>
      </c>
      <c r="BM11" s="63"/>
      <c r="BN11" s="64">
        <f t="shared" si="29"/>
        <v>100</v>
      </c>
      <c r="BO11" s="66">
        <f t="shared" si="30"/>
        <v>100</v>
      </c>
      <c r="BP11" s="67">
        <f t="shared" si="31"/>
        <v>3522.66</v>
      </c>
      <c r="BQ11" s="64">
        <f t="shared" si="32"/>
        <v>-3422.66</v>
      </c>
      <c r="BR11" s="68"/>
      <c r="BS11" s="69"/>
      <c r="BT11" s="70"/>
      <c r="BU11" s="71"/>
      <c r="BV11" s="69"/>
      <c r="BW11" s="70"/>
      <c r="BX11" s="71"/>
      <c r="BY11" s="69"/>
      <c r="BZ11" s="70"/>
      <c r="CA11" s="71"/>
      <c r="CB11" s="69"/>
      <c r="CC11" s="70"/>
      <c r="CD11" s="66">
        <f t="shared" si="33"/>
        <v>0</v>
      </c>
      <c r="CE11" s="67">
        <f t="shared" si="34"/>
        <v>0</v>
      </c>
      <c r="CF11" s="64">
        <f t="shared" si="35"/>
        <v>0</v>
      </c>
      <c r="CG11" s="62">
        <v>8000</v>
      </c>
      <c r="CH11" s="63">
        <v>10000</v>
      </c>
      <c r="CI11" s="64">
        <f t="shared" si="36"/>
        <v>-2000</v>
      </c>
      <c r="CJ11" s="65"/>
      <c r="CK11" s="63"/>
      <c r="CL11" s="64">
        <f t="shared" si="37"/>
        <v>0</v>
      </c>
      <c r="CM11" s="65"/>
      <c r="CN11" s="63"/>
      <c r="CO11" s="64">
        <f t="shared" si="38"/>
        <v>0</v>
      </c>
      <c r="CP11" s="65"/>
      <c r="CQ11" s="63"/>
      <c r="CR11" s="64">
        <f t="shared" si="39"/>
        <v>0</v>
      </c>
      <c r="CS11" s="66">
        <f t="shared" si="40"/>
        <v>8000</v>
      </c>
      <c r="CT11" s="67">
        <f t="shared" si="41"/>
        <v>10000</v>
      </c>
      <c r="CU11" s="64">
        <f t="shared" si="42"/>
        <v>-2000</v>
      </c>
      <c r="CV11" s="68"/>
      <c r="CW11" s="69"/>
      <c r="CX11" s="70"/>
      <c r="CY11" s="71"/>
      <c r="CZ11" s="69"/>
      <c r="DA11" s="70"/>
      <c r="DB11" s="71"/>
      <c r="DC11" s="69"/>
      <c r="DD11" s="70"/>
      <c r="DE11" s="71"/>
      <c r="DF11" s="69"/>
      <c r="DG11" s="70"/>
      <c r="DH11" s="66">
        <f t="shared" si="43"/>
        <v>0</v>
      </c>
      <c r="DI11" s="67">
        <f t="shared" si="44"/>
        <v>0</v>
      </c>
      <c r="DJ11" s="64">
        <f t="shared" si="45"/>
        <v>0</v>
      </c>
      <c r="DK11" s="68"/>
      <c r="DL11" s="69"/>
      <c r="DM11" s="70"/>
      <c r="DN11" s="71"/>
      <c r="DO11" s="69"/>
      <c r="DP11" s="70"/>
      <c r="DQ11" s="71"/>
      <c r="DR11" s="69"/>
      <c r="DS11" s="70"/>
      <c r="DT11" s="71"/>
      <c r="DU11" s="69"/>
      <c r="DV11" s="70"/>
      <c r="DW11" s="66">
        <f t="shared" si="46"/>
        <v>0</v>
      </c>
      <c r="DX11" s="67">
        <f t="shared" si="47"/>
        <v>0</v>
      </c>
      <c r="DY11" s="64">
        <f t="shared" si="48"/>
        <v>0</v>
      </c>
      <c r="DZ11" s="62">
        <v>24000</v>
      </c>
      <c r="EA11" s="63">
        <v>24000</v>
      </c>
      <c r="EB11" s="64">
        <f t="shared" si="49"/>
        <v>0</v>
      </c>
      <c r="EC11" s="65"/>
      <c r="ED11" s="63"/>
      <c r="EE11" s="64">
        <f t="shared" si="50"/>
        <v>0</v>
      </c>
      <c r="EF11" s="65"/>
      <c r="EG11" s="63"/>
      <c r="EH11" s="64">
        <f t="shared" si="51"/>
        <v>0</v>
      </c>
      <c r="EI11" s="65">
        <v>100</v>
      </c>
      <c r="EJ11" s="63">
        <v>194.4</v>
      </c>
      <c r="EK11" s="64">
        <f t="shared" si="52"/>
        <v>-94.4</v>
      </c>
      <c r="EL11" s="66">
        <f t="shared" si="53"/>
        <v>24100</v>
      </c>
      <c r="EM11" s="67">
        <f t="shared" si="54"/>
        <v>24194.400000000001</v>
      </c>
      <c r="EN11" s="64">
        <f t="shared" si="55"/>
        <v>-94.400000000001455</v>
      </c>
      <c r="EO11" s="62"/>
      <c r="EP11" s="63"/>
      <c r="EQ11" s="64">
        <f t="shared" si="56"/>
        <v>0</v>
      </c>
      <c r="ER11" s="65"/>
      <c r="ES11" s="63">
        <v>2070.2600000000002</v>
      </c>
      <c r="ET11" s="64">
        <f t="shared" si="57"/>
        <v>-2070.2600000000002</v>
      </c>
      <c r="EU11" s="65"/>
      <c r="EV11" s="63"/>
      <c r="EW11" s="64">
        <f t="shared" si="58"/>
        <v>0</v>
      </c>
      <c r="EX11" s="65">
        <v>100</v>
      </c>
      <c r="EY11" s="63"/>
      <c r="EZ11" s="64">
        <f t="shared" si="59"/>
        <v>100</v>
      </c>
      <c r="FA11" s="66">
        <f t="shared" si="60"/>
        <v>100</v>
      </c>
      <c r="FB11" s="67">
        <f t="shared" si="61"/>
        <v>2070.2600000000002</v>
      </c>
      <c r="FC11" s="64">
        <f t="shared" si="62"/>
        <v>-1970.2600000000002</v>
      </c>
      <c r="FD11" s="62"/>
      <c r="FE11" s="63"/>
      <c r="FF11" s="64">
        <f t="shared" si="63"/>
        <v>0</v>
      </c>
      <c r="FG11" s="63">
        <v>2067.92</v>
      </c>
      <c r="FH11" s="63"/>
      <c r="FI11" s="64">
        <f t="shared" si="64"/>
        <v>2067.92</v>
      </c>
      <c r="FJ11" s="65"/>
      <c r="FK11" s="63"/>
      <c r="FL11" s="64">
        <f t="shared" si="65"/>
        <v>0</v>
      </c>
      <c r="FM11" s="65">
        <v>100</v>
      </c>
      <c r="FN11" s="63"/>
      <c r="FO11" s="64">
        <f t="shared" si="66"/>
        <v>100</v>
      </c>
      <c r="FP11" s="66">
        <f t="shared" si="67"/>
        <v>2167.92</v>
      </c>
      <c r="FQ11" s="67">
        <f t="shared" si="68"/>
        <v>0</v>
      </c>
      <c r="FR11" s="64">
        <f t="shared" si="69"/>
        <v>2167.92</v>
      </c>
      <c r="FS11" s="62">
        <v>18000</v>
      </c>
      <c r="FT11" s="63">
        <v>18000</v>
      </c>
      <c r="FU11" s="64">
        <f t="shared" si="70"/>
        <v>0</v>
      </c>
      <c r="FV11" s="65"/>
      <c r="FW11" s="63"/>
      <c r="FX11" s="64">
        <f t="shared" si="71"/>
        <v>0</v>
      </c>
      <c r="FY11" s="65"/>
      <c r="FZ11" s="63"/>
      <c r="GA11" s="64">
        <f t="shared" si="72"/>
        <v>0</v>
      </c>
      <c r="GB11" s="65"/>
      <c r="GC11" s="63"/>
      <c r="GD11" s="64">
        <f t="shared" si="73"/>
        <v>0</v>
      </c>
      <c r="GE11" s="66">
        <f t="shared" si="74"/>
        <v>18000</v>
      </c>
      <c r="GF11" s="67">
        <f t="shared" si="75"/>
        <v>18000</v>
      </c>
      <c r="GG11" s="64">
        <f t="shared" si="76"/>
        <v>0</v>
      </c>
      <c r="GH11" s="62">
        <v>18000</v>
      </c>
      <c r="GI11" s="63">
        <v>18000</v>
      </c>
      <c r="GJ11" s="64">
        <f t="shared" si="77"/>
        <v>0</v>
      </c>
      <c r="GK11" s="65"/>
      <c r="GL11" s="63"/>
      <c r="GM11" s="64">
        <f t="shared" si="78"/>
        <v>0</v>
      </c>
      <c r="GN11" s="65"/>
      <c r="GO11" s="63"/>
      <c r="GP11" s="64">
        <f t="shared" si="79"/>
        <v>0</v>
      </c>
      <c r="GQ11" s="65"/>
      <c r="GR11" s="63"/>
      <c r="GS11" s="64">
        <f t="shared" si="80"/>
        <v>0</v>
      </c>
      <c r="GT11" s="66">
        <f t="shared" si="81"/>
        <v>18000</v>
      </c>
      <c r="GU11" s="67">
        <f t="shared" si="82"/>
        <v>18000</v>
      </c>
      <c r="GV11" s="64">
        <f t="shared" si="83"/>
        <v>0</v>
      </c>
      <c r="GW11" s="68"/>
      <c r="GX11" s="69"/>
      <c r="GY11" s="70"/>
      <c r="GZ11" s="71"/>
      <c r="HA11" s="69"/>
      <c r="HB11" s="70"/>
      <c r="HC11" s="71"/>
      <c r="HD11" s="69"/>
      <c r="HE11" s="70"/>
      <c r="HF11" s="71"/>
      <c r="HG11" s="69"/>
      <c r="HH11" s="70"/>
      <c r="HI11" s="66">
        <f t="shared" si="84"/>
        <v>0</v>
      </c>
      <c r="HJ11" s="67">
        <f t="shared" si="85"/>
        <v>0</v>
      </c>
      <c r="HK11" s="64">
        <f t="shared" si="86"/>
        <v>0</v>
      </c>
      <c r="HL11" s="62"/>
      <c r="HM11" s="63"/>
      <c r="HN11" s="64">
        <f t="shared" si="87"/>
        <v>0</v>
      </c>
      <c r="HO11" s="65"/>
      <c r="HP11" s="63"/>
      <c r="HQ11" s="64">
        <f t="shared" si="88"/>
        <v>0</v>
      </c>
      <c r="HR11" s="65"/>
      <c r="HS11" s="63"/>
      <c r="HT11" s="64">
        <f t="shared" si="89"/>
        <v>0</v>
      </c>
      <c r="HU11" s="65">
        <v>100</v>
      </c>
      <c r="HV11" s="63"/>
      <c r="HW11" s="64">
        <f t="shared" si="90"/>
        <v>100</v>
      </c>
      <c r="HX11" s="66">
        <f t="shared" si="91"/>
        <v>100</v>
      </c>
      <c r="HY11" s="67">
        <f t="shared" si="92"/>
        <v>0</v>
      </c>
      <c r="HZ11" s="64">
        <f t="shared" si="93"/>
        <v>100</v>
      </c>
      <c r="IA11" s="62"/>
      <c r="IB11" s="63"/>
      <c r="IC11" s="64">
        <f t="shared" si="94"/>
        <v>0</v>
      </c>
      <c r="ID11" s="65"/>
      <c r="IE11" s="63"/>
      <c r="IF11" s="64">
        <f t="shared" si="95"/>
        <v>0</v>
      </c>
      <c r="IG11" s="65"/>
      <c r="IH11" s="63"/>
      <c r="II11" s="64">
        <f t="shared" si="96"/>
        <v>0</v>
      </c>
      <c r="IJ11" s="65">
        <v>100</v>
      </c>
      <c r="IK11" s="63"/>
      <c r="IL11" s="64">
        <f t="shared" si="97"/>
        <v>100</v>
      </c>
      <c r="IM11" s="66">
        <f t="shared" si="98"/>
        <v>100</v>
      </c>
      <c r="IN11" s="67">
        <f t="shared" si="99"/>
        <v>0</v>
      </c>
      <c r="IO11" s="64">
        <f t="shared" si="100"/>
        <v>100</v>
      </c>
      <c r="IP11" s="62">
        <v>6000</v>
      </c>
      <c r="IQ11" s="63">
        <v>6000</v>
      </c>
      <c r="IR11" s="64">
        <f t="shared" si="101"/>
        <v>0</v>
      </c>
      <c r="IS11" s="65"/>
      <c r="IT11" s="63"/>
      <c r="IU11" s="64">
        <f t="shared" si="102"/>
        <v>0</v>
      </c>
      <c r="IV11" s="65"/>
      <c r="IW11" s="63"/>
      <c r="IX11" s="64">
        <f t="shared" si="103"/>
        <v>0</v>
      </c>
      <c r="IY11" s="65"/>
      <c r="IZ11" s="63"/>
      <c r="JA11" s="64">
        <f t="shared" si="104"/>
        <v>0</v>
      </c>
      <c r="JB11" s="66">
        <f t="shared" si="105"/>
        <v>6000</v>
      </c>
      <c r="JC11" s="67">
        <f t="shared" si="106"/>
        <v>6000</v>
      </c>
      <c r="JD11" s="64">
        <f t="shared" si="107"/>
        <v>0</v>
      </c>
      <c r="JE11" s="62">
        <v>11000</v>
      </c>
      <c r="JF11" s="63">
        <v>11000</v>
      </c>
      <c r="JG11" s="64">
        <f t="shared" si="108"/>
        <v>0</v>
      </c>
      <c r="JH11" s="65"/>
      <c r="JI11" s="63"/>
      <c r="JJ11" s="64">
        <f t="shared" si="109"/>
        <v>0</v>
      </c>
      <c r="JK11" s="65"/>
      <c r="JL11" s="63"/>
      <c r="JM11" s="64">
        <f t="shared" si="110"/>
        <v>0</v>
      </c>
      <c r="JN11" s="65">
        <v>100</v>
      </c>
      <c r="JO11" s="63"/>
      <c r="JP11" s="64">
        <f t="shared" si="111"/>
        <v>100</v>
      </c>
      <c r="JQ11" s="66">
        <f t="shared" si="112"/>
        <v>11100</v>
      </c>
      <c r="JR11" s="67">
        <f t="shared" si="113"/>
        <v>11000</v>
      </c>
      <c r="JS11" s="64">
        <f t="shared" si="114"/>
        <v>100</v>
      </c>
      <c r="JT11" s="62">
        <v>4920</v>
      </c>
      <c r="JU11" s="63">
        <v>4920</v>
      </c>
      <c r="JV11" s="64">
        <f t="shared" si="115"/>
        <v>0</v>
      </c>
      <c r="JW11" s="65"/>
      <c r="JX11" s="63"/>
      <c r="JY11" s="64">
        <f t="shared" si="116"/>
        <v>0</v>
      </c>
      <c r="JZ11" s="65"/>
      <c r="KA11" s="63"/>
      <c r="KB11" s="64">
        <f t="shared" si="117"/>
        <v>0</v>
      </c>
      <c r="KC11" s="65">
        <v>100</v>
      </c>
      <c r="KD11" s="63"/>
      <c r="KE11" s="64">
        <f t="shared" si="118"/>
        <v>100</v>
      </c>
      <c r="KF11" s="66">
        <f t="shared" si="119"/>
        <v>5020</v>
      </c>
      <c r="KG11" s="67">
        <f t="shared" si="120"/>
        <v>4920</v>
      </c>
      <c r="KH11" s="64">
        <f t="shared" si="121"/>
        <v>100</v>
      </c>
      <c r="KI11" s="68"/>
      <c r="KJ11" s="69"/>
      <c r="KK11" s="70"/>
      <c r="KL11" s="71"/>
      <c r="KM11" s="69"/>
      <c r="KN11" s="70"/>
      <c r="KO11" s="71"/>
      <c r="KP11" s="69"/>
      <c r="KQ11" s="70"/>
      <c r="KR11" s="71"/>
      <c r="KS11" s="69"/>
      <c r="KT11" s="64">
        <f t="shared" si="0"/>
        <v>0</v>
      </c>
      <c r="KU11" s="66">
        <f t="shared" si="1"/>
        <v>0</v>
      </c>
      <c r="KV11" s="67">
        <f t="shared" si="2"/>
        <v>0</v>
      </c>
      <c r="KW11" s="64">
        <f t="shared" si="122"/>
        <v>0</v>
      </c>
      <c r="KX11" s="72"/>
      <c r="KY11" s="73"/>
      <c r="KZ11" s="74"/>
      <c r="LA11" s="75"/>
      <c r="LB11" s="73"/>
      <c r="LC11" s="74"/>
      <c r="LD11" s="75"/>
      <c r="LE11" s="73"/>
      <c r="LF11" s="74"/>
      <c r="LG11" s="75"/>
      <c r="LH11" s="73"/>
      <c r="LI11" s="74"/>
      <c r="LJ11" s="76"/>
      <c r="LK11" s="77"/>
      <c r="LL11" s="74"/>
      <c r="LM11" s="68"/>
      <c r="LN11" s="69"/>
      <c r="LO11" s="70"/>
      <c r="LP11" s="71"/>
      <c r="LQ11" s="69"/>
      <c r="LR11" s="70"/>
      <c r="LS11" s="71"/>
      <c r="LT11" s="69"/>
      <c r="LU11" s="70"/>
      <c r="LV11" s="71"/>
      <c r="LW11" s="69"/>
      <c r="LX11" s="64">
        <f t="shared" si="123"/>
        <v>0</v>
      </c>
      <c r="LY11" s="66">
        <f t="shared" si="124"/>
        <v>0</v>
      </c>
      <c r="LZ11" s="67">
        <f t="shared" si="125"/>
        <v>0</v>
      </c>
      <c r="MA11" s="64">
        <f t="shared" si="126"/>
        <v>0</v>
      </c>
      <c r="MB11" s="62">
        <v>650</v>
      </c>
      <c r="MC11" s="63">
        <v>650</v>
      </c>
      <c r="MD11" s="64">
        <f t="shared" si="127"/>
        <v>0</v>
      </c>
      <c r="ME11" s="65">
        <v>727.43</v>
      </c>
      <c r="MF11" s="63">
        <v>757.77</v>
      </c>
      <c r="MG11" s="64">
        <f t="shared" si="128"/>
        <v>-30.340000000000032</v>
      </c>
      <c r="MH11" s="65"/>
      <c r="MI11" s="63"/>
      <c r="MJ11" s="64">
        <f t="shared" si="129"/>
        <v>0</v>
      </c>
      <c r="MK11" s="65">
        <v>100</v>
      </c>
      <c r="ML11" s="63">
        <v>321.91000000000003</v>
      </c>
      <c r="MM11" s="64">
        <f t="shared" si="130"/>
        <v>-221.91000000000003</v>
      </c>
      <c r="MN11" s="66">
        <f t="shared" si="131"/>
        <v>1477.4299999999998</v>
      </c>
      <c r="MO11" s="67">
        <f t="shared" si="132"/>
        <v>1729.68</v>
      </c>
      <c r="MP11" s="64">
        <f t="shared" si="133"/>
        <v>-252.25000000000023</v>
      </c>
      <c r="MQ11" s="62">
        <v>7500</v>
      </c>
      <c r="MR11" s="63">
        <v>7500</v>
      </c>
      <c r="MS11" s="64">
        <f t="shared" si="134"/>
        <v>0</v>
      </c>
      <c r="MT11" s="65"/>
      <c r="MU11" s="63"/>
      <c r="MV11" s="64">
        <f t="shared" si="135"/>
        <v>0</v>
      </c>
      <c r="MW11" s="65"/>
      <c r="MX11" s="63"/>
      <c r="MY11" s="64">
        <f t="shared" si="136"/>
        <v>0</v>
      </c>
      <c r="MZ11" s="65"/>
      <c r="NA11" s="63"/>
      <c r="NB11" s="64">
        <f t="shared" si="137"/>
        <v>0</v>
      </c>
      <c r="NC11" s="66">
        <f t="shared" si="138"/>
        <v>7500</v>
      </c>
      <c r="ND11" s="67">
        <f t="shared" si="139"/>
        <v>7500</v>
      </c>
      <c r="NE11" s="64">
        <f t="shared" si="140"/>
        <v>0</v>
      </c>
      <c r="NF11" s="62"/>
      <c r="NG11" s="63"/>
      <c r="NH11" s="64">
        <f t="shared" si="141"/>
        <v>0</v>
      </c>
      <c r="NI11" s="65">
        <v>685.09</v>
      </c>
      <c r="NJ11" s="63">
        <v>685.09</v>
      </c>
      <c r="NK11" s="64">
        <f t="shared" si="142"/>
        <v>0</v>
      </c>
      <c r="NL11" s="65"/>
      <c r="NM11" s="63"/>
      <c r="NN11" s="64">
        <f t="shared" si="143"/>
        <v>0</v>
      </c>
      <c r="NO11" s="65">
        <v>100</v>
      </c>
      <c r="NP11" s="63">
        <v>332.88</v>
      </c>
      <c r="NQ11" s="64">
        <f t="shared" si="144"/>
        <v>-232.88</v>
      </c>
      <c r="NR11" s="66">
        <f t="shared" si="145"/>
        <v>785.09</v>
      </c>
      <c r="NS11" s="67">
        <f t="shared" si="146"/>
        <v>1017.97</v>
      </c>
      <c r="NT11" s="64">
        <f t="shared" si="147"/>
        <v>-232.88</v>
      </c>
      <c r="NU11" s="62">
        <v>864</v>
      </c>
      <c r="NV11" s="63">
        <v>864</v>
      </c>
      <c r="NW11" s="64">
        <f t="shared" si="148"/>
        <v>0</v>
      </c>
      <c r="NX11" s="65">
        <v>636.36</v>
      </c>
      <c r="NY11" s="63"/>
      <c r="NZ11" s="64">
        <f t="shared" si="149"/>
        <v>636.36</v>
      </c>
      <c r="OA11" s="65"/>
      <c r="OB11" s="63"/>
      <c r="OC11" s="64">
        <f t="shared" si="150"/>
        <v>0</v>
      </c>
      <c r="OD11" s="65">
        <v>100</v>
      </c>
      <c r="OE11" s="63">
        <v>184.59</v>
      </c>
      <c r="OF11" s="64">
        <f t="shared" si="151"/>
        <v>-84.59</v>
      </c>
      <c r="OG11" s="66">
        <f t="shared" si="152"/>
        <v>1600.3600000000001</v>
      </c>
      <c r="OH11" s="67">
        <f t="shared" si="153"/>
        <v>1048.5899999999999</v>
      </c>
      <c r="OI11" s="64">
        <f t="shared" si="154"/>
        <v>551.77000000000021</v>
      </c>
      <c r="OJ11" s="62"/>
      <c r="OK11" s="63"/>
      <c r="OL11" s="64">
        <f t="shared" si="155"/>
        <v>0</v>
      </c>
      <c r="OM11" s="65"/>
      <c r="ON11" s="63"/>
      <c r="OO11" s="64">
        <f t="shared" si="156"/>
        <v>0</v>
      </c>
      <c r="OP11" s="65"/>
      <c r="OQ11" s="63"/>
      <c r="OR11" s="64">
        <f t="shared" si="157"/>
        <v>0</v>
      </c>
      <c r="OS11" s="65">
        <v>100</v>
      </c>
      <c r="OT11" s="63"/>
      <c r="OU11" s="64">
        <f t="shared" si="158"/>
        <v>100</v>
      </c>
      <c r="OV11" s="66">
        <f t="shared" si="159"/>
        <v>100</v>
      </c>
      <c r="OW11" s="67">
        <f t="shared" si="160"/>
        <v>0</v>
      </c>
      <c r="OX11" s="64">
        <f t="shared" si="161"/>
        <v>100</v>
      </c>
      <c r="OY11" s="62">
        <v>15800</v>
      </c>
      <c r="OZ11" s="63">
        <v>15800</v>
      </c>
      <c r="PA11" s="64">
        <f t="shared" si="162"/>
        <v>0</v>
      </c>
      <c r="PB11" s="65"/>
      <c r="PC11" s="63"/>
      <c r="PD11" s="64">
        <f t="shared" si="163"/>
        <v>0</v>
      </c>
      <c r="PE11" s="65"/>
      <c r="PF11" s="63"/>
      <c r="PG11" s="64">
        <f t="shared" si="164"/>
        <v>0</v>
      </c>
      <c r="PH11" s="65">
        <v>100</v>
      </c>
      <c r="PI11" s="63">
        <v>104.85</v>
      </c>
      <c r="PJ11" s="64">
        <f t="shared" si="165"/>
        <v>-4.8499999999999943</v>
      </c>
      <c r="PK11" s="66">
        <f t="shared" si="166"/>
        <v>15900</v>
      </c>
      <c r="PL11" s="67">
        <f t="shared" si="167"/>
        <v>15904.85</v>
      </c>
      <c r="PM11" s="64">
        <f t="shared" si="168"/>
        <v>-4.8500000000003638</v>
      </c>
      <c r="PN11" s="62">
        <v>1400</v>
      </c>
      <c r="PO11" s="63">
        <v>1400</v>
      </c>
      <c r="PP11" s="64">
        <f t="shared" si="169"/>
        <v>0</v>
      </c>
      <c r="PQ11" s="65"/>
      <c r="PR11" s="63"/>
      <c r="PS11" s="64">
        <f t="shared" si="170"/>
        <v>0</v>
      </c>
      <c r="PT11" s="65"/>
      <c r="PU11" s="63"/>
      <c r="PV11" s="64">
        <f t="shared" si="171"/>
        <v>0</v>
      </c>
      <c r="PW11" s="65">
        <v>100</v>
      </c>
      <c r="PX11" s="63"/>
      <c r="PY11" s="64">
        <f t="shared" si="172"/>
        <v>100</v>
      </c>
      <c r="PZ11" s="66">
        <f t="shared" si="173"/>
        <v>1500</v>
      </c>
      <c r="QA11" s="67">
        <f t="shared" si="174"/>
        <v>1400</v>
      </c>
      <c r="QB11" s="64">
        <f t="shared" si="175"/>
        <v>100</v>
      </c>
      <c r="QC11" s="62">
        <v>7500</v>
      </c>
      <c r="QD11" s="63">
        <v>7500</v>
      </c>
      <c r="QE11" s="64">
        <f t="shared" si="176"/>
        <v>0</v>
      </c>
      <c r="QF11" s="65"/>
      <c r="QG11" s="63"/>
      <c r="QH11" s="64">
        <f t="shared" si="177"/>
        <v>0</v>
      </c>
      <c r="QI11" s="65"/>
      <c r="QJ11" s="63"/>
      <c r="QK11" s="64">
        <f t="shared" si="178"/>
        <v>0</v>
      </c>
      <c r="QL11" s="65">
        <v>100</v>
      </c>
      <c r="QM11" s="63">
        <v>163.69999999999999</v>
      </c>
      <c r="QN11" s="64">
        <f t="shared" si="179"/>
        <v>-63.699999999999989</v>
      </c>
      <c r="QO11" s="66">
        <f t="shared" si="180"/>
        <v>7600</v>
      </c>
      <c r="QP11" s="67">
        <f t="shared" si="181"/>
        <v>7663.7</v>
      </c>
      <c r="QQ11" s="64">
        <f t="shared" si="182"/>
        <v>-63.699999999999818</v>
      </c>
      <c r="QR11" s="62">
        <v>15500</v>
      </c>
      <c r="QS11" s="63">
        <v>15500</v>
      </c>
      <c r="QT11" s="64">
        <f t="shared" si="183"/>
        <v>0</v>
      </c>
      <c r="QU11" s="65"/>
      <c r="QV11" s="63"/>
      <c r="QW11" s="64">
        <f t="shared" si="184"/>
        <v>0</v>
      </c>
      <c r="QX11" s="65"/>
      <c r="QY11" s="63"/>
      <c r="QZ11" s="64">
        <f t="shared" si="185"/>
        <v>0</v>
      </c>
      <c r="RA11" s="65"/>
      <c r="RB11" s="63"/>
      <c r="RC11" s="64">
        <f t="shared" si="186"/>
        <v>0</v>
      </c>
      <c r="RD11" s="66">
        <f t="shared" si="187"/>
        <v>15500</v>
      </c>
      <c r="RE11" s="67">
        <f t="shared" si="188"/>
        <v>15500</v>
      </c>
      <c r="RF11" s="64">
        <f t="shared" si="189"/>
        <v>0</v>
      </c>
      <c r="RG11" s="62">
        <v>15500</v>
      </c>
      <c r="RH11" s="63">
        <v>15500</v>
      </c>
      <c r="RI11" s="64">
        <f t="shared" si="190"/>
        <v>0</v>
      </c>
      <c r="RJ11" s="65"/>
      <c r="RK11" s="63"/>
      <c r="RL11" s="64">
        <f t="shared" si="191"/>
        <v>0</v>
      </c>
      <c r="RM11" s="65"/>
      <c r="RN11" s="63"/>
      <c r="RO11" s="64">
        <f t="shared" si="192"/>
        <v>0</v>
      </c>
      <c r="RP11" s="65"/>
      <c r="RQ11" s="63"/>
      <c r="RR11" s="64">
        <f t="shared" si="193"/>
        <v>0</v>
      </c>
      <c r="RS11" s="66">
        <f t="shared" si="194"/>
        <v>15500</v>
      </c>
      <c r="RT11" s="67">
        <f t="shared" si="195"/>
        <v>15500</v>
      </c>
      <c r="RU11" s="64">
        <f t="shared" si="196"/>
        <v>0</v>
      </c>
      <c r="RV11" s="62">
        <v>16500</v>
      </c>
      <c r="RW11" s="63">
        <v>16500</v>
      </c>
      <c r="RX11" s="64">
        <f t="shared" si="197"/>
        <v>0</v>
      </c>
      <c r="RY11" s="65"/>
      <c r="RZ11" s="63"/>
      <c r="SA11" s="64">
        <f t="shared" si="198"/>
        <v>0</v>
      </c>
      <c r="SB11" s="65"/>
      <c r="SC11" s="63"/>
      <c r="SD11" s="64">
        <f t="shared" si="199"/>
        <v>0</v>
      </c>
      <c r="SE11" s="65">
        <v>100</v>
      </c>
      <c r="SF11" s="63"/>
      <c r="SG11" s="64">
        <f t="shared" si="200"/>
        <v>100</v>
      </c>
      <c r="SH11" s="66">
        <f t="shared" si="201"/>
        <v>16600</v>
      </c>
      <c r="SI11" s="67">
        <f t="shared" si="202"/>
        <v>16500</v>
      </c>
      <c r="SJ11" s="64">
        <f t="shared" si="203"/>
        <v>100</v>
      </c>
      <c r="SK11" s="62"/>
      <c r="SL11" s="63"/>
      <c r="SM11" s="64">
        <f t="shared" si="204"/>
        <v>0</v>
      </c>
      <c r="SN11" s="65"/>
      <c r="SO11" s="63"/>
      <c r="SP11" s="64">
        <f t="shared" si="205"/>
        <v>0</v>
      </c>
      <c r="SQ11" s="65"/>
      <c r="SR11" s="63"/>
      <c r="SS11" s="64">
        <f t="shared" si="206"/>
        <v>0</v>
      </c>
      <c r="ST11" s="65">
        <v>100</v>
      </c>
      <c r="SU11" s="63">
        <v>90.36</v>
      </c>
      <c r="SV11" s="64">
        <f t="shared" si="207"/>
        <v>9.64</v>
      </c>
      <c r="SW11" s="66">
        <f t="shared" si="208"/>
        <v>100</v>
      </c>
      <c r="SX11" s="67">
        <f t="shared" si="209"/>
        <v>90.36</v>
      </c>
      <c r="SY11" s="64">
        <f t="shared" si="210"/>
        <v>9.64</v>
      </c>
      <c r="SZ11" s="62">
        <v>1257.1199999999999</v>
      </c>
      <c r="TA11" s="63">
        <v>1257.1199999999999</v>
      </c>
      <c r="TB11" s="64">
        <f t="shared" si="211"/>
        <v>0</v>
      </c>
      <c r="TC11" s="65"/>
      <c r="TD11" s="63"/>
      <c r="TE11" s="64">
        <f t="shared" si="212"/>
        <v>0</v>
      </c>
      <c r="TF11" s="65"/>
      <c r="TG11" s="63"/>
      <c r="TH11" s="64">
        <f t="shared" si="213"/>
        <v>0</v>
      </c>
      <c r="TI11" s="65">
        <v>100</v>
      </c>
      <c r="TJ11" s="63"/>
      <c r="TK11" s="64">
        <f t="shared" si="214"/>
        <v>100</v>
      </c>
      <c r="TL11" s="66">
        <f t="shared" si="215"/>
        <v>1357.12</v>
      </c>
      <c r="TM11" s="67">
        <f t="shared" si="216"/>
        <v>1257.1199999999999</v>
      </c>
      <c r="TN11" s="64">
        <f t="shared" si="217"/>
        <v>100</v>
      </c>
      <c r="TO11" s="62">
        <v>14000</v>
      </c>
      <c r="TP11" s="63">
        <v>14000</v>
      </c>
      <c r="TQ11" s="64">
        <f t="shared" si="218"/>
        <v>0</v>
      </c>
      <c r="TR11" s="65"/>
      <c r="TS11" s="63"/>
      <c r="TT11" s="64">
        <f t="shared" si="219"/>
        <v>0</v>
      </c>
      <c r="TU11" s="65"/>
      <c r="TV11" s="63"/>
      <c r="TW11" s="64">
        <f t="shared" si="220"/>
        <v>0</v>
      </c>
      <c r="TX11" s="65">
        <v>100</v>
      </c>
      <c r="TY11" s="63"/>
      <c r="TZ11" s="64">
        <f t="shared" si="221"/>
        <v>100</v>
      </c>
      <c r="UA11" s="66">
        <f t="shared" si="222"/>
        <v>14100</v>
      </c>
      <c r="UB11" s="67">
        <f t="shared" si="223"/>
        <v>14000</v>
      </c>
      <c r="UC11" s="64">
        <f t="shared" si="224"/>
        <v>100</v>
      </c>
      <c r="UD11" s="68"/>
      <c r="UE11" s="69"/>
      <c r="UF11" s="70"/>
      <c r="UG11" s="71"/>
      <c r="UH11" s="69"/>
      <c r="UI11" s="70"/>
      <c r="UJ11" s="71"/>
      <c r="UK11" s="69"/>
      <c r="UL11" s="70"/>
      <c r="UM11" s="71"/>
      <c r="UN11" s="69"/>
      <c r="UO11" s="64">
        <f t="shared" si="225"/>
        <v>0</v>
      </c>
      <c r="UP11" s="66">
        <f t="shared" si="226"/>
        <v>0</v>
      </c>
      <c r="UQ11" s="67">
        <f t="shared" si="227"/>
        <v>0</v>
      </c>
      <c r="UR11" s="64">
        <f t="shared" si="228"/>
        <v>0</v>
      </c>
      <c r="US11" s="62"/>
      <c r="UT11" s="63"/>
      <c r="UU11" s="64">
        <f t="shared" si="229"/>
        <v>0</v>
      </c>
      <c r="UV11" s="65"/>
      <c r="UW11" s="63"/>
      <c r="UX11" s="64">
        <f t="shared" si="230"/>
        <v>0</v>
      </c>
      <c r="UY11" s="65"/>
      <c r="UZ11" s="63"/>
      <c r="VA11" s="64">
        <f t="shared" si="231"/>
        <v>0</v>
      </c>
      <c r="VB11" s="65">
        <v>100</v>
      </c>
      <c r="VC11" s="63">
        <v>126.55</v>
      </c>
      <c r="VD11" s="64">
        <f t="shared" si="232"/>
        <v>-26.549999999999997</v>
      </c>
      <c r="VE11" s="66">
        <f t="shared" si="233"/>
        <v>100</v>
      </c>
      <c r="VF11" s="67">
        <f t="shared" si="234"/>
        <v>126.55</v>
      </c>
      <c r="VG11" s="64">
        <f t="shared" si="235"/>
        <v>-26.549999999999997</v>
      </c>
      <c r="VH11" s="62"/>
      <c r="VI11" s="63"/>
      <c r="VJ11" s="64">
        <f t="shared" si="236"/>
        <v>0</v>
      </c>
      <c r="VK11" s="65"/>
      <c r="VL11" s="63"/>
      <c r="VM11" s="64">
        <f t="shared" si="237"/>
        <v>0</v>
      </c>
      <c r="VN11" s="65"/>
      <c r="VO11" s="63"/>
      <c r="VP11" s="64">
        <f t="shared" si="238"/>
        <v>0</v>
      </c>
      <c r="VQ11" s="65">
        <v>100</v>
      </c>
      <c r="VR11" s="63">
        <v>79.66</v>
      </c>
      <c r="VS11" s="64">
        <f t="shared" si="239"/>
        <v>20.340000000000003</v>
      </c>
      <c r="VT11" s="66">
        <f t="shared" si="240"/>
        <v>100</v>
      </c>
      <c r="VU11" s="67">
        <f t="shared" si="241"/>
        <v>79.66</v>
      </c>
      <c r="VV11" s="64">
        <f t="shared" si="242"/>
        <v>20.340000000000003</v>
      </c>
      <c r="VW11" s="62">
        <v>7818</v>
      </c>
      <c r="VX11" s="63">
        <v>7818</v>
      </c>
      <c r="VY11" s="64">
        <f t="shared" si="243"/>
        <v>0</v>
      </c>
      <c r="VZ11" s="65"/>
      <c r="WA11" s="63"/>
      <c r="WB11" s="64">
        <f t="shared" si="244"/>
        <v>0</v>
      </c>
      <c r="WC11" s="65"/>
      <c r="WD11" s="63"/>
      <c r="WE11" s="64">
        <f t="shared" si="245"/>
        <v>0</v>
      </c>
      <c r="WF11" s="65"/>
      <c r="WG11" s="63"/>
      <c r="WH11" s="64">
        <f t="shared" si="246"/>
        <v>0</v>
      </c>
      <c r="WI11" s="66">
        <f t="shared" si="247"/>
        <v>7818</v>
      </c>
      <c r="WJ11" s="67">
        <f t="shared" si="248"/>
        <v>7818</v>
      </c>
      <c r="WK11" s="64">
        <f t="shared" si="249"/>
        <v>0</v>
      </c>
      <c r="WL11" s="62">
        <v>1276.01</v>
      </c>
      <c r="WM11" s="63">
        <v>1276.01</v>
      </c>
      <c r="WN11" s="64">
        <f t="shared" si="250"/>
        <v>0</v>
      </c>
      <c r="WO11" s="65"/>
      <c r="WP11" s="63"/>
      <c r="WQ11" s="64">
        <f t="shared" si="251"/>
        <v>0</v>
      </c>
      <c r="WR11" s="65"/>
      <c r="WS11" s="63"/>
      <c r="WT11" s="64">
        <f t="shared" si="252"/>
        <v>0</v>
      </c>
      <c r="WU11" s="65">
        <v>100</v>
      </c>
      <c r="WV11" s="63">
        <v>1</v>
      </c>
      <c r="WW11" s="64">
        <f t="shared" si="253"/>
        <v>99</v>
      </c>
      <c r="WX11" s="66">
        <f t="shared" si="254"/>
        <v>1376.01</v>
      </c>
      <c r="WY11" s="67">
        <f t="shared" si="255"/>
        <v>1277.01</v>
      </c>
      <c r="WZ11" s="64">
        <f t="shared" si="256"/>
        <v>99</v>
      </c>
      <c r="XA11" s="62">
        <v>16000</v>
      </c>
      <c r="XB11" s="63">
        <v>16000</v>
      </c>
      <c r="XC11" s="64">
        <f t="shared" si="257"/>
        <v>0</v>
      </c>
      <c r="XD11" s="65"/>
      <c r="XE11" s="63"/>
      <c r="XF11" s="64">
        <f t="shared" si="258"/>
        <v>0</v>
      </c>
      <c r="XG11" s="65"/>
      <c r="XH11" s="63"/>
      <c r="XI11" s="64">
        <f t="shared" si="259"/>
        <v>0</v>
      </c>
      <c r="XJ11" s="65">
        <v>100</v>
      </c>
      <c r="XK11" s="63"/>
      <c r="XL11" s="64">
        <f t="shared" si="260"/>
        <v>100</v>
      </c>
      <c r="XM11" s="66">
        <f t="shared" si="261"/>
        <v>16100</v>
      </c>
      <c r="XN11" s="67">
        <f t="shared" si="262"/>
        <v>16000</v>
      </c>
      <c r="XO11" s="64">
        <f t="shared" si="263"/>
        <v>100</v>
      </c>
      <c r="XP11" s="62">
        <v>917</v>
      </c>
      <c r="XQ11" s="63">
        <v>917</v>
      </c>
      <c r="XR11" s="64">
        <f t="shared" si="264"/>
        <v>0</v>
      </c>
      <c r="XS11" s="65">
        <v>474.92</v>
      </c>
      <c r="XT11" s="63">
        <v>474.92</v>
      </c>
      <c r="XU11" s="64">
        <f t="shared" si="265"/>
        <v>0</v>
      </c>
      <c r="XV11" s="65"/>
      <c r="XW11" s="63"/>
      <c r="XX11" s="64">
        <f t="shared" si="266"/>
        <v>0</v>
      </c>
      <c r="XY11" s="65">
        <v>100</v>
      </c>
      <c r="XZ11" s="63">
        <v>104.76</v>
      </c>
      <c r="YA11" s="64">
        <f t="shared" si="267"/>
        <v>-4.7600000000000051</v>
      </c>
      <c r="YB11" s="66">
        <f t="shared" si="268"/>
        <v>1491.92</v>
      </c>
      <c r="YC11" s="67">
        <f t="shared" si="269"/>
        <v>1496.68</v>
      </c>
      <c r="YD11" s="64">
        <f t="shared" si="270"/>
        <v>-4.7599999999999909</v>
      </c>
      <c r="YE11" s="62">
        <v>890</v>
      </c>
      <c r="YF11" s="63">
        <v>890</v>
      </c>
      <c r="YG11" s="64">
        <f t="shared" si="271"/>
        <v>0</v>
      </c>
      <c r="YH11" s="65">
        <v>410.28</v>
      </c>
      <c r="YI11" s="63">
        <v>410.28</v>
      </c>
      <c r="YJ11" s="64">
        <f t="shared" si="272"/>
        <v>0</v>
      </c>
      <c r="YK11" s="65"/>
      <c r="YL11" s="63"/>
      <c r="YM11" s="64">
        <f t="shared" si="273"/>
        <v>0</v>
      </c>
      <c r="YN11" s="65">
        <v>100</v>
      </c>
      <c r="YO11" s="63">
        <v>156.16</v>
      </c>
      <c r="YP11" s="64">
        <f t="shared" si="274"/>
        <v>-56.16</v>
      </c>
      <c r="YQ11" s="66">
        <f t="shared" si="275"/>
        <v>1400.28</v>
      </c>
      <c r="YR11" s="67">
        <f t="shared" si="276"/>
        <v>1456.44</v>
      </c>
      <c r="YS11" s="64">
        <f t="shared" si="277"/>
        <v>-56.160000000000082</v>
      </c>
      <c r="YT11" s="62">
        <v>932</v>
      </c>
      <c r="YU11" s="63">
        <v>932</v>
      </c>
      <c r="YV11" s="64">
        <f t="shared" si="278"/>
        <v>0</v>
      </c>
      <c r="YW11" s="65">
        <v>448.46</v>
      </c>
      <c r="YX11" s="63">
        <v>448.46</v>
      </c>
      <c r="YY11" s="64">
        <f t="shared" si="279"/>
        <v>0</v>
      </c>
      <c r="YZ11" s="65"/>
      <c r="ZA11" s="63"/>
      <c r="ZB11" s="64">
        <f t="shared" si="280"/>
        <v>0</v>
      </c>
      <c r="ZC11" s="65">
        <v>100</v>
      </c>
      <c r="ZD11" s="63">
        <v>109.58</v>
      </c>
      <c r="ZE11" s="64">
        <f t="shared" si="281"/>
        <v>-9.5799999999999983</v>
      </c>
      <c r="ZF11" s="66">
        <f t="shared" si="282"/>
        <v>1480.46</v>
      </c>
      <c r="ZG11" s="67">
        <f t="shared" si="283"/>
        <v>1490.04</v>
      </c>
      <c r="ZH11" s="64">
        <f t="shared" si="284"/>
        <v>-9.5799999999999272</v>
      </c>
      <c r="ZI11" s="62">
        <v>1250</v>
      </c>
      <c r="ZJ11" s="63">
        <v>1250</v>
      </c>
      <c r="ZK11" s="64">
        <f t="shared" si="285"/>
        <v>0</v>
      </c>
      <c r="ZL11" s="65"/>
      <c r="ZM11" s="63"/>
      <c r="ZN11" s="64">
        <f t="shared" si="286"/>
        <v>0</v>
      </c>
      <c r="ZO11" s="65"/>
      <c r="ZP11" s="63"/>
      <c r="ZQ11" s="64">
        <f t="shared" si="287"/>
        <v>0</v>
      </c>
      <c r="ZR11" s="65">
        <v>100</v>
      </c>
      <c r="ZS11" s="63"/>
      <c r="ZT11" s="64">
        <f t="shared" si="288"/>
        <v>100</v>
      </c>
      <c r="ZU11" s="66">
        <f t="shared" si="289"/>
        <v>1350</v>
      </c>
      <c r="ZV11" s="67">
        <f t="shared" si="290"/>
        <v>1250</v>
      </c>
      <c r="ZW11" s="64">
        <f t="shared" si="291"/>
        <v>100</v>
      </c>
      <c r="ZX11" s="62">
        <v>24.71</v>
      </c>
      <c r="ZY11" s="63">
        <v>24.71</v>
      </c>
      <c r="ZZ11" s="64">
        <f t="shared" si="292"/>
        <v>0</v>
      </c>
      <c r="AAA11" s="66">
        <f t="shared" si="293"/>
        <v>24.71</v>
      </c>
      <c r="AAB11" s="67">
        <f t="shared" si="293"/>
        <v>24.71</v>
      </c>
      <c r="AAC11" s="64">
        <f t="shared" si="294"/>
        <v>0</v>
      </c>
      <c r="AAD11" s="85">
        <f t="shared" si="295"/>
        <v>262623.58999999997</v>
      </c>
      <c r="AAE11" s="86">
        <f t="shared" si="295"/>
        <v>265068.5</v>
      </c>
      <c r="AAF11" s="87">
        <f t="shared" si="3"/>
        <v>1.0093095597390929</v>
      </c>
      <c r="AAG11" s="88">
        <f t="shared" si="4"/>
        <v>2444.9100000000326</v>
      </c>
      <c r="AAH11" s="89">
        <f>W17+AL17+BA17+BP17+CE17+CT17+DI17+DX17+EM17+FB17+FQ17+GF17+GU17+HJ17+HY17+IN17+JC17+JR17+KG17+KV17+LZ17+MO17+ND17+NS17+OH17+OW17+PL17+QA17+QP17+RE17+RT17+SI17+TM17+UB17+UQ17+VF17+VU17+WJ17+WY17+XN17+YC17+YR17+ZG17+ZV17+AAB17</f>
        <v>1231783.9200000002</v>
      </c>
      <c r="AAI11" s="92"/>
      <c r="AAJ11" s="92"/>
      <c r="AAK11" s="82"/>
    </row>
    <row r="12" spans="1:714" s="83" customFormat="1" ht="20" customHeight="1" x14ac:dyDescent="0.2">
      <c r="A12" s="84" t="s">
        <v>148</v>
      </c>
      <c r="B12" s="93"/>
      <c r="C12" s="90"/>
      <c r="D12" s="90"/>
      <c r="E12" s="60"/>
      <c r="F12" s="61">
        <v>44774</v>
      </c>
      <c r="G12" s="62">
        <v>58856</v>
      </c>
      <c r="H12" s="63">
        <v>58856</v>
      </c>
      <c r="I12" s="64">
        <f t="shared" si="5"/>
        <v>0</v>
      </c>
      <c r="J12" s="65">
        <v>0</v>
      </c>
      <c r="K12" s="63">
        <v>0</v>
      </c>
      <c r="L12" s="64">
        <f t="shared" si="6"/>
        <v>0</v>
      </c>
      <c r="M12" s="65">
        <v>1000</v>
      </c>
      <c r="N12" s="63">
        <v>8305.7099999999991</v>
      </c>
      <c r="O12" s="64">
        <f t="shared" si="7"/>
        <v>-7305.7099999999991</v>
      </c>
      <c r="P12" s="65">
        <v>500</v>
      </c>
      <c r="Q12" s="63">
        <v>1482.19</v>
      </c>
      <c r="R12" s="64">
        <f t="shared" si="8"/>
        <v>-982.19</v>
      </c>
      <c r="S12" s="65">
        <v>2000</v>
      </c>
      <c r="T12" s="63">
        <v>165.24</v>
      </c>
      <c r="U12" s="64">
        <f t="shared" si="9"/>
        <v>1834.76</v>
      </c>
      <c r="V12" s="66">
        <f t="shared" si="10"/>
        <v>62356</v>
      </c>
      <c r="W12" s="67">
        <f t="shared" si="10"/>
        <v>68809.14</v>
      </c>
      <c r="X12" s="64">
        <f t="shared" si="11"/>
        <v>-6453.1399999999994</v>
      </c>
      <c r="Y12" s="62">
        <v>5500</v>
      </c>
      <c r="Z12" s="63">
        <v>5500</v>
      </c>
      <c r="AA12" s="64">
        <f t="shared" si="12"/>
        <v>0</v>
      </c>
      <c r="AB12" s="65"/>
      <c r="AC12" s="63"/>
      <c r="AD12" s="64">
        <f t="shared" si="13"/>
        <v>0</v>
      </c>
      <c r="AE12" s="65"/>
      <c r="AF12" s="63"/>
      <c r="AG12" s="64">
        <f t="shared" si="14"/>
        <v>0</v>
      </c>
      <c r="AH12" s="65"/>
      <c r="AI12" s="63"/>
      <c r="AJ12" s="64">
        <f t="shared" si="15"/>
        <v>0</v>
      </c>
      <c r="AK12" s="66">
        <f t="shared" si="16"/>
        <v>5500</v>
      </c>
      <c r="AL12" s="67">
        <f t="shared" si="17"/>
        <v>5500</v>
      </c>
      <c r="AM12" s="64">
        <f t="shared" si="18"/>
        <v>0</v>
      </c>
      <c r="AN12" s="62">
        <v>12000</v>
      </c>
      <c r="AO12" s="63">
        <v>12000</v>
      </c>
      <c r="AP12" s="64">
        <f t="shared" si="19"/>
        <v>0</v>
      </c>
      <c r="AQ12" s="65"/>
      <c r="AR12" s="63"/>
      <c r="AS12" s="64">
        <f t="shared" si="20"/>
        <v>0</v>
      </c>
      <c r="AT12" s="65">
        <v>2745.49</v>
      </c>
      <c r="AU12" s="63">
        <v>0</v>
      </c>
      <c r="AV12" s="64">
        <f t="shared" si="21"/>
        <v>2745.49</v>
      </c>
      <c r="AW12" s="65"/>
      <c r="AX12" s="63"/>
      <c r="AY12" s="64">
        <f t="shared" si="22"/>
        <v>0</v>
      </c>
      <c r="AZ12" s="66">
        <f t="shared" si="23"/>
        <v>14745.49</v>
      </c>
      <c r="BA12" s="67">
        <f t="shared" si="24"/>
        <v>12000</v>
      </c>
      <c r="BB12" s="64">
        <f t="shared" si="25"/>
        <v>2745.49</v>
      </c>
      <c r="BC12" s="62">
        <v>6365.25</v>
      </c>
      <c r="BD12" s="63">
        <v>6365.25</v>
      </c>
      <c r="BE12" s="64">
        <f t="shared" si="26"/>
        <v>0</v>
      </c>
      <c r="BF12" s="65"/>
      <c r="BG12" s="63"/>
      <c r="BH12" s="64">
        <f t="shared" si="27"/>
        <v>0</v>
      </c>
      <c r="BI12" s="65"/>
      <c r="BJ12" s="63"/>
      <c r="BK12" s="64">
        <f t="shared" si="28"/>
        <v>0</v>
      </c>
      <c r="BL12" s="65">
        <v>100</v>
      </c>
      <c r="BM12" s="63"/>
      <c r="BN12" s="64">
        <f t="shared" si="29"/>
        <v>100</v>
      </c>
      <c r="BO12" s="66">
        <f t="shared" si="30"/>
        <v>6465.25</v>
      </c>
      <c r="BP12" s="67">
        <f t="shared" si="31"/>
        <v>6365.25</v>
      </c>
      <c r="BQ12" s="64">
        <f t="shared" si="32"/>
        <v>100</v>
      </c>
      <c r="BR12" s="68"/>
      <c r="BS12" s="69"/>
      <c r="BT12" s="70"/>
      <c r="BU12" s="71"/>
      <c r="BV12" s="69"/>
      <c r="BW12" s="70"/>
      <c r="BX12" s="71"/>
      <c r="BY12" s="69"/>
      <c r="BZ12" s="70"/>
      <c r="CA12" s="71"/>
      <c r="CB12" s="69"/>
      <c r="CC12" s="70"/>
      <c r="CD12" s="66">
        <f t="shared" si="33"/>
        <v>0</v>
      </c>
      <c r="CE12" s="67">
        <f t="shared" si="34"/>
        <v>0</v>
      </c>
      <c r="CF12" s="64">
        <f t="shared" si="35"/>
        <v>0</v>
      </c>
      <c r="CG12" s="62">
        <v>5000</v>
      </c>
      <c r="CH12" s="63">
        <v>5000</v>
      </c>
      <c r="CI12" s="64">
        <f t="shared" si="36"/>
        <v>0</v>
      </c>
      <c r="CJ12" s="65"/>
      <c r="CK12" s="63"/>
      <c r="CL12" s="64">
        <f t="shared" si="37"/>
        <v>0</v>
      </c>
      <c r="CM12" s="65">
        <f>2739.5</f>
        <v>2739.5</v>
      </c>
      <c r="CN12" s="63"/>
      <c r="CO12" s="64">
        <f t="shared" si="38"/>
        <v>2739.5</v>
      </c>
      <c r="CP12" s="65"/>
      <c r="CQ12" s="63"/>
      <c r="CR12" s="64">
        <f t="shared" si="39"/>
        <v>0</v>
      </c>
      <c r="CS12" s="66">
        <f t="shared" si="40"/>
        <v>7739.5</v>
      </c>
      <c r="CT12" s="67">
        <f t="shared" si="41"/>
        <v>5000</v>
      </c>
      <c r="CU12" s="64">
        <f t="shared" si="42"/>
        <v>2739.5</v>
      </c>
      <c r="CV12" s="68"/>
      <c r="CW12" s="69"/>
      <c r="CX12" s="70"/>
      <c r="CY12" s="71"/>
      <c r="CZ12" s="69"/>
      <c r="DA12" s="70"/>
      <c r="DB12" s="71"/>
      <c r="DC12" s="69"/>
      <c r="DD12" s="70"/>
      <c r="DE12" s="71"/>
      <c r="DF12" s="69"/>
      <c r="DG12" s="70"/>
      <c r="DH12" s="66">
        <f t="shared" si="43"/>
        <v>0</v>
      </c>
      <c r="DI12" s="67">
        <f t="shared" si="44"/>
        <v>0</v>
      </c>
      <c r="DJ12" s="64">
        <f t="shared" si="45"/>
        <v>0</v>
      </c>
      <c r="DK12" s="68"/>
      <c r="DL12" s="69"/>
      <c r="DM12" s="70"/>
      <c r="DN12" s="71"/>
      <c r="DO12" s="69"/>
      <c r="DP12" s="70"/>
      <c r="DQ12" s="71"/>
      <c r="DR12" s="69"/>
      <c r="DS12" s="70"/>
      <c r="DT12" s="71"/>
      <c r="DU12" s="69"/>
      <c r="DV12" s="70"/>
      <c r="DW12" s="66">
        <f t="shared" si="46"/>
        <v>0</v>
      </c>
      <c r="DX12" s="67">
        <f t="shared" si="47"/>
        <v>0</v>
      </c>
      <c r="DY12" s="64">
        <f t="shared" si="48"/>
        <v>0</v>
      </c>
      <c r="DZ12" s="62"/>
      <c r="EA12" s="63"/>
      <c r="EB12" s="64">
        <f t="shared" si="49"/>
        <v>0</v>
      </c>
      <c r="EC12" s="65"/>
      <c r="ED12" s="63"/>
      <c r="EE12" s="64">
        <f t="shared" si="50"/>
        <v>0</v>
      </c>
      <c r="EF12" s="65"/>
      <c r="EG12" s="63"/>
      <c r="EH12" s="64">
        <f t="shared" si="51"/>
        <v>0</v>
      </c>
      <c r="EI12" s="65">
        <v>100</v>
      </c>
      <c r="EJ12" s="63"/>
      <c r="EK12" s="64">
        <f t="shared" si="52"/>
        <v>100</v>
      </c>
      <c r="EL12" s="66">
        <f t="shared" si="53"/>
        <v>100</v>
      </c>
      <c r="EM12" s="67">
        <f t="shared" si="54"/>
        <v>0</v>
      </c>
      <c r="EN12" s="64">
        <f t="shared" si="55"/>
        <v>100</v>
      </c>
      <c r="EO12" s="62"/>
      <c r="EP12" s="63"/>
      <c r="EQ12" s="64">
        <f t="shared" si="56"/>
        <v>0</v>
      </c>
      <c r="ER12" s="65"/>
      <c r="ES12" s="63"/>
      <c r="ET12" s="64">
        <f t="shared" si="57"/>
        <v>0</v>
      </c>
      <c r="EU12" s="65"/>
      <c r="EV12" s="63"/>
      <c r="EW12" s="64">
        <f t="shared" si="58"/>
        <v>0</v>
      </c>
      <c r="EX12" s="65">
        <v>100</v>
      </c>
      <c r="EY12" s="63"/>
      <c r="EZ12" s="64">
        <f t="shared" si="59"/>
        <v>100</v>
      </c>
      <c r="FA12" s="66">
        <f t="shared" si="60"/>
        <v>100</v>
      </c>
      <c r="FB12" s="67">
        <f t="shared" si="61"/>
        <v>0</v>
      </c>
      <c r="FC12" s="64">
        <f t="shared" si="62"/>
        <v>100</v>
      </c>
      <c r="FD12" s="62"/>
      <c r="FE12" s="63"/>
      <c r="FF12" s="64">
        <f t="shared" si="63"/>
        <v>0</v>
      </c>
      <c r="FG12" s="65"/>
      <c r="FH12" s="63"/>
      <c r="FI12" s="64">
        <f t="shared" si="64"/>
        <v>0</v>
      </c>
      <c r="FJ12" s="65"/>
      <c r="FK12" s="63"/>
      <c r="FL12" s="64">
        <f t="shared" si="65"/>
        <v>0</v>
      </c>
      <c r="FM12" s="65">
        <v>100</v>
      </c>
      <c r="FN12" s="63"/>
      <c r="FO12" s="64">
        <f t="shared" si="66"/>
        <v>100</v>
      </c>
      <c r="FP12" s="66">
        <f t="shared" si="67"/>
        <v>100</v>
      </c>
      <c r="FQ12" s="67">
        <f t="shared" si="68"/>
        <v>0</v>
      </c>
      <c r="FR12" s="64">
        <f t="shared" si="69"/>
        <v>100</v>
      </c>
      <c r="FS12" s="62"/>
      <c r="FT12" s="63"/>
      <c r="FU12" s="64">
        <f t="shared" si="70"/>
        <v>0</v>
      </c>
      <c r="FV12" s="65"/>
      <c r="FW12" s="63"/>
      <c r="FX12" s="64">
        <f t="shared" si="71"/>
        <v>0</v>
      </c>
      <c r="FY12" s="65"/>
      <c r="FZ12" s="63"/>
      <c r="GA12" s="64">
        <f t="shared" si="72"/>
        <v>0</v>
      </c>
      <c r="GB12" s="65"/>
      <c r="GC12" s="63"/>
      <c r="GD12" s="64">
        <f t="shared" si="73"/>
        <v>0</v>
      </c>
      <c r="GE12" s="66">
        <f t="shared" si="74"/>
        <v>0</v>
      </c>
      <c r="GF12" s="67">
        <f t="shared" si="75"/>
        <v>0</v>
      </c>
      <c r="GG12" s="64">
        <f t="shared" si="76"/>
        <v>0</v>
      </c>
      <c r="GH12" s="62"/>
      <c r="GI12" s="63"/>
      <c r="GJ12" s="64">
        <f t="shared" si="77"/>
        <v>0</v>
      </c>
      <c r="GK12" s="65"/>
      <c r="GL12" s="63"/>
      <c r="GM12" s="64">
        <f t="shared" si="78"/>
        <v>0</v>
      </c>
      <c r="GN12" s="65"/>
      <c r="GO12" s="63"/>
      <c r="GP12" s="64">
        <f t="shared" si="79"/>
        <v>0</v>
      </c>
      <c r="GQ12" s="65"/>
      <c r="GR12" s="63"/>
      <c r="GS12" s="64">
        <f t="shared" si="80"/>
        <v>0</v>
      </c>
      <c r="GT12" s="66">
        <f t="shared" si="81"/>
        <v>0</v>
      </c>
      <c r="GU12" s="67">
        <f t="shared" si="82"/>
        <v>0</v>
      </c>
      <c r="GV12" s="64">
        <f t="shared" si="83"/>
        <v>0</v>
      </c>
      <c r="GW12" s="68"/>
      <c r="GX12" s="69"/>
      <c r="GY12" s="70"/>
      <c r="GZ12" s="71"/>
      <c r="HA12" s="69"/>
      <c r="HB12" s="70"/>
      <c r="HC12" s="71"/>
      <c r="HD12" s="69"/>
      <c r="HE12" s="70"/>
      <c r="HF12" s="71"/>
      <c r="HG12" s="69"/>
      <c r="HH12" s="70"/>
      <c r="HI12" s="66">
        <f t="shared" si="84"/>
        <v>0</v>
      </c>
      <c r="HJ12" s="67">
        <f t="shared" si="85"/>
        <v>0</v>
      </c>
      <c r="HK12" s="64">
        <f t="shared" si="86"/>
        <v>0</v>
      </c>
      <c r="HL12" s="62">
        <v>6365.25</v>
      </c>
      <c r="HM12" s="63">
        <v>6365.25</v>
      </c>
      <c r="HN12" s="64">
        <f t="shared" si="87"/>
        <v>0</v>
      </c>
      <c r="HO12" s="65"/>
      <c r="HP12" s="63"/>
      <c r="HQ12" s="64">
        <f t="shared" si="88"/>
        <v>0</v>
      </c>
      <c r="HR12" s="65"/>
      <c r="HS12" s="63"/>
      <c r="HT12" s="64">
        <f t="shared" si="89"/>
        <v>0</v>
      </c>
      <c r="HU12" s="65">
        <v>100</v>
      </c>
      <c r="HV12" s="63"/>
      <c r="HW12" s="64">
        <f t="shared" si="90"/>
        <v>100</v>
      </c>
      <c r="HX12" s="66">
        <f t="shared" si="91"/>
        <v>6465.25</v>
      </c>
      <c r="HY12" s="67">
        <f t="shared" si="92"/>
        <v>6365.25</v>
      </c>
      <c r="HZ12" s="64">
        <f t="shared" si="93"/>
        <v>100</v>
      </c>
      <c r="IA12" s="62"/>
      <c r="IB12" s="63"/>
      <c r="IC12" s="64">
        <f t="shared" si="94"/>
        <v>0</v>
      </c>
      <c r="ID12" s="65"/>
      <c r="IE12" s="63"/>
      <c r="IF12" s="64">
        <f t="shared" si="95"/>
        <v>0</v>
      </c>
      <c r="IG12" s="65"/>
      <c r="IH12" s="63"/>
      <c r="II12" s="64">
        <f t="shared" si="96"/>
        <v>0</v>
      </c>
      <c r="IJ12" s="65">
        <v>100</v>
      </c>
      <c r="IK12" s="63">
        <v>175.76</v>
      </c>
      <c r="IL12" s="64">
        <f t="shared" si="97"/>
        <v>-75.759999999999991</v>
      </c>
      <c r="IM12" s="66">
        <f t="shared" si="98"/>
        <v>100</v>
      </c>
      <c r="IN12" s="67">
        <f t="shared" si="99"/>
        <v>175.76</v>
      </c>
      <c r="IO12" s="64">
        <f t="shared" si="100"/>
        <v>-75.759999999999991</v>
      </c>
      <c r="IP12" s="62">
        <v>3000</v>
      </c>
      <c r="IQ12" s="63">
        <v>3000</v>
      </c>
      <c r="IR12" s="64">
        <f t="shared" si="101"/>
        <v>0</v>
      </c>
      <c r="IS12" s="65"/>
      <c r="IT12" s="63"/>
      <c r="IU12" s="64">
        <f t="shared" si="102"/>
        <v>0</v>
      </c>
      <c r="IV12" s="65">
        <v>2739.5</v>
      </c>
      <c r="IW12" s="63"/>
      <c r="IX12" s="64">
        <f t="shared" si="103"/>
        <v>2739.5</v>
      </c>
      <c r="IY12" s="65"/>
      <c r="IZ12" s="63"/>
      <c r="JA12" s="64">
        <f t="shared" si="104"/>
        <v>0</v>
      </c>
      <c r="JB12" s="66">
        <f t="shared" si="105"/>
        <v>5739.5</v>
      </c>
      <c r="JC12" s="67">
        <f t="shared" si="106"/>
        <v>3000</v>
      </c>
      <c r="JD12" s="64">
        <f t="shared" si="107"/>
        <v>2739.5</v>
      </c>
      <c r="JE12" s="62"/>
      <c r="JF12" s="63"/>
      <c r="JG12" s="64">
        <f t="shared" si="108"/>
        <v>0</v>
      </c>
      <c r="JH12" s="65"/>
      <c r="JI12" s="63"/>
      <c r="JJ12" s="64">
        <f t="shared" si="109"/>
        <v>0</v>
      </c>
      <c r="JK12" s="65"/>
      <c r="JL12" s="63"/>
      <c r="JM12" s="64">
        <f t="shared" si="110"/>
        <v>0</v>
      </c>
      <c r="JN12" s="65">
        <v>100</v>
      </c>
      <c r="JO12" s="63"/>
      <c r="JP12" s="64">
        <f t="shared" si="111"/>
        <v>100</v>
      </c>
      <c r="JQ12" s="66">
        <f t="shared" si="112"/>
        <v>100</v>
      </c>
      <c r="JR12" s="67">
        <f t="shared" si="113"/>
        <v>0</v>
      </c>
      <c r="JS12" s="64">
        <f t="shared" si="114"/>
        <v>100</v>
      </c>
      <c r="JT12" s="62">
        <v>5042.0200000000004</v>
      </c>
      <c r="JU12" s="63">
        <v>5042.0200000000004</v>
      </c>
      <c r="JV12" s="64">
        <f t="shared" si="115"/>
        <v>0</v>
      </c>
      <c r="JW12" s="65"/>
      <c r="JX12" s="63"/>
      <c r="JY12" s="64">
        <f t="shared" si="116"/>
        <v>0</v>
      </c>
      <c r="JZ12" s="65"/>
      <c r="KA12" s="63"/>
      <c r="KB12" s="64">
        <f t="shared" si="117"/>
        <v>0</v>
      </c>
      <c r="KC12" s="65">
        <v>100</v>
      </c>
      <c r="KD12" s="63"/>
      <c r="KE12" s="64">
        <f t="shared" si="118"/>
        <v>100</v>
      </c>
      <c r="KF12" s="66">
        <f t="shared" si="119"/>
        <v>5142.0200000000004</v>
      </c>
      <c r="KG12" s="67">
        <f t="shared" si="120"/>
        <v>5042.0200000000004</v>
      </c>
      <c r="KH12" s="64">
        <f t="shared" si="121"/>
        <v>100</v>
      </c>
      <c r="KI12" s="68"/>
      <c r="KJ12" s="69"/>
      <c r="KK12" s="70"/>
      <c r="KL12" s="71"/>
      <c r="KM12" s="69"/>
      <c r="KN12" s="70"/>
      <c r="KO12" s="71"/>
      <c r="KP12" s="69"/>
      <c r="KQ12" s="70"/>
      <c r="KR12" s="71"/>
      <c r="KS12" s="69"/>
      <c r="KT12" s="64">
        <f t="shared" si="0"/>
        <v>0</v>
      </c>
      <c r="KU12" s="66">
        <f t="shared" si="1"/>
        <v>0</v>
      </c>
      <c r="KV12" s="67">
        <f t="shared" si="2"/>
        <v>0</v>
      </c>
      <c r="KW12" s="64">
        <f t="shared" si="122"/>
        <v>0</v>
      </c>
      <c r="KX12" s="72"/>
      <c r="KY12" s="73"/>
      <c r="KZ12" s="74"/>
      <c r="LA12" s="75"/>
      <c r="LB12" s="73"/>
      <c r="LC12" s="74"/>
      <c r="LD12" s="75"/>
      <c r="LE12" s="73"/>
      <c r="LF12" s="74"/>
      <c r="LG12" s="75"/>
      <c r="LH12" s="73"/>
      <c r="LI12" s="74"/>
      <c r="LJ12" s="76"/>
      <c r="LK12" s="77"/>
      <c r="LL12" s="74"/>
      <c r="LM12" s="68"/>
      <c r="LN12" s="69"/>
      <c r="LO12" s="70"/>
      <c r="LP12" s="71"/>
      <c r="LQ12" s="69"/>
      <c r="LR12" s="70"/>
      <c r="LS12" s="71"/>
      <c r="LT12" s="69"/>
      <c r="LU12" s="70"/>
      <c r="LV12" s="71"/>
      <c r="LW12" s="69"/>
      <c r="LX12" s="64">
        <f t="shared" si="123"/>
        <v>0</v>
      </c>
      <c r="LY12" s="66">
        <f t="shared" si="124"/>
        <v>0</v>
      </c>
      <c r="LZ12" s="67">
        <f t="shared" si="125"/>
        <v>0</v>
      </c>
      <c r="MA12" s="64">
        <f t="shared" si="126"/>
        <v>0</v>
      </c>
      <c r="MB12" s="62">
        <v>650</v>
      </c>
      <c r="MC12" s="63">
        <v>650</v>
      </c>
      <c r="MD12" s="64">
        <f t="shared" si="127"/>
        <v>0</v>
      </c>
      <c r="ME12" s="65">
        <v>727.43</v>
      </c>
      <c r="MF12" s="63">
        <v>757.77</v>
      </c>
      <c r="MG12" s="64">
        <f t="shared" si="128"/>
        <v>-30.340000000000032</v>
      </c>
      <c r="MH12" s="65"/>
      <c r="MI12" s="63"/>
      <c r="MJ12" s="64">
        <f t="shared" si="129"/>
        <v>0</v>
      </c>
      <c r="MK12" s="65">
        <v>100</v>
      </c>
      <c r="ML12" s="63"/>
      <c r="MM12" s="64">
        <f t="shared" si="130"/>
        <v>100</v>
      </c>
      <c r="MN12" s="66">
        <f t="shared" si="131"/>
        <v>1477.4299999999998</v>
      </c>
      <c r="MO12" s="67">
        <f t="shared" si="132"/>
        <v>1407.77</v>
      </c>
      <c r="MP12" s="64">
        <f t="shared" si="133"/>
        <v>69.659999999999854</v>
      </c>
      <c r="MQ12" s="62"/>
      <c r="MR12" s="63"/>
      <c r="MS12" s="64">
        <f t="shared" si="134"/>
        <v>0</v>
      </c>
      <c r="MT12" s="65"/>
      <c r="MU12" s="63"/>
      <c r="MV12" s="64">
        <f t="shared" si="135"/>
        <v>0</v>
      </c>
      <c r="MW12" s="65"/>
      <c r="MX12" s="63"/>
      <c r="MY12" s="64">
        <f t="shared" si="136"/>
        <v>0</v>
      </c>
      <c r="MZ12" s="65"/>
      <c r="NA12" s="63"/>
      <c r="NB12" s="64">
        <f t="shared" si="137"/>
        <v>0</v>
      </c>
      <c r="NC12" s="66">
        <f t="shared" si="138"/>
        <v>0</v>
      </c>
      <c r="ND12" s="67">
        <f t="shared" si="139"/>
        <v>0</v>
      </c>
      <c r="NE12" s="64">
        <f t="shared" si="140"/>
        <v>0</v>
      </c>
      <c r="NF12" s="62"/>
      <c r="NG12" s="63"/>
      <c r="NH12" s="64">
        <f t="shared" si="141"/>
        <v>0</v>
      </c>
      <c r="NI12" s="65">
        <v>685.09</v>
      </c>
      <c r="NJ12" s="63">
        <v>685.09</v>
      </c>
      <c r="NK12" s="64">
        <f t="shared" si="142"/>
        <v>0</v>
      </c>
      <c r="NL12" s="65"/>
      <c r="NM12" s="63">
        <v>699</v>
      </c>
      <c r="NN12" s="64">
        <f t="shared" si="143"/>
        <v>-699</v>
      </c>
      <c r="NO12" s="65">
        <v>100</v>
      </c>
      <c r="NP12" s="63">
        <v>332.88</v>
      </c>
      <c r="NQ12" s="64">
        <f t="shared" si="144"/>
        <v>-232.88</v>
      </c>
      <c r="NR12" s="66">
        <f t="shared" si="145"/>
        <v>785.09</v>
      </c>
      <c r="NS12" s="67">
        <f t="shared" si="146"/>
        <v>1716.9700000000003</v>
      </c>
      <c r="NT12" s="64">
        <f t="shared" si="147"/>
        <v>-931.88000000000022</v>
      </c>
      <c r="NU12" s="62">
        <v>864</v>
      </c>
      <c r="NV12" s="63">
        <v>864</v>
      </c>
      <c r="NW12" s="64">
        <f t="shared" si="148"/>
        <v>0</v>
      </c>
      <c r="NX12" s="65">
        <v>636.36</v>
      </c>
      <c r="NY12" s="63"/>
      <c r="NZ12" s="64">
        <f t="shared" si="149"/>
        <v>636.36</v>
      </c>
      <c r="OA12" s="65"/>
      <c r="OB12" s="63"/>
      <c r="OC12" s="64">
        <f t="shared" si="150"/>
        <v>0</v>
      </c>
      <c r="OD12" s="65">
        <v>100</v>
      </c>
      <c r="OE12" s="63">
        <v>72.59</v>
      </c>
      <c r="OF12" s="64">
        <f t="shared" si="151"/>
        <v>27.409999999999997</v>
      </c>
      <c r="OG12" s="66">
        <f t="shared" si="152"/>
        <v>1600.3600000000001</v>
      </c>
      <c r="OH12" s="67">
        <f t="shared" si="153"/>
        <v>936.59</v>
      </c>
      <c r="OI12" s="64">
        <f t="shared" si="154"/>
        <v>663.7700000000001</v>
      </c>
      <c r="OJ12" s="62"/>
      <c r="OK12" s="63"/>
      <c r="OL12" s="64">
        <f t="shared" si="155"/>
        <v>0</v>
      </c>
      <c r="OM12" s="65"/>
      <c r="ON12" s="63"/>
      <c r="OO12" s="64">
        <f t="shared" si="156"/>
        <v>0</v>
      </c>
      <c r="OP12" s="65"/>
      <c r="OQ12" s="63"/>
      <c r="OR12" s="64">
        <f t="shared" si="157"/>
        <v>0</v>
      </c>
      <c r="OS12" s="65">
        <v>100</v>
      </c>
      <c r="OT12" s="63">
        <v>120.96</v>
      </c>
      <c r="OU12" s="64">
        <f t="shared" si="158"/>
        <v>-20.959999999999994</v>
      </c>
      <c r="OV12" s="66">
        <f t="shared" si="159"/>
        <v>100</v>
      </c>
      <c r="OW12" s="67">
        <f t="shared" si="160"/>
        <v>120.96</v>
      </c>
      <c r="OX12" s="64">
        <f t="shared" si="161"/>
        <v>-20.959999999999994</v>
      </c>
      <c r="OY12" s="62"/>
      <c r="OZ12" s="63"/>
      <c r="PA12" s="64">
        <f t="shared" si="162"/>
        <v>0</v>
      </c>
      <c r="PB12" s="65"/>
      <c r="PC12" s="63"/>
      <c r="PD12" s="64">
        <f t="shared" si="163"/>
        <v>0</v>
      </c>
      <c r="PE12" s="65"/>
      <c r="PF12" s="63"/>
      <c r="PG12" s="64">
        <f t="shared" si="164"/>
        <v>0</v>
      </c>
      <c r="PH12" s="65">
        <v>100</v>
      </c>
      <c r="PI12" s="63"/>
      <c r="PJ12" s="64">
        <f t="shared" si="165"/>
        <v>100</v>
      </c>
      <c r="PK12" s="66">
        <f t="shared" si="166"/>
        <v>100</v>
      </c>
      <c r="PL12" s="67">
        <f t="shared" si="167"/>
        <v>0</v>
      </c>
      <c r="PM12" s="64">
        <f t="shared" si="168"/>
        <v>100</v>
      </c>
      <c r="PN12" s="62">
        <v>1400</v>
      </c>
      <c r="PO12" s="63">
        <v>1400</v>
      </c>
      <c r="PP12" s="64">
        <f t="shared" si="169"/>
        <v>0</v>
      </c>
      <c r="PQ12" s="65"/>
      <c r="PR12" s="63"/>
      <c r="PS12" s="64">
        <f t="shared" si="170"/>
        <v>0</v>
      </c>
      <c r="PT12" s="65"/>
      <c r="PU12" s="63"/>
      <c r="PV12" s="64">
        <f t="shared" si="171"/>
        <v>0</v>
      </c>
      <c r="PW12" s="65">
        <v>100</v>
      </c>
      <c r="PX12" s="63">
        <v>167.13</v>
      </c>
      <c r="PY12" s="64">
        <f t="shared" si="172"/>
        <v>-67.13</v>
      </c>
      <c r="PZ12" s="66">
        <f t="shared" si="173"/>
        <v>1500</v>
      </c>
      <c r="QA12" s="67">
        <f t="shared" si="174"/>
        <v>1567.13</v>
      </c>
      <c r="QB12" s="64">
        <f t="shared" si="175"/>
        <v>-67.130000000000109</v>
      </c>
      <c r="QC12" s="62">
        <v>7500</v>
      </c>
      <c r="QD12" s="63">
        <v>7500</v>
      </c>
      <c r="QE12" s="64">
        <f t="shared" si="176"/>
        <v>0</v>
      </c>
      <c r="QF12" s="65"/>
      <c r="QG12" s="63"/>
      <c r="QH12" s="64">
        <f t="shared" si="177"/>
        <v>0</v>
      </c>
      <c r="QI12" s="65"/>
      <c r="QJ12" s="63"/>
      <c r="QK12" s="64">
        <f t="shared" si="178"/>
        <v>0</v>
      </c>
      <c r="QL12" s="65">
        <v>100</v>
      </c>
      <c r="QM12" s="63"/>
      <c r="QN12" s="64">
        <f t="shared" si="179"/>
        <v>100</v>
      </c>
      <c r="QO12" s="66">
        <f t="shared" si="180"/>
        <v>7600</v>
      </c>
      <c r="QP12" s="67">
        <f t="shared" si="181"/>
        <v>7500</v>
      </c>
      <c r="QQ12" s="64">
        <f t="shared" si="182"/>
        <v>100</v>
      </c>
      <c r="QR12" s="62"/>
      <c r="QS12" s="63"/>
      <c r="QT12" s="64">
        <f t="shared" si="183"/>
        <v>0</v>
      </c>
      <c r="QU12" s="65"/>
      <c r="QV12" s="63"/>
      <c r="QW12" s="64">
        <f t="shared" si="184"/>
        <v>0</v>
      </c>
      <c r="QX12" s="65"/>
      <c r="QY12" s="63"/>
      <c r="QZ12" s="64">
        <f t="shared" si="185"/>
        <v>0</v>
      </c>
      <c r="RA12" s="65"/>
      <c r="RB12" s="63"/>
      <c r="RC12" s="64">
        <f t="shared" si="186"/>
        <v>0</v>
      </c>
      <c r="RD12" s="66">
        <f t="shared" si="187"/>
        <v>0</v>
      </c>
      <c r="RE12" s="67">
        <f t="shared" si="188"/>
        <v>0</v>
      </c>
      <c r="RF12" s="64">
        <f t="shared" si="189"/>
        <v>0</v>
      </c>
      <c r="RG12" s="62"/>
      <c r="RH12" s="63"/>
      <c r="RI12" s="64">
        <f t="shared" si="190"/>
        <v>0</v>
      </c>
      <c r="RJ12" s="65"/>
      <c r="RK12" s="63"/>
      <c r="RL12" s="64">
        <f t="shared" si="191"/>
        <v>0</v>
      </c>
      <c r="RM12" s="65"/>
      <c r="RN12" s="63"/>
      <c r="RO12" s="64">
        <f t="shared" si="192"/>
        <v>0</v>
      </c>
      <c r="RP12" s="65"/>
      <c r="RQ12" s="63"/>
      <c r="RR12" s="64">
        <f t="shared" si="193"/>
        <v>0</v>
      </c>
      <c r="RS12" s="66">
        <f t="shared" si="194"/>
        <v>0</v>
      </c>
      <c r="RT12" s="67">
        <f t="shared" si="195"/>
        <v>0</v>
      </c>
      <c r="RU12" s="64">
        <f t="shared" si="196"/>
        <v>0</v>
      </c>
      <c r="RV12" s="62"/>
      <c r="RW12" s="63"/>
      <c r="RX12" s="64">
        <f t="shared" si="197"/>
        <v>0</v>
      </c>
      <c r="RY12" s="65"/>
      <c r="RZ12" s="63"/>
      <c r="SA12" s="64">
        <f t="shared" si="198"/>
        <v>0</v>
      </c>
      <c r="SB12" s="65"/>
      <c r="SC12" s="63"/>
      <c r="SD12" s="64">
        <f t="shared" si="199"/>
        <v>0</v>
      </c>
      <c r="SE12" s="65">
        <v>100</v>
      </c>
      <c r="SF12" s="63">
        <v>229.29</v>
      </c>
      <c r="SG12" s="64">
        <f t="shared" si="200"/>
        <v>-129.29</v>
      </c>
      <c r="SH12" s="66">
        <f t="shared" si="201"/>
        <v>100</v>
      </c>
      <c r="SI12" s="67">
        <f t="shared" si="202"/>
        <v>229.29</v>
      </c>
      <c r="SJ12" s="64">
        <f t="shared" si="203"/>
        <v>-129.29</v>
      </c>
      <c r="SK12" s="62">
        <v>16000</v>
      </c>
      <c r="SL12" s="63">
        <v>16000</v>
      </c>
      <c r="SM12" s="64">
        <f t="shared" si="204"/>
        <v>0</v>
      </c>
      <c r="SN12" s="65"/>
      <c r="SO12" s="63"/>
      <c r="SP12" s="64">
        <f t="shared" si="205"/>
        <v>0</v>
      </c>
      <c r="SQ12" s="65"/>
      <c r="SR12" s="63"/>
      <c r="SS12" s="64">
        <f t="shared" si="206"/>
        <v>0</v>
      </c>
      <c r="ST12" s="65">
        <v>100</v>
      </c>
      <c r="SU12" s="63">
        <v>206.97</v>
      </c>
      <c r="SV12" s="64">
        <f t="shared" si="207"/>
        <v>-106.97</v>
      </c>
      <c r="SW12" s="66">
        <f t="shared" si="208"/>
        <v>16100</v>
      </c>
      <c r="SX12" s="67">
        <f t="shared" si="209"/>
        <v>16206.97</v>
      </c>
      <c r="SY12" s="64">
        <f t="shared" si="210"/>
        <v>-106.96999999999935</v>
      </c>
      <c r="SZ12" s="62">
        <v>1257.1199999999999</v>
      </c>
      <c r="TA12" s="63">
        <v>1257.1199999999999</v>
      </c>
      <c r="TB12" s="64">
        <f t="shared" si="211"/>
        <v>0</v>
      </c>
      <c r="TC12" s="65"/>
      <c r="TD12" s="63"/>
      <c r="TE12" s="64">
        <f t="shared" si="212"/>
        <v>0</v>
      </c>
      <c r="TF12" s="65"/>
      <c r="TG12" s="63"/>
      <c r="TH12" s="64">
        <f t="shared" si="213"/>
        <v>0</v>
      </c>
      <c r="TI12" s="65">
        <v>100</v>
      </c>
      <c r="TJ12" s="63">
        <v>139.91999999999999</v>
      </c>
      <c r="TK12" s="64">
        <f t="shared" si="214"/>
        <v>-39.919999999999987</v>
      </c>
      <c r="TL12" s="66">
        <f t="shared" si="215"/>
        <v>1357.12</v>
      </c>
      <c r="TM12" s="67">
        <f t="shared" si="216"/>
        <v>1397.04</v>
      </c>
      <c r="TN12" s="64">
        <f t="shared" si="217"/>
        <v>-39.920000000000073</v>
      </c>
      <c r="TO12" s="62"/>
      <c r="TP12" s="63"/>
      <c r="TQ12" s="64">
        <f t="shared" si="218"/>
        <v>0</v>
      </c>
      <c r="TR12" s="65"/>
      <c r="TS12" s="63"/>
      <c r="TT12" s="64">
        <f t="shared" si="219"/>
        <v>0</v>
      </c>
      <c r="TU12" s="65"/>
      <c r="TV12" s="63"/>
      <c r="TW12" s="64">
        <f t="shared" si="220"/>
        <v>0</v>
      </c>
      <c r="TX12" s="65">
        <v>100</v>
      </c>
      <c r="TY12" s="63">
        <v>69.28</v>
      </c>
      <c r="TZ12" s="64">
        <f t="shared" si="221"/>
        <v>30.72</v>
      </c>
      <c r="UA12" s="66">
        <f t="shared" si="222"/>
        <v>100</v>
      </c>
      <c r="UB12" s="67">
        <f t="shared" si="223"/>
        <v>69.28</v>
      </c>
      <c r="UC12" s="64">
        <f t="shared" si="224"/>
        <v>30.72</v>
      </c>
      <c r="UD12" s="68"/>
      <c r="UE12" s="69"/>
      <c r="UF12" s="70"/>
      <c r="UG12" s="71"/>
      <c r="UH12" s="69"/>
      <c r="UI12" s="70"/>
      <c r="UJ12" s="71"/>
      <c r="UK12" s="69"/>
      <c r="UL12" s="70"/>
      <c r="UM12" s="71"/>
      <c r="UN12" s="69"/>
      <c r="UO12" s="64">
        <f t="shared" si="225"/>
        <v>0</v>
      </c>
      <c r="UP12" s="66">
        <f t="shared" si="226"/>
        <v>0</v>
      </c>
      <c r="UQ12" s="67">
        <f t="shared" si="227"/>
        <v>0</v>
      </c>
      <c r="UR12" s="64">
        <f t="shared" si="228"/>
        <v>0</v>
      </c>
      <c r="US12" s="62"/>
      <c r="UT12" s="63"/>
      <c r="UU12" s="64">
        <f t="shared" si="229"/>
        <v>0</v>
      </c>
      <c r="UV12" s="65"/>
      <c r="UW12" s="63"/>
      <c r="UX12" s="64">
        <f t="shared" si="230"/>
        <v>0</v>
      </c>
      <c r="UY12" s="65"/>
      <c r="UZ12" s="63"/>
      <c r="VA12" s="64">
        <f t="shared" si="231"/>
        <v>0</v>
      </c>
      <c r="VB12" s="65">
        <v>100</v>
      </c>
      <c r="VC12" s="63"/>
      <c r="VD12" s="64">
        <f t="shared" si="232"/>
        <v>100</v>
      </c>
      <c r="VE12" s="66">
        <f t="shared" si="233"/>
        <v>100</v>
      </c>
      <c r="VF12" s="67">
        <f t="shared" si="234"/>
        <v>0</v>
      </c>
      <c r="VG12" s="64">
        <f t="shared" si="235"/>
        <v>100</v>
      </c>
      <c r="VH12" s="62">
        <v>15000</v>
      </c>
      <c r="VI12" s="63">
        <v>15000</v>
      </c>
      <c r="VJ12" s="64">
        <f t="shared" si="236"/>
        <v>0</v>
      </c>
      <c r="VK12" s="65"/>
      <c r="VL12" s="63"/>
      <c r="VM12" s="64">
        <f t="shared" si="237"/>
        <v>0</v>
      </c>
      <c r="VN12" s="65"/>
      <c r="VO12" s="63"/>
      <c r="VP12" s="64">
        <f t="shared" si="238"/>
        <v>0</v>
      </c>
      <c r="VQ12" s="65">
        <v>100</v>
      </c>
      <c r="VR12" s="63">
        <v>55.22</v>
      </c>
      <c r="VS12" s="64">
        <f t="shared" si="239"/>
        <v>44.78</v>
      </c>
      <c r="VT12" s="66">
        <f t="shared" si="240"/>
        <v>15100</v>
      </c>
      <c r="VU12" s="67">
        <f t="shared" si="241"/>
        <v>15055.22</v>
      </c>
      <c r="VV12" s="64">
        <f t="shared" si="242"/>
        <v>44.780000000000655</v>
      </c>
      <c r="VW12" s="62"/>
      <c r="VX12" s="63"/>
      <c r="VY12" s="64">
        <f t="shared" si="243"/>
        <v>0</v>
      </c>
      <c r="VZ12" s="65"/>
      <c r="WA12" s="63"/>
      <c r="WB12" s="64">
        <f t="shared" si="244"/>
        <v>0</v>
      </c>
      <c r="WC12" s="65"/>
      <c r="WD12" s="63"/>
      <c r="WE12" s="64">
        <f t="shared" si="245"/>
        <v>0</v>
      </c>
      <c r="WF12" s="65"/>
      <c r="WG12" s="63"/>
      <c r="WH12" s="64">
        <f t="shared" si="246"/>
        <v>0</v>
      </c>
      <c r="WI12" s="66">
        <f t="shared" si="247"/>
        <v>0</v>
      </c>
      <c r="WJ12" s="67">
        <f t="shared" si="248"/>
        <v>0</v>
      </c>
      <c r="WK12" s="64">
        <f t="shared" si="249"/>
        <v>0</v>
      </c>
      <c r="WL12" s="62">
        <v>1276.01</v>
      </c>
      <c r="WM12" s="63">
        <v>1276.01</v>
      </c>
      <c r="WN12" s="64">
        <f t="shared" si="250"/>
        <v>0</v>
      </c>
      <c r="WO12" s="65"/>
      <c r="WP12" s="63"/>
      <c r="WQ12" s="64">
        <f t="shared" si="251"/>
        <v>0</v>
      </c>
      <c r="WR12" s="65"/>
      <c r="WS12" s="63">
        <v>3403.94</v>
      </c>
      <c r="WT12" s="64">
        <f t="shared" si="252"/>
        <v>-3403.94</v>
      </c>
      <c r="WU12" s="65">
        <v>100</v>
      </c>
      <c r="WV12" s="63">
        <v>134.97</v>
      </c>
      <c r="WW12" s="64">
        <f t="shared" si="253"/>
        <v>-34.97</v>
      </c>
      <c r="WX12" s="66">
        <f t="shared" si="254"/>
        <v>1376.01</v>
      </c>
      <c r="WY12" s="67">
        <f t="shared" si="255"/>
        <v>4814.92</v>
      </c>
      <c r="WZ12" s="64">
        <f t="shared" si="256"/>
        <v>-3438.91</v>
      </c>
      <c r="XA12" s="62"/>
      <c r="XB12" s="63"/>
      <c r="XC12" s="64">
        <f t="shared" si="257"/>
        <v>0</v>
      </c>
      <c r="XD12" s="65"/>
      <c r="XE12" s="63"/>
      <c r="XF12" s="64">
        <f t="shared" si="258"/>
        <v>0</v>
      </c>
      <c r="XG12" s="65"/>
      <c r="XH12" s="63"/>
      <c r="XI12" s="64">
        <f t="shared" si="259"/>
        <v>0</v>
      </c>
      <c r="XJ12" s="65">
        <v>100</v>
      </c>
      <c r="XK12" s="63">
        <v>257.45999999999998</v>
      </c>
      <c r="XL12" s="64">
        <f t="shared" si="260"/>
        <v>-157.45999999999998</v>
      </c>
      <c r="XM12" s="66">
        <f t="shared" si="261"/>
        <v>100</v>
      </c>
      <c r="XN12" s="67">
        <f t="shared" si="262"/>
        <v>257.45999999999998</v>
      </c>
      <c r="XO12" s="64">
        <f t="shared" si="263"/>
        <v>-157.45999999999998</v>
      </c>
      <c r="XP12" s="62">
        <v>917</v>
      </c>
      <c r="XQ12" s="63">
        <v>917</v>
      </c>
      <c r="XR12" s="64">
        <f t="shared" si="264"/>
        <v>0</v>
      </c>
      <c r="XS12" s="65">
        <v>468.51</v>
      </c>
      <c r="XT12" s="63">
        <v>468.51</v>
      </c>
      <c r="XU12" s="64">
        <f t="shared" si="265"/>
        <v>0</v>
      </c>
      <c r="XV12" s="65"/>
      <c r="XW12" s="63"/>
      <c r="XX12" s="64">
        <f t="shared" si="266"/>
        <v>0</v>
      </c>
      <c r="XY12" s="65">
        <v>100</v>
      </c>
      <c r="XZ12" s="63">
        <v>75.38</v>
      </c>
      <c r="YA12" s="64">
        <f t="shared" si="267"/>
        <v>24.620000000000005</v>
      </c>
      <c r="YB12" s="66">
        <f t="shared" si="268"/>
        <v>1485.51</v>
      </c>
      <c r="YC12" s="67">
        <f t="shared" si="269"/>
        <v>1460.8899999999999</v>
      </c>
      <c r="YD12" s="64">
        <f t="shared" si="270"/>
        <v>24.620000000000118</v>
      </c>
      <c r="YE12" s="62">
        <v>890</v>
      </c>
      <c r="YF12" s="63">
        <v>890</v>
      </c>
      <c r="YG12" s="64">
        <f t="shared" si="271"/>
        <v>0</v>
      </c>
      <c r="YH12" s="65">
        <v>447.76</v>
      </c>
      <c r="YI12" s="63">
        <v>447.76</v>
      </c>
      <c r="YJ12" s="64">
        <f t="shared" si="272"/>
        <v>0</v>
      </c>
      <c r="YK12" s="65"/>
      <c r="YL12" s="63">
        <v>350.18</v>
      </c>
      <c r="YM12" s="64">
        <f t="shared" si="273"/>
        <v>-350.18</v>
      </c>
      <c r="YN12" s="65">
        <v>100</v>
      </c>
      <c r="YO12" s="63">
        <v>76.430000000000007</v>
      </c>
      <c r="YP12" s="64">
        <f t="shared" si="274"/>
        <v>23.569999999999993</v>
      </c>
      <c r="YQ12" s="66">
        <f t="shared" si="275"/>
        <v>1437.76</v>
      </c>
      <c r="YR12" s="67">
        <f t="shared" si="276"/>
        <v>1764.3700000000001</v>
      </c>
      <c r="YS12" s="64">
        <f t="shared" si="277"/>
        <v>-326.61000000000013</v>
      </c>
      <c r="YT12" s="62">
        <v>932</v>
      </c>
      <c r="YU12" s="63">
        <v>932</v>
      </c>
      <c r="YV12" s="64">
        <f t="shared" si="278"/>
        <v>0</v>
      </c>
      <c r="YW12" s="65">
        <v>448.46</v>
      </c>
      <c r="YX12" s="63">
        <v>448.46</v>
      </c>
      <c r="YY12" s="64">
        <f t="shared" si="279"/>
        <v>0</v>
      </c>
      <c r="YZ12" s="65"/>
      <c r="ZA12" s="63"/>
      <c r="ZB12" s="64">
        <f t="shared" si="280"/>
        <v>0</v>
      </c>
      <c r="ZC12" s="65">
        <v>100</v>
      </c>
      <c r="ZD12" s="63">
        <v>106.26</v>
      </c>
      <c r="ZE12" s="64">
        <f t="shared" si="281"/>
        <v>-6.2600000000000051</v>
      </c>
      <c r="ZF12" s="66">
        <f t="shared" si="282"/>
        <v>1480.46</v>
      </c>
      <c r="ZG12" s="67">
        <f t="shared" si="283"/>
        <v>1486.72</v>
      </c>
      <c r="ZH12" s="64">
        <f t="shared" si="284"/>
        <v>-6.2599999999999909</v>
      </c>
      <c r="ZI12" s="62">
        <v>1250</v>
      </c>
      <c r="ZJ12" s="63">
        <v>1250</v>
      </c>
      <c r="ZK12" s="64">
        <f t="shared" si="285"/>
        <v>0</v>
      </c>
      <c r="ZL12" s="65"/>
      <c r="ZM12" s="63"/>
      <c r="ZN12" s="64">
        <f t="shared" si="286"/>
        <v>0</v>
      </c>
      <c r="ZO12" s="65"/>
      <c r="ZP12" s="63"/>
      <c r="ZQ12" s="64">
        <f t="shared" si="287"/>
        <v>0</v>
      </c>
      <c r="ZR12" s="65">
        <v>100</v>
      </c>
      <c r="ZS12" s="63">
        <v>225.12</v>
      </c>
      <c r="ZT12" s="64">
        <f t="shared" si="288"/>
        <v>-125.12</v>
      </c>
      <c r="ZU12" s="66">
        <f t="shared" si="289"/>
        <v>1350</v>
      </c>
      <c r="ZV12" s="67">
        <f t="shared" si="290"/>
        <v>1475.12</v>
      </c>
      <c r="ZW12" s="64">
        <f t="shared" si="291"/>
        <v>-125.11999999999989</v>
      </c>
      <c r="ZX12" s="62">
        <v>24.71</v>
      </c>
      <c r="ZY12" s="63">
        <v>24.71</v>
      </c>
      <c r="ZZ12" s="64">
        <f t="shared" si="292"/>
        <v>0</v>
      </c>
      <c r="AAA12" s="66">
        <f t="shared" si="293"/>
        <v>24.71</v>
      </c>
      <c r="AAB12" s="67">
        <f t="shared" si="293"/>
        <v>24.71</v>
      </c>
      <c r="AAC12" s="64">
        <f t="shared" si="294"/>
        <v>0</v>
      </c>
      <c r="AAD12" s="85">
        <f t="shared" si="295"/>
        <v>167902.75</v>
      </c>
      <c r="AAE12" s="86">
        <f t="shared" si="295"/>
        <v>169724.12</v>
      </c>
      <c r="AAF12" s="87">
        <f t="shared" si="3"/>
        <v>1.0108477675320982</v>
      </c>
      <c r="AAG12" s="88">
        <f t="shared" si="4"/>
        <v>1821.3699999999953</v>
      </c>
      <c r="AAH12" s="89"/>
      <c r="AAI12" s="92"/>
      <c r="AAJ12" s="92"/>
      <c r="AAK12" s="82"/>
    </row>
    <row r="13" spans="1:714" s="83" customFormat="1" ht="20" customHeight="1" x14ac:dyDescent="0.2">
      <c r="A13" s="57" t="s">
        <v>149</v>
      </c>
      <c r="B13" s="94">
        <f>B11/B7</f>
        <v>1.0156250654459265</v>
      </c>
      <c r="C13" s="95"/>
      <c r="D13" s="95"/>
      <c r="E13" s="60"/>
      <c r="F13" s="61">
        <v>44805</v>
      </c>
      <c r="G13" s="62">
        <v>0</v>
      </c>
      <c r="H13" s="63">
        <v>0</v>
      </c>
      <c r="I13" s="64">
        <f t="shared" si="5"/>
        <v>0</v>
      </c>
      <c r="J13" s="65">
        <v>8114</v>
      </c>
      <c r="K13" s="63">
        <v>8114.26</v>
      </c>
      <c r="L13" s="64">
        <f t="shared" si="6"/>
        <v>-0.26000000000021828</v>
      </c>
      <c r="M13" s="65">
        <v>1000</v>
      </c>
      <c r="N13" s="63">
        <v>0</v>
      </c>
      <c r="O13" s="64">
        <f t="shared" si="7"/>
        <v>1000</v>
      </c>
      <c r="P13" s="65">
        <v>500</v>
      </c>
      <c r="Q13" s="63">
        <v>2139.42</v>
      </c>
      <c r="R13" s="64">
        <f t="shared" si="8"/>
        <v>-1639.42</v>
      </c>
      <c r="S13" s="65">
        <v>1000</v>
      </c>
      <c r="T13" s="63">
        <v>165.24</v>
      </c>
      <c r="U13" s="64">
        <f t="shared" si="9"/>
        <v>834.76</v>
      </c>
      <c r="V13" s="66">
        <f t="shared" si="10"/>
        <v>10614</v>
      </c>
      <c r="W13" s="67">
        <f t="shared" si="10"/>
        <v>10418.92</v>
      </c>
      <c r="X13" s="64">
        <f t="shared" si="11"/>
        <v>195.07999999999993</v>
      </c>
      <c r="Y13" s="62">
        <v>14499</v>
      </c>
      <c r="Z13" s="63">
        <v>14499</v>
      </c>
      <c r="AA13" s="64">
        <f t="shared" si="12"/>
        <v>0</v>
      </c>
      <c r="AB13" s="65"/>
      <c r="AC13" s="63"/>
      <c r="AD13" s="64">
        <f t="shared" si="13"/>
        <v>0</v>
      </c>
      <c r="AE13" s="65"/>
      <c r="AF13" s="63"/>
      <c r="AG13" s="64">
        <f t="shared" si="14"/>
        <v>0</v>
      </c>
      <c r="AH13" s="65"/>
      <c r="AI13" s="63"/>
      <c r="AJ13" s="64">
        <f t="shared" si="15"/>
        <v>0</v>
      </c>
      <c r="AK13" s="66">
        <f t="shared" si="16"/>
        <v>14499</v>
      </c>
      <c r="AL13" s="67">
        <f t="shared" si="17"/>
        <v>14499</v>
      </c>
      <c r="AM13" s="64">
        <f t="shared" si="18"/>
        <v>0</v>
      </c>
      <c r="AN13" s="62">
        <v>6000</v>
      </c>
      <c r="AO13" s="63">
        <v>6000</v>
      </c>
      <c r="AP13" s="64">
        <f t="shared" si="19"/>
        <v>0</v>
      </c>
      <c r="AQ13" s="65"/>
      <c r="AR13" s="63"/>
      <c r="AS13" s="64">
        <f t="shared" si="20"/>
        <v>0</v>
      </c>
      <c r="AT13" s="65"/>
      <c r="AU13" s="63"/>
      <c r="AV13" s="64">
        <f t="shared" si="21"/>
        <v>0</v>
      </c>
      <c r="AW13" s="65"/>
      <c r="AX13" s="63"/>
      <c r="AY13" s="64">
        <f t="shared" si="22"/>
        <v>0</v>
      </c>
      <c r="AZ13" s="66">
        <f t="shared" si="23"/>
        <v>6000</v>
      </c>
      <c r="BA13" s="67">
        <f t="shared" si="24"/>
        <v>6000</v>
      </c>
      <c r="BB13" s="64">
        <f t="shared" si="25"/>
        <v>0</v>
      </c>
      <c r="BC13" s="62"/>
      <c r="BD13" s="63"/>
      <c r="BE13" s="64">
        <f t="shared" si="26"/>
        <v>0</v>
      </c>
      <c r="BF13" s="65"/>
      <c r="BG13" s="63"/>
      <c r="BH13" s="64">
        <f t="shared" si="27"/>
        <v>0</v>
      </c>
      <c r="BI13" s="65"/>
      <c r="BJ13" s="63">
        <v>213.64</v>
      </c>
      <c r="BK13" s="64">
        <f t="shared" si="28"/>
        <v>-213.64</v>
      </c>
      <c r="BL13" s="65">
        <v>100</v>
      </c>
      <c r="BM13" s="63"/>
      <c r="BN13" s="64">
        <f t="shared" si="29"/>
        <v>100</v>
      </c>
      <c r="BO13" s="66">
        <f t="shared" si="30"/>
        <v>100</v>
      </c>
      <c r="BP13" s="67">
        <f t="shared" si="31"/>
        <v>213.64</v>
      </c>
      <c r="BQ13" s="64">
        <f t="shared" si="32"/>
        <v>-113.63999999999999</v>
      </c>
      <c r="BR13" s="68"/>
      <c r="BS13" s="69"/>
      <c r="BT13" s="70"/>
      <c r="BU13" s="71"/>
      <c r="BV13" s="69"/>
      <c r="BW13" s="70"/>
      <c r="BX13" s="71"/>
      <c r="BY13" s="69"/>
      <c r="BZ13" s="70"/>
      <c r="CA13" s="71"/>
      <c r="CB13" s="69"/>
      <c r="CC13" s="70"/>
      <c r="CD13" s="66">
        <f t="shared" si="33"/>
        <v>0</v>
      </c>
      <c r="CE13" s="67">
        <f t="shared" si="34"/>
        <v>0</v>
      </c>
      <c r="CF13" s="64">
        <f t="shared" si="35"/>
        <v>0</v>
      </c>
      <c r="CG13" s="62"/>
      <c r="CH13" s="63"/>
      <c r="CI13" s="64">
        <f t="shared" si="36"/>
        <v>0</v>
      </c>
      <c r="CJ13" s="65"/>
      <c r="CK13" s="63"/>
      <c r="CL13" s="64">
        <f t="shared" si="37"/>
        <v>0</v>
      </c>
      <c r="CM13" s="65"/>
      <c r="CN13" s="63"/>
      <c r="CO13" s="64">
        <f t="shared" si="38"/>
        <v>0</v>
      </c>
      <c r="CP13" s="65"/>
      <c r="CQ13" s="63"/>
      <c r="CR13" s="64">
        <f t="shared" si="39"/>
        <v>0</v>
      </c>
      <c r="CS13" s="66">
        <f t="shared" si="40"/>
        <v>0</v>
      </c>
      <c r="CT13" s="67">
        <f t="shared" si="41"/>
        <v>0</v>
      </c>
      <c r="CU13" s="64">
        <f t="shared" si="42"/>
        <v>0</v>
      </c>
      <c r="CV13" s="68"/>
      <c r="CW13" s="69"/>
      <c r="CX13" s="70"/>
      <c r="CY13" s="71"/>
      <c r="CZ13" s="69"/>
      <c r="DA13" s="70"/>
      <c r="DB13" s="71"/>
      <c r="DC13" s="69"/>
      <c r="DD13" s="70"/>
      <c r="DE13" s="71"/>
      <c r="DF13" s="69"/>
      <c r="DG13" s="70"/>
      <c r="DH13" s="66">
        <f t="shared" si="43"/>
        <v>0</v>
      </c>
      <c r="DI13" s="67">
        <f t="shared" si="44"/>
        <v>0</v>
      </c>
      <c r="DJ13" s="64">
        <f t="shared" si="45"/>
        <v>0</v>
      </c>
      <c r="DK13" s="68"/>
      <c r="DL13" s="69"/>
      <c r="DM13" s="70"/>
      <c r="DN13" s="71"/>
      <c r="DO13" s="69"/>
      <c r="DP13" s="70"/>
      <c r="DQ13" s="71"/>
      <c r="DR13" s="69"/>
      <c r="DS13" s="70"/>
      <c r="DT13" s="71"/>
      <c r="DU13" s="69"/>
      <c r="DV13" s="70"/>
      <c r="DW13" s="66">
        <f t="shared" si="46"/>
        <v>0</v>
      </c>
      <c r="DX13" s="67">
        <f t="shared" si="47"/>
        <v>0</v>
      </c>
      <c r="DY13" s="64">
        <f t="shared" si="48"/>
        <v>0</v>
      </c>
      <c r="DZ13" s="62"/>
      <c r="EA13" s="63"/>
      <c r="EB13" s="64">
        <f t="shared" si="49"/>
        <v>0</v>
      </c>
      <c r="EC13" s="65"/>
      <c r="ED13" s="63"/>
      <c r="EE13" s="64">
        <f t="shared" si="50"/>
        <v>0</v>
      </c>
      <c r="EF13" s="65"/>
      <c r="EG13" s="63"/>
      <c r="EH13" s="64">
        <f t="shared" si="51"/>
        <v>0</v>
      </c>
      <c r="EI13" s="65">
        <v>100</v>
      </c>
      <c r="EJ13" s="63"/>
      <c r="EK13" s="64">
        <f t="shared" si="52"/>
        <v>100</v>
      </c>
      <c r="EL13" s="66">
        <f t="shared" si="53"/>
        <v>100</v>
      </c>
      <c r="EM13" s="67">
        <f t="shared" si="54"/>
        <v>0</v>
      </c>
      <c r="EN13" s="64">
        <f t="shared" si="55"/>
        <v>100</v>
      </c>
      <c r="EO13" s="62">
        <v>5596.25</v>
      </c>
      <c r="EP13" s="63">
        <v>5596.25</v>
      </c>
      <c r="EQ13" s="64">
        <f t="shared" si="56"/>
        <v>0</v>
      </c>
      <c r="ER13" s="65"/>
      <c r="ES13" s="63"/>
      <c r="ET13" s="64">
        <f t="shared" si="57"/>
        <v>0</v>
      </c>
      <c r="EU13" s="65"/>
      <c r="EV13" s="63"/>
      <c r="EW13" s="64">
        <f t="shared" si="58"/>
        <v>0</v>
      </c>
      <c r="EX13" s="65">
        <v>100</v>
      </c>
      <c r="EY13" s="63">
        <v>159.44</v>
      </c>
      <c r="EZ13" s="64">
        <f t="shared" si="59"/>
        <v>-59.44</v>
      </c>
      <c r="FA13" s="66">
        <f t="shared" si="60"/>
        <v>5696.25</v>
      </c>
      <c r="FB13" s="67">
        <f t="shared" si="61"/>
        <v>5755.69</v>
      </c>
      <c r="FC13" s="64">
        <f t="shared" si="62"/>
        <v>-59.4399999999996</v>
      </c>
      <c r="FD13" s="62">
        <v>5596.25</v>
      </c>
      <c r="FE13" s="63">
        <v>5596.25</v>
      </c>
      <c r="FF13" s="64">
        <f t="shared" si="63"/>
        <v>0</v>
      </c>
      <c r="FG13" s="65"/>
      <c r="FH13" s="63"/>
      <c r="FI13" s="64">
        <f t="shared" si="64"/>
        <v>0</v>
      </c>
      <c r="FJ13" s="65"/>
      <c r="FK13" s="63"/>
      <c r="FL13" s="64">
        <f t="shared" si="65"/>
        <v>0</v>
      </c>
      <c r="FM13" s="65">
        <v>100</v>
      </c>
      <c r="FN13" s="63"/>
      <c r="FO13" s="64">
        <f t="shared" si="66"/>
        <v>100</v>
      </c>
      <c r="FP13" s="66">
        <f t="shared" si="67"/>
        <v>5696.25</v>
      </c>
      <c r="FQ13" s="67">
        <f t="shared" si="68"/>
        <v>5596.25</v>
      </c>
      <c r="FR13" s="64">
        <f t="shared" si="69"/>
        <v>100</v>
      </c>
      <c r="FS13" s="62"/>
      <c r="FT13" s="63"/>
      <c r="FU13" s="64">
        <f t="shared" si="70"/>
        <v>0</v>
      </c>
      <c r="FV13" s="65"/>
      <c r="FW13" s="63"/>
      <c r="FX13" s="64">
        <f t="shared" si="71"/>
        <v>0</v>
      </c>
      <c r="FY13" s="65"/>
      <c r="FZ13" s="63"/>
      <c r="GA13" s="64">
        <f t="shared" si="72"/>
        <v>0</v>
      </c>
      <c r="GB13" s="65"/>
      <c r="GC13" s="63"/>
      <c r="GD13" s="64">
        <f t="shared" si="73"/>
        <v>0</v>
      </c>
      <c r="GE13" s="66">
        <f t="shared" si="74"/>
        <v>0</v>
      </c>
      <c r="GF13" s="67">
        <f t="shared" si="75"/>
        <v>0</v>
      </c>
      <c r="GG13" s="64">
        <f t="shared" si="76"/>
        <v>0</v>
      </c>
      <c r="GH13" s="62"/>
      <c r="GI13" s="63"/>
      <c r="GJ13" s="64">
        <f t="shared" si="77"/>
        <v>0</v>
      </c>
      <c r="GK13" s="65"/>
      <c r="GL13" s="63"/>
      <c r="GM13" s="64">
        <f t="shared" si="78"/>
        <v>0</v>
      </c>
      <c r="GN13" s="65"/>
      <c r="GO13" s="63"/>
      <c r="GP13" s="64">
        <f t="shared" si="79"/>
        <v>0</v>
      </c>
      <c r="GQ13" s="65"/>
      <c r="GR13" s="63"/>
      <c r="GS13" s="64">
        <f t="shared" si="80"/>
        <v>0</v>
      </c>
      <c r="GT13" s="66">
        <f t="shared" si="81"/>
        <v>0</v>
      </c>
      <c r="GU13" s="67">
        <f t="shared" si="82"/>
        <v>0</v>
      </c>
      <c r="GV13" s="64">
        <f t="shared" si="83"/>
        <v>0</v>
      </c>
      <c r="GW13" s="68"/>
      <c r="GX13" s="69"/>
      <c r="GY13" s="70"/>
      <c r="GZ13" s="71"/>
      <c r="HA13" s="69"/>
      <c r="HB13" s="70"/>
      <c r="HC13" s="71"/>
      <c r="HD13" s="69"/>
      <c r="HE13" s="70"/>
      <c r="HF13" s="71"/>
      <c r="HG13" s="69"/>
      <c r="HH13" s="70"/>
      <c r="HI13" s="66">
        <f t="shared" si="84"/>
        <v>0</v>
      </c>
      <c r="HJ13" s="67">
        <f t="shared" si="85"/>
        <v>0</v>
      </c>
      <c r="HK13" s="64">
        <f t="shared" si="86"/>
        <v>0</v>
      </c>
      <c r="HL13" s="62"/>
      <c r="HM13" s="63"/>
      <c r="HN13" s="64">
        <f t="shared" si="87"/>
        <v>0</v>
      </c>
      <c r="HO13" s="65"/>
      <c r="HP13" s="63"/>
      <c r="HQ13" s="64">
        <f t="shared" si="88"/>
        <v>0</v>
      </c>
      <c r="HR13" s="65"/>
      <c r="HS13" s="63"/>
      <c r="HT13" s="64">
        <f t="shared" si="89"/>
        <v>0</v>
      </c>
      <c r="HU13" s="65">
        <v>100</v>
      </c>
      <c r="HV13" s="63"/>
      <c r="HW13" s="64">
        <f t="shared" si="90"/>
        <v>100</v>
      </c>
      <c r="HX13" s="66">
        <f t="shared" si="91"/>
        <v>100</v>
      </c>
      <c r="HY13" s="67">
        <f t="shared" si="92"/>
        <v>0</v>
      </c>
      <c r="HZ13" s="64">
        <f t="shared" si="93"/>
        <v>100</v>
      </c>
      <c r="IA13" s="62"/>
      <c r="IB13" s="63"/>
      <c r="IC13" s="64">
        <f t="shared" si="94"/>
        <v>0</v>
      </c>
      <c r="ID13" s="65"/>
      <c r="IE13" s="63"/>
      <c r="IF13" s="64">
        <f t="shared" si="95"/>
        <v>0</v>
      </c>
      <c r="IG13" s="65"/>
      <c r="IH13" s="63"/>
      <c r="II13" s="64">
        <f t="shared" si="96"/>
        <v>0</v>
      </c>
      <c r="IJ13" s="65">
        <v>100</v>
      </c>
      <c r="IK13" s="63"/>
      <c r="IL13" s="64">
        <f t="shared" si="97"/>
        <v>100</v>
      </c>
      <c r="IM13" s="66">
        <f t="shared" si="98"/>
        <v>100</v>
      </c>
      <c r="IN13" s="67">
        <f t="shared" si="99"/>
        <v>0</v>
      </c>
      <c r="IO13" s="64">
        <f t="shared" si="100"/>
        <v>100</v>
      </c>
      <c r="IP13" s="62"/>
      <c r="IQ13" s="63"/>
      <c r="IR13" s="64">
        <f t="shared" si="101"/>
        <v>0</v>
      </c>
      <c r="IS13" s="65"/>
      <c r="IT13" s="63"/>
      <c r="IU13" s="64">
        <f t="shared" si="102"/>
        <v>0</v>
      </c>
      <c r="IV13" s="65"/>
      <c r="IW13" s="63"/>
      <c r="IX13" s="64">
        <f t="shared" si="103"/>
        <v>0</v>
      </c>
      <c r="IY13" s="65"/>
      <c r="IZ13" s="63"/>
      <c r="JA13" s="64">
        <f t="shared" si="104"/>
        <v>0</v>
      </c>
      <c r="JB13" s="66">
        <f t="shared" si="105"/>
        <v>0</v>
      </c>
      <c r="JC13" s="67">
        <f t="shared" si="106"/>
        <v>0</v>
      </c>
      <c r="JD13" s="64">
        <f t="shared" si="107"/>
        <v>0</v>
      </c>
      <c r="JE13" s="62"/>
      <c r="JF13" s="63"/>
      <c r="JG13" s="64">
        <f t="shared" si="108"/>
        <v>0</v>
      </c>
      <c r="JH13" s="65"/>
      <c r="JI13" s="63"/>
      <c r="JJ13" s="64">
        <f t="shared" si="109"/>
        <v>0</v>
      </c>
      <c r="JK13" s="65"/>
      <c r="JL13" s="63"/>
      <c r="JM13" s="64">
        <f t="shared" si="110"/>
        <v>0</v>
      </c>
      <c r="JN13" s="65">
        <v>100</v>
      </c>
      <c r="JO13" s="63">
        <v>203.75</v>
      </c>
      <c r="JP13" s="64">
        <f t="shared" si="111"/>
        <v>-103.75</v>
      </c>
      <c r="JQ13" s="66">
        <f t="shared" si="112"/>
        <v>100</v>
      </c>
      <c r="JR13" s="67">
        <f t="shared" si="113"/>
        <v>203.75</v>
      </c>
      <c r="JS13" s="64">
        <f t="shared" si="114"/>
        <v>-103.75</v>
      </c>
      <c r="JT13" s="62">
        <v>5042.0200000000004</v>
      </c>
      <c r="JU13" s="63">
        <v>5042.0200000000004</v>
      </c>
      <c r="JV13" s="64">
        <f t="shared" si="115"/>
        <v>0</v>
      </c>
      <c r="JW13" s="65"/>
      <c r="JX13" s="63"/>
      <c r="JY13" s="64">
        <f t="shared" si="116"/>
        <v>0</v>
      </c>
      <c r="JZ13" s="65"/>
      <c r="KA13" s="63"/>
      <c r="KB13" s="64">
        <f t="shared" si="117"/>
        <v>0</v>
      </c>
      <c r="KC13" s="65">
        <v>100</v>
      </c>
      <c r="KD13" s="63"/>
      <c r="KE13" s="64">
        <f t="shared" si="118"/>
        <v>100</v>
      </c>
      <c r="KF13" s="66">
        <f t="shared" si="119"/>
        <v>5142.0200000000004</v>
      </c>
      <c r="KG13" s="67">
        <f t="shared" si="120"/>
        <v>5042.0200000000004</v>
      </c>
      <c r="KH13" s="64">
        <f t="shared" si="121"/>
        <v>100</v>
      </c>
      <c r="KI13" s="68"/>
      <c r="KJ13" s="69"/>
      <c r="KK13" s="70"/>
      <c r="KL13" s="71"/>
      <c r="KM13" s="69"/>
      <c r="KN13" s="70"/>
      <c r="KO13" s="71"/>
      <c r="KP13" s="69"/>
      <c r="KQ13" s="70"/>
      <c r="KR13" s="71"/>
      <c r="KS13" s="69"/>
      <c r="KT13" s="64">
        <f t="shared" si="0"/>
        <v>0</v>
      </c>
      <c r="KU13" s="66">
        <f t="shared" si="1"/>
        <v>0</v>
      </c>
      <c r="KV13" s="67">
        <f t="shared" si="2"/>
        <v>0</v>
      </c>
      <c r="KW13" s="64">
        <f t="shared" si="122"/>
        <v>0</v>
      </c>
      <c r="KX13" s="72"/>
      <c r="KY13" s="73"/>
      <c r="KZ13" s="74"/>
      <c r="LA13" s="75"/>
      <c r="LB13" s="73"/>
      <c r="LC13" s="74"/>
      <c r="LD13" s="75"/>
      <c r="LE13" s="73"/>
      <c r="LF13" s="74"/>
      <c r="LG13" s="75"/>
      <c r="LH13" s="73"/>
      <c r="LI13" s="74"/>
      <c r="LJ13" s="76"/>
      <c r="LK13" s="77"/>
      <c r="LL13" s="74"/>
      <c r="LM13" s="68"/>
      <c r="LN13" s="69"/>
      <c r="LO13" s="70"/>
      <c r="LP13" s="71"/>
      <c r="LQ13" s="69"/>
      <c r="LR13" s="70"/>
      <c r="LS13" s="71"/>
      <c r="LT13" s="69"/>
      <c r="LU13" s="70"/>
      <c r="LV13" s="71"/>
      <c r="LW13" s="69"/>
      <c r="LX13" s="64">
        <f t="shared" si="123"/>
        <v>0</v>
      </c>
      <c r="LY13" s="66">
        <f t="shared" si="124"/>
        <v>0</v>
      </c>
      <c r="LZ13" s="67">
        <f t="shared" si="125"/>
        <v>0</v>
      </c>
      <c r="MA13" s="64">
        <f t="shared" si="126"/>
        <v>0</v>
      </c>
      <c r="MB13" s="62">
        <v>650</v>
      </c>
      <c r="MC13" s="63">
        <v>650</v>
      </c>
      <c r="MD13" s="64">
        <f t="shared" si="127"/>
        <v>0</v>
      </c>
      <c r="ME13" s="65">
        <v>727.43</v>
      </c>
      <c r="MF13" s="63">
        <v>939.61</v>
      </c>
      <c r="MG13" s="64">
        <f t="shared" si="128"/>
        <v>-212.18000000000006</v>
      </c>
      <c r="MH13" s="65"/>
      <c r="MI13" s="63"/>
      <c r="MJ13" s="64">
        <f t="shared" si="129"/>
        <v>0</v>
      </c>
      <c r="MK13" s="65">
        <v>100</v>
      </c>
      <c r="ML13" s="63"/>
      <c r="MM13" s="64">
        <f t="shared" si="130"/>
        <v>100</v>
      </c>
      <c r="MN13" s="66">
        <f t="shared" si="131"/>
        <v>1477.4299999999998</v>
      </c>
      <c r="MO13" s="67">
        <f t="shared" si="132"/>
        <v>1589.6100000000001</v>
      </c>
      <c r="MP13" s="64">
        <f t="shared" si="133"/>
        <v>-112.18000000000029</v>
      </c>
      <c r="MQ13" s="62"/>
      <c r="MR13" s="63"/>
      <c r="MS13" s="64">
        <f t="shared" si="134"/>
        <v>0</v>
      </c>
      <c r="MT13" s="65"/>
      <c r="MU13" s="63"/>
      <c r="MV13" s="64">
        <f t="shared" si="135"/>
        <v>0</v>
      </c>
      <c r="MW13" s="65"/>
      <c r="MX13" s="63"/>
      <c r="MY13" s="64">
        <f t="shared" si="136"/>
        <v>0</v>
      </c>
      <c r="MZ13" s="65"/>
      <c r="NA13" s="63"/>
      <c r="NB13" s="64">
        <f t="shared" si="137"/>
        <v>0</v>
      </c>
      <c r="NC13" s="66">
        <f t="shared" si="138"/>
        <v>0</v>
      </c>
      <c r="ND13" s="67">
        <f t="shared" si="139"/>
        <v>0</v>
      </c>
      <c r="NE13" s="64">
        <f t="shared" si="140"/>
        <v>0</v>
      </c>
      <c r="NF13" s="62"/>
      <c r="NG13" s="63"/>
      <c r="NH13" s="64">
        <f t="shared" si="141"/>
        <v>0</v>
      </c>
      <c r="NI13" s="65">
        <v>861.57</v>
      </c>
      <c r="NJ13" s="63">
        <v>861.57</v>
      </c>
      <c r="NK13" s="64">
        <f t="shared" si="142"/>
        <v>0</v>
      </c>
      <c r="NL13" s="65"/>
      <c r="NM13" s="63"/>
      <c r="NN13" s="64">
        <f t="shared" si="143"/>
        <v>0</v>
      </c>
      <c r="NO13" s="65">
        <v>100</v>
      </c>
      <c r="NP13" s="63"/>
      <c r="NQ13" s="64">
        <f t="shared" si="144"/>
        <v>100</v>
      </c>
      <c r="NR13" s="66">
        <f t="shared" si="145"/>
        <v>961.57</v>
      </c>
      <c r="NS13" s="67">
        <f t="shared" si="146"/>
        <v>861.57</v>
      </c>
      <c r="NT13" s="64">
        <f t="shared" si="147"/>
        <v>100</v>
      </c>
      <c r="NU13" s="62">
        <v>864</v>
      </c>
      <c r="NV13" s="63">
        <v>864</v>
      </c>
      <c r="NW13" s="64">
        <f t="shared" si="148"/>
        <v>0</v>
      </c>
      <c r="NX13" s="65">
        <v>636.36</v>
      </c>
      <c r="NY13" s="63"/>
      <c r="NZ13" s="64">
        <f t="shared" si="149"/>
        <v>636.36</v>
      </c>
      <c r="OA13" s="65"/>
      <c r="OB13" s="63"/>
      <c r="OC13" s="64">
        <f t="shared" si="150"/>
        <v>0</v>
      </c>
      <c r="OD13" s="65">
        <v>100</v>
      </c>
      <c r="OE13" s="63">
        <v>101.48</v>
      </c>
      <c r="OF13" s="64">
        <f t="shared" si="151"/>
        <v>-1.480000000000004</v>
      </c>
      <c r="OG13" s="66">
        <f t="shared" si="152"/>
        <v>1600.3600000000001</v>
      </c>
      <c r="OH13" s="67">
        <f t="shared" si="153"/>
        <v>965.48</v>
      </c>
      <c r="OI13" s="64">
        <f t="shared" si="154"/>
        <v>634.88000000000011</v>
      </c>
      <c r="OJ13" s="62"/>
      <c r="OK13" s="63"/>
      <c r="OL13" s="64">
        <f t="shared" si="155"/>
        <v>0</v>
      </c>
      <c r="OM13" s="65"/>
      <c r="ON13" s="63"/>
      <c r="OO13" s="64">
        <f t="shared" si="156"/>
        <v>0</v>
      </c>
      <c r="OP13" s="65"/>
      <c r="OQ13" s="63"/>
      <c r="OR13" s="64">
        <f t="shared" si="157"/>
        <v>0</v>
      </c>
      <c r="OS13" s="65">
        <v>100</v>
      </c>
      <c r="OT13" s="63"/>
      <c r="OU13" s="64">
        <f t="shared" si="158"/>
        <v>100</v>
      </c>
      <c r="OV13" s="66">
        <f t="shared" si="159"/>
        <v>100</v>
      </c>
      <c r="OW13" s="67">
        <f t="shared" si="160"/>
        <v>0</v>
      </c>
      <c r="OX13" s="64">
        <f t="shared" si="161"/>
        <v>100</v>
      </c>
      <c r="OY13" s="62"/>
      <c r="OZ13" s="63"/>
      <c r="PA13" s="64">
        <f t="shared" si="162"/>
        <v>0</v>
      </c>
      <c r="PB13" s="65"/>
      <c r="PC13" s="63"/>
      <c r="PD13" s="64">
        <f t="shared" si="163"/>
        <v>0</v>
      </c>
      <c r="PE13" s="65"/>
      <c r="PF13" s="63"/>
      <c r="PG13" s="64">
        <f t="shared" si="164"/>
        <v>0</v>
      </c>
      <c r="PH13" s="65">
        <v>100</v>
      </c>
      <c r="PI13" s="63">
        <v>155.94999999999999</v>
      </c>
      <c r="PJ13" s="64">
        <f t="shared" si="165"/>
        <v>-55.949999999999989</v>
      </c>
      <c r="PK13" s="66">
        <f t="shared" si="166"/>
        <v>100</v>
      </c>
      <c r="PL13" s="67">
        <f t="shared" si="167"/>
        <v>155.94999999999999</v>
      </c>
      <c r="PM13" s="64">
        <f t="shared" si="168"/>
        <v>-55.949999999999989</v>
      </c>
      <c r="PN13" s="62">
        <v>1400</v>
      </c>
      <c r="PO13" s="63">
        <v>1400</v>
      </c>
      <c r="PP13" s="64">
        <f t="shared" si="169"/>
        <v>0</v>
      </c>
      <c r="PQ13" s="65"/>
      <c r="PR13" s="63"/>
      <c r="PS13" s="64">
        <f t="shared" si="170"/>
        <v>0</v>
      </c>
      <c r="PT13" s="65"/>
      <c r="PU13" s="63"/>
      <c r="PV13" s="64">
        <f t="shared" si="171"/>
        <v>0</v>
      </c>
      <c r="PW13" s="65">
        <v>100</v>
      </c>
      <c r="PX13" s="63"/>
      <c r="PY13" s="64">
        <f t="shared" si="172"/>
        <v>100</v>
      </c>
      <c r="PZ13" s="66">
        <f t="shared" si="173"/>
        <v>1500</v>
      </c>
      <c r="QA13" s="67">
        <f t="shared" si="174"/>
        <v>1400</v>
      </c>
      <c r="QB13" s="64">
        <f t="shared" si="175"/>
        <v>100</v>
      </c>
      <c r="QC13" s="62"/>
      <c r="QD13" s="63"/>
      <c r="QE13" s="64">
        <f t="shared" si="176"/>
        <v>0</v>
      </c>
      <c r="QF13" s="65"/>
      <c r="QG13" s="63"/>
      <c r="QH13" s="64">
        <f t="shared" si="177"/>
        <v>0</v>
      </c>
      <c r="QI13" s="65"/>
      <c r="QJ13" s="63"/>
      <c r="QK13" s="64">
        <f t="shared" si="178"/>
        <v>0</v>
      </c>
      <c r="QL13" s="65">
        <v>100</v>
      </c>
      <c r="QM13" s="63"/>
      <c r="QN13" s="64">
        <f t="shared" si="179"/>
        <v>100</v>
      </c>
      <c r="QO13" s="66">
        <f t="shared" si="180"/>
        <v>100</v>
      </c>
      <c r="QP13" s="67">
        <f t="shared" si="181"/>
        <v>0</v>
      </c>
      <c r="QQ13" s="64">
        <f t="shared" si="182"/>
        <v>100</v>
      </c>
      <c r="QR13" s="62"/>
      <c r="QS13" s="63"/>
      <c r="QT13" s="64">
        <f t="shared" si="183"/>
        <v>0</v>
      </c>
      <c r="QU13" s="65"/>
      <c r="QV13" s="63"/>
      <c r="QW13" s="64">
        <f t="shared" si="184"/>
        <v>0</v>
      </c>
      <c r="QX13" s="65"/>
      <c r="QY13" s="63"/>
      <c r="QZ13" s="64">
        <f t="shared" si="185"/>
        <v>0</v>
      </c>
      <c r="RA13" s="65"/>
      <c r="RB13" s="63"/>
      <c r="RC13" s="64">
        <f t="shared" si="186"/>
        <v>0</v>
      </c>
      <c r="RD13" s="66">
        <f t="shared" si="187"/>
        <v>0</v>
      </c>
      <c r="RE13" s="67">
        <f t="shared" si="188"/>
        <v>0</v>
      </c>
      <c r="RF13" s="64">
        <f t="shared" si="189"/>
        <v>0</v>
      </c>
      <c r="RG13" s="62"/>
      <c r="RH13" s="63"/>
      <c r="RI13" s="64">
        <f t="shared" si="190"/>
        <v>0</v>
      </c>
      <c r="RJ13" s="65"/>
      <c r="RK13" s="63"/>
      <c r="RL13" s="64">
        <f t="shared" si="191"/>
        <v>0</v>
      </c>
      <c r="RM13" s="65"/>
      <c r="RN13" s="63"/>
      <c r="RO13" s="64">
        <f t="shared" si="192"/>
        <v>0</v>
      </c>
      <c r="RP13" s="65"/>
      <c r="RQ13" s="63"/>
      <c r="RR13" s="64">
        <f t="shared" si="193"/>
        <v>0</v>
      </c>
      <c r="RS13" s="66">
        <f t="shared" si="194"/>
        <v>0</v>
      </c>
      <c r="RT13" s="67">
        <f t="shared" si="195"/>
        <v>0</v>
      </c>
      <c r="RU13" s="64">
        <f t="shared" si="196"/>
        <v>0</v>
      </c>
      <c r="RV13" s="62"/>
      <c r="RW13" s="63"/>
      <c r="RX13" s="64">
        <f t="shared" si="197"/>
        <v>0</v>
      </c>
      <c r="RY13" s="65"/>
      <c r="RZ13" s="63"/>
      <c r="SA13" s="64">
        <f t="shared" si="198"/>
        <v>0</v>
      </c>
      <c r="SB13" s="65"/>
      <c r="SC13" s="63"/>
      <c r="SD13" s="64">
        <f t="shared" si="199"/>
        <v>0</v>
      </c>
      <c r="SE13" s="65">
        <v>100</v>
      </c>
      <c r="SF13" s="63"/>
      <c r="SG13" s="64">
        <f t="shared" si="200"/>
        <v>100</v>
      </c>
      <c r="SH13" s="66">
        <f t="shared" si="201"/>
        <v>100</v>
      </c>
      <c r="SI13" s="67">
        <f t="shared" si="202"/>
        <v>0</v>
      </c>
      <c r="SJ13" s="64">
        <f t="shared" si="203"/>
        <v>100</v>
      </c>
      <c r="SK13" s="62"/>
      <c r="SL13" s="63"/>
      <c r="SM13" s="64">
        <f t="shared" si="204"/>
        <v>0</v>
      </c>
      <c r="SN13" s="65"/>
      <c r="SO13" s="63"/>
      <c r="SP13" s="64">
        <f t="shared" si="205"/>
        <v>0</v>
      </c>
      <c r="SQ13" s="65"/>
      <c r="SR13" s="63"/>
      <c r="SS13" s="64">
        <f t="shared" si="206"/>
        <v>0</v>
      </c>
      <c r="ST13" s="65">
        <v>100</v>
      </c>
      <c r="SU13" s="63"/>
      <c r="SV13" s="64">
        <f t="shared" si="207"/>
        <v>100</v>
      </c>
      <c r="SW13" s="66">
        <f t="shared" si="208"/>
        <v>100</v>
      </c>
      <c r="SX13" s="67">
        <f t="shared" si="209"/>
        <v>0</v>
      </c>
      <c r="SY13" s="64">
        <f t="shared" si="210"/>
        <v>100</v>
      </c>
      <c r="SZ13" s="62">
        <v>1321.16</v>
      </c>
      <c r="TA13" s="63">
        <v>1321.16</v>
      </c>
      <c r="TB13" s="64">
        <f t="shared" si="211"/>
        <v>0</v>
      </c>
      <c r="TC13" s="65"/>
      <c r="TD13" s="63"/>
      <c r="TE13" s="64">
        <f t="shared" si="212"/>
        <v>0</v>
      </c>
      <c r="TF13" s="65"/>
      <c r="TG13" s="63"/>
      <c r="TH13" s="64">
        <f t="shared" si="213"/>
        <v>0</v>
      </c>
      <c r="TI13" s="65">
        <v>100</v>
      </c>
      <c r="TJ13" s="63"/>
      <c r="TK13" s="64">
        <f t="shared" si="214"/>
        <v>100</v>
      </c>
      <c r="TL13" s="66">
        <f t="shared" si="215"/>
        <v>1421.16</v>
      </c>
      <c r="TM13" s="67">
        <f t="shared" si="216"/>
        <v>1321.16</v>
      </c>
      <c r="TN13" s="64">
        <f t="shared" si="217"/>
        <v>100</v>
      </c>
      <c r="TO13" s="62"/>
      <c r="TP13" s="63"/>
      <c r="TQ13" s="64">
        <f t="shared" si="218"/>
        <v>0</v>
      </c>
      <c r="TR13" s="65"/>
      <c r="TS13" s="63"/>
      <c r="TT13" s="64">
        <f t="shared" si="219"/>
        <v>0</v>
      </c>
      <c r="TU13" s="65"/>
      <c r="TV13" s="63">
        <v>1453.81</v>
      </c>
      <c r="TW13" s="64">
        <f t="shared" si="220"/>
        <v>-1453.81</v>
      </c>
      <c r="TX13" s="65">
        <v>100</v>
      </c>
      <c r="TY13" s="63">
        <v>82.41</v>
      </c>
      <c r="TZ13" s="64">
        <f t="shared" si="221"/>
        <v>17.590000000000003</v>
      </c>
      <c r="UA13" s="66">
        <f t="shared" si="222"/>
        <v>100</v>
      </c>
      <c r="UB13" s="67">
        <f t="shared" si="223"/>
        <v>1536.22</v>
      </c>
      <c r="UC13" s="64">
        <f t="shared" si="224"/>
        <v>-1436.22</v>
      </c>
      <c r="UD13" s="68"/>
      <c r="UE13" s="69"/>
      <c r="UF13" s="70"/>
      <c r="UG13" s="71"/>
      <c r="UH13" s="69"/>
      <c r="UI13" s="70"/>
      <c r="UJ13" s="71"/>
      <c r="UK13" s="69"/>
      <c r="UL13" s="70"/>
      <c r="UM13" s="71"/>
      <c r="UN13" s="69"/>
      <c r="UO13" s="64">
        <f t="shared" si="225"/>
        <v>0</v>
      </c>
      <c r="UP13" s="66">
        <f t="shared" si="226"/>
        <v>0</v>
      </c>
      <c r="UQ13" s="67">
        <f t="shared" si="227"/>
        <v>0</v>
      </c>
      <c r="UR13" s="64">
        <f t="shared" si="228"/>
        <v>0</v>
      </c>
      <c r="US13" s="62"/>
      <c r="UT13" s="63"/>
      <c r="UU13" s="64">
        <f t="shared" si="229"/>
        <v>0</v>
      </c>
      <c r="UV13" s="65"/>
      <c r="UW13" s="63"/>
      <c r="UX13" s="64">
        <f t="shared" si="230"/>
        <v>0</v>
      </c>
      <c r="UY13" s="65"/>
      <c r="UZ13" s="63"/>
      <c r="VA13" s="64">
        <f t="shared" si="231"/>
        <v>0</v>
      </c>
      <c r="VB13" s="65">
        <v>100</v>
      </c>
      <c r="VC13" s="63">
        <v>109.05</v>
      </c>
      <c r="VD13" s="64">
        <f t="shared" si="232"/>
        <v>-9.0499999999999972</v>
      </c>
      <c r="VE13" s="66">
        <f t="shared" si="233"/>
        <v>100</v>
      </c>
      <c r="VF13" s="67">
        <f t="shared" si="234"/>
        <v>109.05</v>
      </c>
      <c r="VG13" s="64">
        <f t="shared" si="235"/>
        <v>-9.0499999999999972</v>
      </c>
      <c r="VH13" s="62"/>
      <c r="VI13" s="63"/>
      <c r="VJ13" s="64">
        <f t="shared" si="236"/>
        <v>0</v>
      </c>
      <c r="VK13" s="65"/>
      <c r="VL13" s="63"/>
      <c r="VM13" s="64">
        <f t="shared" si="237"/>
        <v>0</v>
      </c>
      <c r="VN13" s="65"/>
      <c r="VO13" s="63"/>
      <c r="VP13" s="64">
        <f t="shared" si="238"/>
        <v>0</v>
      </c>
      <c r="VQ13" s="65">
        <v>100</v>
      </c>
      <c r="VR13" s="63">
        <v>58.76</v>
      </c>
      <c r="VS13" s="64">
        <f t="shared" si="239"/>
        <v>41.24</v>
      </c>
      <c r="VT13" s="66">
        <f t="shared" si="240"/>
        <v>100</v>
      </c>
      <c r="VU13" s="67">
        <f t="shared" si="241"/>
        <v>58.76</v>
      </c>
      <c r="VV13" s="64">
        <f t="shared" si="242"/>
        <v>41.24</v>
      </c>
      <c r="VW13" s="62"/>
      <c r="VX13" s="63"/>
      <c r="VY13" s="64">
        <f t="shared" si="243"/>
        <v>0</v>
      </c>
      <c r="VZ13" s="65"/>
      <c r="WA13" s="63"/>
      <c r="WB13" s="64">
        <f t="shared" si="244"/>
        <v>0</v>
      </c>
      <c r="WC13" s="65"/>
      <c r="WD13" s="63"/>
      <c r="WE13" s="64">
        <f t="shared" si="245"/>
        <v>0</v>
      </c>
      <c r="WF13" s="65"/>
      <c r="WG13" s="63"/>
      <c r="WH13" s="64">
        <f t="shared" si="246"/>
        <v>0</v>
      </c>
      <c r="WI13" s="66">
        <f t="shared" si="247"/>
        <v>0</v>
      </c>
      <c r="WJ13" s="67">
        <f t="shared" si="248"/>
        <v>0</v>
      </c>
      <c r="WK13" s="64">
        <f t="shared" si="249"/>
        <v>0</v>
      </c>
      <c r="WL13" s="62">
        <v>1276.01</v>
      </c>
      <c r="WM13" s="63">
        <v>1276.01</v>
      </c>
      <c r="WN13" s="64">
        <f t="shared" si="250"/>
        <v>0</v>
      </c>
      <c r="WO13" s="65"/>
      <c r="WP13" s="63"/>
      <c r="WQ13" s="64">
        <f t="shared" si="251"/>
        <v>0</v>
      </c>
      <c r="WR13" s="65"/>
      <c r="WS13" s="63"/>
      <c r="WT13" s="64">
        <f t="shared" si="252"/>
        <v>0</v>
      </c>
      <c r="WU13" s="65">
        <v>100</v>
      </c>
      <c r="WV13" s="63"/>
      <c r="WW13" s="64">
        <f t="shared" si="253"/>
        <v>100</v>
      </c>
      <c r="WX13" s="66">
        <f t="shared" si="254"/>
        <v>1376.01</v>
      </c>
      <c r="WY13" s="67">
        <f t="shared" si="255"/>
        <v>1276.01</v>
      </c>
      <c r="WZ13" s="64">
        <f t="shared" si="256"/>
        <v>100</v>
      </c>
      <c r="XA13" s="62"/>
      <c r="XB13" s="63"/>
      <c r="XC13" s="64">
        <f t="shared" si="257"/>
        <v>0</v>
      </c>
      <c r="XD13" s="65"/>
      <c r="XE13" s="63"/>
      <c r="XF13" s="64">
        <f t="shared" si="258"/>
        <v>0</v>
      </c>
      <c r="XG13" s="65"/>
      <c r="XH13" s="63"/>
      <c r="XI13" s="64">
        <f t="shared" si="259"/>
        <v>0</v>
      </c>
      <c r="XJ13" s="65">
        <v>100</v>
      </c>
      <c r="XK13" s="63"/>
      <c r="XL13" s="64">
        <f t="shared" si="260"/>
        <v>100</v>
      </c>
      <c r="XM13" s="66">
        <f t="shared" si="261"/>
        <v>100</v>
      </c>
      <c r="XN13" s="67">
        <f t="shared" si="262"/>
        <v>0</v>
      </c>
      <c r="XO13" s="64">
        <f t="shared" si="263"/>
        <v>100</v>
      </c>
      <c r="XP13" s="62">
        <v>917</v>
      </c>
      <c r="XQ13" s="63">
        <v>917</v>
      </c>
      <c r="XR13" s="64">
        <f t="shared" si="264"/>
        <v>0</v>
      </c>
      <c r="XS13" s="65">
        <v>583.71</v>
      </c>
      <c r="XT13" s="63">
        <v>583.71</v>
      </c>
      <c r="XU13" s="64">
        <f t="shared" si="265"/>
        <v>0</v>
      </c>
      <c r="XV13" s="65"/>
      <c r="XW13" s="63"/>
      <c r="XX13" s="64">
        <f t="shared" si="266"/>
        <v>0</v>
      </c>
      <c r="XY13" s="65">
        <v>100</v>
      </c>
      <c r="XZ13" s="63">
        <v>80.239999999999995</v>
      </c>
      <c r="YA13" s="64">
        <f t="shared" si="267"/>
        <v>19.760000000000005</v>
      </c>
      <c r="YB13" s="66">
        <f t="shared" si="268"/>
        <v>1600.71</v>
      </c>
      <c r="YC13" s="67">
        <f t="shared" si="269"/>
        <v>1580.95</v>
      </c>
      <c r="YD13" s="64">
        <f t="shared" si="270"/>
        <v>19.759999999999991</v>
      </c>
      <c r="YE13" s="62">
        <v>890</v>
      </c>
      <c r="YF13" s="63">
        <v>890</v>
      </c>
      <c r="YG13" s="64">
        <f t="shared" si="271"/>
        <v>0</v>
      </c>
      <c r="YH13" s="65">
        <v>572.61</v>
      </c>
      <c r="YI13" s="63">
        <v>572.61</v>
      </c>
      <c r="YJ13" s="64">
        <f t="shared" si="272"/>
        <v>0</v>
      </c>
      <c r="YK13" s="65"/>
      <c r="YL13" s="63"/>
      <c r="YM13" s="64">
        <f t="shared" si="273"/>
        <v>0</v>
      </c>
      <c r="YN13" s="65">
        <v>100</v>
      </c>
      <c r="YO13" s="63">
        <v>95.72</v>
      </c>
      <c r="YP13" s="64">
        <f t="shared" si="274"/>
        <v>4.2800000000000011</v>
      </c>
      <c r="YQ13" s="66">
        <f t="shared" si="275"/>
        <v>1562.6100000000001</v>
      </c>
      <c r="YR13" s="67">
        <f t="shared" si="276"/>
        <v>1558.3300000000002</v>
      </c>
      <c r="YS13" s="64">
        <f t="shared" si="277"/>
        <v>4.2799999999999727</v>
      </c>
      <c r="YT13" s="62">
        <v>932</v>
      </c>
      <c r="YU13" s="63">
        <v>932</v>
      </c>
      <c r="YV13" s="64">
        <f t="shared" si="278"/>
        <v>0</v>
      </c>
      <c r="YW13" s="65">
        <v>598.65</v>
      </c>
      <c r="YX13" s="63">
        <v>598.65</v>
      </c>
      <c r="YY13" s="64">
        <f t="shared" si="279"/>
        <v>0</v>
      </c>
      <c r="YZ13" s="65"/>
      <c r="ZA13" s="63"/>
      <c r="ZB13" s="64">
        <f t="shared" si="280"/>
        <v>0</v>
      </c>
      <c r="ZC13" s="65">
        <v>100</v>
      </c>
      <c r="ZD13" s="63">
        <v>137.11000000000001</v>
      </c>
      <c r="ZE13" s="64">
        <f t="shared" si="281"/>
        <v>-37.110000000000014</v>
      </c>
      <c r="ZF13" s="66">
        <f t="shared" si="282"/>
        <v>1630.65</v>
      </c>
      <c r="ZG13" s="67">
        <f t="shared" si="283"/>
        <v>1667.7600000000002</v>
      </c>
      <c r="ZH13" s="64">
        <f t="shared" si="284"/>
        <v>-37.110000000000127</v>
      </c>
      <c r="ZI13" s="62">
        <v>1250</v>
      </c>
      <c r="ZJ13" s="63">
        <v>1250</v>
      </c>
      <c r="ZK13" s="64">
        <f t="shared" si="285"/>
        <v>0</v>
      </c>
      <c r="ZL13" s="65"/>
      <c r="ZM13" s="63"/>
      <c r="ZN13" s="64">
        <f t="shared" si="286"/>
        <v>0</v>
      </c>
      <c r="ZO13" s="65"/>
      <c r="ZP13" s="63"/>
      <c r="ZQ13" s="64">
        <f t="shared" si="287"/>
        <v>0</v>
      </c>
      <c r="ZR13" s="65">
        <v>100</v>
      </c>
      <c r="ZS13" s="63"/>
      <c r="ZT13" s="64">
        <f t="shared" si="288"/>
        <v>100</v>
      </c>
      <c r="ZU13" s="66">
        <f t="shared" si="289"/>
        <v>1350</v>
      </c>
      <c r="ZV13" s="67">
        <f t="shared" si="290"/>
        <v>1250</v>
      </c>
      <c r="ZW13" s="64">
        <f t="shared" si="291"/>
        <v>100</v>
      </c>
      <c r="ZX13" s="62">
        <v>24.71</v>
      </c>
      <c r="ZY13" s="63">
        <v>24.71</v>
      </c>
      <c r="ZZ13" s="64">
        <f t="shared" si="292"/>
        <v>0</v>
      </c>
      <c r="AAA13" s="66">
        <f t="shared" si="293"/>
        <v>24.71</v>
      </c>
      <c r="AAB13" s="67">
        <f t="shared" si="293"/>
        <v>24.71</v>
      </c>
      <c r="AAC13" s="64">
        <f t="shared" si="294"/>
        <v>0</v>
      </c>
      <c r="AAD13" s="85">
        <f t="shared" si="295"/>
        <v>63528.020000000004</v>
      </c>
      <c r="AAE13" s="86">
        <f t="shared" si="295"/>
        <v>63060.119999999995</v>
      </c>
      <c r="AAF13" s="87">
        <f t="shared" si="3"/>
        <v>0.99263474605378843</v>
      </c>
      <c r="AAG13" s="88">
        <f t="shared" si="4"/>
        <v>-467.90000000000873</v>
      </c>
      <c r="AAH13" s="94">
        <f>AAH11/AAH7</f>
        <v>1.0156250654459265</v>
      </c>
      <c r="AAI13" s="95"/>
      <c r="AAJ13" s="95"/>
      <c r="AAK13" s="82"/>
    </row>
    <row r="14" spans="1:714" s="83" customFormat="1" ht="20" customHeight="1" x14ac:dyDescent="0.2">
      <c r="A14" s="84" t="s">
        <v>150</v>
      </c>
      <c r="B14" s="94"/>
      <c r="C14" s="95"/>
      <c r="D14" s="95"/>
      <c r="E14" s="60"/>
      <c r="F14" s="61">
        <v>44835</v>
      </c>
      <c r="G14" s="62">
        <v>29428</v>
      </c>
      <c r="H14" s="63">
        <v>29428</v>
      </c>
      <c r="I14" s="64">
        <f t="shared" si="5"/>
        <v>0</v>
      </c>
      <c r="J14" s="65">
        <v>0</v>
      </c>
      <c r="K14" s="63">
        <v>0</v>
      </c>
      <c r="L14" s="64">
        <f t="shared" si="6"/>
        <v>0</v>
      </c>
      <c r="M14" s="65">
        <v>1000</v>
      </c>
      <c r="N14" s="63">
        <v>9697.0400000000009</v>
      </c>
      <c r="O14" s="64">
        <f t="shared" si="7"/>
        <v>-8697.0400000000009</v>
      </c>
      <c r="P14" s="65">
        <v>500</v>
      </c>
      <c r="Q14" s="63">
        <v>1758.3</v>
      </c>
      <c r="R14" s="64">
        <f t="shared" si="8"/>
        <v>-1258.3</v>
      </c>
      <c r="S14" s="65">
        <v>600</v>
      </c>
      <c r="T14" s="63">
        <v>0</v>
      </c>
      <c r="U14" s="64">
        <f t="shared" si="9"/>
        <v>600</v>
      </c>
      <c r="V14" s="66">
        <f t="shared" si="10"/>
        <v>31528</v>
      </c>
      <c r="W14" s="67">
        <f t="shared" si="10"/>
        <v>40883.340000000004</v>
      </c>
      <c r="X14" s="64">
        <f t="shared" si="11"/>
        <v>-9355.3400000000038</v>
      </c>
      <c r="Y14" s="62"/>
      <c r="Z14" s="63"/>
      <c r="AA14" s="64">
        <f t="shared" si="12"/>
        <v>0</v>
      </c>
      <c r="AB14" s="65"/>
      <c r="AC14" s="63"/>
      <c r="AD14" s="64">
        <f t="shared" si="13"/>
        <v>0</v>
      </c>
      <c r="AE14" s="65"/>
      <c r="AF14" s="63"/>
      <c r="AG14" s="64">
        <f t="shared" si="14"/>
        <v>0</v>
      </c>
      <c r="AH14" s="65"/>
      <c r="AI14" s="63"/>
      <c r="AJ14" s="64">
        <f t="shared" si="15"/>
        <v>0</v>
      </c>
      <c r="AK14" s="66">
        <f t="shared" si="16"/>
        <v>0</v>
      </c>
      <c r="AL14" s="67">
        <f t="shared" si="17"/>
        <v>0</v>
      </c>
      <c r="AM14" s="64">
        <f t="shared" si="18"/>
        <v>0</v>
      </c>
      <c r="AN14" s="62"/>
      <c r="AO14" s="63"/>
      <c r="AP14" s="64">
        <f t="shared" si="19"/>
        <v>0</v>
      </c>
      <c r="AQ14" s="65"/>
      <c r="AR14" s="63"/>
      <c r="AS14" s="64">
        <f t="shared" si="20"/>
        <v>0</v>
      </c>
      <c r="AT14" s="65"/>
      <c r="AU14" s="63"/>
      <c r="AV14" s="64">
        <f t="shared" si="21"/>
        <v>0</v>
      </c>
      <c r="AW14" s="65"/>
      <c r="AX14" s="63"/>
      <c r="AY14" s="64">
        <f t="shared" si="22"/>
        <v>0</v>
      </c>
      <c r="AZ14" s="66">
        <f t="shared" si="23"/>
        <v>0</v>
      </c>
      <c r="BA14" s="67">
        <f t="shared" si="24"/>
        <v>0</v>
      </c>
      <c r="BB14" s="64">
        <f t="shared" si="25"/>
        <v>0</v>
      </c>
      <c r="BC14" s="62"/>
      <c r="BD14" s="63"/>
      <c r="BE14" s="64">
        <f t="shared" si="26"/>
        <v>0</v>
      </c>
      <c r="BF14" s="65"/>
      <c r="BG14" s="63"/>
      <c r="BH14" s="64">
        <f t="shared" si="27"/>
        <v>0</v>
      </c>
      <c r="BI14" s="65"/>
      <c r="BJ14" s="63"/>
      <c r="BK14" s="64">
        <f t="shared" si="28"/>
        <v>0</v>
      </c>
      <c r="BL14" s="65">
        <v>100</v>
      </c>
      <c r="BM14" s="63"/>
      <c r="BN14" s="64">
        <f t="shared" si="29"/>
        <v>100</v>
      </c>
      <c r="BO14" s="66">
        <f t="shared" si="30"/>
        <v>100</v>
      </c>
      <c r="BP14" s="67">
        <f t="shared" si="31"/>
        <v>0</v>
      </c>
      <c r="BQ14" s="64">
        <f t="shared" si="32"/>
        <v>100</v>
      </c>
      <c r="BR14" s="62"/>
      <c r="BS14" s="63"/>
      <c r="BT14" s="64">
        <f>BR14-BS14</f>
        <v>0</v>
      </c>
      <c r="BU14" s="65">
        <v>687.48</v>
      </c>
      <c r="BV14" s="63">
        <v>687.48</v>
      </c>
      <c r="BW14" s="64">
        <f>BU14-BV14</f>
        <v>0</v>
      </c>
      <c r="BX14" s="65"/>
      <c r="BY14" s="63"/>
      <c r="BZ14" s="64">
        <f>BX14-BY14</f>
        <v>0</v>
      </c>
      <c r="CA14" s="65"/>
      <c r="CB14" s="63"/>
      <c r="CC14" s="64">
        <f>CA14-CB14</f>
        <v>0</v>
      </c>
      <c r="CD14" s="66">
        <f t="shared" si="33"/>
        <v>687.48</v>
      </c>
      <c r="CE14" s="67">
        <f t="shared" si="34"/>
        <v>687.48</v>
      </c>
      <c r="CF14" s="64">
        <f t="shared" si="35"/>
        <v>0</v>
      </c>
      <c r="CG14" s="62"/>
      <c r="CH14" s="63"/>
      <c r="CI14" s="64">
        <f t="shared" si="36"/>
        <v>0</v>
      </c>
      <c r="CJ14" s="65"/>
      <c r="CK14" s="63"/>
      <c r="CL14" s="64">
        <f t="shared" si="37"/>
        <v>0</v>
      </c>
      <c r="CM14" s="65"/>
      <c r="CN14" s="63"/>
      <c r="CO14" s="64">
        <f t="shared" si="38"/>
        <v>0</v>
      </c>
      <c r="CP14" s="65"/>
      <c r="CQ14" s="63"/>
      <c r="CR14" s="64">
        <f t="shared" si="39"/>
        <v>0</v>
      </c>
      <c r="CS14" s="66">
        <f t="shared" si="40"/>
        <v>0</v>
      </c>
      <c r="CT14" s="67">
        <f t="shared" si="41"/>
        <v>0</v>
      </c>
      <c r="CU14" s="64">
        <f t="shared" si="42"/>
        <v>0</v>
      </c>
      <c r="CV14" s="68"/>
      <c r="CW14" s="69"/>
      <c r="CX14" s="70"/>
      <c r="CY14" s="71"/>
      <c r="CZ14" s="69"/>
      <c r="DA14" s="70"/>
      <c r="DB14" s="71"/>
      <c r="DC14" s="69"/>
      <c r="DD14" s="70"/>
      <c r="DE14" s="71"/>
      <c r="DF14" s="69"/>
      <c r="DG14" s="70"/>
      <c r="DH14" s="66">
        <f t="shared" si="43"/>
        <v>0</v>
      </c>
      <c r="DI14" s="67">
        <f t="shared" si="44"/>
        <v>0</v>
      </c>
      <c r="DJ14" s="64">
        <f t="shared" si="45"/>
        <v>0</v>
      </c>
      <c r="DK14" s="68"/>
      <c r="DL14" s="69"/>
      <c r="DM14" s="70"/>
      <c r="DN14" s="71"/>
      <c r="DO14" s="69"/>
      <c r="DP14" s="70"/>
      <c r="DQ14" s="71"/>
      <c r="DR14" s="69"/>
      <c r="DS14" s="70"/>
      <c r="DT14" s="71"/>
      <c r="DU14" s="69"/>
      <c r="DV14" s="70"/>
      <c r="DW14" s="66">
        <f t="shared" si="46"/>
        <v>0</v>
      </c>
      <c r="DX14" s="67">
        <f t="shared" si="47"/>
        <v>0</v>
      </c>
      <c r="DY14" s="64">
        <f t="shared" si="48"/>
        <v>0</v>
      </c>
      <c r="DZ14" s="62"/>
      <c r="EA14" s="63"/>
      <c r="EB14" s="64">
        <f t="shared" si="49"/>
        <v>0</v>
      </c>
      <c r="EC14" s="65"/>
      <c r="ED14" s="63"/>
      <c r="EE14" s="64">
        <f t="shared" si="50"/>
        <v>0</v>
      </c>
      <c r="EF14" s="65"/>
      <c r="EG14" s="63"/>
      <c r="EH14" s="64">
        <f t="shared" si="51"/>
        <v>0</v>
      </c>
      <c r="EI14" s="65">
        <v>100</v>
      </c>
      <c r="EJ14" s="63">
        <v>195</v>
      </c>
      <c r="EK14" s="64">
        <f t="shared" si="52"/>
        <v>-95</v>
      </c>
      <c r="EL14" s="66">
        <f t="shared" si="53"/>
        <v>100</v>
      </c>
      <c r="EM14" s="67">
        <f t="shared" si="54"/>
        <v>195</v>
      </c>
      <c r="EN14" s="64">
        <f t="shared" si="55"/>
        <v>-95</v>
      </c>
      <c r="EO14" s="62"/>
      <c r="EP14" s="63"/>
      <c r="EQ14" s="64">
        <f t="shared" si="56"/>
        <v>0</v>
      </c>
      <c r="ER14" s="65"/>
      <c r="ES14" s="63"/>
      <c r="ET14" s="64">
        <f t="shared" si="57"/>
        <v>0</v>
      </c>
      <c r="EU14" s="65"/>
      <c r="EV14" s="63"/>
      <c r="EW14" s="64">
        <f t="shared" si="58"/>
        <v>0</v>
      </c>
      <c r="EX14" s="65">
        <v>100</v>
      </c>
      <c r="EY14" s="63"/>
      <c r="EZ14" s="64">
        <f t="shared" si="59"/>
        <v>100</v>
      </c>
      <c r="FA14" s="66">
        <f t="shared" si="60"/>
        <v>100</v>
      </c>
      <c r="FB14" s="67">
        <f t="shared" si="61"/>
        <v>0</v>
      </c>
      <c r="FC14" s="64">
        <f t="shared" si="62"/>
        <v>100</v>
      </c>
      <c r="FD14" s="62"/>
      <c r="FE14" s="63"/>
      <c r="FF14" s="64">
        <f t="shared" si="63"/>
        <v>0</v>
      </c>
      <c r="FG14" s="65"/>
      <c r="FH14" s="63"/>
      <c r="FI14" s="64">
        <f t="shared" si="64"/>
        <v>0</v>
      </c>
      <c r="FJ14" s="65"/>
      <c r="FK14" s="63"/>
      <c r="FL14" s="64">
        <f t="shared" si="65"/>
        <v>0</v>
      </c>
      <c r="FM14" s="65">
        <v>100</v>
      </c>
      <c r="FN14" s="63"/>
      <c r="FO14" s="64">
        <f t="shared" si="66"/>
        <v>100</v>
      </c>
      <c r="FP14" s="66">
        <f t="shared" si="67"/>
        <v>100</v>
      </c>
      <c r="FQ14" s="67">
        <f t="shared" si="68"/>
        <v>0</v>
      </c>
      <c r="FR14" s="64">
        <f t="shared" si="69"/>
        <v>100</v>
      </c>
      <c r="FS14" s="62"/>
      <c r="FT14" s="63"/>
      <c r="FU14" s="64">
        <f t="shared" si="70"/>
        <v>0</v>
      </c>
      <c r="FV14" s="65"/>
      <c r="FW14" s="63"/>
      <c r="FX14" s="64">
        <f t="shared" si="71"/>
        <v>0</v>
      </c>
      <c r="FY14" s="65"/>
      <c r="FZ14" s="63"/>
      <c r="GA14" s="64">
        <f t="shared" si="72"/>
        <v>0</v>
      </c>
      <c r="GB14" s="65"/>
      <c r="GC14" s="63"/>
      <c r="GD14" s="64">
        <f t="shared" si="73"/>
        <v>0</v>
      </c>
      <c r="GE14" s="66">
        <f t="shared" si="74"/>
        <v>0</v>
      </c>
      <c r="GF14" s="67">
        <f t="shared" si="75"/>
        <v>0</v>
      </c>
      <c r="GG14" s="64">
        <f t="shared" si="76"/>
        <v>0</v>
      </c>
      <c r="GH14" s="62"/>
      <c r="GI14" s="63"/>
      <c r="GJ14" s="64">
        <f t="shared" si="77"/>
        <v>0</v>
      </c>
      <c r="GK14" s="65"/>
      <c r="GL14" s="63"/>
      <c r="GM14" s="64">
        <f t="shared" si="78"/>
        <v>0</v>
      </c>
      <c r="GN14" s="65"/>
      <c r="GO14" s="63"/>
      <c r="GP14" s="64">
        <f t="shared" si="79"/>
        <v>0</v>
      </c>
      <c r="GQ14" s="65"/>
      <c r="GR14" s="63"/>
      <c r="GS14" s="64">
        <f t="shared" si="80"/>
        <v>0</v>
      </c>
      <c r="GT14" s="66">
        <f t="shared" si="81"/>
        <v>0</v>
      </c>
      <c r="GU14" s="67">
        <f t="shared" si="82"/>
        <v>0</v>
      </c>
      <c r="GV14" s="64">
        <f t="shared" si="83"/>
        <v>0</v>
      </c>
      <c r="GW14" s="68"/>
      <c r="GX14" s="69"/>
      <c r="GY14" s="70"/>
      <c r="GZ14" s="71"/>
      <c r="HA14" s="69"/>
      <c r="HB14" s="70"/>
      <c r="HC14" s="71"/>
      <c r="HD14" s="69"/>
      <c r="HE14" s="70"/>
      <c r="HF14" s="71"/>
      <c r="HG14" s="69"/>
      <c r="HH14" s="70"/>
      <c r="HI14" s="66">
        <f t="shared" si="84"/>
        <v>0</v>
      </c>
      <c r="HJ14" s="67">
        <f t="shared" si="85"/>
        <v>0</v>
      </c>
      <c r="HK14" s="64">
        <f t="shared" si="86"/>
        <v>0</v>
      </c>
      <c r="HL14" s="62"/>
      <c r="HM14" s="63"/>
      <c r="HN14" s="64">
        <f t="shared" si="87"/>
        <v>0</v>
      </c>
      <c r="HO14" s="65"/>
      <c r="HP14" s="63"/>
      <c r="HQ14" s="64">
        <f t="shared" si="88"/>
        <v>0</v>
      </c>
      <c r="HR14" s="65"/>
      <c r="HS14" s="63"/>
      <c r="HT14" s="64">
        <f t="shared" si="89"/>
        <v>0</v>
      </c>
      <c r="HU14" s="65">
        <v>100</v>
      </c>
      <c r="HV14" s="63"/>
      <c r="HW14" s="64">
        <f t="shared" si="90"/>
        <v>100</v>
      </c>
      <c r="HX14" s="66">
        <f t="shared" si="91"/>
        <v>100</v>
      </c>
      <c r="HY14" s="67">
        <f t="shared" si="92"/>
        <v>0</v>
      </c>
      <c r="HZ14" s="64">
        <f t="shared" si="93"/>
        <v>100</v>
      </c>
      <c r="IA14" s="62"/>
      <c r="IB14" s="63"/>
      <c r="IC14" s="64">
        <f t="shared" si="94"/>
        <v>0</v>
      </c>
      <c r="ID14" s="65"/>
      <c r="IE14" s="63"/>
      <c r="IF14" s="64">
        <f t="shared" si="95"/>
        <v>0</v>
      </c>
      <c r="IG14" s="65"/>
      <c r="IH14" s="63"/>
      <c r="II14" s="64">
        <f t="shared" si="96"/>
        <v>0</v>
      </c>
      <c r="IJ14" s="65">
        <v>100</v>
      </c>
      <c r="IK14" s="63">
        <v>286.38</v>
      </c>
      <c r="IL14" s="64">
        <f t="shared" si="97"/>
        <v>-186.38</v>
      </c>
      <c r="IM14" s="66">
        <f t="shared" si="98"/>
        <v>100</v>
      </c>
      <c r="IN14" s="67">
        <f t="shared" si="99"/>
        <v>286.38</v>
      </c>
      <c r="IO14" s="64">
        <f t="shared" si="100"/>
        <v>-186.38</v>
      </c>
      <c r="IP14" s="62"/>
      <c r="IQ14" s="63"/>
      <c r="IR14" s="64">
        <f t="shared" si="101"/>
        <v>0</v>
      </c>
      <c r="IS14" s="65"/>
      <c r="IT14" s="63"/>
      <c r="IU14" s="64">
        <f t="shared" si="102"/>
        <v>0</v>
      </c>
      <c r="IV14" s="65"/>
      <c r="IW14" s="63"/>
      <c r="IX14" s="64">
        <f t="shared" si="103"/>
        <v>0</v>
      </c>
      <c r="IY14" s="65"/>
      <c r="IZ14" s="63"/>
      <c r="JA14" s="64">
        <f t="shared" si="104"/>
        <v>0</v>
      </c>
      <c r="JB14" s="66">
        <f t="shared" si="105"/>
        <v>0</v>
      </c>
      <c r="JC14" s="67">
        <f t="shared" si="106"/>
        <v>0</v>
      </c>
      <c r="JD14" s="64">
        <f t="shared" si="107"/>
        <v>0</v>
      </c>
      <c r="JE14" s="62"/>
      <c r="JF14" s="63"/>
      <c r="JG14" s="64">
        <f t="shared" si="108"/>
        <v>0</v>
      </c>
      <c r="JH14" s="65"/>
      <c r="JI14" s="63"/>
      <c r="JJ14" s="64">
        <f t="shared" si="109"/>
        <v>0</v>
      </c>
      <c r="JK14" s="65"/>
      <c r="JL14" s="63"/>
      <c r="JM14" s="64">
        <f t="shared" si="110"/>
        <v>0</v>
      </c>
      <c r="JN14" s="65">
        <v>100</v>
      </c>
      <c r="JO14" s="63">
        <v>183.92</v>
      </c>
      <c r="JP14" s="64">
        <f t="shared" si="111"/>
        <v>-83.919999999999987</v>
      </c>
      <c r="JQ14" s="66">
        <f t="shared" si="112"/>
        <v>100</v>
      </c>
      <c r="JR14" s="67">
        <f t="shared" si="113"/>
        <v>183.92</v>
      </c>
      <c r="JS14" s="64">
        <f t="shared" si="114"/>
        <v>-83.919999999999987</v>
      </c>
      <c r="JT14" s="62">
        <v>5042.0200000000004</v>
      </c>
      <c r="JU14" s="63">
        <v>5042.0200000000004</v>
      </c>
      <c r="JV14" s="64">
        <f t="shared" si="115"/>
        <v>0</v>
      </c>
      <c r="JW14" s="65"/>
      <c r="JX14" s="63"/>
      <c r="JY14" s="64">
        <f t="shared" si="116"/>
        <v>0</v>
      </c>
      <c r="JZ14" s="65"/>
      <c r="KA14" s="63"/>
      <c r="KB14" s="64">
        <f t="shared" si="117"/>
        <v>0</v>
      </c>
      <c r="KC14" s="65">
        <v>100</v>
      </c>
      <c r="KD14" s="63">
        <v>213.16</v>
      </c>
      <c r="KE14" s="64">
        <f t="shared" si="118"/>
        <v>-113.16</v>
      </c>
      <c r="KF14" s="66">
        <f t="shared" si="119"/>
        <v>5142.0200000000004</v>
      </c>
      <c r="KG14" s="67">
        <f t="shared" si="120"/>
        <v>5255.18</v>
      </c>
      <c r="KH14" s="64">
        <f t="shared" si="121"/>
        <v>-113.15999999999985</v>
      </c>
      <c r="KI14" s="68"/>
      <c r="KJ14" s="69"/>
      <c r="KK14" s="70"/>
      <c r="KL14" s="71"/>
      <c r="KM14" s="69"/>
      <c r="KN14" s="70"/>
      <c r="KO14" s="71"/>
      <c r="KP14" s="69"/>
      <c r="KQ14" s="70"/>
      <c r="KR14" s="71"/>
      <c r="KS14" s="69"/>
      <c r="KT14" s="64">
        <f t="shared" si="0"/>
        <v>0</v>
      </c>
      <c r="KU14" s="66">
        <f t="shared" si="1"/>
        <v>0</v>
      </c>
      <c r="KV14" s="67">
        <f t="shared" si="2"/>
        <v>0</v>
      </c>
      <c r="KW14" s="64">
        <f t="shared" si="122"/>
        <v>0</v>
      </c>
      <c r="KX14" s="72"/>
      <c r="KY14" s="73"/>
      <c r="KZ14" s="74"/>
      <c r="LA14" s="75"/>
      <c r="LB14" s="73"/>
      <c r="LC14" s="74"/>
      <c r="LD14" s="75"/>
      <c r="LE14" s="73"/>
      <c r="LF14" s="74"/>
      <c r="LG14" s="75"/>
      <c r="LH14" s="73"/>
      <c r="LI14" s="74"/>
      <c r="LJ14" s="76"/>
      <c r="LK14" s="77"/>
      <c r="LL14" s="74"/>
      <c r="LM14" s="68"/>
      <c r="LN14" s="69"/>
      <c r="LO14" s="70"/>
      <c r="LP14" s="71"/>
      <c r="LQ14" s="69"/>
      <c r="LR14" s="70"/>
      <c r="LS14" s="71"/>
      <c r="LT14" s="69"/>
      <c r="LU14" s="70"/>
      <c r="LV14" s="71"/>
      <c r="LW14" s="69"/>
      <c r="LX14" s="64">
        <f t="shared" si="123"/>
        <v>0</v>
      </c>
      <c r="LY14" s="66">
        <f t="shared" si="124"/>
        <v>0</v>
      </c>
      <c r="LZ14" s="67">
        <f t="shared" si="125"/>
        <v>0</v>
      </c>
      <c r="MA14" s="64">
        <f t="shared" si="126"/>
        <v>0</v>
      </c>
      <c r="MB14" s="62">
        <v>650</v>
      </c>
      <c r="MC14" s="63">
        <v>650</v>
      </c>
      <c r="MD14" s="64">
        <f t="shared" si="127"/>
        <v>0</v>
      </c>
      <c r="ME14" s="65">
        <v>939.61</v>
      </c>
      <c r="MF14" s="63">
        <v>939.61</v>
      </c>
      <c r="MG14" s="64">
        <f t="shared" si="128"/>
        <v>0</v>
      </c>
      <c r="MH14" s="65"/>
      <c r="MI14" s="63"/>
      <c r="MJ14" s="64">
        <f t="shared" si="129"/>
        <v>0</v>
      </c>
      <c r="MK14" s="65">
        <v>100</v>
      </c>
      <c r="ML14" s="63">
        <v>367.12</v>
      </c>
      <c r="MM14" s="64">
        <f t="shared" si="130"/>
        <v>-267.12</v>
      </c>
      <c r="MN14" s="66">
        <f t="shared" si="131"/>
        <v>1689.6100000000001</v>
      </c>
      <c r="MO14" s="67">
        <f t="shared" si="132"/>
        <v>1956.73</v>
      </c>
      <c r="MP14" s="64">
        <f t="shared" si="133"/>
        <v>-267.11999999999989</v>
      </c>
      <c r="MQ14" s="62"/>
      <c r="MR14" s="63"/>
      <c r="MS14" s="64">
        <f t="shared" si="134"/>
        <v>0</v>
      </c>
      <c r="MT14" s="65"/>
      <c r="MU14" s="63"/>
      <c r="MV14" s="64">
        <f t="shared" si="135"/>
        <v>0</v>
      </c>
      <c r="MW14" s="65"/>
      <c r="MX14" s="63"/>
      <c r="MY14" s="64">
        <f t="shared" si="136"/>
        <v>0</v>
      </c>
      <c r="MZ14" s="65"/>
      <c r="NA14" s="63"/>
      <c r="NB14" s="64">
        <f t="shared" si="137"/>
        <v>0</v>
      </c>
      <c r="NC14" s="66">
        <f t="shared" si="138"/>
        <v>0</v>
      </c>
      <c r="ND14" s="67">
        <f t="shared" si="139"/>
        <v>0</v>
      </c>
      <c r="NE14" s="64">
        <f t="shared" si="140"/>
        <v>0</v>
      </c>
      <c r="NF14" s="62"/>
      <c r="NG14" s="63"/>
      <c r="NH14" s="64">
        <f t="shared" si="141"/>
        <v>0</v>
      </c>
      <c r="NI14" s="65">
        <v>861.57</v>
      </c>
      <c r="NJ14" s="63">
        <v>861.57</v>
      </c>
      <c r="NK14" s="64">
        <f t="shared" si="142"/>
        <v>0</v>
      </c>
      <c r="NL14" s="65"/>
      <c r="NM14" s="63"/>
      <c r="NN14" s="64">
        <f t="shared" si="143"/>
        <v>0</v>
      </c>
      <c r="NO14" s="65">
        <v>100</v>
      </c>
      <c r="NP14" s="63"/>
      <c r="NQ14" s="64">
        <f t="shared" si="144"/>
        <v>100</v>
      </c>
      <c r="NR14" s="66">
        <f t="shared" si="145"/>
        <v>961.57</v>
      </c>
      <c r="NS14" s="67">
        <f t="shared" si="146"/>
        <v>861.57</v>
      </c>
      <c r="NT14" s="64">
        <f t="shared" si="147"/>
        <v>100</v>
      </c>
      <c r="NU14" s="62">
        <v>864</v>
      </c>
      <c r="NV14" s="63">
        <v>864</v>
      </c>
      <c r="NW14" s="64">
        <f t="shared" si="148"/>
        <v>0</v>
      </c>
      <c r="NX14" s="65">
        <v>868.01</v>
      </c>
      <c r="NY14" s="63"/>
      <c r="NZ14" s="64">
        <f t="shared" si="149"/>
        <v>868.01</v>
      </c>
      <c r="OA14" s="65"/>
      <c r="OB14" s="63"/>
      <c r="OC14" s="64">
        <f t="shared" si="150"/>
        <v>0</v>
      </c>
      <c r="OD14" s="65">
        <v>100</v>
      </c>
      <c r="OE14" s="63"/>
      <c r="OF14" s="64">
        <f t="shared" si="151"/>
        <v>100</v>
      </c>
      <c r="OG14" s="66">
        <f t="shared" si="152"/>
        <v>1832.01</v>
      </c>
      <c r="OH14" s="67">
        <f t="shared" si="153"/>
        <v>864</v>
      </c>
      <c r="OI14" s="64">
        <f t="shared" si="154"/>
        <v>968.01</v>
      </c>
      <c r="OJ14" s="62"/>
      <c r="OK14" s="63"/>
      <c r="OL14" s="64">
        <f t="shared" si="155"/>
        <v>0</v>
      </c>
      <c r="OM14" s="65"/>
      <c r="ON14" s="63"/>
      <c r="OO14" s="64">
        <f t="shared" si="156"/>
        <v>0</v>
      </c>
      <c r="OP14" s="65"/>
      <c r="OQ14" s="63"/>
      <c r="OR14" s="64">
        <f t="shared" si="157"/>
        <v>0</v>
      </c>
      <c r="OS14" s="65">
        <v>100</v>
      </c>
      <c r="OT14" s="63">
        <v>119.49</v>
      </c>
      <c r="OU14" s="64">
        <f t="shared" si="158"/>
        <v>-19.489999999999995</v>
      </c>
      <c r="OV14" s="66">
        <f t="shared" si="159"/>
        <v>100</v>
      </c>
      <c r="OW14" s="67">
        <f t="shared" si="160"/>
        <v>119.49</v>
      </c>
      <c r="OX14" s="64">
        <f t="shared" si="161"/>
        <v>-19.489999999999995</v>
      </c>
      <c r="OY14" s="62"/>
      <c r="OZ14" s="63"/>
      <c r="PA14" s="64">
        <f t="shared" si="162"/>
        <v>0</v>
      </c>
      <c r="PB14" s="65"/>
      <c r="PC14" s="63"/>
      <c r="PD14" s="64">
        <f t="shared" si="163"/>
        <v>0</v>
      </c>
      <c r="PE14" s="65"/>
      <c r="PF14" s="63"/>
      <c r="PG14" s="64">
        <f t="shared" si="164"/>
        <v>0</v>
      </c>
      <c r="PH14" s="65">
        <v>100</v>
      </c>
      <c r="PI14" s="63"/>
      <c r="PJ14" s="64">
        <f t="shared" si="165"/>
        <v>100</v>
      </c>
      <c r="PK14" s="66">
        <f t="shared" si="166"/>
        <v>100</v>
      </c>
      <c r="PL14" s="67">
        <f t="shared" si="167"/>
        <v>0</v>
      </c>
      <c r="PM14" s="64">
        <f t="shared" si="168"/>
        <v>100</v>
      </c>
      <c r="PN14" s="62">
        <v>1400</v>
      </c>
      <c r="PO14" s="63">
        <v>1400</v>
      </c>
      <c r="PP14" s="64">
        <f t="shared" si="169"/>
        <v>0</v>
      </c>
      <c r="PQ14" s="65"/>
      <c r="PR14" s="63"/>
      <c r="PS14" s="64">
        <f t="shared" si="170"/>
        <v>0</v>
      </c>
      <c r="PT14" s="65"/>
      <c r="PU14" s="63"/>
      <c r="PV14" s="64">
        <f t="shared" si="171"/>
        <v>0</v>
      </c>
      <c r="PW14" s="65">
        <v>100</v>
      </c>
      <c r="PX14" s="63">
        <v>160</v>
      </c>
      <c r="PY14" s="64">
        <f t="shared" si="172"/>
        <v>-60</v>
      </c>
      <c r="PZ14" s="66">
        <f t="shared" si="173"/>
        <v>1500</v>
      </c>
      <c r="QA14" s="67">
        <f t="shared" si="174"/>
        <v>1560</v>
      </c>
      <c r="QB14" s="64">
        <f t="shared" si="175"/>
        <v>-60</v>
      </c>
      <c r="QC14" s="62"/>
      <c r="QD14" s="63"/>
      <c r="QE14" s="64">
        <f t="shared" si="176"/>
        <v>0</v>
      </c>
      <c r="QF14" s="65"/>
      <c r="QG14" s="63"/>
      <c r="QH14" s="64">
        <f t="shared" si="177"/>
        <v>0</v>
      </c>
      <c r="QI14" s="65"/>
      <c r="QJ14" s="63"/>
      <c r="QK14" s="64">
        <f t="shared" si="178"/>
        <v>0</v>
      </c>
      <c r="QL14" s="65">
        <v>100</v>
      </c>
      <c r="QM14" s="63"/>
      <c r="QN14" s="64">
        <f t="shared" si="179"/>
        <v>100</v>
      </c>
      <c r="QO14" s="66">
        <f t="shared" si="180"/>
        <v>100</v>
      </c>
      <c r="QP14" s="67">
        <f t="shared" si="181"/>
        <v>0</v>
      </c>
      <c r="QQ14" s="64">
        <f t="shared" si="182"/>
        <v>100</v>
      </c>
      <c r="QR14" s="62"/>
      <c r="QS14" s="63"/>
      <c r="QT14" s="64">
        <f t="shared" si="183"/>
        <v>0</v>
      </c>
      <c r="QU14" s="65"/>
      <c r="QV14" s="63"/>
      <c r="QW14" s="64">
        <f t="shared" si="184"/>
        <v>0</v>
      </c>
      <c r="QX14" s="65"/>
      <c r="QY14" s="63"/>
      <c r="QZ14" s="64">
        <f t="shared" si="185"/>
        <v>0</v>
      </c>
      <c r="RA14" s="65"/>
      <c r="RB14" s="63"/>
      <c r="RC14" s="64">
        <f t="shared" si="186"/>
        <v>0</v>
      </c>
      <c r="RD14" s="66">
        <f t="shared" si="187"/>
        <v>0</v>
      </c>
      <c r="RE14" s="67">
        <f t="shared" si="188"/>
        <v>0</v>
      </c>
      <c r="RF14" s="64">
        <f t="shared" si="189"/>
        <v>0</v>
      </c>
      <c r="RG14" s="62"/>
      <c r="RH14" s="63"/>
      <c r="RI14" s="64">
        <f t="shared" si="190"/>
        <v>0</v>
      </c>
      <c r="RJ14" s="65"/>
      <c r="RK14" s="63"/>
      <c r="RL14" s="64">
        <f t="shared" si="191"/>
        <v>0</v>
      </c>
      <c r="RM14" s="65"/>
      <c r="RN14" s="63"/>
      <c r="RO14" s="64">
        <f t="shared" si="192"/>
        <v>0</v>
      </c>
      <c r="RP14" s="65"/>
      <c r="RQ14" s="63"/>
      <c r="RR14" s="64">
        <f t="shared" si="193"/>
        <v>0</v>
      </c>
      <c r="RS14" s="66">
        <f t="shared" si="194"/>
        <v>0</v>
      </c>
      <c r="RT14" s="67">
        <f t="shared" si="195"/>
        <v>0</v>
      </c>
      <c r="RU14" s="64">
        <f t="shared" si="196"/>
        <v>0</v>
      </c>
      <c r="RV14" s="62"/>
      <c r="RW14" s="63"/>
      <c r="RX14" s="64">
        <f t="shared" si="197"/>
        <v>0</v>
      </c>
      <c r="RY14" s="65"/>
      <c r="RZ14" s="63"/>
      <c r="SA14" s="64">
        <f t="shared" si="198"/>
        <v>0</v>
      </c>
      <c r="SB14" s="65"/>
      <c r="SC14" s="63"/>
      <c r="SD14" s="64">
        <f t="shared" si="199"/>
        <v>0</v>
      </c>
      <c r="SE14" s="65">
        <v>100</v>
      </c>
      <c r="SF14" s="63">
        <v>196.13</v>
      </c>
      <c r="SG14" s="64">
        <f t="shared" si="200"/>
        <v>-96.13</v>
      </c>
      <c r="SH14" s="66">
        <f t="shared" si="201"/>
        <v>100</v>
      </c>
      <c r="SI14" s="67">
        <f t="shared" si="202"/>
        <v>196.13</v>
      </c>
      <c r="SJ14" s="64">
        <f t="shared" si="203"/>
        <v>-96.13</v>
      </c>
      <c r="SK14" s="62"/>
      <c r="SL14" s="63"/>
      <c r="SM14" s="64">
        <f t="shared" si="204"/>
        <v>0</v>
      </c>
      <c r="SN14" s="65"/>
      <c r="SO14" s="63"/>
      <c r="SP14" s="64">
        <f t="shared" si="205"/>
        <v>0</v>
      </c>
      <c r="SQ14" s="65"/>
      <c r="SR14" s="63"/>
      <c r="SS14" s="64">
        <f t="shared" si="206"/>
        <v>0</v>
      </c>
      <c r="ST14" s="65">
        <v>100</v>
      </c>
      <c r="SU14" s="63">
        <v>204.3</v>
      </c>
      <c r="SV14" s="64">
        <f t="shared" si="207"/>
        <v>-104.30000000000001</v>
      </c>
      <c r="SW14" s="66">
        <f t="shared" si="208"/>
        <v>100</v>
      </c>
      <c r="SX14" s="67">
        <f t="shared" si="209"/>
        <v>204.3</v>
      </c>
      <c r="SY14" s="64">
        <f t="shared" si="210"/>
        <v>-104.30000000000001</v>
      </c>
      <c r="SZ14" s="62">
        <v>1321.16</v>
      </c>
      <c r="TA14" s="63">
        <v>1321.16</v>
      </c>
      <c r="TB14" s="64">
        <f t="shared" si="211"/>
        <v>0</v>
      </c>
      <c r="TC14" s="65"/>
      <c r="TD14" s="63"/>
      <c r="TE14" s="64">
        <f t="shared" si="212"/>
        <v>0</v>
      </c>
      <c r="TF14" s="65"/>
      <c r="TG14" s="63"/>
      <c r="TH14" s="64">
        <f t="shared" si="213"/>
        <v>0</v>
      </c>
      <c r="TI14" s="65">
        <v>100</v>
      </c>
      <c r="TJ14" s="63">
        <v>154.87</v>
      </c>
      <c r="TK14" s="64">
        <f t="shared" si="214"/>
        <v>-54.870000000000005</v>
      </c>
      <c r="TL14" s="66">
        <f t="shared" si="215"/>
        <v>1421.16</v>
      </c>
      <c r="TM14" s="67">
        <f t="shared" si="216"/>
        <v>1476.0300000000002</v>
      </c>
      <c r="TN14" s="64">
        <f t="shared" si="217"/>
        <v>-54.870000000000118</v>
      </c>
      <c r="TO14" s="62"/>
      <c r="TP14" s="63"/>
      <c r="TQ14" s="64">
        <f t="shared" si="218"/>
        <v>0</v>
      </c>
      <c r="TR14" s="65"/>
      <c r="TS14" s="63"/>
      <c r="TT14" s="64">
        <f t="shared" si="219"/>
        <v>0</v>
      </c>
      <c r="TU14" s="65"/>
      <c r="TV14" s="63">
        <v>64.19</v>
      </c>
      <c r="TW14" s="64">
        <f t="shared" si="220"/>
        <v>-64.19</v>
      </c>
      <c r="TX14" s="65">
        <v>100</v>
      </c>
      <c r="TY14" s="63"/>
      <c r="TZ14" s="64">
        <f t="shared" si="221"/>
        <v>100</v>
      </c>
      <c r="UA14" s="66">
        <f t="shared" si="222"/>
        <v>100</v>
      </c>
      <c r="UB14" s="67">
        <f t="shared" si="223"/>
        <v>64.19</v>
      </c>
      <c r="UC14" s="64">
        <f t="shared" si="224"/>
        <v>35.81</v>
      </c>
      <c r="UD14" s="68"/>
      <c r="UE14" s="69"/>
      <c r="UF14" s="70"/>
      <c r="UG14" s="71"/>
      <c r="UH14" s="69"/>
      <c r="UI14" s="70"/>
      <c r="UJ14" s="71"/>
      <c r="UK14" s="69"/>
      <c r="UL14" s="70"/>
      <c r="UM14" s="71"/>
      <c r="UN14" s="69"/>
      <c r="UO14" s="64">
        <f t="shared" si="225"/>
        <v>0</v>
      </c>
      <c r="UP14" s="66">
        <f t="shared" si="226"/>
        <v>0</v>
      </c>
      <c r="UQ14" s="67">
        <f t="shared" si="227"/>
        <v>0</v>
      </c>
      <c r="UR14" s="64">
        <f t="shared" si="228"/>
        <v>0</v>
      </c>
      <c r="US14" s="62"/>
      <c r="UT14" s="63"/>
      <c r="UU14" s="64">
        <f t="shared" si="229"/>
        <v>0</v>
      </c>
      <c r="UV14" s="65"/>
      <c r="UW14" s="63"/>
      <c r="UX14" s="64">
        <f t="shared" si="230"/>
        <v>0</v>
      </c>
      <c r="UY14" s="65"/>
      <c r="UZ14" s="63"/>
      <c r="VA14" s="64">
        <f t="shared" si="231"/>
        <v>0</v>
      </c>
      <c r="VB14" s="65">
        <v>100</v>
      </c>
      <c r="VC14" s="63">
        <v>109.05</v>
      </c>
      <c r="VD14" s="64">
        <f t="shared" si="232"/>
        <v>-9.0499999999999972</v>
      </c>
      <c r="VE14" s="66">
        <f t="shared" si="233"/>
        <v>100</v>
      </c>
      <c r="VF14" s="67">
        <f t="shared" si="234"/>
        <v>109.05</v>
      </c>
      <c r="VG14" s="64">
        <f t="shared" si="235"/>
        <v>-9.0499999999999972</v>
      </c>
      <c r="VH14" s="62"/>
      <c r="VI14" s="63"/>
      <c r="VJ14" s="64">
        <f t="shared" si="236"/>
        <v>0</v>
      </c>
      <c r="VK14" s="65"/>
      <c r="VL14" s="63"/>
      <c r="VM14" s="64">
        <f t="shared" si="237"/>
        <v>0</v>
      </c>
      <c r="VN14" s="65"/>
      <c r="VO14" s="63"/>
      <c r="VP14" s="64">
        <f t="shared" si="238"/>
        <v>0</v>
      </c>
      <c r="VQ14" s="65">
        <v>100</v>
      </c>
      <c r="VR14" s="63">
        <v>57.53</v>
      </c>
      <c r="VS14" s="64">
        <f t="shared" si="239"/>
        <v>42.47</v>
      </c>
      <c r="VT14" s="66">
        <f t="shared" si="240"/>
        <v>100</v>
      </c>
      <c r="VU14" s="67">
        <f t="shared" si="241"/>
        <v>57.53</v>
      </c>
      <c r="VV14" s="64">
        <f t="shared" si="242"/>
        <v>42.47</v>
      </c>
      <c r="VW14" s="62"/>
      <c r="VX14" s="63"/>
      <c r="VY14" s="64">
        <f t="shared" si="243"/>
        <v>0</v>
      </c>
      <c r="VZ14" s="65"/>
      <c r="WA14" s="63"/>
      <c r="WB14" s="64">
        <f t="shared" si="244"/>
        <v>0</v>
      </c>
      <c r="WC14" s="65"/>
      <c r="WD14" s="63"/>
      <c r="WE14" s="64">
        <f t="shared" si="245"/>
        <v>0</v>
      </c>
      <c r="WF14" s="65"/>
      <c r="WG14" s="63"/>
      <c r="WH14" s="64">
        <f t="shared" si="246"/>
        <v>0</v>
      </c>
      <c r="WI14" s="66">
        <f t="shared" si="247"/>
        <v>0</v>
      </c>
      <c r="WJ14" s="67">
        <f t="shared" si="248"/>
        <v>0</v>
      </c>
      <c r="WK14" s="64">
        <f t="shared" si="249"/>
        <v>0</v>
      </c>
      <c r="WL14" s="62">
        <v>1276.01</v>
      </c>
      <c r="WM14" s="63">
        <v>1276.01</v>
      </c>
      <c r="WN14" s="64">
        <f t="shared" si="250"/>
        <v>0</v>
      </c>
      <c r="WO14" s="65"/>
      <c r="WP14" s="63"/>
      <c r="WQ14" s="64">
        <f t="shared" si="251"/>
        <v>0</v>
      </c>
      <c r="WR14" s="65"/>
      <c r="WS14" s="63"/>
      <c r="WT14" s="64">
        <f t="shared" si="252"/>
        <v>0</v>
      </c>
      <c r="WU14" s="65">
        <v>100</v>
      </c>
      <c r="WV14" s="63">
        <v>98.79</v>
      </c>
      <c r="WW14" s="64">
        <f t="shared" si="253"/>
        <v>1.2099999999999937</v>
      </c>
      <c r="WX14" s="66">
        <f t="shared" si="254"/>
        <v>1376.01</v>
      </c>
      <c r="WY14" s="67">
        <f t="shared" si="255"/>
        <v>1374.8</v>
      </c>
      <c r="WZ14" s="64">
        <f t="shared" si="256"/>
        <v>1.2100000000000364</v>
      </c>
      <c r="XA14" s="62"/>
      <c r="XB14" s="63"/>
      <c r="XC14" s="64">
        <f t="shared" si="257"/>
        <v>0</v>
      </c>
      <c r="XD14" s="65"/>
      <c r="XE14" s="63"/>
      <c r="XF14" s="64">
        <f t="shared" si="258"/>
        <v>0</v>
      </c>
      <c r="XG14" s="65"/>
      <c r="XH14" s="63"/>
      <c r="XI14" s="64">
        <f t="shared" si="259"/>
        <v>0</v>
      </c>
      <c r="XJ14" s="65">
        <v>100</v>
      </c>
      <c r="XK14" s="63">
        <v>204.5</v>
      </c>
      <c r="XL14" s="64">
        <f t="shared" si="260"/>
        <v>-104.5</v>
      </c>
      <c r="XM14" s="66">
        <f t="shared" si="261"/>
        <v>100</v>
      </c>
      <c r="XN14" s="67">
        <f t="shared" si="262"/>
        <v>204.5</v>
      </c>
      <c r="XO14" s="64">
        <f t="shared" si="263"/>
        <v>-104.5</v>
      </c>
      <c r="XP14" s="62">
        <v>917</v>
      </c>
      <c r="XQ14" s="63">
        <v>917</v>
      </c>
      <c r="XR14" s="64">
        <f t="shared" si="264"/>
        <v>0</v>
      </c>
      <c r="XS14" s="65">
        <v>583.71</v>
      </c>
      <c r="XT14" s="63">
        <v>583.71</v>
      </c>
      <c r="XU14" s="64">
        <f t="shared" si="265"/>
        <v>0</v>
      </c>
      <c r="XV14" s="65"/>
      <c r="XW14" s="63"/>
      <c r="XX14" s="64">
        <f t="shared" si="266"/>
        <v>0</v>
      </c>
      <c r="XY14" s="65">
        <v>100</v>
      </c>
      <c r="XZ14" s="63">
        <v>80.19</v>
      </c>
      <c r="YA14" s="64">
        <f t="shared" si="267"/>
        <v>19.810000000000002</v>
      </c>
      <c r="YB14" s="66">
        <f t="shared" si="268"/>
        <v>1600.71</v>
      </c>
      <c r="YC14" s="67">
        <f t="shared" si="269"/>
        <v>1580.9</v>
      </c>
      <c r="YD14" s="64">
        <f t="shared" si="270"/>
        <v>19.809999999999945</v>
      </c>
      <c r="YE14" s="62">
        <v>890</v>
      </c>
      <c r="YF14" s="63">
        <v>890</v>
      </c>
      <c r="YG14" s="64">
        <f t="shared" si="271"/>
        <v>0</v>
      </c>
      <c r="YH14" s="65">
        <v>572.61</v>
      </c>
      <c r="YI14" s="63">
        <v>572.61</v>
      </c>
      <c r="YJ14" s="64">
        <f t="shared" si="272"/>
        <v>0</v>
      </c>
      <c r="YK14" s="65"/>
      <c r="YL14" s="63">
        <v>85.09</v>
      </c>
      <c r="YM14" s="64">
        <f t="shared" si="273"/>
        <v>-85.09</v>
      </c>
      <c r="YN14" s="65">
        <v>100</v>
      </c>
      <c r="YO14" s="63"/>
      <c r="YP14" s="64">
        <f t="shared" si="274"/>
        <v>100</v>
      </c>
      <c r="YQ14" s="66">
        <f t="shared" si="275"/>
        <v>1562.6100000000001</v>
      </c>
      <c r="YR14" s="67">
        <f t="shared" si="276"/>
        <v>1547.7</v>
      </c>
      <c r="YS14" s="64">
        <f t="shared" si="277"/>
        <v>14.910000000000082</v>
      </c>
      <c r="YT14" s="62">
        <v>932</v>
      </c>
      <c r="YU14" s="63">
        <v>932</v>
      </c>
      <c r="YV14" s="64">
        <f t="shared" si="278"/>
        <v>0</v>
      </c>
      <c r="YW14" s="65">
        <v>598.65</v>
      </c>
      <c r="YX14" s="63">
        <v>598.65</v>
      </c>
      <c r="YY14" s="64">
        <f t="shared" si="279"/>
        <v>0</v>
      </c>
      <c r="YZ14" s="65"/>
      <c r="ZA14" s="63">
        <v>75.459999999999994</v>
      </c>
      <c r="ZB14" s="64">
        <f t="shared" si="280"/>
        <v>-75.459999999999994</v>
      </c>
      <c r="ZC14" s="65">
        <v>100</v>
      </c>
      <c r="ZD14" s="63"/>
      <c r="ZE14" s="64">
        <f t="shared" si="281"/>
        <v>100</v>
      </c>
      <c r="ZF14" s="66">
        <f t="shared" si="282"/>
        <v>1630.65</v>
      </c>
      <c r="ZG14" s="67">
        <f t="shared" si="283"/>
        <v>1606.1100000000001</v>
      </c>
      <c r="ZH14" s="64">
        <f t="shared" si="284"/>
        <v>24.539999999999964</v>
      </c>
      <c r="ZI14" s="62">
        <v>1250</v>
      </c>
      <c r="ZJ14" s="63">
        <v>1250</v>
      </c>
      <c r="ZK14" s="64">
        <f t="shared" si="285"/>
        <v>0</v>
      </c>
      <c r="ZL14" s="65"/>
      <c r="ZM14" s="63"/>
      <c r="ZN14" s="64">
        <f t="shared" si="286"/>
        <v>0</v>
      </c>
      <c r="ZO14" s="65"/>
      <c r="ZP14" s="63"/>
      <c r="ZQ14" s="64">
        <f t="shared" si="287"/>
        <v>0</v>
      </c>
      <c r="ZR14" s="65">
        <v>100</v>
      </c>
      <c r="ZS14" s="63">
        <v>447.89</v>
      </c>
      <c r="ZT14" s="64">
        <f t="shared" si="288"/>
        <v>-347.89</v>
      </c>
      <c r="ZU14" s="66">
        <f t="shared" si="289"/>
        <v>1350</v>
      </c>
      <c r="ZV14" s="67">
        <f t="shared" si="290"/>
        <v>1697.8899999999999</v>
      </c>
      <c r="ZW14" s="64">
        <f t="shared" si="291"/>
        <v>-347.88999999999987</v>
      </c>
      <c r="ZX14" s="62">
        <v>24.71</v>
      </c>
      <c r="ZY14" s="63">
        <v>24.71</v>
      </c>
      <c r="ZZ14" s="64">
        <f t="shared" si="292"/>
        <v>0</v>
      </c>
      <c r="AAA14" s="66">
        <f t="shared" si="293"/>
        <v>24.71</v>
      </c>
      <c r="AAB14" s="67">
        <f t="shared" si="293"/>
        <v>24.71</v>
      </c>
      <c r="AAC14" s="64">
        <f t="shared" si="294"/>
        <v>0</v>
      </c>
      <c r="AAD14" s="85">
        <f t="shared" si="295"/>
        <v>53881.83</v>
      </c>
      <c r="AAE14" s="86">
        <f t="shared" si="295"/>
        <v>62972.22</v>
      </c>
      <c r="AAF14" s="87">
        <f t="shared" si="3"/>
        <v>1.168709748722343</v>
      </c>
      <c r="AAG14" s="88">
        <f t="shared" si="4"/>
        <v>9090.39</v>
      </c>
      <c r="AAH14" s="94"/>
      <c r="AAI14" s="95"/>
      <c r="AAJ14" s="95"/>
      <c r="AAK14" s="82"/>
    </row>
    <row r="15" spans="1:714" s="83" customFormat="1" ht="20" customHeight="1" x14ac:dyDescent="0.2">
      <c r="A15" s="57" t="s">
        <v>151</v>
      </c>
      <c r="B15" s="96">
        <f>B11-B7</f>
        <v>18950.600000000326</v>
      </c>
      <c r="C15" s="97"/>
      <c r="D15" s="97"/>
      <c r="E15" s="60"/>
      <c r="F15" s="61">
        <v>44866</v>
      </c>
      <c r="G15" s="62">
        <v>29428</v>
      </c>
      <c r="H15" s="63">
        <v>29428</v>
      </c>
      <c r="I15" s="64">
        <f t="shared" si="5"/>
        <v>0</v>
      </c>
      <c r="J15" s="65">
        <v>4000</v>
      </c>
      <c r="K15" s="63">
        <v>0</v>
      </c>
      <c r="L15" s="64">
        <f t="shared" si="6"/>
        <v>4000</v>
      </c>
      <c r="M15" s="65">
        <v>1000</v>
      </c>
      <c r="N15" s="63">
        <v>4198.3100000000004</v>
      </c>
      <c r="O15" s="64">
        <f t="shared" si="7"/>
        <v>-3198.3100000000004</v>
      </c>
      <c r="P15" s="65">
        <v>500</v>
      </c>
      <c r="Q15" s="63">
        <v>1524.44</v>
      </c>
      <c r="R15" s="64">
        <f t="shared" si="8"/>
        <v>-1024.44</v>
      </c>
      <c r="S15" s="65">
        <v>600</v>
      </c>
      <c r="T15" s="63">
        <v>165.24</v>
      </c>
      <c r="U15" s="64">
        <f t="shared" si="9"/>
        <v>434.76</v>
      </c>
      <c r="V15" s="66">
        <f t="shared" si="10"/>
        <v>35528</v>
      </c>
      <c r="W15" s="67">
        <f t="shared" si="10"/>
        <v>35315.99</v>
      </c>
      <c r="X15" s="64">
        <f t="shared" si="11"/>
        <v>212.01000000000204</v>
      </c>
      <c r="Y15" s="62"/>
      <c r="Z15" s="63"/>
      <c r="AA15" s="64">
        <f t="shared" si="12"/>
        <v>0</v>
      </c>
      <c r="AB15" s="65"/>
      <c r="AC15" s="63"/>
      <c r="AD15" s="64">
        <f t="shared" si="13"/>
        <v>0</v>
      </c>
      <c r="AE15" s="65"/>
      <c r="AF15" s="63"/>
      <c r="AG15" s="64">
        <f t="shared" si="14"/>
        <v>0</v>
      </c>
      <c r="AH15" s="65"/>
      <c r="AI15" s="63"/>
      <c r="AJ15" s="64">
        <f t="shared" si="15"/>
        <v>0</v>
      </c>
      <c r="AK15" s="66">
        <f t="shared" si="16"/>
        <v>0</v>
      </c>
      <c r="AL15" s="67">
        <f t="shared" si="17"/>
        <v>0</v>
      </c>
      <c r="AM15" s="64">
        <f t="shared" si="18"/>
        <v>0</v>
      </c>
      <c r="AN15" s="62"/>
      <c r="AO15" s="63"/>
      <c r="AP15" s="64">
        <f t="shared" si="19"/>
        <v>0</v>
      </c>
      <c r="AQ15" s="65"/>
      <c r="AR15" s="63"/>
      <c r="AS15" s="64">
        <f t="shared" si="20"/>
        <v>0</v>
      </c>
      <c r="AT15" s="65"/>
      <c r="AU15" s="63"/>
      <c r="AV15" s="64">
        <f t="shared" si="21"/>
        <v>0</v>
      </c>
      <c r="AW15" s="65"/>
      <c r="AX15" s="63"/>
      <c r="AY15" s="64">
        <f t="shared" si="22"/>
        <v>0</v>
      </c>
      <c r="AZ15" s="66">
        <f t="shared" si="23"/>
        <v>0</v>
      </c>
      <c r="BA15" s="67">
        <f t="shared" si="24"/>
        <v>0</v>
      </c>
      <c r="BB15" s="64">
        <f t="shared" si="25"/>
        <v>0</v>
      </c>
      <c r="BC15" s="62">
        <v>6365.25</v>
      </c>
      <c r="BD15" s="63">
        <v>6365.25</v>
      </c>
      <c r="BE15" s="64">
        <f t="shared" si="26"/>
        <v>0</v>
      </c>
      <c r="BF15" s="65"/>
      <c r="BG15" s="63"/>
      <c r="BH15" s="64">
        <f t="shared" si="27"/>
        <v>0</v>
      </c>
      <c r="BI15" s="65"/>
      <c r="BJ15" s="63"/>
      <c r="BK15" s="64">
        <f t="shared" si="28"/>
        <v>0</v>
      </c>
      <c r="BL15" s="65">
        <v>100</v>
      </c>
      <c r="BM15" s="63"/>
      <c r="BN15" s="64">
        <f t="shared" si="29"/>
        <v>100</v>
      </c>
      <c r="BO15" s="66">
        <f t="shared" si="30"/>
        <v>6465.25</v>
      </c>
      <c r="BP15" s="67">
        <f t="shared" si="31"/>
        <v>6365.25</v>
      </c>
      <c r="BQ15" s="64">
        <f t="shared" si="32"/>
        <v>100</v>
      </c>
      <c r="BR15" s="62"/>
      <c r="BS15" s="63"/>
      <c r="BT15" s="64">
        <f>BR15-BS15</f>
        <v>0</v>
      </c>
      <c r="BU15" s="65">
        <v>687.48</v>
      </c>
      <c r="BV15" s="63">
        <v>687.48</v>
      </c>
      <c r="BW15" s="64">
        <f>BU15-BV15</f>
        <v>0</v>
      </c>
      <c r="BX15" s="65"/>
      <c r="BY15" s="63"/>
      <c r="BZ15" s="64">
        <f>BX15-BY15</f>
        <v>0</v>
      </c>
      <c r="CA15" s="65"/>
      <c r="CB15" s="63"/>
      <c r="CC15" s="64">
        <f>CA15-CB15</f>
        <v>0</v>
      </c>
      <c r="CD15" s="66">
        <f t="shared" si="33"/>
        <v>687.48</v>
      </c>
      <c r="CE15" s="67">
        <f t="shared" si="34"/>
        <v>687.48</v>
      </c>
      <c r="CF15" s="64">
        <f t="shared" si="35"/>
        <v>0</v>
      </c>
      <c r="CG15" s="62"/>
      <c r="CH15" s="63"/>
      <c r="CI15" s="64">
        <f t="shared" si="36"/>
        <v>0</v>
      </c>
      <c r="CJ15" s="65"/>
      <c r="CK15" s="63"/>
      <c r="CL15" s="64">
        <f t="shared" si="37"/>
        <v>0</v>
      </c>
      <c r="CM15" s="65"/>
      <c r="CN15" s="63"/>
      <c r="CO15" s="64">
        <f t="shared" si="38"/>
        <v>0</v>
      </c>
      <c r="CP15" s="65"/>
      <c r="CQ15" s="63"/>
      <c r="CR15" s="64">
        <f t="shared" si="39"/>
        <v>0</v>
      </c>
      <c r="CS15" s="66">
        <f t="shared" si="40"/>
        <v>0</v>
      </c>
      <c r="CT15" s="67">
        <f t="shared" si="41"/>
        <v>0</v>
      </c>
      <c r="CU15" s="64">
        <f t="shared" si="42"/>
        <v>0</v>
      </c>
      <c r="CV15" s="68"/>
      <c r="CW15" s="69"/>
      <c r="CX15" s="70"/>
      <c r="CY15" s="71"/>
      <c r="CZ15" s="69"/>
      <c r="DA15" s="70"/>
      <c r="DB15" s="71"/>
      <c r="DC15" s="69"/>
      <c r="DD15" s="70"/>
      <c r="DE15" s="71"/>
      <c r="DF15" s="69"/>
      <c r="DG15" s="70"/>
      <c r="DH15" s="66">
        <f t="shared" si="43"/>
        <v>0</v>
      </c>
      <c r="DI15" s="67">
        <f t="shared" si="44"/>
        <v>0</v>
      </c>
      <c r="DJ15" s="64">
        <f t="shared" si="45"/>
        <v>0</v>
      </c>
      <c r="DK15" s="68"/>
      <c r="DL15" s="69"/>
      <c r="DM15" s="70"/>
      <c r="DN15" s="71"/>
      <c r="DO15" s="69"/>
      <c r="DP15" s="70"/>
      <c r="DQ15" s="71"/>
      <c r="DR15" s="69"/>
      <c r="DS15" s="70"/>
      <c r="DT15" s="71"/>
      <c r="DU15" s="69"/>
      <c r="DV15" s="70"/>
      <c r="DW15" s="66">
        <f t="shared" si="46"/>
        <v>0</v>
      </c>
      <c r="DX15" s="67">
        <f t="shared" si="47"/>
        <v>0</v>
      </c>
      <c r="DY15" s="64">
        <f t="shared" si="48"/>
        <v>0</v>
      </c>
      <c r="DZ15" s="62"/>
      <c r="EA15" s="63"/>
      <c r="EB15" s="64">
        <f t="shared" si="49"/>
        <v>0</v>
      </c>
      <c r="EC15" s="65"/>
      <c r="ED15" s="63"/>
      <c r="EE15" s="64">
        <f t="shared" si="50"/>
        <v>0</v>
      </c>
      <c r="EF15" s="65"/>
      <c r="EG15" s="63"/>
      <c r="EH15" s="64">
        <f t="shared" si="51"/>
        <v>0</v>
      </c>
      <c r="EI15" s="65">
        <v>100</v>
      </c>
      <c r="EJ15" s="63"/>
      <c r="EK15" s="64">
        <f t="shared" si="52"/>
        <v>100</v>
      </c>
      <c r="EL15" s="66">
        <f t="shared" si="53"/>
        <v>100</v>
      </c>
      <c r="EM15" s="67">
        <f t="shared" si="54"/>
        <v>0</v>
      </c>
      <c r="EN15" s="64">
        <f t="shared" si="55"/>
        <v>100</v>
      </c>
      <c r="EO15" s="62"/>
      <c r="EP15" s="63"/>
      <c r="EQ15" s="64">
        <f t="shared" si="56"/>
        <v>0</v>
      </c>
      <c r="ER15" s="65"/>
      <c r="ES15" s="63"/>
      <c r="ET15" s="64">
        <f t="shared" si="57"/>
        <v>0</v>
      </c>
      <c r="EU15" s="65"/>
      <c r="EV15" s="63"/>
      <c r="EW15" s="64">
        <f t="shared" si="58"/>
        <v>0</v>
      </c>
      <c r="EX15" s="65">
        <v>100</v>
      </c>
      <c r="EY15" s="63">
        <v>189.54</v>
      </c>
      <c r="EZ15" s="64">
        <f t="shared" si="59"/>
        <v>-89.539999999999992</v>
      </c>
      <c r="FA15" s="66">
        <f t="shared" si="60"/>
        <v>100</v>
      </c>
      <c r="FB15" s="67">
        <f t="shared" si="61"/>
        <v>189.54</v>
      </c>
      <c r="FC15" s="64">
        <f t="shared" si="62"/>
        <v>-89.539999999999992</v>
      </c>
      <c r="FD15" s="62"/>
      <c r="FE15" s="63"/>
      <c r="FF15" s="64">
        <f t="shared" si="63"/>
        <v>0</v>
      </c>
      <c r="FG15" s="65"/>
      <c r="FH15" s="63"/>
      <c r="FI15" s="64">
        <f t="shared" si="64"/>
        <v>0</v>
      </c>
      <c r="FJ15" s="65"/>
      <c r="FK15" s="63"/>
      <c r="FL15" s="64">
        <f t="shared" si="65"/>
        <v>0</v>
      </c>
      <c r="FM15" s="65">
        <v>100</v>
      </c>
      <c r="FN15" s="63">
        <v>233.55</v>
      </c>
      <c r="FO15" s="64">
        <f t="shared" si="66"/>
        <v>-133.55000000000001</v>
      </c>
      <c r="FP15" s="66">
        <f t="shared" si="67"/>
        <v>100</v>
      </c>
      <c r="FQ15" s="67">
        <f t="shared" si="68"/>
        <v>233.55</v>
      </c>
      <c r="FR15" s="64">
        <f t="shared" si="69"/>
        <v>-133.55000000000001</v>
      </c>
      <c r="FS15" s="62"/>
      <c r="FT15" s="63"/>
      <c r="FU15" s="64">
        <f t="shared" si="70"/>
        <v>0</v>
      </c>
      <c r="FV15" s="65"/>
      <c r="FW15" s="63"/>
      <c r="FX15" s="64">
        <f t="shared" si="71"/>
        <v>0</v>
      </c>
      <c r="FY15" s="65"/>
      <c r="FZ15" s="63"/>
      <c r="GA15" s="64">
        <f t="shared" si="72"/>
        <v>0</v>
      </c>
      <c r="GB15" s="65"/>
      <c r="GC15" s="63"/>
      <c r="GD15" s="64">
        <f t="shared" si="73"/>
        <v>0</v>
      </c>
      <c r="GE15" s="66">
        <f t="shared" si="74"/>
        <v>0</v>
      </c>
      <c r="GF15" s="67">
        <f t="shared" si="75"/>
        <v>0</v>
      </c>
      <c r="GG15" s="64">
        <f t="shared" si="76"/>
        <v>0</v>
      </c>
      <c r="GH15" s="62"/>
      <c r="GI15" s="63"/>
      <c r="GJ15" s="64">
        <f t="shared" si="77"/>
        <v>0</v>
      </c>
      <c r="GK15" s="65"/>
      <c r="GL15" s="63"/>
      <c r="GM15" s="64">
        <f t="shared" si="78"/>
        <v>0</v>
      </c>
      <c r="GN15" s="65"/>
      <c r="GO15" s="63"/>
      <c r="GP15" s="64">
        <f t="shared" si="79"/>
        <v>0</v>
      </c>
      <c r="GQ15" s="65"/>
      <c r="GR15" s="63"/>
      <c r="GS15" s="64">
        <f t="shared" si="80"/>
        <v>0</v>
      </c>
      <c r="GT15" s="66">
        <f t="shared" si="81"/>
        <v>0</v>
      </c>
      <c r="GU15" s="67">
        <f t="shared" si="82"/>
        <v>0</v>
      </c>
      <c r="GV15" s="64">
        <f t="shared" si="83"/>
        <v>0</v>
      </c>
      <c r="GW15" s="68"/>
      <c r="GX15" s="69"/>
      <c r="GY15" s="70"/>
      <c r="GZ15" s="71"/>
      <c r="HA15" s="69"/>
      <c r="HB15" s="70"/>
      <c r="HC15" s="71"/>
      <c r="HD15" s="69"/>
      <c r="HE15" s="70"/>
      <c r="HF15" s="71"/>
      <c r="HG15" s="69"/>
      <c r="HH15" s="70"/>
      <c r="HI15" s="66">
        <f t="shared" si="84"/>
        <v>0</v>
      </c>
      <c r="HJ15" s="67">
        <f t="shared" si="85"/>
        <v>0</v>
      </c>
      <c r="HK15" s="64">
        <f t="shared" si="86"/>
        <v>0</v>
      </c>
      <c r="HL15" s="62">
        <v>6365.25</v>
      </c>
      <c r="HM15" s="63">
        <v>6365.25</v>
      </c>
      <c r="HN15" s="64">
        <f t="shared" si="87"/>
        <v>0</v>
      </c>
      <c r="HO15" s="65"/>
      <c r="HP15" s="63"/>
      <c r="HQ15" s="64">
        <f t="shared" si="88"/>
        <v>0</v>
      </c>
      <c r="HR15" s="65"/>
      <c r="HS15" s="63"/>
      <c r="HT15" s="64">
        <f t="shared" si="89"/>
        <v>0</v>
      </c>
      <c r="HU15" s="65">
        <v>100</v>
      </c>
      <c r="HV15" s="63"/>
      <c r="HW15" s="64">
        <f t="shared" si="90"/>
        <v>100</v>
      </c>
      <c r="HX15" s="66">
        <f t="shared" si="91"/>
        <v>6465.25</v>
      </c>
      <c r="HY15" s="67">
        <f t="shared" si="92"/>
        <v>6365.25</v>
      </c>
      <c r="HZ15" s="64">
        <f t="shared" si="93"/>
        <v>100</v>
      </c>
      <c r="IA15" s="62"/>
      <c r="IB15" s="63"/>
      <c r="IC15" s="64">
        <f t="shared" si="94"/>
        <v>0</v>
      </c>
      <c r="ID15" s="65"/>
      <c r="IE15" s="63"/>
      <c r="IF15" s="64">
        <f t="shared" si="95"/>
        <v>0</v>
      </c>
      <c r="IG15" s="65"/>
      <c r="IH15" s="63"/>
      <c r="II15" s="64">
        <f t="shared" si="96"/>
        <v>0</v>
      </c>
      <c r="IJ15" s="65">
        <v>100</v>
      </c>
      <c r="IK15" s="63"/>
      <c r="IL15" s="64">
        <f t="shared" si="97"/>
        <v>100</v>
      </c>
      <c r="IM15" s="66">
        <f t="shared" si="98"/>
        <v>100</v>
      </c>
      <c r="IN15" s="67">
        <f t="shared" si="99"/>
        <v>0</v>
      </c>
      <c r="IO15" s="64">
        <f t="shared" si="100"/>
        <v>100</v>
      </c>
      <c r="IP15" s="62"/>
      <c r="IQ15" s="63"/>
      <c r="IR15" s="64">
        <f t="shared" si="101"/>
        <v>0</v>
      </c>
      <c r="IS15" s="65"/>
      <c r="IT15" s="63"/>
      <c r="IU15" s="64">
        <f t="shared" si="102"/>
        <v>0</v>
      </c>
      <c r="IV15" s="65"/>
      <c r="IW15" s="63"/>
      <c r="IX15" s="64">
        <f t="shared" si="103"/>
        <v>0</v>
      </c>
      <c r="IY15" s="65"/>
      <c r="IZ15" s="63"/>
      <c r="JA15" s="64">
        <f t="shared" si="104"/>
        <v>0</v>
      </c>
      <c r="JB15" s="66">
        <f t="shared" si="105"/>
        <v>0</v>
      </c>
      <c r="JC15" s="67">
        <f t="shared" si="106"/>
        <v>0</v>
      </c>
      <c r="JD15" s="64">
        <f t="shared" si="107"/>
        <v>0</v>
      </c>
      <c r="JE15" s="62"/>
      <c r="JF15" s="63"/>
      <c r="JG15" s="64">
        <f t="shared" si="108"/>
        <v>0</v>
      </c>
      <c r="JH15" s="65"/>
      <c r="JI15" s="63"/>
      <c r="JJ15" s="64">
        <f t="shared" si="109"/>
        <v>0</v>
      </c>
      <c r="JK15" s="65"/>
      <c r="JL15" s="63"/>
      <c r="JM15" s="64">
        <f t="shared" si="110"/>
        <v>0</v>
      </c>
      <c r="JN15" s="65">
        <v>100</v>
      </c>
      <c r="JO15" s="63"/>
      <c r="JP15" s="64">
        <f t="shared" si="111"/>
        <v>100</v>
      </c>
      <c r="JQ15" s="66">
        <f t="shared" si="112"/>
        <v>100</v>
      </c>
      <c r="JR15" s="67">
        <f t="shared" si="113"/>
        <v>0</v>
      </c>
      <c r="JS15" s="64">
        <f t="shared" si="114"/>
        <v>100</v>
      </c>
      <c r="JT15" s="62">
        <v>5553.7</v>
      </c>
      <c r="JU15" s="63">
        <v>5553.7</v>
      </c>
      <c r="JV15" s="64">
        <f t="shared" si="115"/>
        <v>0</v>
      </c>
      <c r="JW15" s="65"/>
      <c r="JX15" s="63"/>
      <c r="JY15" s="64">
        <f t="shared" si="116"/>
        <v>0</v>
      </c>
      <c r="JZ15" s="65"/>
      <c r="KA15" s="63"/>
      <c r="KB15" s="64">
        <f t="shared" si="117"/>
        <v>0</v>
      </c>
      <c r="KC15" s="65">
        <v>100</v>
      </c>
      <c r="KD15" s="63"/>
      <c r="KE15" s="64">
        <f t="shared" si="118"/>
        <v>100</v>
      </c>
      <c r="KF15" s="66">
        <f t="shared" si="119"/>
        <v>5653.7</v>
      </c>
      <c r="KG15" s="67">
        <f t="shared" si="120"/>
        <v>5553.7</v>
      </c>
      <c r="KH15" s="64">
        <f t="shared" si="121"/>
        <v>100</v>
      </c>
      <c r="KI15" s="68"/>
      <c r="KJ15" s="69"/>
      <c r="KK15" s="70"/>
      <c r="KL15" s="71"/>
      <c r="KM15" s="69"/>
      <c r="KN15" s="70"/>
      <c r="KO15" s="71"/>
      <c r="KP15" s="69"/>
      <c r="KQ15" s="70"/>
      <c r="KR15" s="71"/>
      <c r="KS15" s="69"/>
      <c r="KT15" s="64">
        <f t="shared" si="0"/>
        <v>0</v>
      </c>
      <c r="KU15" s="66">
        <f t="shared" si="1"/>
        <v>0</v>
      </c>
      <c r="KV15" s="67">
        <f t="shared" si="2"/>
        <v>0</v>
      </c>
      <c r="KW15" s="64">
        <f t="shared" si="122"/>
        <v>0</v>
      </c>
      <c r="KX15" s="72"/>
      <c r="KY15" s="73"/>
      <c r="KZ15" s="74"/>
      <c r="LA15" s="75"/>
      <c r="LB15" s="73"/>
      <c r="LC15" s="74"/>
      <c r="LD15" s="75"/>
      <c r="LE15" s="73"/>
      <c r="LF15" s="74"/>
      <c r="LG15" s="75"/>
      <c r="LH15" s="73"/>
      <c r="LI15" s="74"/>
      <c r="LJ15" s="76"/>
      <c r="LK15" s="77"/>
      <c r="LL15" s="74"/>
      <c r="LM15" s="68"/>
      <c r="LN15" s="69"/>
      <c r="LO15" s="70"/>
      <c r="LP15" s="71"/>
      <c r="LQ15" s="69"/>
      <c r="LR15" s="70"/>
      <c r="LS15" s="71"/>
      <c r="LT15" s="69"/>
      <c r="LU15" s="70"/>
      <c r="LV15" s="71"/>
      <c r="LW15" s="69"/>
      <c r="LX15" s="64">
        <f t="shared" si="123"/>
        <v>0</v>
      </c>
      <c r="LY15" s="66">
        <f t="shared" si="124"/>
        <v>0</v>
      </c>
      <c r="LZ15" s="67">
        <f t="shared" si="125"/>
        <v>0</v>
      </c>
      <c r="MA15" s="64">
        <f t="shared" si="126"/>
        <v>0</v>
      </c>
      <c r="MB15" s="62">
        <v>650</v>
      </c>
      <c r="MC15" s="63">
        <v>650</v>
      </c>
      <c r="MD15" s="64">
        <f t="shared" si="127"/>
        <v>0</v>
      </c>
      <c r="ME15" s="65">
        <v>939.61</v>
      </c>
      <c r="MF15" s="63">
        <v>939.61</v>
      </c>
      <c r="MG15" s="64">
        <f t="shared" si="128"/>
        <v>0</v>
      </c>
      <c r="MH15" s="65"/>
      <c r="MI15" s="63"/>
      <c r="MJ15" s="64">
        <f t="shared" si="129"/>
        <v>0</v>
      </c>
      <c r="MK15" s="65">
        <v>100</v>
      </c>
      <c r="ML15" s="63"/>
      <c r="MM15" s="64">
        <f t="shared" si="130"/>
        <v>100</v>
      </c>
      <c r="MN15" s="66">
        <f t="shared" si="131"/>
        <v>1689.6100000000001</v>
      </c>
      <c r="MO15" s="67">
        <f t="shared" si="132"/>
        <v>1589.6100000000001</v>
      </c>
      <c r="MP15" s="64">
        <f t="shared" si="133"/>
        <v>100</v>
      </c>
      <c r="MQ15" s="62"/>
      <c r="MR15" s="63"/>
      <c r="MS15" s="64">
        <f t="shared" si="134"/>
        <v>0</v>
      </c>
      <c r="MT15" s="65"/>
      <c r="MU15" s="63"/>
      <c r="MV15" s="64">
        <f t="shared" si="135"/>
        <v>0</v>
      </c>
      <c r="MW15" s="65"/>
      <c r="MX15" s="63"/>
      <c r="MY15" s="64">
        <f t="shared" si="136"/>
        <v>0</v>
      </c>
      <c r="MZ15" s="65"/>
      <c r="NA15" s="63"/>
      <c r="NB15" s="64">
        <f t="shared" si="137"/>
        <v>0</v>
      </c>
      <c r="NC15" s="66">
        <f t="shared" si="138"/>
        <v>0</v>
      </c>
      <c r="ND15" s="67">
        <f t="shared" si="139"/>
        <v>0</v>
      </c>
      <c r="NE15" s="64">
        <f t="shared" si="140"/>
        <v>0</v>
      </c>
      <c r="NF15" s="62">
        <v>1000</v>
      </c>
      <c r="NG15" s="63">
        <v>1000</v>
      </c>
      <c r="NH15" s="64">
        <f t="shared" si="141"/>
        <v>0</v>
      </c>
      <c r="NI15" s="65">
        <v>861.57</v>
      </c>
      <c r="NJ15" s="63">
        <v>861.57</v>
      </c>
      <c r="NK15" s="64">
        <f t="shared" si="142"/>
        <v>0</v>
      </c>
      <c r="NL15" s="65"/>
      <c r="NM15" s="63"/>
      <c r="NN15" s="64">
        <f t="shared" si="143"/>
        <v>0</v>
      </c>
      <c r="NO15" s="65">
        <v>100</v>
      </c>
      <c r="NP15" s="63">
        <v>240.71</v>
      </c>
      <c r="NQ15" s="64">
        <f t="shared" si="144"/>
        <v>-140.71</v>
      </c>
      <c r="NR15" s="66">
        <f t="shared" si="145"/>
        <v>1961.5700000000002</v>
      </c>
      <c r="NS15" s="67">
        <f t="shared" si="146"/>
        <v>2102.2800000000002</v>
      </c>
      <c r="NT15" s="64">
        <f t="shared" si="147"/>
        <v>-140.71000000000004</v>
      </c>
      <c r="NU15" s="62">
        <v>864</v>
      </c>
      <c r="NV15" s="63">
        <v>864</v>
      </c>
      <c r="NW15" s="64">
        <f t="shared" si="148"/>
        <v>0</v>
      </c>
      <c r="NX15" s="65">
        <v>868.01</v>
      </c>
      <c r="NY15" s="63"/>
      <c r="NZ15" s="64">
        <f t="shared" si="149"/>
        <v>868.01</v>
      </c>
      <c r="OA15" s="65"/>
      <c r="OB15" s="63"/>
      <c r="OC15" s="64">
        <f t="shared" si="150"/>
        <v>0</v>
      </c>
      <c r="OD15" s="65">
        <v>100</v>
      </c>
      <c r="OE15" s="63">
        <v>87.97</v>
      </c>
      <c r="OF15" s="64">
        <f t="shared" si="151"/>
        <v>12.030000000000001</v>
      </c>
      <c r="OG15" s="66">
        <f t="shared" si="152"/>
        <v>1832.01</v>
      </c>
      <c r="OH15" s="67">
        <f t="shared" si="153"/>
        <v>951.97</v>
      </c>
      <c r="OI15" s="64">
        <f t="shared" si="154"/>
        <v>880.04</v>
      </c>
      <c r="OJ15" s="62">
        <v>16000</v>
      </c>
      <c r="OK15" s="63">
        <v>16000</v>
      </c>
      <c r="OL15" s="64">
        <f t="shared" si="155"/>
        <v>0</v>
      </c>
      <c r="OM15" s="65"/>
      <c r="ON15" s="63"/>
      <c r="OO15" s="64">
        <f t="shared" si="156"/>
        <v>0</v>
      </c>
      <c r="OP15" s="65"/>
      <c r="OQ15" s="63"/>
      <c r="OR15" s="64">
        <f t="shared" si="157"/>
        <v>0</v>
      </c>
      <c r="OS15" s="65">
        <v>100</v>
      </c>
      <c r="OT15" s="63"/>
      <c r="OU15" s="64">
        <f t="shared" si="158"/>
        <v>100</v>
      </c>
      <c r="OV15" s="66">
        <f t="shared" si="159"/>
        <v>16100</v>
      </c>
      <c r="OW15" s="67">
        <f t="shared" si="160"/>
        <v>16000</v>
      </c>
      <c r="OX15" s="64">
        <f t="shared" si="161"/>
        <v>100</v>
      </c>
      <c r="OY15" s="62"/>
      <c r="OZ15" s="63"/>
      <c r="PA15" s="64">
        <f t="shared" si="162"/>
        <v>0</v>
      </c>
      <c r="PB15" s="65"/>
      <c r="PC15" s="63"/>
      <c r="PD15" s="64">
        <f t="shared" si="163"/>
        <v>0</v>
      </c>
      <c r="PE15" s="65"/>
      <c r="PF15" s="63"/>
      <c r="PG15" s="64">
        <f t="shared" si="164"/>
        <v>0</v>
      </c>
      <c r="PH15" s="65">
        <v>100</v>
      </c>
      <c r="PI15" s="63"/>
      <c r="PJ15" s="64">
        <f t="shared" si="165"/>
        <v>100</v>
      </c>
      <c r="PK15" s="66">
        <f t="shared" si="166"/>
        <v>100</v>
      </c>
      <c r="PL15" s="67">
        <f t="shared" si="167"/>
        <v>0</v>
      </c>
      <c r="PM15" s="64">
        <f t="shared" si="168"/>
        <v>100</v>
      </c>
      <c r="PN15" s="62">
        <v>1400</v>
      </c>
      <c r="PO15" s="63">
        <v>1400</v>
      </c>
      <c r="PP15" s="64">
        <f t="shared" si="169"/>
        <v>0</v>
      </c>
      <c r="PQ15" s="65"/>
      <c r="PR15" s="63"/>
      <c r="PS15" s="64">
        <f t="shared" si="170"/>
        <v>0</v>
      </c>
      <c r="PT15" s="65"/>
      <c r="PU15" s="63"/>
      <c r="PV15" s="64">
        <f t="shared" si="171"/>
        <v>0</v>
      </c>
      <c r="PW15" s="65">
        <v>100</v>
      </c>
      <c r="PX15" s="63"/>
      <c r="PY15" s="64">
        <f t="shared" si="172"/>
        <v>100</v>
      </c>
      <c r="PZ15" s="66">
        <f t="shared" si="173"/>
        <v>1500</v>
      </c>
      <c r="QA15" s="67">
        <f t="shared" si="174"/>
        <v>1400</v>
      </c>
      <c r="QB15" s="64">
        <f t="shared" si="175"/>
        <v>100</v>
      </c>
      <c r="QC15" s="62"/>
      <c r="QD15" s="63"/>
      <c r="QE15" s="64">
        <f t="shared" si="176"/>
        <v>0</v>
      </c>
      <c r="QF15" s="65"/>
      <c r="QG15" s="63"/>
      <c r="QH15" s="64">
        <f t="shared" si="177"/>
        <v>0</v>
      </c>
      <c r="QI15" s="65"/>
      <c r="QJ15" s="63"/>
      <c r="QK15" s="64">
        <f t="shared" si="178"/>
        <v>0</v>
      </c>
      <c r="QL15" s="65">
        <v>100</v>
      </c>
      <c r="QM15" s="63"/>
      <c r="QN15" s="64">
        <f t="shared" si="179"/>
        <v>100</v>
      </c>
      <c r="QO15" s="66">
        <f t="shared" si="180"/>
        <v>100</v>
      </c>
      <c r="QP15" s="67">
        <f t="shared" si="181"/>
        <v>0</v>
      </c>
      <c r="QQ15" s="64">
        <f t="shared" si="182"/>
        <v>100</v>
      </c>
      <c r="QR15" s="62"/>
      <c r="QS15" s="63"/>
      <c r="QT15" s="64">
        <f t="shared" si="183"/>
        <v>0</v>
      </c>
      <c r="QU15" s="65"/>
      <c r="QV15" s="63"/>
      <c r="QW15" s="64">
        <f t="shared" si="184"/>
        <v>0</v>
      </c>
      <c r="QX15" s="65"/>
      <c r="QY15" s="63"/>
      <c r="QZ15" s="64">
        <f t="shared" si="185"/>
        <v>0</v>
      </c>
      <c r="RA15" s="65"/>
      <c r="RB15" s="63"/>
      <c r="RC15" s="64">
        <f t="shared" si="186"/>
        <v>0</v>
      </c>
      <c r="RD15" s="66">
        <f t="shared" si="187"/>
        <v>0</v>
      </c>
      <c r="RE15" s="67">
        <f t="shared" si="188"/>
        <v>0</v>
      </c>
      <c r="RF15" s="64">
        <f t="shared" si="189"/>
        <v>0</v>
      </c>
      <c r="RG15" s="62"/>
      <c r="RH15" s="63"/>
      <c r="RI15" s="64">
        <f t="shared" si="190"/>
        <v>0</v>
      </c>
      <c r="RJ15" s="65"/>
      <c r="RK15" s="63"/>
      <c r="RL15" s="64">
        <f t="shared" si="191"/>
        <v>0</v>
      </c>
      <c r="RM15" s="65"/>
      <c r="RN15" s="63"/>
      <c r="RO15" s="64">
        <f t="shared" si="192"/>
        <v>0</v>
      </c>
      <c r="RP15" s="65"/>
      <c r="RQ15" s="63"/>
      <c r="RR15" s="64">
        <f t="shared" si="193"/>
        <v>0</v>
      </c>
      <c r="RS15" s="66">
        <f t="shared" si="194"/>
        <v>0</v>
      </c>
      <c r="RT15" s="67">
        <f t="shared" si="195"/>
        <v>0</v>
      </c>
      <c r="RU15" s="64">
        <f t="shared" si="196"/>
        <v>0</v>
      </c>
      <c r="RV15" s="62"/>
      <c r="RW15" s="63"/>
      <c r="RX15" s="64">
        <f t="shared" si="197"/>
        <v>0</v>
      </c>
      <c r="RY15" s="65"/>
      <c r="RZ15" s="63"/>
      <c r="SA15" s="64">
        <f t="shared" si="198"/>
        <v>0</v>
      </c>
      <c r="SB15" s="65"/>
      <c r="SC15" s="63"/>
      <c r="SD15" s="64">
        <f t="shared" si="199"/>
        <v>0</v>
      </c>
      <c r="SE15" s="65">
        <v>100</v>
      </c>
      <c r="SF15" s="63"/>
      <c r="SG15" s="64">
        <f t="shared" si="200"/>
        <v>100</v>
      </c>
      <c r="SH15" s="66">
        <f t="shared" si="201"/>
        <v>100</v>
      </c>
      <c r="SI15" s="67">
        <f t="shared" si="202"/>
        <v>0</v>
      </c>
      <c r="SJ15" s="64">
        <f t="shared" si="203"/>
        <v>100</v>
      </c>
      <c r="SK15" s="62"/>
      <c r="SL15" s="63"/>
      <c r="SM15" s="64">
        <f t="shared" si="204"/>
        <v>0</v>
      </c>
      <c r="SN15" s="65"/>
      <c r="SO15" s="63"/>
      <c r="SP15" s="64">
        <f t="shared" si="205"/>
        <v>0</v>
      </c>
      <c r="SQ15" s="65"/>
      <c r="SR15" s="63"/>
      <c r="SS15" s="64">
        <f t="shared" si="206"/>
        <v>0</v>
      </c>
      <c r="ST15" s="65">
        <v>100</v>
      </c>
      <c r="SU15" s="63"/>
      <c r="SV15" s="64">
        <f t="shared" si="207"/>
        <v>100</v>
      </c>
      <c r="SW15" s="66">
        <f t="shared" si="208"/>
        <v>100</v>
      </c>
      <c r="SX15" s="67">
        <f t="shared" si="209"/>
        <v>0</v>
      </c>
      <c r="SY15" s="64">
        <f t="shared" si="210"/>
        <v>100</v>
      </c>
      <c r="SZ15" s="62">
        <v>1321.16</v>
      </c>
      <c r="TA15" s="63">
        <v>1321.16</v>
      </c>
      <c r="TB15" s="64">
        <f t="shared" si="211"/>
        <v>0</v>
      </c>
      <c r="TC15" s="65"/>
      <c r="TD15" s="63"/>
      <c r="TE15" s="64">
        <f t="shared" si="212"/>
        <v>0</v>
      </c>
      <c r="TF15" s="65"/>
      <c r="TG15" s="63"/>
      <c r="TH15" s="64">
        <f t="shared" si="213"/>
        <v>0</v>
      </c>
      <c r="TI15" s="65">
        <v>100</v>
      </c>
      <c r="TJ15" s="63"/>
      <c r="TK15" s="64">
        <f t="shared" si="214"/>
        <v>100</v>
      </c>
      <c r="TL15" s="66">
        <f t="shared" si="215"/>
        <v>1421.16</v>
      </c>
      <c r="TM15" s="67">
        <f t="shared" si="216"/>
        <v>1321.16</v>
      </c>
      <c r="TN15" s="64">
        <f t="shared" si="217"/>
        <v>100</v>
      </c>
      <c r="TO15" s="62"/>
      <c r="TP15" s="63"/>
      <c r="TQ15" s="64">
        <f t="shared" si="218"/>
        <v>0</v>
      </c>
      <c r="TR15" s="65"/>
      <c r="TS15" s="63"/>
      <c r="TT15" s="64">
        <f t="shared" si="219"/>
        <v>0</v>
      </c>
      <c r="TU15" s="65"/>
      <c r="TV15" s="63"/>
      <c r="TW15" s="64">
        <f t="shared" si="220"/>
        <v>0</v>
      </c>
      <c r="TX15" s="65">
        <v>100</v>
      </c>
      <c r="TY15" s="63">
        <v>64.19</v>
      </c>
      <c r="TZ15" s="64">
        <f t="shared" si="221"/>
        <v>35.81</v>
      </c>
      <c r="UA15" s="66">
        <f t="shared" si="222"/>
        <v>100</v>
      </c>
      <c r="UB15" s="67">
        <f t="shared" si="223"/>
        <v>64.19</v>
      </c>
      <c r="UC15" s="64">
        <f t="shared" si="224"/>
        <v>35.81</v>
      </c>
      <c r="UD15" s="68"/>
      <c r="UE15" s="69"/>
      <c r="UF15" s="70"/>
      <c r="UG15" s="71"/>
      <c r="UH15" s="69"/>
      <c r="UI15" s="70"/>
      <c r="UJ15" s="71"/>
      <c r="UK15" s="69"/>
      <c r="UL15" s="70"/>
      <c r="UM15" s="71"/>
      <c r="UN15" s="69"/>
      <c r="UO15" s="64">
        <f t="shared" si="225"/>
        <v>0</v>
      </c>
      <c r="UP15" s="66">
        <f t="shared" si="226"/>
        <v>0</v>
      </c>
      <c r="UQ15" s="67">
        <f t="shared" si="227"/>
        <v>0</v>
      </c>
      <c r="UR15" s="64">
        <f t="shared" si="228"/>
        <v>0</v>
      </c>
      <c r="US15" s="62"/>
      <c r="UT15" s="63"/>
      <c r="UU15" s="64">
        <f t="shared" si="229"/>
        <v>0</v>
      </c>
      <c r="UV15" s="65"/>
      <c r="UW15" s="63"/>
      <c r="UX15" s="64">
        <f t="shared" si="230"/>
        <v>0</v>
      </c>
      <c r="UY15" s="65"/>
      <c r="UZ15" s="63"/>
      <c r="VA15" s="64">
        <f t="shared" si="231"/>
        <v>0</v>
      </c>
      <c r="VB15" s="65">
        <v>100</v>
      </c>
      <c r="VC15" s="63"/>
      <c r="VD15" s="64">
        <f t="shared" si="232"/>
        <v>100</v>
      </c>
      <c r="VE15" s="66">
        <f t="shared" si="233"/>
        <v>100</v>
      </c>
      <c r="VF15" s="67">
        <f t="shared" si="234"/>
        <v>0</v>
      </c>
      <c r="VG15" s="64">
        <f t="shared" si="235"/>
        <v>100</v>
      </c>
      <c r="VH15" s="62"/>
      <c r="VI15" s="63"/>
      <c r="VJ15" s="64">
        <f t="shared" si="236"/>
        <v>0</v>
      </c>
      <c r="VK15" s="65"/>
      <c r="VL15" s="63"/>
      <c r="VM15" s="64">
        <f t="shared" si="237"/>
        <v>0</v>
      </c>
      <c r="VN15" s="65"/>
      <c r="VO15" s="63"/>
      <c r="VP15" s="64">
        <f t="shared" si="238"/>
        <v>0</v>
      </c>
      <c r="VQ15" s="65">
        <v>100</v>
      </c>
      <c r="VR15" s="63">
        <v>64.33</v>
      </c>
      <c r="VS15" s="64">
        <f t="shared" si="239"/>
        <v>35.67</v>
      </c>
      <c r="VT15" s="66">
        <f t="shared" si="240"/>
        <v>100</v>
      </c>
      <c r="VU15" s="67">
        <f t="shared" si="241"/>
        <v>64.33</v>
      </c>
      <c r="VV15" s="64">
        <f t="shared" si="242"/>
        <v>35.67</v>
      </c>
      <c r="VW15" s="62"/>
      <c r="VX15" s="63"/>
      <c r="VY15" s="64">
        <f t="shared" si="243"/>
        <v>0</v>
      </c>
      <c r="VZ15" s="65"/>
      <c r="WA15" s="63"/>
      <c r="WB15" s="64">
        <f t="shared" si="244"/>
        <v>0</v>
      </c>
      <c r="WC15" s="65"/>
      <c r="WD15" s="63"/>
      <c r="WE15" s="64">
        <f t="shared" si="245"/>
        <v>0</v>
      </c>
      <c r="WF15" s="65"/>
      <c r="WG15" s="63"/>
      <c r="WH15" s="64">
        <f t="shared" si="246"/>
        <v>0</v>
      </c>
      <c r="WI15" s="66">
        <f t="shared" si="247"/>
        <v>0</v>
      </c>
      <c r="WJ15" s="67">
        <f t="shared" si="248"/>
        <v>0</v>
      </c>
      <c r="WK15" s="64">
        <f t="shared" si="249"/>
        <v>0</v>
      </c>
      <c r="WL15" s="62">
        <v>1276.01</v>
      </c>
      <c r="WM15" s="63">
        <v>1276.01</v>
      </c>
      <c r="WN15" s="64">
        <f t="shared" si="250"/>
        <v>0</v>
      </c>
      <c r="WO15" s="65"/>
      <c r="WP15" s="63"/>
      <c r="WQ15" s="64">
        <f t="shared" si="251"/>
        <v>0</v>
      </c>
      <c r="WR15" s="65"/>
      <c r="WS15" s="63"/>
      <c r="WT15" s="64">
        <f t="shared" si="252"/>
        <v>0</v>
      </c>
      <c r="WU15" s="65">
        <v>100</v>
      </c>
      <c r="WV15" s="63"/>
      <c r="WW15" s="64">
        <f t="shared" si="253"/>
        <v>100</v>
      </c>
      <c r="WX15" s="66">
        <f t="shared" si="254"/>
        <v>1376.01</v>
      </c>
      <c r="WY15" s="67">
        <f t="shared" si="255"/>
        <v>1276.01</v>
      </c>
      <c r="WZ15" s="64">
        <f t="shared" si="256"/>
        <v>100</v>
      </c>
      <c r="XA15" s="62"/>
      <c r="XB15" s="63"/>
      <c r="XC15" s="64">
        <f t="shared" si="257"/>
        <v>0</v>
      </c>
      <c r="XD15" s="65"/>
      <c r="XE15" s="63"/>
      <c r="XF15" s="64">
        <f t="shared" si="258"/>
        <v>0</v>
      </c>
      <c r="XG15" s="65"/>
      <c r="XH15" s="63"/>
      <c r="XI15" s="64">
        <f t="shared" si="259"/>
        <v>0</v>
      </c>
      <c r="XJ15" s="65">
        <v>100</v>
      </c>
      <c r="XK15" s="63"/>
      <c r="XL15" s="64">
        <f t="shared" si="260"/>
        <v>100</v>
      </c>
      <c r="XM15" s="66">
        <f t="shared" si="261"/>
        <v>100</v>
      </c>
      <c r="XN15" s="67">
        <f t="shared" si="262"/>
        <v>0</v>
      </c>
      <c r="XO15" s="64">
        <f t="shared" si="263"/>
        <v>100</v>
      </c>
      <c r="XP15" s="62">
        <v>917</v>
      </c>
      <c r="XQ15" s="63">
        <v>917</v>
      </c>
      <c r="XR15" s="64">
        <f t="shared" si="264"/>
        <v>0</v>
      </c>
      <c r="XS15" s="65">
        <v>583.71</v>
      </c>
      <c r="XT15" s="63">
        <v>583.71</v>
      </c>
      <c r="XU15" s="64">
        <f t="shared" si="265"/>
        <v>0</v>
      </c>
      <c r="XV15" s="65"/>
      <c r="XW15" s="63"/>
      <c r="XX15" s="64">
        <f t="shared" si="266"/>
        <v>0</v>
      </c>
      <c r="XY15" s="65">
        <v>100</v>
      </c>
      <c r="XZ15" s="63">
        <v>71.540000000000006</v>
      </c>
      <c r="YA15" s="64">
        <f t="shared" si="267"/>
        <v>28.459999999999994</v>
      </c>
      <c r="YB15" s="66">
        <f t="shared" si="268"/>
        <v>1600.71</v>
      </c>
      <c r="YC15" s="67">
        <f t="shared" si="269"/>
        <v>1572.25</v>
      </c>
      <c r="YD15" s="64">
        <f t="shared" si="270"/>
        <v>28.460000000000036</v>
      </c>
      <c r="YE15" s="62">
        <v>890</v>
      </c>
      <c r="YF15" s="63">
        <v>890</v>
      </c>
      <c r="YG15" s="64">
        <f t="shared" si="271"/>
        <v>0</v>
      </c>
      <c r="YH15" s="65">
        <v>572.61</v>
      </c>
      <c r="YI15" s="63">
        <v>572.61</v>
      </c>
      <c r="YJ15" s="64">
        <f t="shared" si="272"/>
        <v>0</v>
      </c>
      <c r="YK15" s="65"/>
      <c r="YL15" s="63"/>
      <c r="YM15" s="64">
        <f t="shared" si="273"/>
        <v>0</v>
      </c>
      <c r="YN15" s="65">
        <v>100</v>
      </c>
      <c r="YO15" s="63">
        <v>76.430000000000007</v>
      </c>
      <c r="YP15" s="64">
        <f t="shared" si="274"/>
        <v>23.569999999999993</v>
      </c>
      <c r="YQ15" s="66">
        <f t="shared" si="275"/>
        <v>1562.6100000000001</v>
      </c>
      <c r="YR15" s="67">
        <f t="shared" si="276"/>
        <v>1539.0400000000002</v>
      </c>
      <c r="YS15" s="64">
        <f t="shared" si="277"/>
        <v>23.569999999999936</v>
      </c>
      <c r="YT15" s="62">
        <v>932</v>
      </c>
      <c r="YU15" s="63">
        <v>932</v>
      </c>
      <c r="YV15" s="64">
        <f t="shared" si="278"/>
        <v>0</v>
      </c>
      <c r="YW15" s="65">
        <v>598.65</v>
      </c>
      <c r="YX15" s="63">
        <v>598.65</v>
      </c>
      <c r="YY15" s="64">
        <f t="shared" si="279"/>
        <v>0</v>
      </c>
      <c r="YZ15" s="65"/>
      <c r="ZA15" s="63"/>
      <c r="ZB15" s="64">
        <f t="shared" si="280"/>
        <v>0</v>
      </c>
      <c r="ZC15" s="65">
        <v>100</v>
      </c>
      <c r="ZD15" s="63"/>
      <c r="ZE15" s="64">
        <f t="shared" si="281"/>
        <v>100</v>
      </c>
      <c r="ZF15" s="66">
        <f t="shared" si="282"/>
        <v>1630.65</v>
      </c>
      <c r="ZG15" s="67">
        <f t="shared" si="283"/>
        <v>1530.65</v>
      </c>
      <c r="ZH15" s="64">
        <f t="shared" si="284"/>
        <v>100</v>
      </c>
      <c r="ZI15" s="62">
        <v>1250</v>
      </c>
      <c r="ZJ15" s="63">
        <v>1250</v>
      </c>
      <c r="ZK15" s="64">
        <f t="shared" si="285"/>
        <v>0</v>
      </c>
      <c r="ZL15" s="65"/>
      <c r="ZM15" s="63"/>
      <c r="ZN15" s="64">
        <f t="shared" si="286"/>
        <v>0</v>
      </c>
      <c r="ZO15" s="65"/>
      <c r="ZP15" s="63"/>
      <c r="ZQ15" s="64">
        <f t="shared" si="287"/>
        <v>0</v>
      </c>
      <c r="ZR15" s="65">
        <v>100</v>
      </c>
      <c r="ZS15" s="63"/>
      <c r="ZT15" s="64">
        <f t="shared" si="288"/>
        <v>100</v>
      </c>
      <c r="ZU15" s="66">
        <f t="shared" si="289"/>
        <v>1350</v>
      </c>
      <c r="ZV15" s="67">
        <f t="shared" si="290"/>
        <v>1250</v>
      </c>
      <c r="ZW15" s="64">
        <f t="shared" si="291"/>
        <v>100</v>
      </c>
      <c r="ZX15" s="62">
        <v>24.71</v>
      </c>
      <c r="ZY15" s="63">
        <v>24.71</v>
      </c>
      <c r="ZZ15" s="64">
        <f t="shared" si="292"/>
        <v>0</v>
      </c>
      <c r="AAA15" s="66">
        <f t="shared" si="293"/>
        <v>24.71</v>
      </c>
      <c r="AAB15" s="67">
        <f t="shared" si="293"/>
        <v>24.71</v>
      </c>
      <c r="AAC15" s="64">
        <f t="shared" si="294"/>
        <v>0</v>
      </c>
      <c r="AAD15" s="85">
        <f t="shared" si="295"/>
        <v>88124.01</v>
      </c>
      <c r="AAE15" s="86">
        <f t="shared" si="295"/>
        <v>85372.25</v>
      </c>
      <c r="AAF15" s="87">
        <f t="shared" si="3"/>
        <v>0.96877400381575929</v>
      </c>
      <c r="AAG15" s="88">
        <f t="shared" si="4"/>
        <v>-2751.7599999999948</v>
      </c>
      <c r="AAH15" s="96">
        <f>AAH11-AAH7</f>
        <v>18950.600000000326</v>
      </c>
      <c r="AAI15" s="97"/>
      <c r="AAJ15" s="97"/>
      <c r="AAK15" s="82"/>
    </row>
    <row r="16" spans="1:714" s="83" customFormat="1" ht="20" customHeight="1" thickBot="1" x14ac:dyDescent="0.25">
      <c r="A16" s="84" t="s">
        <v>152</v>
      </c>
      <c r="B16" s="96"/>
      <c r="C16" s="97"/>
      <c r="D16" s="97"/>
      <c r="E16" s="60"/>
      <c r="F16" s="61">
        <v>44896</v>
      </c>
      <c r="G16" s="62">
        <v>29428</v>
      </c>
      <c r="H16" s="63">
        <v>29428</v>
      </c>
      <c r="I16" s="64">
        <f t="shared" si="5"/>
        <v>0</v>
      </c>
      <c r="J16" s="65">
        <v>4064</v>
      </c>
      <c r="K16" s="63">
        <v>4064.16</v>
      </c>
      <c r="L16" s="64">
        <f t="shared" si="6"/>
        <v>-0.15999999999985448</v>
      </c>
      <c r="M16" s="65">
        <v>1600</v>
      </c>
      <c r="N16" s="63">
        <v>0</v>
      </c>
      <c r="O16" s="64">
        <f t="shared" si="7"/>
        <v>1600</v>
      </c>
      <c r="P16" s="65">
        <v>500</v>
      </c>
      <c r="Q16" s="63">
        <v>1195.3</v>
      </c>
      <c r="R16" s="64">
        <f t="shared" si="8"/>
        <v>-695.3</v>
      </c>
      <c r="S16" s="65">
        <v>600</v>
      </c>
      <c r="T16" s="63">
        <v>165.24</v>
      </c>
      <c r="U16" s="64">
        <f t="shared" si="9"/>
        <v>434.76</v>
      </c>
      <c r="V16" s="66">
        <f t="shared" si="10"/>
        <v>36192</v>
      </c>
      <c r="W16" s="67">
        <f t="shared" si="10"/>
        <v>34852.700000000004</v>
      </c>
      <c r="X16" s="64">
        <f t="shared" si="11"/>
        <v>1339.2999999999956</v>
      </c>
      <c r="Y16" s="62"/>
      <c r="Z16" s="63"/>
      <c r="AA16" s="64">
        <f t="shared" si="12"/>
        <v>0</v>
      </c>
      <c r="AB16" s="65"/>
      <c r="AC16" s="63"/>
      <c r="AD16" s="64">
        <f t="shared" si="13"/>
        <v>0</v>
      </c>
      <c r="AE16" s="65"/>
      <c r="AF16" s="63"/>
      <c r="AG16" s="64">
        <f t="shared" si="14"/>
        <v>0</v>
      </c>
      <c r="AH16" s="65"/>
      <c r="AI16" s="63"/>
      <c r="AJ16" s="64">
        <f t="shared" si="15"/>
        <v>0</v>
      </c>
      <c r="AK16" s="66">
        <f t="shared" si="16"/>
        <v>0</v>
      </c>
      <c r="AL16" s="67">
        <f t="shared" si="17"/>
        <v>0</v>
      </c>
      <c r="AM16" s="64">
        <f t="shared" si="18"/>
        <v>0</v>
      </c>
      <c r="AN16" s="62"/>
      <c r="AO16" s="63"/>
      <c r="AP16" s="64">
        <f t="shared" si="19"/>
        <v>0</v>
      </c>
      <c r="AQ16" s="65"/>
      <c r="AR16" s="63"/>
      <c r="AS16" s="64">
        <f t="shared" si="20"/>
        <v>0</v>
      </c>
      <c r="AT16" s="65"/>
      <c r="AU16" s="63"/>
      <c r="AV16" s="64">
        <f t="shared" si="21"/>
        <v>0</v>
      </c>
      <c r="AW16" s="65"/>
      <c r="AX16" s="63"/>
      <c r="AY16" s="64">
        <f t="shared" si="22"/>
        <v>0</v>
      </c>
      <c r="AZ16" s="66">
        <f t="shared" si="23"/>
        <v>0</v>
      </c>
      <c r="BA16" s="67">
        <f t="shared" si="24"/>
        <v>0</v>
      </c>
      <c r="BB16" s="64">
        <f t="shared" si="25"/>
        <v>0</v>
      </c>
      <c r="BC16" s="62"/>
      <c r="BD16" s="63"/>
      <c r="BE16" s="64">
        <f t="shared" si="26"/>
        <v>0</v>
      </c>
      <c r="BF16" s="65"/>
      <c r="BG16" s="63"/>
      <c r="BH16" s="64">
        <f t="shared" si="27"/>
        <v>0</v>
      </c>
      <c r="BI16" s="65"/>
      <c r="BJ16" s="63"/>
      <c r="BK16" s="64">
        <f t="shared" si="28"/>
        <v>0</v>
      </c>
      <c r="BL16" s="65">
        <v>100</v>
      </c>
      <c r="BM16" s="63"/>
      <c r="BN16" s="64">
        <f t="shared" si="29"/>
        <v>100</v>
      </c>
      <c r="BO16" s="66">
        <f t="shared" si="30"/>
        <v>100</v>
      </c>
      <c r="BP16" s="67">
        <f t="shared" si="31"/>
        <v>0</v>
      </c>
      <c r="BQ16" s="64">
        <f t="shared" si="32"/>
        <v>100</v>
      </c>
      <c r="BR16" s="62"/>
      <c r="BS16" s="63"/>
      <c r="BT16" s="64">
        <f>BR16-BS16</f>
        <v>0</v>
      </c>
      <c r="BU16" s="65">
        <v>687.48</v>
      </c>
      <c r="BV16" s="63">
        <v>687.48</v>
      </c>
      <c r="BW16" s="64">
        <f>BU16-BV16</f>
        <v>0</v>
      </c>
      <c r="BX16" s="65"/>
      <c r="BY16" s="63"/>
      <c r="BZ16" s="64">
        <f>BX16-BY16</f>
        <v>0</v>
      </c>
      <c r="CA16" s="65"/>
      <c r="CB16" s="63"/>
      <c r="CC16" s="64">
        <f>CA16-CB16</f>
        <v>0</v>
      </c>
      <c r="CD16" s="66">
        <f t="shared" si="33"/>
        <v>687.48</v>
      </c>
      <c r="CE16" s="67">
        <f t="shared" si="34"/>
        <v>687.48</v>
      </c>
      <c r="CF16" s="64">
        <f t="shared" si="35"/>
        <v>0</v>
      </c>
      <c r="CG16" s="62"/>
      <c r="CH16" s="63"/>
      <c r="CI16" s="64">
        <f t="shared" si="36"/>
        <v>0</v>
      </c>
      <c r="CJ16" s="65"/>
      <c r="CK16" s="63"/>
      <c r="CL16" s="64">
        <f t="shared" si="37"/>
        <v>0</v>
      </c>
      <c r="CM16" s="65"/>
      <c r="CN16" s="63"/>
      <c r="CO16" s="64">
        <f t="shared" si="38"/>
        <v>0</v>
      </c>
      <c r="CP16" s="65"/>
      <c r="CQ16" s="63"/>
      <c r="CR16" s="64">
        <f t="shared" si="39"/>
        <v>0</v>
      </c>
      <c r="CS16" s="66">
        <f t="shared" si="40"/>
        <v>0</v>
      </c>
      <c r="CT16" s="67">
        <f t="shared" si="41"/>
        <v>0</v>
      </c>
      <c r="CU16" s="64">
        <f t="shared" si="42"/>
        <v>0</v>
      </c>
      <c r="CV16" s="68"/>
      <c r="CW16" s="69"/>
      <c r="CX16" s="70"/>
      <c r="CY16" s="71"/>
      <c r="CZ16" s="69"/>
      <c r="DA16" s="70"/>
      <c r="DB16" s="71"/>
      <c r="DC16" s="69"/>
      <c r="DD16" s="70"/>
      <c r="DE16" s="71"/>
      <c r="DF16" s="69"/>
      <c r="DG16" s="70"/>
      <c r="DH16" s="66">
        <f t="shared" si="43"/>
        <v>0</v>
      </c>
      <c r="DI16" s="67">
        <f t="shared" si="44"/>
        <v>0</v>
      </c>
      <c r="DJ16" s="64">
        <f t="shared" si="45"/>
        <v>0</v>
      </c>
      <c r="DK16" s="68"/>
      <c r="DL16" s="69"/>
      <c r="DM16" s="70"/>
      <c r="DN16" s="71"/>
      <c r="DO16" s="69"/>
      <c r="DP16" s="70"/>
      <c r="DQ16" s="71"/>
      <c r="DR16" s="69"/>
      <c r="DS16" s="70"/>
      <c r="DT16" s="71"/>
      <c r="DU16" s="69"/>
      <c r="DV16" s="70"/>
      <c r="DW16" s="66">
        <f t="shared" si="46"/>
        <v>0</v>
      </c>
      <c r="DX16" s="67">
        <f t="shared" si="47"/>
        <v>0</v>
      </c>
      <c r="DY16" s="64">
        <f t="shared" si="48"/>
        <v>0</v>
      </c>
      <c r="DZ16" s="62"/>
      <c r="EA16" s="63"/>
      <c r="EB16" s="64">
        <f t="shared" si="49"/>
        <v>0</v>
      </c>
      <c r="EC16" s="65"/>
      <c r="ED16" s="63"/>
      <c r="EE16" s="64">
        <f t="shared" si="50"/>
        <v>0</v>
      </c>
      <c r="EF16" s="65"/>
      <c r="EG16" s="63"/>
      <c r="EH16" s="64">
        <f t="shared" si="51"/>
        <v>0</v>
      </c>
      <c r="EI16" s="65">
        <v>100</v>
      </c>
      <c r="EJ16" s="63">
        <v>141.31</v>
      </c>
      <c r="EK16" s="64">
        <f t="shared" si="52"/>
        <v>-41.31</v>
      </c>
      <c r="EL16" s="66">
        <f t="shared" si="53"/>
        <v>100</v>
      </c>
      <c r="EM16" s="67">
        <f t="shared" si="54"/>
        <v>141.31</v>
      </c>
      <c r="EN16" s="64">
        <f t="shared" si="55"/>
        <v>-41.31</v>
      </c>
      <c r="EO16" s="62">
        <v>5596.25</v>
      </c>
      <c r="EP16" s="63">
        <v>5596.25</v>
      </c>
      <c r="EQ16" s="64">
        <f t="shared" si="56"/>
        <v>0</v>
      </c>
      <c r="ER16" s="65"/>
      <c r="ES16" s="63"/>
      <c r="ET16" s="64">
        <f t="shared" si="57"/>
        <v>0</v>
      </c>
      <c r="EU16" s="65"/>
      <c r="EV16" s="63"/>
      <c r="EW16" s="64">
        <f t="shared" si="58"/>
        <v>0</v>
      </c>
      <c r="EX16" s="65">
        <v>100</v>
      </c>
      <c r="EY16" s="63"/>
      <c r="EZ16" s="64">
        <f t="shared" si="59"/>
        <v>100</v>
      </c>
      <c r="FA16" s="66">
        <f t="shared" si="60"/>
        <v>5696.25</v>
      </c>
      <c r="FB16" s="67">
        <f t="shared" si="61"/>
        <v>5596.25</v>
      </c>
      <c r="FC16" s="64">
        <f t="shared" si="62"/>
        <v>100</v>
      </c>
      <c r="FD16" s="62">
        <v>5596.25</v>
      </c>
      <c r="FE16" s="63">
        <v>5596.25</v>
      </c>
      <c r="FF16" s="64">
        <f t="shared" si="63"/>
        <v>0</v>
      </c>
      <c r="FG16" s="65"/>
      <c r="FH16" s="63"/>
      <c r="FI16" s="64">
        <f t="shared" si="64"/>
        <v>0</v>
      </c>
      <c r="FJ16" s="65"/>
      <c r="FK16" s="63"/>
      <c r="FL16" s="64">
        <f t="shared" si="65"/>
        <v>0</v>
      </c>
      <c r="FM16" s="65">
        <v>100</v>
      </c>
      <c r="FN16" s="63"/>
      <c r="FO16" s="64">
        <f t="shared" si="66"/>
        <v>100</v>
      </c>
      <c r="FP16" s="66">
        <f t="shared" si="67"/>
        <v>5696.25</v>
      </c>
      <c r="FQ16" s="67">
        <f t="shared" si="68"/>
        <v>5596.25</v>
      </c>
      <c r="FR16" s="64">
        <f t="shared" si="69"/>
        <v>100</v>
      </c>
      <c r="FS16" s="62"/>
      <c r="FT16" s="63"/>
      <c r="FU16" s="64">
        <f t="shared" si="70"/>
        <v>0</v>
      </c>
      <c r="FV16" s="65"/>
      <c r="FW16" s="63"/>
      <c r="FX16" s="64">
        <f t="shared" si="71"/>
        <v>0</v>
      </c>
      <c r="FY16" s="65"/>
      <c r="FZ16" s="63"/>
      <c r="GA16" s="64">
        <f t="shared" si="72"/>
        <v>0</v>
      </c>
      <c r="GB16" s="65"/>
      <c r="GC16" s="63"/>
      <c r="GD16" s="64">
        <f t="shared" si="73"/>
        <v>0</v>
      </c>
      <c r="GE16" s="66">
        <f t="shared" si="74"/>
        <v>0</v>
      </c>
      <c r="GF16" s="67">
        <f t="shared" si="75"/>
        <v>0</v>
      </c>
      <c r="GG16" s="64">
        <f t="shared" si="76"/>
        <v>0</v>
      </c>
      <c r="GH16" s="62"/>
      <c r="GI16" s="63"/>
      <c r="GJ16" s="64">
        <f t="shared" si="77"/>
        <v>0</v>
      </c>
      <c r="GK16" s="65"/>
      <c r="GL16" s="63"/>
      <c r="GM16" s="64">
        <f t="shared" si="78"/>
        <v>0</v>
      </c>
      <c r="GN16" s="65"/>
      <c r="GO16" s="63"/>
      <c r="GP16" s="64">
        <f t="shared" si="79"/>
        <v>0</v>
      </c>
      <c r="GQ16" s="65"/>
      <c r="GR16" s="63"/>
      <c r="GS16" s="64">
        <f t="shared" si="80"/>
        <v>0</v>
      </c>
      <c r="GT16" s="66">
        <f t="shared" si="81"/>
        <v>0</v>
      </c>
      <c r="GU16" s="67">
        <f t="shared" si="82"/>
        <v>0</v>
      </c>
      <c r="GV16" s="64">
        <f t="shared" si="83"/>
        <v>0</v>
      </c>
      <c r="GW16" s="68"/>
      <c r="GX16" s="69"/>
      <c r="GY16" s="70"/>
      <c r="GZ16" s="71"/>
      <c r="HA16" s="69"/>
      <c r="HB16" s="70"/>
      <c r="HC16" s="71"/>
      <c r="HD16" s="69"/>
      <c r="HE16" s="70"/>
      <c r="HF16" s="71"/>
      <c r="HG16" s="69"/>
      <c r="HH16" s="70"/>
      <c r="HI16" s="66">
        <f t="shared" si="84"/>
        <v>0</v>
      </c>
      <c r="HJ16" s="67">
        <f t="shared" si="85"/>
        <v>0</v>
      </c>
      <c r="HK16" s="64">
        <f t="shared" si="86"/>
        <v>0</v>
      </c>
      <c r="HL16" s="62"/>
      <c r="HM16" s="63"/>
      <c r="HN16" s="64">
        <f t="shared" si="87"/>
        <v>0</v>
      </c>
      <c r="HO16" s="65"/>
      <c r="HP16" s="63"/>
      <c r="HQ16" s="64">
        <f t="shared" si="88"/>
        <v>0</v>
      </c>
      <c r="HR16" s="65"/>
      <c r="HS16" s="63"/>
      <c r="HT16" s="64">
        <f t="shared" si="89"/>
        <v>0</v>
      </c>
      <c r="HU16" s="65">
        <v>100</v>
      </c>
      <c r="HV16" s="63"/>
      <c r="HW16" s="64">
        <f t="shared" si="90"/>
        <v>100</v>
      </c>
      <c r="HX16" s="66">
        <f t="shared" si="91"/>
        <v>100</v>
      </c>
      <c r="HY16" s="67">
        <f t="shared" si="92"/>
        <v>0</v>
      </c>
      <c r="HZ16" s="64">
        <f t="shared" si="93"/>
        <v>100</v>
      </c>
      <c r="IA16" s="62"/>
      <c r="IB16" s="63"/>
      <c r="IC16" s="64">
        <f t="shared" si="94"/>
        <v>0</v>
      </c>
      <c r="ID16" s="65"/>
      <c r="IE16" s="63"/>
      <c r="IF16" s="64">
        <f t="shared" si="95"/>
        <v>0</v>
      </c>
      <c r="IG16" s="65"/>
      <c r="IH16" s="63"/>
      <c r="II16" s="64">
        <f t="shared" si="96"/>
        <v>0</v>
      </c>
      <c r="IJ16" s="65">
        <v>100</v>
      </c>
      <c r="IK16" s="63"/>
      <c r="IL16" s="64">
        <f t="shared" si="97"/>
        <v>100</v>
      </c>
      <c r="IM16" s="66">
        <f t="shared" si="98"/>
        <v>100</v>
      </c>
      <c r="IN16" s="67">
        <f t="shared" si="99"/>
        <v>0</v>
      </c>
      <c r="IO16" s="64">
        <f t="shared" si="100"/>
        <v>100</v>
      </c>
      <c r="IP16" s="62"/>
      <c r="IQ16" s="63"/>
      <c r="IR16" s="64">
        <f t="shared" si="101"/>
        <v>0</v>
      </c>
      <c r="IS16" s="65"/>
      <c r="IT16" s="63"/>
      <c r="IU16" s="64">
        <f t="shared" si="102"/>
        <v>0</v>
      </c>
      <c r="IV16" s="65"/>
      <c r="IW16" s="63"/>
      <c r="IX16" s="64">
        <f t="shared" si="103"/>
        <v>0</v>
      </c>
      <c r="IY16" s="65"/>
      <c r="IZ16" s="63"/>
      <c r="JA16" s="64">
        <f t="shared" si="104"/>
        <v>0</v>
      </c>
      <c r="JB16" s="66">
        <f t="shared" si="105"/>
        <v>0</v>
      </c>
      <c r="JC16" s="67">
        <f t="shared" si="106"/>
        <v>0</v>
      </c>
      <c r="JD16" s="64">
        <f t="shared" si="107"/>
        <v>0</v>
      </c>
      <c r="JE16" s="62"/>
      <c r="JF16" s="63"/>
      <c r="JG16" s="64">
        <f t="shared" si="108"/>
        <v>0</v>
      </c>
      <c r="JH16" s="65"/>
      <c r="JI16" s="63"/>
      <c r="JJ16" s="64">
        <f t="shared" si="109"/>
        <v>0</v>
      </c>
      <c r="JK16" s="65"/>
      <c r="JL16" s="63"/>
      <c r="JM16" s="64">
        <f t="shared" si="110"/>
        <v>0</v>
      </c>
      <c r="JN16" s="65">
        <v>100</v>
      </c>
      <c r="JO16" s="63"/>
      <c r="JP16" s="64">
        <f t="shared" si="111"/>
        <v>100</v>
      </c>
      <c r="JQ16" s="66">
        <f t="shared" si="112"/>
        <v>100</v>
      </c>
      <c r="JR16" s="67">
        <f t="shared" si="113"/>
        <v>0</v>
      </c>
      <c r="JS16" s="64">
        <f t="shared" si="114"/>
        <v>100</v>
      </c>
      <c r="JT16" s="62">
        <v>5553.7</v>
      </c>
      <c r="JU16" s="63">
        <v>5553.7</v>
      </c>
      <c r="JV16" s="64">
        <f t="shared" si="115"/>
        <v>0</v>
      </c>
      <c r="JW16" s="65"/>
      <c r="JX16" s="63"/>
      <c r="JY16" s="64">
        <f t="shared" si="116"/>
        <v>0</v>
      </c>
      <c r="JZ16" s="65"/>
      <c r="KA16" s="63"/>
      <c r="KB16" s="64">
        <f t="shared" si="117"/>
        <v>0</v>
      </c>
      <c r="KC16" s="65">
        <v>100</v>
      </c>
      <c r="KD16" s="63">
        <v>175.56</v>
      </c>
      <c r="KE16" s="64">
        <f t="shared" si="118"/>
        <v>-75.56</v>
      </c>
      <c r="KF16" s="66">
        <f t="shared" si="119"/>
        <v>5653.7</v>
      </c>
      <c r="KG16" s="67">
        <f t="shared" si="120"/>
        <v>5729.26</v>
      </c>
      <c r="KH16" s="64">
        <f t="shared" si="121"/>
        <v>-75.5600000000004</v>
      </c>
      <c r="KI16" s="68"/>
      <c r="KJ16" s="69"/>
      <c r="KK16" s="70"/>
      <c r="KL16" s="71"/>
      <c r="KM16" s="69"/>
      <c r="KN16" s="70"/>
      <c r="KO16" s="71"/>
      <c r="KP16" s="69"/>
      <c r="KQ16" s="70"/>
      <c r="KR16" s="71"/>
      <c r="KS16" s="69"/>
      <c r="KT16" s="64">
        <f t="shared" si="0"/>
        <v>0</v>
      </c>
      <c r="KU16" s="66">
        <f t="shared" si="1"/>
        <v>0</v>
      </c>
      <c r="KV16" s="67">
        <f t="shared" si="2"/>
        <v>0</v>
      </c>
      <c r="KW16" s="64">
        <f t="shared" si="122"/>
        <v>0</v>
      </c>
      <c r="KX16" s="72"/>
      <c r="KY16" s="73"/>
      <c r="KZ16" s="74"/>
      <c r="LA16" s="75"/>
      <c r="LB16" s="73"/>
      <c r="LC16" s="74"/>
      <c r="LD16" s="75"/>
      <c r="LE16" s="73"/>
      <c r="LF16" s="74"/>
      <c r="LG16" s="75"/>
      <c r="LH16" s="73"/>
      <c r="LI16" s="74"/>
      <c r="LJ16" s="76"/>
      <c r="LK16" s="77"/>
      <c r="LL16" s="74"/>
      <c r="LM16" s="68"/>
      <c r="LN16" s="69"/>
      <c r="LO16" s="70"/>
      <c r="LP16" s="71"/>
      <c r="LQ16" s="69"/>
      <c r="LR16" s="70"/>
      <c r="LS16" s="71"/>
      <c r="LT16" s="69"/>
      <c r="LU16" s="70"/>
      <c r="LV16" s="71"/>
      <c r="LW16" s="69"/>
      <c r="LX16" s="64">
        <f t="shared" si="123"/>
        <v>0</v>
      </c>
      <c r="LY16" s="66">
        <f t="shared" si="124"/>
        <v>0</v>
      </c>
      <c r="LZ16" s="67">
        <f t="shared" si="125"/>
        <v>0</v>
      </c>
      <c r="MA16" s="64">
        <f t="shared" si="126"/>
        <v>0</v>
      </c>
      <c r="MB16" s="62">
        <v>650</v>
      </c>
      <c r="MC16" s="63">
        <v>650</v>
      </c>
      <c r="MD16" s="64">
        <f t="shared" si="127"/>
        <v>0</v>
      </c>
      <c r="ME16" s="65">
        <v>939.61</v>
      </c>
      <c r="MF16" s="63">
        <v>939.61</v>
      </c>
      <c r="MG16" s="64">
        <f t="shared" si="128"/>
        <v>0</v>
      </c>
      <c r="MH16" s="65"/>
      <c r="MI16" s="63"/>
      <c r="MJ16" s="64">
        <f t="shared" si="129"/>
        <v>0</v>
      </c>
      <c r="MK16" s="65">
        <v>100</v>
      </c>
      <c r="ML16" s="63">
        <v>306.52</v>
      </c>
      <c r="MM16" s="64">
        <f t="shared" si="130"/>
        <v>-206.51999999999998</v>
      </c>
      <c r="MN16" s="66">
        <f t="shared" si="131"/>
        <v>1689.6100000000001</v>
      </c>
      <c r="MO16" s="67">
        <f t="shared" si="132"/>
        <v>1896.13</v>
      </c>
      <c r="MP16" s="64">
        <f t="shared" si="133"/>
        <v>-206.51999999999998</v>
      </c>
      <c r="MQ16" s="62"/>
      <c r="MR16" s="63"/>
      <c r="MS16" s="64">
        <f t="shared" si="134"/>
        <v>0</v>
      </c>
      <c r="MT16" s="65"/>
      <c r="MU16" s="63"/>
      <c r="MV16" s="64">
        <f t="shared" si="135"/>
        <v>0</v>
      </c>
      <c r="MW16" s="65"/>
      <c r="MX16" s="63"/>
      <c r="MY16" s="64">
        <f t="shared" si="136"/>
        <v>0</v>
      </c>
      <c r="MZ16" s="65"/>
      <c r="NA16" s="63"/>
      <c r="NB16" s="64">
        <f t="shared" si="137"/>
        <v>0</v>
      </c>
      <c r="NC16" s="66">
        <f t="shared" si="138"/>
        <v>0</v>
      </c>
      <c r="ND16" s="67">
        <f t="shared" si="139"/>
        <v>0</v>
      </c>
      <c r="NE16" s="64">
        <f t="shared" si="140"/>
        <v>0</v>
      </c>
      <c r="NF16" s="62">
        <v>1000</v>
      </c>
      <c r="NG16" s="63">
        <v>1000</v>
      </c>
      <c r="NH16" s="64">
        <f t="shared" si="141"/>
        <v>0</v>
      </c>
      <c r="NI16" s="65">
        <v>861.57</v>
      </c>
      <c r="NJ16" s="63">
        <v>861.57</v>
      </c>
      <c r="NK16" s="64">
        <f t="shared" si="142"/>
        <v>0</v>
      </c>
      <c r="NL16" s="65"/>
      <c r="NM16" s="63"/>
      <c r="NN16" s="64">
        <f t="shared" si="143"/>
        <v>0</v>
      </c>
      <c r="NO16" s="65">
        <v>100</v>
      </c>
      <c r="NP16" s="63"/>
      <c r="NQ16" s="64">
        <f t="shared" si="144"/>
        <v>100</v>
      </c>
      <c r="NR16" s="66">
        <f t="shared" si="145"/>
        <v>1961.5700000000002</v>
      </c>
      <c r="NS16" s="67">
        <f t="shared" si="146"/>
        <v>1861.5700000000002</v>
      </c>
      <c r="NT16" s="64">
        <f t="shared" si="147"/>
        <v>100</v>
      </c>
      <c r="NU16" s="62">
        <v>864</v>
      </c>
      <c r="NV16" s="63">
        <v>864</v>
      </c>
      <c r="NW16" s="64">
        <f t="shared" si="148"/>
        <v>0</v>
      </c>
      <c r="NX16" s="65">
        <v>868.01</v>
      </c>
      <c r="NY16" s="63"/>
      <c r="NZ16" s="64">
        <f t="shared" si="149"/>
        <v>868.01</v>
      </c>
      <c r="OA16" s="65"/>
      <c r="OB16" s="63"/>
      <c r="OC16" s="64">
        <f t="shared" si="150"/>
        <v>0</v>
      </c>
      <c r="OD16" s="65">
        <v>100</v>
      </c>
      <c r="OE16" s="63">
        <v>134.13999999999999</v>
      </c>
      <c r="OF16" s="64">
        <f t="shared" si="151"/>
        <v>-34.139999999999986</v>
      </c>
      <c r="OG16" s="66">
        <f t="shared" si="152"/>
        <v>1832.01</v>
      </c>
      <c r="OH16" s="67">
        <f t="shared" si="153"/>
        <v>998.14</v>
      </c>
      <c r="OI16" s="64">
        <f t="shared" si="154"/>
        <v>833.87</v>
      </c>
      <c r="OJ16" s="62"/>
      <c r="OK16" s="63"/>
      <c r="OL16" s="64">
        <f t="shared" si="155"/>
        <v>0</v>
      </c>
      <c r="OM16" s="65"/>
      <c r="ON16" s="63"/>
      <c r="OO16" s="64">
        <f t="shared" si="156"/>
        <v>0</v>
      </c>
      <c r="OP16" s="65"/>
      <c r="OQ16" s="63"/>
      <c r="OR16" s="64">
        <f t="shared" si="157"/>
        <v>0</v>
      </c>
      <c r="OS16" s="65">
        <v>100</v>
      </c>
      <c r="OT16" s="63">
        <v>139.85</v>
      </c>
      <c r="OU16" s="64">
        <f t="shared" si="158"/>
        <v>-39.849999999999994</v>
      </c>
      <c r="OV16" s="66">
        <f t="shared" si="159"/>
        <v>100</v>
      </c>
      <c r="OW16" s="67">
        <f t="shared" si="160"/>
        <v>139.85</v>
      </c>
      <c r="OX16" s="64">
        <f t="shared" si="161"/>
        <v>-39.849999999999994</v>
      </c>
      <c r="OY16" s="62"/>
      <c r="OZ16" s="63"/>
      <c r="PA16" s="64">
        <f t="shared" si="162"/>
        <v>0</v>
      </c>
      <c r="PB16" s="65"/>
      <c r="PC16" s="63"/>
      <c r="PD16" s="64">
        <f t="shared" si="163"/>
        <v>0</v>
      </c>
      <c r="PE16" s="65"/>
      <c r="PF16" s="63"/>
      <c r="PG16" s="64">
        <f t="shared" si="164"/>
        <v>0</v>
      </c>
      <c r="PH16" s="65">
        <v>100</v>
      </c>
      <c r="PI16" s="63">
        <v>115.35</v>
      </c>
      <c r="PJ16" s="64">
        <f t="shared" si="165"/>
        <v>-15.349999999999994</v>
      </c>
      <c r="PK16" s="66">
        <f t="shared" si="166"/>
        <v>100</v>
      </c>
      <c r="PL16" s="67">
        <f t="shared" si="167"/>
        <v>115.35</v>
      </c>
      <c r="PM16" s="64">
        <f t="shared" si="168"/>
        <v>-15.349999999999994</v>
      </c>
      <c r="PN16" s="62">
        <v>1400</v>
      </c>
      <c r="PO16" s="63">
        <v>1400</v>
      </c>
      <c r="PP16" s="64">
        <f t="shared" si="169"/>
        <v>0</v>
      </c>
      <c r="PQ16" s="65"/>
      <c r="PR16" s="63"/>
      <c r="PS16" s="64">
        <f t="shared" si="170"/>
        <v>0</v>
      </c>
      <c r="PT16" s="65"/>
      <c r="PU16" s="63"/>
      <c r="PV16" s="64">
        <f t="shared" si="171"/>
        <v>0</v>
      </c>
      <c r="PW16" s="65">
        <v>100</v>
      </c>
      <c r="PX16" s="63">
        <v>128.16</v>
      </c>
      <c r="PY16" s="64">
        <f t="shared" si="172"/>
        <v>-28.159999999999997</v>
      </c>
      <c r="PZ16" s="66">
        <f t="shared" si="173"/>
        <v>1500</v>
      </c>
      <c r="QA16" s="67">
        <f t="shared" si="174"/>
        <v>1528.16</v>
      </c>
      <c r="QB16" s="64">
        <f t="shared" si="175"/>
        <v>-28.160000000000082</v>
      </c>
      <c r="QC16" s="62"/>
      <c r="QD16" s="63"/>
      <c r="QE16" s="64">
        <f t="shared" si="176"/>
        <v>0</v>
      </c>
      <c r="QF16" s="65"/>
      <c r="QG16" s="63"/>
      <c r="QH16" s="64">
        <f t="shared" si="177"/>
        <v>0</v>
      </c>
      <c r="QI16" s="65"/>
      <c r="QJ16" s="63"/>
      <c r="QK16" s="64">
        <f t="shared" si="178"/>
        <v>0</v>
      </c>
      <c r="QL16" s="65">
        <v>100</v>
      </c>
      <c r="QM16" s="63">
        <v>177.66</v>
      </c>
      <c r="QN16" s="64">
        <f t="shared" si="179"/>
        <v>-77.66</v>
      </c>
      <c r="QO16" s="66">
        <f t="shared" si="180"/>
        <v>100</v>
      </c>
      <c r="QP16" s="67">
        <f t="shared" si="181"/>
        <v>177.66</v>
      </c>
      <c r="QQ16" s="64">
        <f t="shared" si="182"/>
        <v>-77.66</v>
      </c>
      <c r="QR16" s="62"/>
      <c r="QS16" s="63"/>
      <c r="QT16" s="64">
        <f t="shared" si="183"/>
        <v>0</v>
      </c>
      <c r="QU16" s="65"/>
      <c r="QV16" s="63"/>
      <c r="QW16" s="64">
        <f t="shared" si="184"/>
        <v>0</v>
      </c>
      <c r="QX16" s="65"/>
      <c r="QY16" s="63"/>
      <c r="QZ16" s="64">
        <f t="shared" si="185"/>
        <v>0</v>
      </c>
      <c r="RA16" s="65"/>
      <c r="RB16" s="63"/>
      <c r="RC16" s="64">
        <f t="shared" si="186"/>
        <v>0</v>
      </c>
      <c r="RD16" s="66">
        <f t="shared" si="187"/>
        <v>0</v>
      </c>
      <c r="RE16" s="67">
        <f t="shared" si="188"/>
        <v>0</v>
      </c>
      <c r="RF16" s="64">
        <f t="shared" si="189"/>
        <v>0</v>
      </c>
      <c r="RG16" s="62"/>
      <c r="RH16" s="63"/>
      <c r="RI16" s="64">
        <f t="shared" si="190"/>
        <v>0</v>
      </c>
      <c r="RJ16" s="65"/>
      <c r="RK16" s="63"/>
      <c r="RL16" s="64">
        <f t="shared" si="191"/>
        <v>0</v>
      </c>
      <c r="RM16" s="65"/>
      <c r="RN16" s="63"/>
      <c r="RO16" s="64">
        <f t="shared" si="192"/>
        <v>0</v>
      </c>
      <c r="RP16" s="65"/>
      <c r="RQ16" s="63"/>
      <c r="RR16" s="64">
        <f t="shared" si="193"/>
        <v>0</v>
      </c>
      <c r="RS16" s="66">
        <f t="shared" si="194"/>
        <v>0</v>
      </c>
      <c r="RT16" s="67">
        <f t="shared" si="195"/>
        <v>0</v>
      </c>
      <c r="RU16" s="64">
        <f t="shared" si="196"/>
        <v>0</v>
      </c>
      <c r="RV16" s="62"/>
      <c r="RW16" s="63"/>
      <c r="RX16" s="64">
        <f t="shared" si="197"/>
        <v>0</v>
      </c>
      <c r="RY16" s="65"/>
      <c r="RZ16" s="63"/>
      <c r="SA16" s="64">
        <f t="shared" si="198"/>
        <v>0</v>
      </c>
      <c r="SB16" s="65"/>
      <c r="SC16" s="63"/>
      <c r="SD16" s="64">
        <f t="shared" si="199"/>
        <v>0</v>
      </c>
      <c r="SE16" s="65">
        <v>100</v>
      </c>
      <c r="SF16" s="63"/>
      <c r="SG16" s="64">
        <f t="shared" si="200"/>
        <v>100</v>
      </c>
      <c r="SH16" s="66">
        <f t="shared" si="201"/>
        <v>100</v>
      </c>
      <c r="SI16" s="67">
        <f t="shared" si="202"/>
        <v>0</v>
      </c>
      <c r="SJ16" s="64">
        <f t="shared" si="203"/>
        <v>100</v>
      </c>
      <c r="SK16" s="62"/>
      <c r="SL16" s="63"/>
      <c r="SM16" s="64">
        <f t="shared" si="204"/>
        <v>0</v>
      </c>
      <c r="SN16" s="65"/>
      <c r="SO16" s="63"/>
      <c r="SP16" s="64">
        <f t="shared" si="205"/>
        <v>0</v>
      </c>
      <c r="SQ16" s="65"/>
      <c r="SR16" s="63"/>
      <c r="SS16" s="64">
        <f t="shared" si="206"/>
        <v>0</v>
      </c>
      <c r="ST16" s="65">
        <v>100</v>
      </c>
      <c r="SU16" s="63">
        <v>145.97999999999999</v>
      </c>
      <c r="SV16" s="64">
        <f t="shared" si="207"/>
        <v>-45.97999999999999</v>
      </c>
      <c r="SW16" s="66">
        <f t="shared" si="208"/>
        <v>100</v>
      </c>
      <c r="SX16" s="67">
        <f t="shared" si="209"/>
        <v>145.97999999999999</v>
      </c>
      <c r="SY16" s="64">
        <f t="shared" si="210"/>
        <v>-45.97999999999999</v>
      </c>
      <c r="SZ16" s="62">
        <v>1321.16</v>
      </c>
      <c r="TA16" s="63">
        <v>1321.16</v>
      </c>
      <c r="TB16" s="64">
        <f t="shared" si="211"/>
        <v>0</v>
      </c>
      <c r="TC16" s="65"/>
      <c r="TD16" s="63"/>
      <c r="TE16" s="64">
        <f t="shared" si="212"/>
        <v>0</v>
      </c>
      <c r="TF16" s="65"/>
      <c r="TG16" s="63"/>
      <c r="TH16" s="64">
        <f t="shared" si="213"/>
        <v>0</v>
      </c>
      <c r="TI16" s="65">
        <v>100</v>
      </c>
      <c r="TJ16" s="63">
        <v>151.74</v>
      </c>
      <c r="TK16" s="64">
        <f t="shared" si="214"/>
        <v>-51.740000000000009</v>
      </c>
      <c r="TL16" s="66">
        <f t="shared" si="215"/>
        <v>1421.16</v>
      </c>
      <c r="TM16" s="67">
        <f t="shared" si="216"/>
        <v>1472.9</v>
      </c>
      <c r="TN16" s="64">
        <f t="shared" si="217"/>
        <v>-51.740000000000009</v>
      </c>
      <c r="TO16" s="62"/>
      <c r="TP16" s="63"/>
      <c r="TQ16" s="64">
        <f t="shared" si="218"/>
        <v>0</v>
      </c>
      <c r="TR16" s="65"/>
      <c r="TS16" s="63"/>
      <c r="TT16" s="64">
        <f t="shared" si="219"/>
        <v>0</v>
      </c>
      <c r="TU16" s="65"/>
      <c r="TV16" s="63">
        <v>145.97999999999999</v>
      </c>
      <c r="TW16" s="64">
        <f t="shared" si="220"/>
        <v>-145.97999999999999</v>
      </c>
      <c r="TX16" s="65">
        <v>100</v>
      </c>
      <c r="TY16" s="63">
        <v>57.33</v>
      </c>
      <c r="TZ16" s="64">
        <f t="shared" si="221"/>
        <v>42.67</v>
      </c>
      <c r="UA16" s="66">
        <f t="shared" si="222"/>
        <v>100</v>
      </c>
      <c r="UB16" s="67">
        <f t="shared" si="223"/>
        <v>203.31</v>
      </c>
      <c r="UC16" s="64">
        <f t="shared" si="224"/>
        <v>-103.31</v>
      </c>
      <c r="UD16" s="68"/>
      <c r="UE16" s="69"/>
      <c r="UF16" s="70"/>
      <c r="UG16" s="71"/>
      <c r="UH16" s="69"/>
      <c r="UI16" s="70"/>
      <c r="UJ16" s="71"/>
      <c r="UK16" s="69"/>
      <c r="UL16" s="70"/>
      <c r="UM16" s="71"/>
      <c r="UN16" s="69"/>
      <c r="UO16" s="64">
        <f t="shared" si="225"/>
        <v>0</v>
      </c>
      <c r="UP16" s="66">
        <f t="shared" si="226"/>
        <v>0</v>
      </c>
      <c r="UQ16" s="67">
        <f t="shared" si="227"/>
        <v>0</v>
      </c>
      <c r="UR16" s="64">
        <f t="shared" si="228"/>
        <v>0</v>
      </c>
      <c r="US16" s="62"/>
      <c r="UT16" s="63"/>
      <c r="UU16" s="64">
        <f t="shared" si="229"/>
        <v>0</v>
      </c>
      <c r="UV16" s="65"/>
      <c r="UW16" s="63"/>
      <c r="UX16" s="64">
        <f t="shared" si="230"/>
        <v>0</v>
      </c>
      <c r="UY16" s="65"/>
      <c r="UZ16" s="63"/>
      <c r="VA16" s="64">
        <f t="shared" si="231"/>
        <v>0</v>
      </c>
      <c r="VB16" s="65">
        <v>100</v>
      </c>
      <c r="VC16" s="63"/>
      <c r="VD16" s="64">
        <f t="shared" si="232"/>
        <v>100</v>
      </c>
      <c r="VE16" s="66">
        <f t="shared" si="233"/>
        <v>100</v>
      </c>
      <c r="VF16" s="67">
        <f t="shared" si="234"/>
        <v>0</v>
      </c>
      <c r="VG16" s="64">
        <f t="shared" si="235"/>
        <v>100</v>
      </c>
      <c r="VH16" s="62"/>
      <c r="VI16" s="63"/>
      <c r="VJ16" s="64">
        <f t="shared" si="236"/>
        <v>0</v>
      </c>
      <c r="VK16" s="65"/>
      <c r="VL16" s="63"/>
      <c r="VM16" s="64">
        <f t="shared" si="237"/>
        <v>0</v>
      </c>
      <c r="VN16" s="65"/>
      <c r="VO16" s="63"/>
      <c r="VP16" s="64">
        <f t="shared" si="238"/>
        <v>0</v>
      </c>
      <c r="VQ16" s="65">
        <v>100</v>
      </c>
      <c r="VR16" s="63"/>
      <c r="VS16" s="64">
        <f t="shared" si="239"/>
        <v>100</v>
      </c>
      <c r="VT16" s="66">
        <f t="shared" si="240"/>
        <v>100</v>
      </c>
      <c r="VU16" s="67">
        <f t="shared" si="241"/>
        <v>0</v>
      </c>
      <c r="VV16" s="64">
        <f t="shared" si="242"/>
        <v>100</v>
      </c>
      <c r="VW16" s="62"/>
      <c r="VX16" s="63"/>
      <c r="VY16" s="64">
        <f t="shared" si="243"/>
        <v>0</v>
      </c>
      <c r="VZ16" s="65"/>
      <c r="WA16" s="63"/>
      <c r="WB16" s="64">
        <f t="shared" si="244"/>
        <v>0</v>
      </c>
      <c r="WC16" s="65"/>
      <c r="WD16" s="63">
        <v>10956.59</v>
      </c>
      <c r="WE16" s="64">
        <f t="shared" si="245"/>
        <v>-10956.59</v>
      </c>
      <c r="WF16" s="65"/>
      <c r="WG16" s="63"/>
      <c r="WH16" s="64">
        <f t="shared" si="246"/>
        <v>0</v>
      </c>
      <c r="WI16" s="66">
        <f t="shared" si="247"/>
        <v>0</v>
      </c>
      <c r="WJ16" s="67">
        <f t="shared" si="248"/>
        <v>10956.59</v>
      </c>
      <c r="WK16" s="64">
        <f t="shared" si="249"/>
        <v>-10956.59</v>
      </c>
      <c r="WL16" s="62">
        <v>1276.01</v>
      </c>
      <c r="WM16" s="63">
        <v>1276.01</v>
      </c>
      <c r="WN16" s="64">
        <f t="shared" si="250"/>
        <v>0</v>
      </c>
      <c r="WO16" s="65"/>
      <c r="WP16" s="63"/>
      <c r="WQ16" s="64">
        <f t="shared" si="251"/>
        <v>0</v>
      </c>
      <c r="WR16" s="65"/>
      <c r="WS16" s="63"/>
      <c r="WT16" s="64">
        <f t="shared" si="252"/>
        <v>0</v>
      </c>
      <c r="WU16" s="65">
        <v>100</v>
      </c>
      <c r="WV16" s="63">
        <v>89.47</v>
      </c>
      <c r="WW16" s="64">
        <f t="shared" si="253"/>
        <v>10.530000000000001</v>
      </c>
      <c r="WX16" s="66">
        <f t="shared" si="254"/>
        <v>1376.01</v>
      </c>
      <c r="WY16" s="67">
        <f t="shared" si="255"/>
        <v>1365.48</v>
      </c>
      <c r="WZ16" s="64">
        <f t="shared" si="256"/>
        <v>10.529999999999973</v>
      </c>
      <c r="XA16" s="62"/>
      <c r="XB16" s="63"/>
      <c r="XC16" s="64">
        <f t="shared" si="257"/>
        <v>0</v>
      </c>
      <c r="XD16" s="65"/>
      <c r="XE16" s="63"/>
      <c r="XF16" s="64">
        <f t="shared" si="258"/>
        <v>0</v>
      </c>
      <c r="XG16" s="65"/>
      <c r="XH16" s="63"/>
      <c r="XI16" s="64">
        <f t="shared" si="259"/>
        <v>0</v>
      </c>
      <c r="XJ16" s="65">
        <v>100</v>
      </c>
      <c r="XK16" s="63">
        <v>245</v>
      </c>
      <c r="XL16" s="64">
        <f t="shared" si="260"/>
        <v>-145</v>
      </c>
      <c r="XM16" s="66">
        <f t="shared" si="261"/>
        <v>100</v>
      </c>
      <c r="XN16" s="67">
        <f t="shared" si="262"/>
        <v>245</v>
      </c>
      <c r="XO16" s="64">
        <f t="shared" si="263"/>
        <v>-145</v>
      </c>
      <c r="XP16" s="62">
        <v>917</v>
      </c>
      <c r="XQ16" s="63">
        <v>917</v>
      </c>
      <c r="XR16" s="64">
        <f t="shared" si="264"/>
        <v>0</v>
      </c>
      <c r="XS16" s="65">
        <v>583.71</v>
      </c>
      <c r="XT16" s="63">
        <v>583.71</v>
      </c>
      <c r="XU16" s="64">
        <f t="shared" si="265"/>
        <v>0</v>
      </c>
      <c r="XV16" s="65"/>
      <c r="XW16" s="63"/>
      <c r="XX16" s="64">
        <f t="shared" si="266"/>
        <v>0</v>
      </c>
      <c r="XY16" s="65">
        <v>100</v>
      </c>
      <c r="XZ16" s="63">
        <v>89.81</v>
      </c>
      <c r="YA16" s="64">
        <f t="shared" si="267"/>
        <v>10.189999999999998</v>
      </c>
      <c r="YB16" s="66">
        <f t="shared" si="268"/>
        <v>1600.71</v>
      </c>
      <c r="YC16" s="67">
        <f t="shared" si="269"/>
        <v>1590.52</v>
      </c>
      <c r="YD16" s="64">
        <f t="shared" si="270"/>
        <v>10.190000000000055</v>
      </c>
      <c r="YE16" s="62">
        <v>890</v>
      </c>
      <c r="YF16" s="63">
        <v>890</v>
      </c>
      <c r="YG16" s="64">
        <f t="shared" si="271"/>
        <v>0</v>
      </c>
      <c r="YH16" s="65">
        <v>572.61</v>
      </c>
      <c r="YI16" s="63">
        <v>572.61</v>
      </c>
      <c r="YJ16" s="64">
        <f t="shared" si="272"/>
        <v>0</v>
      </c>
      <c r="YK16" s="65"/>
      <c r="YL16" s="63"/>
      <c r="YM16" s="64">
        <f t="shared" si="273"/>
        <v>0</v>
      </c>
      <c r="YN16" s="65">
        <v>100</v>
      </c>
      <c r="YO16" s="63">
        <v>102.4</v>
      </c>
      <c r="YP16" s="64">
        <f t="shared" si="274"/>
        <v>-2.4000000000000057</v>
      </c>
      <c r="YQ16" s="66">
        <f t="shared" si="275"/>
        <v>1562.6100000000001</v>
      </c>
      <c r="YR16" s="67">
        <f t="shared" si="276"/>
        <v>1565.0100000000002</v>
      </c>
      <c r="YS16" s="64">
        <f t="shared" si="277"/>
        <v>-2.4000000000000909</v>
      </c>
      <c r="YT16" s="62">
        <v>932</v>
      </c>
      <c r="YU16" s="63">
        <v>932</v>
      </c>
      <c r="YV16" s="64">
        <f t="shared" si="278"/>
        <v>0</v>
      </c>
      <c r="YW16" s="65">
        <v>598.65</v>
      </c>
      <c r="YX16" s="63">
        <v>598.65</v>
      </c>
      <c r="YY16" s="64">
        <f t="shared" si="279"/>
        <v>0</v>
      </c>
      <c r="YZ16" s="65"/>
      <c r="ZA16" s="63"/>
      <c r="ZB16" s="64">
        <f t="shared" si="280"/>
        <v>0</v>
      </c>
      <c r="ZC16" s="65">
        <v>100</v>
      </c>
      <c r="ZD16" s="63">
        <v>63.92</v>
      </c>
      <c r="ZE16" s="64">
        <f t="shared" si="281"/>
        <v>36.08</v>
      </c>
      <c r="ZF16" s="66">
        <f t="shared" si="282"/>
        <v>1630.65</v>
      </c>
      <c r="ZG16" s="67">
        <f t="shared" si="283"/>
        <v>1594.5700000000002</v>
      </c>
      <c r="ZH16" s="64">
        <f t="shared" si="284"/>
        <v>36.079999999999927</v>
      </c>
      <c r="ZI16" s="62">
        <v>1250</v>
      </c>
      <c r="ZJ16" s="63">
        <v>1250</v>
      </c>
      <c r="ZK16" s="64">
        <f t="shared" si="285"/>
        <v>0</v>
      </c>
      <c r="ZL16" s="65"/>
      <c r="ZM16" s="63"/>
      <c r="ZN16" s="64">
        <f t="shared" si="286"/>
        <v>0</v>
      </c>
      <c r="ZO16" s="65"/>
      <c r="ZP16" s="63"/>
      <c r="ZQ16" s="64">
        <f t="shared" si="287"/>
        <v>0</v>
      </c>
      <c r="ZR16" s="65">
        <v>100</v>
      </c>
      <c r="ZS16" s="63">
        <v>475.84</v>
      </c>
      <c r="ZT16" s="64">
        <f t="shared" si="288"/>
        <v>-375.84</v>
      </c>
      <c r="ZU16" s="66">
        <f t="shared" si="289"/>
        <v>1350</v>
      </c>
      <c r="ZV16" s="67">
        <f t="shared" si="290"/>
        <v>1725.84</v>
      </c>
      <c r="ZW16" s="64">
        <f t="shared" si="291"/>
        <v>-375.83999999999992</v>
      </c>
      <c r="ZX16" s="62">
        <v>24.71</v>
      </c>
      <c r="ZY16" s="63">
        <v>24.71</v>
      </c>
      <c r="ZZ16" s="64">
        <f t="shared" si="292"/>
        <v>0</v>
      </c>
      <c r="AAA16" s="66">
        <f t="shared" si="293"/>
        <v>24.71</v>
      </c>
      <c r="AAB16" s="67">
        <f t="shared" si="293"/>
        <v>24.71</v>
      </c>
      <c r="AAC16" s="64">
        <f t="shared" si="294"/>
        <v>0</v>
      </c>
      <c r="AAD16" s="85">
        <f t="shared" si="295"/>
        <v>71250.010000000009</v>
      </c>
      <c r="AAE16" s="98">
        <f t="shared" si="295"/>
        <v>69228.72</v>
      </c>
      <c r="AAF16" s="99">
        <f t="shared" si="3"/>
        <v>0.97163102152547054</v>
      </c>
      <c r="AAG16" s="100">
        <f t="shared" si="4"/>
        <v>-2021.2900000000081</v>
      </c>
      <c r="AAH16" s="96"/>
      <c r="AAI16" s="97"/>
      <c r="AAJ16" s="97"/>
      <c r="AAK16" s="82"/>
    </row>
    <row r="17" spans="1:713" s="83" customFormat="1" ht="20" customHeight="1" thickBot="1" x14ac:dyDescent="0.25">
      <c r="A17" s="57" t="s">
        <v>153</v>
      </c>
      <c r="F17" s="101" t="s">
        <v>154</v>
      </c>
      <c r="G17" s="102">
        <f>SUM(G5:G16)</f>
        <v>350280</v>
      </c>
      <c r="H17" s="103">
        <f t="shared" ref="H17:AJ17" si="296">SUM(H5:H16)</f>
        <v>350280</v>
      </c>
      <c r="I17" s="104">
        <f t="shared" si="296"/>
        <v>0</v>
      </c>
      <c r="J17" s="103">
        <f t="shared" si="296"/>
        <v>75146</v>
      </c>
      <c r="K17" s="105">
        <f>SUM(K5:K16)</f>
        <v>71754.25</v>
      </c>
      <c r="L17" s="104">
        <f t="shared" si="296"/>
        <v>3391.75</v>
      </c>
      <c r="M17" s="103">
        <f t="shared" si="296"/>
        <v>15100</v>
      </c>
      <c r="N17" s="105">
        <f>SUM(N5:N16)</f>
        <v>33790.9</v>
      </c>
      <c r="O17" s="104">
        <f t="shared" si="296"/>
        <v>-18690.900000000001</v>
      </c>
      <c r="P17" s="103">
        <f t="shared" si="296"/>
        <v>6000</v>
      </c>
      <c r="Q17" s="105">
        <f>SUM(Q5:Q16)</f>
        <v>12007.16</v>
      </c>
      <c r="R17" s="104">
        <f t="shared" si="296"/>
        <v>-6007.1600000000008</v>
      </c>
      <c r="S17" s="103">
        <f t="shared" si="296"/>
        <v>10800</v>
      </c>
      <c r="T17" s="105">
        <f>SUM(T5:T16)</f>
        <v>2415.3599999999997</v>
      </c>
      <c r="U17" s="104">
        <f t="shared" si="296"/>
        <v>8384.6400000000012</v>
      </c>
      <c r="V17" s="103">
        <f t="shared" si="296"/>
        <v>457326</v>
      </c>
      <c r="W17" s="106">
        <f t="shared" si="296"/>
        <v>470247.67</v>
      </c>
      <c r="X17" s="104">
        <f t="shared" si="296"/>
        <v>-12921.670000000011</v>
      </c>
      <c r="Y17" s="102">
        <f t="shared" si="296"/>
        <v>27699</v>
      </c>
      <c r="Z17" s="103">
        <f t="shared" si="296"/>
        <v>27699</v>
      </c>
      <c r="AA17" s="104">
        <f t="shared" si="296"/>
        <v>0</v>
      </c>
      <c r="AB17" s="103">
        <f t="shared" si="296"/>
        <v>0</v>
      </c>
      <c r="AC17" s="105">
        <f t="shared" si="296"/>
        <v>0</v>
      </c>
      <c r="AD17" s="104">
        <f t="shared" si="296"/>
        <v>0</v>
      </c>
      <c r="AE17" s="103">
        <f t="shared" si="296"/>
        <v>0</v>
      </c>
      <c r="AF17" s="105">
        <f t="shared" si="296"/>
        <v>0</v>
      </c>
      <c r="AG17" s="104">
        <f t="shared" si="296"/>
        <v>0</v>
      </c>
      <c r="AH17" s="103">
        <f t="shared" si="296"/>
        <v>0</v>
      </c>
      <c r="AI17" s="105">
        <f t="shared" si="296"/>
        <v>0</v>
      </c>
      <c r="AJ17" s="104">
        <f t="shared" si="296"/>
        <v>0</v>
      </c>
      <c r="AK17" s="103">
        <f t="shared" si="16"/>
        <v>27699</v>
      </c>
      <c r="AL17" s="106">
        <f t="shared" ref="AL17:AY17" si="297">SUM(AL5:AL16)</f>
        <v>27699</v>
      </c>
      <c r="AM17" s="104">
        <f t="shared" si="297"/>
        <v>0</v>
      </c>
      <c r="AN17" s="102">
        <f t="shared" si="297"/>
        <v>23500</v>
      </c>
      <c r="AO17" s="103">
        <f t="shared" si="297"/>
        <v>24000</v>
      </c>
      <c r="AP17" s="104">
        <f t="shared" si="297"/>
        <v>-500</v>
      </c>
      <c r="AQ17" s="103">
        <f t="shared" si="297"/>
        <v>0</v>
      </c>
      <c r="AR17" s="105">
        <f t="shared" si="297"/>
        <v>0</v>
      </c>
      <c r="AS17" s="104">
        <f t="shared" si="297"/>
        <v>0</v>
      </c>
      <c r="AT17" s="103">
        <f t="shared" si="297"/>
        <v>2745.49</v>
      </c>
      <c r="AU17" s="105">
        <f t="shared" si="297"/>
        <v>0</v>
      </c>
      <c r="AV17" s="104">
        <f t="shared" si="297"/>
        <v>2745.49</v>
      </c>
      <c r="AW17" s="103">
        <f t="shared" si="297"/>
        <v>0</v>
      </c>
      <c r="AX17" s="105">
        <f t="shared" si="297"/>
        <v>0</v>
      </c>
      <c r="AY17" s="104">
        <f t="shared" si="297"/>
        <v>0</v>
      </c>
      <c r="AZ17" s="103">
        <f t="shared" si="23"/>
        <v>26245.489999999998</v>
      </c>
      <c r="BA17" s="106">
        <f t="shared" ref="BA17:BN17" si="298">SUM(BA5:BA16)</f>
        <v>24000</v>
      </c>
      <c r="BB17" s="104">
        <f t="shared" si="298"/>
        <v>2245.4899999999998</v>
      </c>
      <c r="BC17" s="102">
        <f t="shared" si="298"/>
        <v>26002.05</v>
      </c>
      <c r="BD17" s="103">
        <f t="shared" si="298"/>
        <v>26002.05</v>
      </c>
      <c r="BE17" s="104">
        <f t="shared" si="298"/>
        <v>0</v>
      </c>
      <c r="BF17" s="103">
        <f t="shared" si="298"/>
        <v>0</v>
      </c>
      <c r="BG17" s="105">
        <f t="shared" si="298"/>
        <v>0</v>
      </c>
      <c r="BH17" s="104">
        <f t="shared" si="298"/>
        <v>0</v>
      </c>
      <c r="BI17" s="103">
        <f t="shared" si="298"/>
        <v>15000</v>
      </c>
      <c r="BJ17" s="105">
        <f t="shared" si="298"/>
        <v>17333.21</v>
      </c>
      <c r="BK17" s="104">
        <f t="shared" si="298"/>
        <v>-2333.2099999999996</v>
      </c>
      <c r="BL17" s="103">
        <f t="shared" si="298"/>
        <v>1200</v>
      </c>
      <c r="BM17" s="105">
        <f t="shared" si="298"/>
        <v>33.090000000000003</v>
      </c>
      <c r="BN17" s="104">
        <f t="shared" si="298"/>
        <v>1166.9099999999999</v>
      </c>
      <c r="BO17" s="103">
        <f t="shared" si="30"/>
        <v>42202.05</v>
      </c>
      <c r="BP17" s="106">
        <f t="shared" ref="BP17:CC17" si="299">SUM(BP5:BP16)</f>
        <v>43368.35</v>
      </c>
      <c r="BQ17" s="104">
        <f t="shared" si="299"/>
        <v>-1166.2999999999997</v>
      </c>
      <c r="BR17" s="102">
        <f t="shared" si="299"/>
        <v>0</v>
      </c>
      <c r="BS17" s="103">
        <f t="shared" si="299"/>
        <v>0</v>
      </c>
      <c r="BT17" s="104">
        <f t="shared" si="299"/>
        <v>0</v>
      </c>
      <c r="BU17" s="103">
        <f t="shared" si="299"/>
        <v>2062.44</v>
      </c>
      <c r="BV17" s="105">
        <f t="shared" si="299"/>
        <v>2062.44</v>
      </c>
      <c r="BW17" s="104">
        <f t="shared" si="299"/>
        <v>0</v>
      </c>
      <c r="BX17" s="103">
        <f t="shared" si="299"/>
        <v>0</v>
      </c>
      <c r="BY17" s="105">
        <f t="shared" si="299"/>
        <v>0</v>
      </c>
      <c r="BZ17" s="104">
        <f t="shared" si="299"/>
        <v>0</v>
      </c>
      <c r="CA17" s="103">
        <f t="shared" si="299"/>
        <v>0</v>
      </c>
      <c r="CB17" s="105">
        <f t="shared" si="299"/>
        <v>0</v>
      </c>
      <c r="CC17" s="104">
        <f t="shared" si="299"/>
        <v>0</v>
      </c>
      <c r="CD17" s="103">
        <f t="shared" si="33"/>
        <v>2062.44</v>
      </c>
      <c r="CE17" s="106">
        <f t="shared" ref="CE17:CR17" si="300">SUM(CE5:CE16)</f>
        <v>2062.44</v>
      </c>
      <c r="CF17" s="104">
        <f t="shared" si="300"/>
        <v>0</v>
      </c>
      <c r="CG17" s="102">
        <f t="shared" si="300"/>
        <v>17000</v>
      </c>
      <c r="CH17" s="103">
        <f t="shared" si="300"/>
        <v>20000</v>
      </c>
      <c r="CI17" s="104">
        <f t="shared" si="300"/>
        <v>-3000</v>
      </c>
      <c r="CJ17" s="103">
        <f t="shared" si="300"/>
        <v>0</v>
      </c>
      <c r="CK17" s="105">
        <f t="shared" si="300"/>
        <v>0</v>
      </c>
      <c r="CL17" s="104">
        <f t="shared" si="300"/>
        <v>0</v>
      </c>
      <c r="CM17" s="103">
        <f t="shared" si="300"/>
        <v>2739.5</v>
      </c>
      <c r="CN17" s="105">
        <f t="shared" si="300"/>
        <v>0</v>
      </c>
      <c r="CO17" s="104">
        <f t="shared" si="300"/>
        <v>2739.5</v>
      </c>
      <c r="CP17" s="103">
        <f t="shared" si="300"/>
        <v>0</v>
      </c>
      <c r="CQ17" s="105">
        <f t="shared" si="300"/>
        <v>0</v>
      </c>
      <c r="CR17" s="104">
        <f t="shared" si="300"/>
        <v>0</v>
      </c>
      <c r="CS17" s="103">
        <f t="shared" si="40"/>
        <v>19739.5</v>
      </c>
      <c r="CT17" s="106">
        <f t="shared" ref="CT17:DG17" si="301">SUM(CT5:CT16)</f>
        <v>20000</v>
      </c>
      <c r="CU17" s="104">
        <f t="shared" si="301"/>
        <v>-260.5</v>
      </c>
      <c r="CV17" s="102">
        <f t="shared" si="301"/>
        <v>0</v>
      </c>
      <c r="CW17" s="103">
        <f t="shared" si="301"/>
        <v>0</v>
      </c>
      <c r="CX17" s="104">
        <f t="shared" si="301"/>
        <v>0</v>
      </c>
      <c r="CY17" s="103">
        <f t="shared" si="301"/>
        <v>0</v>
      </c>
      <c r="CZ17" s="105">
        <f t="shared" si="301"/>
        <v>0</v>
      </c>
      <c r="DA17" s="104">
        <f t="shared" si="301"/>
        <v>0</v>
      </c>
      <c r="DB17" s="103">
        <f t="shared" si="301"/>
        <v>0</v>
      </c>
      <c r="DC17" s="105">
        <f t="shared" si="301"/>
        <v>0</v>
      </c>
      <c r="DD17" s="104">
        <f t="shared" si="301"/>
        <v>0</v>
      </c>
      <c r="DE17" s="103">
        <f t="shared" si="301"/>
        <v>0</v>
      </c>
      <c r="DF17" s="105">
        <f t="shared" si="301"/>
        <v>0</v>
      </c>
      <c r="DG17" s="104">
        <f t="shared" si="301"/>
        <v>0</v>
      </c>
      <c r="DH17" s="103">
        <f t="shared" si="43"/>
        <v>0</v>
      </c>
      <c r="DI17" s="106">
        <f t="shared" ref="DI17:DV17" si="302">SUM(DI5:DI16)</f>
        <v>0</v>
      </c>
      <c r="DJ17" s="104">
        <f t="shared" si="302"/>
        <v>0</v>
      </c>
      <c r="DK17" s="102">
        <f t="shared" si="302"/>
        <v>0</v>
      </c>
      <c r="DL17" s="103">
        <f t="shared" si="302"/>
        <v>0</v>
      </c>
      <c r="DM17" s="104">
        <f t="shared" si="302"/>
        <v>0</v>
      </c>
      <c r="DN17" s="103">
        <f t="shared" si="302"/>
        <v>0</v>
      </c>
      <c r="DO17" s="105">
        <f t="shared" si="302"/>
        <v>0</v>
      </c>
      <c r="DP17" s="104">
        <f t="shared" si="302"/>
        <v>0</v>
      </c>
      <c r="DQ17" s="103">
        <f t="shared" si="302"/>
        <v>0</v>
      </c>
      <c r="DR17" s="105">
        <f t="shared" si="302"/>
        <v>0</v>
      </c>
      <c r="DS17" s="104">
        <f t="shared" si="302"/>
        <v>0</v>
      </c>
      <c r="DT17" s="103">
        <f t="shared" si="302"/>
        <v>0</v>
      </c>
      <c r="DU17" s="105">
        <f t="shared" si="302"/>
        <v>0</v>
      </c>
      <c r="DV17" s="104">
        <f t="shared" si="302"/>
        <v>0</v>
      </c>
      <c r="DW17" s="103">
        <f t="shared" si="46"/>
        <v>0</v>
      </c>
      <c r="DX17" s="106">
        <f t="shared" ref="DX17:EK17" si="303">SUM(DX5:DX16)</f>
        <v>0</v>
      </c>
      <c r="DY17" s="104">
        <f t="shared" si="303"/>
        <v>0</v>
      </c>
      <c r="DZ17" s="102">
        <f t="shared" si="303"/>
        <v>24000</v>
      </c>
      <c r="EA17" s="103">
        <f t="shared" si="303"/>
        <v>24000</v>
      </c>
      <c r="EB17" s="104">
        <f t="shared" si="303"/>
        <v>0</v>
      </c>
      <c r="EC17" s="103">
        <f t="shared" si="303"/>
        <v>0</v>
      </c>
      <c r="ED17" s="105">
        <f t="shared" si="303"/>
        <v>0</v>
      </c>
      <c r="EE17" s="104">
        <f t="shared" si="303"/>
        <v>0</v>
      </c>
      <c r="EF17" s="103">
        <f t="shared" si="303"/>
        <v>0</v>
      </c>
      <c r="EG17" s="105">
        <f t="shared" si="303"/>
        <v>0</v>
      </c>
      <c r="EH17" s="104">
        <f t="shared" si="303"/>
        <v>0</v>
      </c>
      <c r="EI17" s="103">
        <f t="shared" si="303"/>
        <v>1200</v>
      </c>
      <c r="EJ17" s="105">
        <f t="shared" si="303"/>
        <v>842.68000000000006</v>
      </c>
      <c r="EK17" s="104">
        <f t="shared" si="303"/>
        <v>357.32</v>
      </c>
      <c r="EL17" s="103">
        <f t="shared" si="53"/>
        <v>25200</v>
      </c>
      <c r="EM17" s="106">
        <f t="shared" ref="EM17:EZ17" si="304">SUM(EM5:EM16)</f>
        <v>24842.680000000004</v>
      </c>
      <c r="EN17" s="104">
        <f t="shared" si="304"/>
        <v>357.31999999999852</v>
      </c>
      <c r="EO17" s="102">
        <f t="shared" si="304"/>
        <v>22385</v>
      </c>
      <c r="EP17" s="103">
        <f t="shared" si="304"/>
        <v>22385</v>
      </c>
      <c r="EQ17" s="104">
        <f t="shared" si="304"/>
        <v>0</v>
      </c>
      <c r="ER17" s="103">
        <f t="shared" si="304"/>
        <v>0</v>
      </c>
      <c r="ES17" s="105">
        <f t="shared" si="304"/>
        <v>2070.2600000000002</v>
      </c>
      <c r="ET17" s="104">
        <f t="shared" si="304"/>
        <v>-2070.2600000000002</v>
      </c>
      <c r="EU17" s="103">
        <f t="shared" si="304"/>
        <v>2612.71</v>
      </c>
      <c r="EV17" s="105">
        <f t="shared" si="304"/>
        <v>3291.85</v>
      </c>
      <c r="EW17" s="104">
        <f t="shared" si="304"/>
        <v>-679.13999999999987</v>
      </c>
      <c r="EX17" s="103">
        <f t="shared" si="304"/>
        <v>1200</v>
      </c>
      <c r="EY17" s="105">
        <f t="shared" si="304"/>
        <v>808.6099999999999</v>
      </c>
      <c r="EZ17" s="104">
        <f t="shared" si="304"/>
        <v>391.39</v>
      </c>
      <c r="FA17" s="103">
        <f t="shared" si="60"/>
        <v>26197.71</v>
      </c>
      <c r="FB17" s="106">
        <f t="shared" ref="FB17:FO17" si="305">SUM(FB5:FB16)</f>
        <v>28555.719999999998</v>
      </c>
      <c r="FC17" s="104">
        <f t="shared" si="305"/>
        <v>-2358.0099999999993</v>
      </c>
      <c r="FD17" s="102">
        <f t="shared" si="305"/>
        <v>22385</v>
      </c>
      <c r="FE17" s="103">
        <f t="shared" si="305"/>
        <v>22385</v>
      </c>
      <c r="FF17" s="104">
        <f t="shared" si="305"/>
        <v>0</v>
      </c>
      <c r="FG17" s="103">
        <f t="shared" si="305"/>
        <v>2067.92</v>
      </c>
      <c r="FH17" s="105">
        <f t="shared" si="305"/>
        <v>0</v>
      </c>
      <c r="FI17" s="104">
        <f t="shared" si="305"/>
        <v>2067.92</v>
      </c>
      <c r="FJ17" s="103">
        <f t="shared" si="305"/>
        <v>2612.71</v>
      </c>
      <c r="FK17" s="105">
        <f t="shared" si="305"/>
        <v>3291.85</v>
      </c>
      <c r="FL17" s="104">
        <f t="shared" si="305"/>
        <v>-679.13999999999987</v>
      </c>
      <c r="FM17" s="103">
        <f t="shared" si="305"/>
        <v>1200</v>
      </c>
      <c r="FN17" s="105">
        <f t="shared" si="305"/>
        <v>412.68</v>
      </c>
      <c r="FO17" s="104">
        <f t="shared" si="305"/>
        <v>787.31999999999994</v>
      </c>
      <c r="FP17" s="103">
        <f t="shared" si="67"/>
        <v>28265.629999999997</v>
      </c>
      <c r="FQ17" s="106">
        <f t="shared" ref="FQ17:GD17" si="306">SUM(FQ5:FQ16)</f>
        <v>26089.53</v>
      </c>
      <c r="FR17" s="104">
        <f t="shared" si="306"/>
        <v>2176.1000000000004</v>
      </c>
      <c r="FS17" s="102">
        <f t="shared" si="306"/>
        <v>18000</v>
      </c>
      <c r="FT17" s="103">
        <f t="shared" si="306"/>
        <v>18000</v>
      </c>
      <c r="FU17" s="104">
        <f t="shared" si="306"/>
        <v>0</v>
      </c>
      <c r="FV17" s="103">
        <f t="shared" si="306"/>
        <v>0</v>
      </c>
      <c r="FW17" s="105">
        <f t="shared" si="306"/>
        <v>0</v>
      </c>
      <c r="FX17" s="104">
        <f t="shared" si="306"/>
        <v>0</v>
      </c>
      <c r="FY17" s="103">
        <f t="shared" si="306"/>
        <v>0</v>
      </c>
      <c r="FZ17" s="105">
        <f t="shared" si="306"/>
        <v>0</v>
      </c>
      <c r="GA17" s="104">
        <f t="shared" si="306"/>
        <v>0</v>
      </c>
      <c r="GB17" s="103">
        <f t="shared" si="306"/>
        <v>0</v>
      </c>
      <c r="GC17" s="105">
        <f t="shared" si="306"/>
        <v>0</v>
      </c>
      <c r="GD17" s="104">
        <f t="shared" si="306"/>
        <v>0</v>
      </c>
      <c r="GE17" s="103">
        <f t="shared" si="74"/>
        <v>18000</v>
      </c>
      <c r="GF17" s="106">
        <f t="shared" ref="GF17:GS17" si="307">SUM(GF5:GF16)</f>
        <v>18000</v>
      </c>
      <c r="GG17" s="104">
        <f t="shared" si="307"/>
        <v>0</v>
      </c>
      <c r="GH17" s="102">
        <f t="shared" si="307"/>
        <v>18000</v>
      </c>
      <c r="GI17" s="103">
        <f t="shared" si="307"/>
        <v>18000</v>
      </c>
      <c r="GJ17" s="104">
        <f t="shared" si="307"/>
        <v>0</v>
      </c>
      <c r="GK17" s="103">
        <f t="shared" si="307"/>
        <v>0</v>
      </c>
      <c r="GL17" s="105">
        <f t="shared" si="307"/>
        <v>0</v>
      </c>
      <c r="GM17" s="104">
        <f t="shared" si="307"/>
        <v>0</v>
      </c>
      <c r="GN17" s="103">
        <f t="shared" si="307"/>
        <v>0</v>
      </c>
      <c r="GO17" s="105">
        <f t="shared" si="307"/>
        <v>1044.25</v>
      </c>
      <c r="GP17" s="104">
        <f t="shared" si="307"/>
        <v>-1044.25</v>
      </c>
      <c r="GQ17" s="103">
        <f t="shared" si="307"/>
        <v>0</v>
      </c>
      <c r="GR17" s="105">
        <f t="shared" si="307"/>
        <v>0</v>
      </c>
      <c r="GS17" s="104">
        <f t="shared" si="307"/>
        <v>0</v>
      </c>
      <c r="GT17" s="103">
        <f t="shared" si="81"/>
        <v>18000</v>
      </c>
      <c r="GU17" s="106">
        <f t="shared" ref="GU17:HH17" si="308">SUM(GU5:GU16)</f>
        <v>19044.25</v>
      </c>
      <c r="GV17" s="104">
        <f t="shared" si="308"/>
        <v>-1044.25</v>
      </c>
      <c r="GW17" s="102">
        <f t="shared" si="308"/>
        <v>0</v>
      </c>
      <c r="GX17" s="103">
        <f t="shared" si="308"/>
        <v>0</v>
      </c>
      <c r="GY17" s="104">
        <f t="shared" si="308"/>
        <v>0</v>
      </c>
      <c r="GZ17" s="103">
        <f t="shared" si="308"/>
        <v>0</v>
      </c>
      <c r="HA17" s="105">
        <f t="shared" si="308"/>
        <v>0</v>
      </c>
      <c r="HB17" s="104">
        <f t="shared" si="308"/>
        <v>0</v>
      </c>
      <c r="HC17" s="103">
        <f t="shared" si="308"/>
        <v>0</v>
      </c>
      <c r="HD17" s="105">
        <f t="shared" si="308"/>
        <v>0</v>
      </c>
      <c r="HE17" s="104">
        <f t="shared" si="308"/>
        <v>0</v>
      </c>
      <c r="HF17" s="103">
        <f t="shared" si="308"/>
        <v>0</v>
      </c>
      <c r="HG17" s="105">
        <f t="shared" si="308"/>
        <v>0</v>
      </c>
      <c r="HH17" s="104">
        <f t="shared" si="308"/>
        <v>0</v>
      </c>
      <c r="HI17" s="103">
        <f t="shared" si="84"/>
        <v>0</v>
      </c>
      <c r="HJ17" s="106">
        <f t="shared" ref="HJ17:HW17" si="309">SUM(HJ5:HJ16)</f>
        <v>0</v>
      </c>
      <c r="HK17" s="104">
        <f t="shared" si="309"/>
        <v>0</v>
      </c>
      <c r="HL17" s="102">
        <f t="shared" si="309"/>
        <v>26002.05</v>
      </c>
      <c r="HM17" s="103">
        <f t="shared" si="309"/>
        <v>26002.05</v>
      </c>
      <c r="HN17" s="104">
        <f t="shared" si="309"/>
        <v>0</v>
      </c>
      <c r="HO17" s="103">
        <f t="shared" si="309"/>
        <v>0</v>
      </c>
      <c r="HP17" s="105">
        <f t="shared" si="309"/>
        <v>2184</v>
      </c>
      <c r="HQ17" s="104">
        <f t="shared" si="309"/>
        <v>-2184</v>
      </c>
      <c r="HR17" s="103">
        <f t="shared" si="309"/>
        <v>3200.88</v>
      </c>
      <c r="HS17" s="105">
        <f t="shared" si="309"/>
        <v>2995.74</v>
      </c>
      <c r="HT17" s="104">
        <f t="shared" si="309"/>
        <v>205.14000000000033</v>
      </c>
      <c r="HU17" s="103">
        <f t="shared" si="309"/>
        <v>1200</v>
      </c>
      <c r="HV17" s="105">
        <f t="shared" si="309"/>
        <v>0</v>
      </c>
      <c r="HW17" s="104">
        <f t="shared" si="309"/>
        <v>1200</v>
      </c>
      <c r="HX17" s="103">
        <f t="shared" si="91"/>
        <v>30402.93</v>
      </c>
      <c r="HY17" s="106">
        <f t="shared" ref="HY17:IL17" si="310">SUM(HY5:HY16)</f>
        <v>31181.79</v>
      </c>
      <c r="HZ17" s="104">
        <f t="shared" si="310"/>
        <v>-778.85999999999967</v>
      </c>
      <c r="IA17" s="102">
        <f t="shared" si="310"/>
        <v>21106.560000000001</v>
      </c>
      <c r="IB17" s="103">
        <f t="shared" si="310"/>
        <v>21106.560000000001</v>
      </c>
      <c r="IC17" s="104">
        <f t="shared" si="310"/>
        <v>0</v>
      </c>
      <c r="ID17" s="103">
        <f t="shared" si="310"/>
        <v>0</v>
      </c>
      <c r="IE17" s="105">
        <f t="shared" si="310"/>
        <v>0</v>
      </c>
      <c r="IF17" s="104">
        <f t="shared" si="310"/>
        <v>0</v>
      </c>
      <c r="IG17" s="103">
        <f t="shared" si="310"/>
        <v>1622.8600000000001</v>
      </c>
      <c r="IH17" s="105">
        <f t="shared" si="310"/>
        <v>0</v>
      </c>
      <c r="II17" s="104">
        <f t="shared" si="310"/>
        <v>1622.8600000000001</v>
      </c>
      <c r="IJ17" s="103">
        <f t="shared" si="310"/>
        <v>1200</v>
      </c>
      <c r="IK17" s="105">
        <f t="shared" si="310"/>
        <v>849.69999999999993</v>
      </c>
      <c r="IL17" s="104">
        <f t="shared" si="310"/>
        <v>350.3</v>
      </c>
      <c r="IM17" s="103">
        <f t="shared" si="98"/>
        <v>23929.420000000002</v>
      </c>
      <c r="IN17" s="106">
        <f t="shared" ref="IN17:JA17" si="311">SUM(IN5:IN16)</f>
        <v>21956.260000000002</v>
      </c>
      <c r="IO17" s="104">
        <f t="shared" si="311"/>
        <v>1973.1599999999999</v>
      </c>
      <c r="IP17" s="102">
        <f t="shared" si="311"/>
        <v>12000</v>
      </c>
      <c r="IQ17" s="103">
        <f t="shared" si="311"/>
        <v>12000</v>
      </c>
      <c r="IR17" s="104">
        <f t="shared" si="311"/>
        <v>0</v>
      </c>
      <c r="IS17" s="103">
        <f t="shared" si="311"/>
        <v>0</v>
      </c>
      <c r="IT17" s="105">
        <f t="shared" si="311"/>
        <v>0</v>
      </c>
      <c r="IU17" s="104">
        <f t="shared" si="311"/>
        <v>0</v>
      </c>
      <c r="IV17" s="103">
        <f t="shared" si="311"/>
        <v>2739.5</v>
      </c>
      <c r="IW17" s="105">
        <f t="shared" si="311"/>
        <v>0</v>
      </c>
      <c r="IX17" s="104">
        <f t="shared" si="311"/>
        <v>2739.5</v>
      </c>
      <c r="IY17" s="103">
        <f t="shared" si="311"/>
        <v>0</v>
      </c>
      <c r="IZ17" s="105">
        <f t="shared" si="311"/>
        <v>0</v>
      </c>
      <c r="JA17" s="104">
        <f t="shared" si="311"/>
        <v>0</v>
      </c>
      <c r="JB17" s="103">
        <f t="shared" si="105"/>
        <v>14739.5</v>
      </c>
      <c r="JC17" s="106">
        <f t="shared" ref="JC17:JP17" si="312">SUM(JC5:JC16)</f>
        <v>12000</v>
      </c>
      <c r="JD17" s="104">
        <f t="shared" si="312"/>
        <v>2739.5</v>
      </c>
      <c r="JE17" s="102">
        <f t="shared" si="312"/>
        <v>22000</v>
      </c>
      <c r="JF17" s="103">
        <f t="shared" si="312"/>
        <v>22000</v>
      </c>
      <c r="JG17" s="104">
        <f t="shared" si="312"/>
        <v>0</v>
      </c>
      <c r="JH17" s="103">
        <f t="shared" si="312"/>
        <v>0</v>
      </c>
      <c r="JI17" s="105">
        <f t="shared" si="312"/>
        <v>0</v>
      </c>
      <c r="JJ17" s="104">
        <f t="shared" si="312"/>
        <v>0</v>
      </c>
      <c r="JK17" s="103">
        <f t="shared" si="312"/>
        <v>301.94</v>
      </c>
      <c r="JL17" s="105">
        <f t="shared" si="312"/>
        <v>1973.7</v>
      </c>
      <c r="JM17" s="104">
        <f t="shared" si="312"/>
        <v>-1671.76</v>
      </c>
      <c r="JN17" s="103">
        <f t="shared" si="312"/>
        <v>1200</v>
      </c>
      <c r="JO17" s="105">
        <f t="shared" si="312"/>
        <v>653.17999999999995</v>
      </c>
      <c r="JP17" s="104">
        <f t="shared" si="312"/>
        <v>546.82000000000005</v>
      </c>
      <c r="JQ17" s="103">
        <f t="shared" si="112"/>
        <v>23501.94</v>
      </c>
      <c r="JR17" s="106">
        <f t="shared" ref="JR17:KE17" si="313">SUM(JR5:JR16)</f>
        <v>24626.879999999997</v>
      </c>
      <c r="JS17" s="104">
        <f t="shared" si="313"/>
        <v>-1124.9400000000003</v>
      </c>
      <c r="JT17" s="102">
        <f t="shared" si="313"/>
        <v>58833.460000000006</v>
      </c>
      <c r="JU17" s="103">
        <f t="shared" si="313"/>
        <v>58833.460000000006</v>
      </c>
      <c r="JV17" s="104">
        <f t="shared" si="313"/>
        <v>0</v>
      </c>
      <c r="JW17" s="103">
        <f t="shared" si="313"/>
        <v>0</v>
      </c>
      <c r="JX17" s="105">
        <f t="shared" si="313"/>
        <v>0</v>
      </c>
      <c r="JY17" s="104">
        <f t="shared" si="313"/>
        <v>0</v>
      </c>
      <c r="JZ17" s="103">
        <f t="shared" si="313"/>
        <v>0</v>
      </c>
      <c r="KA17" s="105">
        <f t="shared" si="313"/>
        <v>0</v>
      </c>
      <c r="KB17" s="104">
        <f t="shared" si="313"/>
        <v>0</v>
      </c>
      <c r="KC17" s="103">
        <f t="shared" si="313"/>
        <v>1200</v>
      </c>
      <c r="KD17" s="105">
        <f t="shared" si="313"/>
        <v>935.68000000000006</v>
      </c>
      <c r="KE17" s="104">
        <f t="shared" si="313"/>
        <v>264.32</v>
      </c>
      <c r="KF17" s="103">
        <f t="shared" si="119"/>
        <v>60033.460000000006</v>
      </c>
      <c r="KG17" s="106">
        <f>SUM(KG5:KG16)</f>
        <v>59769.14</v>
      </c>
      <c r="KH17" s="104">
        <f>SUM(KH5:KH16)</f>
        <v>264.32000000000062</v>
      </c>
      <c r="KI17" s="102">
        <f t="shared" ref="KI17:KS17" si="314">SUM(KI5:KI16)</f>
        <v>0</v>
      </c>
      <c r="KJ17" s="103">
        <f t="shared" si="314"/>
        <v>0</v>
      </c>
      <c r="KK17" s="104">
        <f t="shared" si="314"/>
        <v>0</v>
      </c>
      <c r="KL17" s="103">
        <f t="shared" si="314"/>
        <v>0</v>
      </c>
      <c r="KM17" s="105">
        <f t="shared" si="314"/>
        <v>0</v>
      </c>
      <c r="KN17" s="104">
        <f t="shared" si="314"/>
        <v>0</v>
      </c>
      <c r="KO17" s="103">
        <f t="shared" si="314"/>
        <v>0</v>
      </c>
      <c r="KP17" s="105">
        <f t="shared" si="314"/>
        <v>0</v>
      </c>
      <c r="KQ17" s="104">
        <f t="shared" si="314"/>
        <v>0</v>
      </c>
      <c r="KR17" s="103">
        <f t="shared" si="314"/>
        <v>0</v>
      </c>
      <c r="KS17" s="105">
        <f t="shared" si="314"/>
        <v>0</v>
      </c>
      <c r="KT17" s="104">
        <f>SUM(KT5:KT16)</f>
        <v>0</v>
      </c>
      <c r="KU17" s="103">
        <f t="shared" si="1"/>
        <v>0</v>
      </c>
      <c r="KV17" s="106">
        <f>SUM(KV5:KV16)</f>
        <v>0</v>
      </c>
      <c r="KW17" s="104">
        <f>SUM(KW5:KW16)</f>
        <v>0</v>
      </c>
      <c r="KX17" s="107"/>
      <c r="KY17" s="108"/>
      <c r="KZ17" s="109"/>
      <c r="LA17" s="108"/>
      <c r="LB17" s="110"/>
      <c r="LC17" s="109"/>
      <c r="LD17" s="108"/>
      <c r="LE17" s="110"/>
      <c r="LF17" s="109"/>
      <c r="LG17" s="108"/>
      <c r="LH17" s="110"/>
      <c r="LI17" s="109"/>
      <c r="LJ17" s="108"/>
      <c r="LK17" s="111"/>
      <c r="LL17" s="109"/>
      <c r="LM17" s="102">
        <f t="shared" ref="LM17:LW17" si="315">SUM(LM5:LM16)</f>
        <v>0</v>
      </c>
      <c r="LN17" s="103">
        <f t="shared" si="315"/>
        <v>0</v>
      </c>
      <c r="LO17" s="104">
        <f t="shared" si="315"/>
        <v>0</v>
      </c>
      <c r="LP17" s="103">
        <f t="shared" si="315"/>
        <v>0</v>
      </c>
      <c r="LQ17" s="105">
        <f t="shared" si="315"/>
        <v>0</v>
      </c>
      <c r="LR17" s="104">
        <f t="shared" si="315"/>
        <v>0</v>
      </c>
      <c r="LS17" s="103">
        <f t="shared" si="315"/>
        <v>0</v>
      </c>
      <c r="LT17" s="105">
        <f t="shared" si="315"/>
        <v>0</v>
      </c>
      <c r="LU17" s="104">
        <f t="shared" si="315"/>
        <v>0</v>
      </c>
      <c r="LV17" s="103">
        <f t="shared" si="315"/>
        <v>0</v>
      </c>
      <c r="LW17" s="105">
        <f t="shared" si="315"/>
        <v>0</v>
      </c>
      <c r="LX17" s="104">
        <f>SUM(LX5:LX16)</f>
        <v>0</v>
      </c>
      <c r="LY17" s="103">
        <f t="shared" si="124"/>
        <v>0</v>
      </c>
      <c r="LZ17" s="106">
        <f t="shared" ref="LZ17:MM17" si="316">SUM(LZ5:LZ16)</f>
        <v>0</v>
      </c>
      <c r="MA17" s="104">
        <f t="shared" si="316"/>
        <v>0</v>
      </c>
      <c r="MB17" s="102">
        <f t="shared" si="316"/>
        <v>7800</v>
      </c>
      <c r="MC17" s="103">
        <f t="shared" si="316"/>
        <v>7800</v>
      </c>
      <c r="MD17" s="104">
        <f t="shared" si="316"/>
        <v>0</v>
      </c>
      <c r="ME17" s="103">
        <f t="shared" si="316"/>
        <v>9365.7000000000007</v>
      </c>
      <c r="MF17" s="105">
        <f t="shared" si="316"/>
        <v>8788.1099999999988</v>
      </c>
      <c r="MG17" s="104">
        <f t="shared" si="316"/>
        <v>577.58999999999969</v>
      </c>
      <c r="MH17" s="103">
        <f t="shared" si="316"/>
        <v>1316.81</v>
      </c>
      <c r="MI17" s="105">
        <f t="shared" si="316"/>
        <v>1316.81</v>
      </c>
      <c r="MJ17" s="104">
        <f t="shared" si="316"/>
        <v>0</v>
      </c>
      <c r="MK17" s="103">
        <f t="shared" si="316"/>
        <v>1200</v>
      </c>
      <c r="ML17" s="105">
        <f t="shared" si="316"/>
        <v>1669.71</v>
      </c>
      <c r="MM17" s="104">
        <f t="shared" si="316"/>
        <v>-469.71000000000004</v>
      </c>
      <c r="MN17" s="103">
        <f t="shared" si="131"/>
        <v>19682.510000000002</v>
      </c>
      <c r="MO17" s="106">
        <f t="shared" ref="MO17:NB17" si="317">SUM(MO5:MO16)</f>
        <v>19574.63</v>
      </c>
      <c r="MP17" s="104">
        <f t="shared" si="317"/>
        <v>107.87999999999874</v>
      </c>
      <c r="MQ17" s="102">
        <f t="shared" si="317"/>
        <v>15000</v>
      </c>
      <c r="MR17" s="103">
        <f t="shared" si="317"/>
        <v>15000</v>
      </c>
      <c r="MS17" s="104">
        <f t="shared" si="317"/>
        <v>0</v>
      </c>
      <c r="MT17" s="103">
        <f t="shared" si="317"/>
        <v>0</v>
      </c>
      <c r="MU17" s="105">
        <f t="shared" si="317"/>
        <v>0</v>
      </c>
      <c r="MV17" s="104">
        <f t="shared" si="317"/>
        <v>0</v>
      </c>
      <c r="MW17" s="103">
        <f t="shared" si="317"/>
        <v>0</v>
      </c>
      <c r="MX17" s="105">
        <f t="shared" si="317"/>
        <v>0</v>
      </c>
      <c r="MY17" s="104">
        <f t="shared" si="317"/>
        <v>0</v>
      </c>
      <c r="MZ17" s="103">
        <f t="shared" si="317"/>
        <v>0</v>
      </c>
      <c r="NA17" s="105">
        <f t="shared" si="317"/>
        <v>0</v>
      </c>
      <c r="NB17" s="104">
        <f t="shared" si="317"/>
        <v>0</v>
      </c>
      <c r="NC17" s="103">
        <f t="shared" si="138"/>
        <v>15000</v>
      </c>
      <c r="ND17" s="106">
        <f t="shared" ref="ND17:NQ17" si="318">SUM(ND5:ND16)</f>
        <v>15000</v>
      </c>
      <c r="NE17" s="104">
        <f t="shared" si="318"/>
        <v>0</v>
      </c>
      <c r="NF17" s="102">
        <f t="shared" si="318"/>
        <v>2000</v>
      </c>
      <c r="NG17" s="103">
        <f t="shared" si="318"/>
        <v>2000</v>
      </c>
      <c r="NH17" s="104">
        <f t="shared" si="318"/>
        <v>0</v>
      </c>
      <c r="NI17" s="103">
        <f t="shared" si="318"/>
        <v>8927</v>
      </c>
      <c r="NJ17" s="105">
        <f t="shared" si="318"/>
        <v>9615.18</v>
      </c>
      <c r="NK17" s="104">
        <f t="shared" si="318"/>
        <v>-688.17999999999972</v>
      </c>
      <c r="NL17" s="103">
        <f t="shared" si="318"/>
        <v>0</v>
      </c>
      <c r="NM17" s="105">
        <f t="shared" si="318"/>
        <v>699</v>
      </c>
      <c r="NN17" s="104">
        <f t="shared" si="318"/>
        <v>-699</v>
      </c>
      <c r="NO17" s="103">
        <f t="shared" si="318"/>
        <v>1200</v>
      </c>
      <c r="NP17" s="105">
        <f t="shared" si="318"/>
        <v>1416.47</v>
      </c>
      <c r="NQ17" s="104">
        <f t="shared" si="318"/>
        <v>-216.47000000000003</v>
      </c>
      <c r="NR17" s="103">
        <f t="shared" si="145"/>
        <v>12127</v>
      </c>
      <c r="NS17" s="106">
        <f t="shared" ref="NS17:OF17" si="319">SUM(NS5:NS16)</f>
        <v>13730.65</v>
      </c>
      <c r="NT17" s="104">
        <f t="shared" si="319"/>
        <v>-1603.65</v>
      </c>
      <c r="NU17" s="102">
        <f t="shared" si="319"/>
        <v>10368</v>
      </c>
      <c r="NV17" s="103">
        <f t="shared" si="319"/>
        <v>10368</v>
      </c>
      <c r="NW17" s="104">
        <f t="shared" si="319"/>
        <v>0</v>
      </c>
      <c r="NX17" s="103">
        <f t="shared" si="319"/>
        <v>8331.27</v>
      </c>
      <c r="NY17" s="105">
        <f t="shared" si="319"/>
        <v>0</v>
      </c>
      <c r="NZ17" s="104">
        <f t="shared" si="319"/>
        <v>8331.27</v>
      </c>
      <c r="OA17" s="103">
        <f t="shared" si="319"/>
        <v>0</v>
      </c>
      <c r="OB17" s="105">
        <f t="shared" si="319"/>
        <v>0</v>
      </c>
      <c r="OC17" s="104">
        <f t="shared" si="319"/>
        <v>0</v>
      </c>
      <c r="OD17" s="103">
        <f t="shared" si="319"/>
        <v>1200</v>
      </c>
      <c r="OE17" s="105">
        <f t="shared" si="319"/>
        <v>970.93000000000006</v>
      </c>
      <c r="OF17" s="104">
        <f t="shared" si="319"/>
        <v>229.07000000000005</v>
      </c>
      <c r="OG17" s="103">
        <f t="shared" si="152"/>
        <v>19899.27</v>
      </c>
      <c r="OH17" s="106">
        <f t="shared" ref="OH17:OU17" si="320">SUM(OH5:OH16)</f>
        <v>11338.93</v>
      </c>
      <c r="OI17" s="104">
        <f t="shared" si="320"/>
        <v>8560.340000000002</v>
      </c>
      <c r="OJ17" s="102">
        <f t="shared" si="320"/>
        <v>16000</v>
      </c>
      <c r="OK17" s="103">
        <f t="shared" si="320"/>
        <v>16000</v>
      </c>
      <c r="OL17" s="104">
        <f t="shared" si="320"/>
        <v>0</v>
      </c>
      <c r="OM17" s="103">
        <f t="shared" si="320"/>
        <v>0</v>
      </c>
      <c r="ON17" s="105">
        <f t="shared" si="320"/>
        <v>0</v>
      </c>
      <c r="OO17" s="104">
        <f t="shared" si="320"/>
        <v>0</v>
      </c>
      <c r="OP17" s="103">
        <f t="shared" si="320"/>
        <v>0</v>
      </c>
      <c r="OQ17" s="105">
        <f t="shared" si="320"/>
        <v>0</v>
      </c>
      <c r="OR17" s="104">
        <f t="shared" si="320"/>
        <v>0</v>
      </c>
      <c r="OS17" s="103">
        <f t="shared" si="320"/>
        <v>1200</v>
      </c>
      <c r="OT17" s="105">
        <f t="shared" si="320"/>
        <v>629.96</v>
      </c>
      <c r="OU17" s="104">
        <f t="shared" si="320"/>
        <v>570.04000000000008</v>
      </c>
      <c r="OV17" s="103">
        <f t="shared" si="159"/>
        <v>17200</v>
      </c>
      <c r="OW17" s="106">
        <f t="shared" ref="OW17:PJ17" si="321">SUM(OW5:OW16)</f>
        <v>16629.96</v>
      </c>
      <c r="OX17" s="104">
        <f t="shared" si="321"/>
        <v>570.04000000000008</v>
      </c>
      <c r="OY17" s="102">
        <f t="shared" si="321"/>
        <v>15800</v>
      </c>
      <c r="OZ17" s="103">
        <f t="shared" si="321"/>
        <v>15800</v>
      </c>
      <c r="PA17" s="104">
        <f t="shared" si="321"/>
        <v>0</v>
      </c>
      <c r="PB17" s="103">
        <f t="shared" si="321"/>
        <v>0</v>
      </c>
      <c r="PC17" s="105">
        <f t="shared" si="321"/>
        <v>0</v>
      </c>
      <c r="PD17" s="104">
        <f t="shared" si="321"/>
        <v>0</v>
      </c>
      <c r="PE17" s="103">
        <f t="shared" si="321"/>
        <v>0</v>
      </c>
      <c r="PF17" s="105">
        <f t="shared" si="321"/>
        <v>0</v>
      </c>
      <c r="PG17" s="104">
        <f t="shared" si="321"/>
        <v>0</v>
      </c>
      <c r="PH17" s="103">
        <f t="shared" si="321"/>
        <v>1200</v>
      </c>
      <c r="PI17" s="105">
        <f t="shared" si="321"/>
        <v>612.67999999999995</v>
      </c>
      <c r="PJ17" s="104">
        <f t="shared" si="321"/>
        <v>587.32000000000005</v>
      </c>
      <c r="PK17" s="103">
        <f t="shared" si="166"/>
        <v>17000</v>
      </c>
      <c r="PL17" s="106">
        <f t="shared" ref="PL17:PY17" si="322">SUM(PL5:PL16)</f>
        <v>16412.68</v>
      </c>
      <c r="PM17" s="104">
        <f t="shared" si="322"/>
        <v>587.3199999999996</v>
      </c>
      <c r="PN17" s="102">
        <f t="shared" si="322"/>
        <v>16800</v>
      </c>
      <c r="PO17" s="103">
        <f t="shared" si="322"/>
        <v>16800</v>
      </c>
      <c r="PP17" s="104">
        <f t="shared" si="322"/>
        <v>0</v>
      </c>
      <c r="PQ17" s="103">
        <f t="shared" si="322"/>
        <v>0</v>
      </c>
      <c r="PR17" s="105">
        <f t="shared" si="322"/>
        <v>0</v>
      </c>
      <c r="PS17" s="104">
        <f t="shared" si="322"/>
        <v>0</v>
      </c>
      <c r="PT17" s="103">
        <f t="shared" si="322"/>
        <v>0</v>
      </c>
      <c r="PU17" s="105">
        <f t="shared" si="322"/>
        <v>0</v>
      </c>
      <c r="PV17" s="104">
        <f t="shared" si="322"/>
        <v>0</v>
      </c>
      <c r="PW17" s="103">
        <f t="shared" si="322"/>
        <v>1200</v>
      </c>
      <c r="PX17" s="105">
        <f t="shared" si="322"/>
        <v>709.16</v>
      </c>
      <c r="PY17" s="104">
        <f t="shared" si="322"/>
        <v>490.84000000000003</v>
      </c>
      <c r="PZ17" s="103">
        <f t="shared" si="173"/>
        <v>18000</v>
      </c>
      <c r="QA17" s="106">
        <f t="shared" ref="QA17:QN17" si="323">SUM(QA5:QA16)</f>
        <v>17509.16</v>
      </c>
      <c r="QB17" s="104">
        <f t="shared" si="323"/>
        <v>490.83999999999992</v>
      </c>
      <c r="QC17" s="102">
        <f t="shared" si="323"/>
        <v>15000</v>
      </c>
      <c r="QD17" s="103">
        <f t="shared" si="323"/>
        <v>15000</v>
      </c>
      <c r="QE17" s="104">
        <f t="shared" si="323"/>
        <v>0</v>
      </c>
      <c r="QF17" s="103">
        <f t="shared" si="323"/>
        <v>0</v>
      </c>
      <c r="QG17" s="105">
        <f t="shared" si="323"/>
        <v>0</v>
      </c>
      <c r="QH17" s="104">
        <f t="shared" si="323"/>
        <v>0</v>
      </c>
      <c r="QI17" s="103">
        <f t="shared" si="323"/>
        <v>0</v>
      </c>
      <c r="QJ17" s="105">
        <f t="shared" si="323"/>
        <v>0</v>
      </c>
      <c r="QK17" s="104">
        <f t="shared" si="323"/>
        <v>0</v>
      </c>
      <c r="QL17" s="103">
        <f t="shared" si="323"/>
        <v>1200</v>
      </c>
      <c r="QM17" s="105">
        <f t="shared" si="323"/>
        <v>1020.83</v>
      </c>
      <c r="QN17" s="104">
        <f t="shared" si="323"/>
        <v>179.17</v>
      </c>
      <c r="QO17" s="103">
        <f t="shared" si="180"/>
        <v>16200</v>
      </c>
      <c r="QP17" s="106">
        <f t="shared" ref="QP17:RC17" si="324">SUM(QP5:QP16)</f>
        <v>16020.83</v>
      </c>
      <c r="QQ17" s="104">
        <f t="shared" si="324"/>
        <v>179.17000000000016</v>
      </c>
      <c r="QR17" s="102">
        <f t="shared" si="324"/>
        <v>15500</v>
      </c>
      <c r="QS17" s="103">
        <f t="shared" si="324"/>
        <v>15500</v>
      </c>
      <c r="QT17" s="104">
        <f t="shared" si="324"/>
        <v>0</v>
      </c>
      <c r="QU17" s="103">
        <f t="shared" si="324"/>
        <v>0</v>
      </c>
      <c r="QV17" s="105">
        <f t="shared" si="324"/>
        <v>0</v>
      </c>
      <c r="QW17" s="104">
        <f t="shared" si="324"/>
        <v>0</v>
      </c>
      <c r="QX17" s="103">
        <f t="shared" si="324"/>
        <v>0</v>
      </c>
      <c r="QY17" s="105">
        <f t="shared" si="324"/>
        <v>0</v>
      </c>
      <c r="QZ17" s="104">
        <f t="shared" si="324"/>
        <v>0</v>
      </c>
      <c r="RA17" s="103">
        <f t="shared" si="324"/>
        <v>0</v>
      </c>
      <c r="RB17" s="105">
        <f t="shared" si="324"/>
        <v>0</v>
      </c>
      <c r="RC17" s="104">
        <f t="shared" si="324"/>
        <v>0</v>
      </c>
      <c r="RD17" s="103">
        <f t="shared" si="187"/>
        <v>15500</v>
      </c>
      <c r="RE17" s="106">
        <f t="shared" ref="RE17:RR17" si="325">SUM(RE5:RE16)</f>
        <v>15500</v>
      </c>
      <c r="RF17" s="104">
        <f t="shared" si="325"/>
        <v>0</v>
      </c>
      <c r="RG17" s="102">
        <f t="shared" si="325"/>
        <v>15500</v>
      </c>
      <c r="RH17" s="103">
        <f t="shared" si="325"/>
        <v>15500</v>
      </c>
      <c r="RI17" s="104">
        <f t="shared" si="325"/>
        <v>0</v>
      </c>
      <c r="RJ17" s="103">
        <f t="shared" si="325"/>
        <v>0</v>
      </c>
      <c r="RK17" s="105">
        <f t="shared" si="325"/>
        <v>0</v>
      </c>
      <c r="RL17" s="104">
        <f t="shared" si="325"/>
        <v>0</v>
      </c>
      <c r="RM17" s="103">
        <f t="shared" si="325"/>
        <v>0</v>
      </c>
      <c r="RN17" s="105">
        <f t="shared" si="325"/>
        <v>0</v>
      </c>
      <c r="RO17" s="104">
        <f t="shared" si="325"/>
        <v>0</v>
      </c>
      <c r="RP17" s="103">
        <f t="shared" si="325"/>
        <v>0</v>
      </c>
      <c r="RQ17" s="105">
        <f t="shared" si="325"/>
        <v>0</v>
      </c>
      <c r="RR17" s="104">
        <f t="shared" si="325"/>
        <v>0</v>
      </c>
      <c r="RS17" s="103">
        <f t="shared" si="194"/>
        <v>15500</v>
      </c>
      <c r="RT17" s="106">
        <f t="shared" ref="RT17:SG17" si="326">SUM(RT5:RT16)</f>
        <v>15500</v>
      </c>
      <c r="RU17" s="104">
        <f t="shared" si="326"/>
        <v>0</v>
      </c>
      <c r="RV17" s="102">
        <f t="shared" si="326"/>
        <v>16500</v>
      </c>
      <c r="RW17" s="103">
        <f t="shared" si="326"/>
        <v>16500</v>
      </c>
      <c r="RX17" s="104">
        <f t="shared" si="326"/>
        <v>0</v>
      </c>
      <c r="RY17" s="103">
        <f t="shared" si="326"/>
        <v>0</v>
      </c>
      <c r="RZ17" s="105">
        <f t="shared" si="326"/>
        <v>0</v>
      </c>
      <c r="SA17" s="104">
        <f t="shared" si="326"/>
        <v>0</v>
      </c>
      <c r="SB17" s="103">
        <f t="shared" si="326"/>
        <v>0</v>
      </c>
      <c r="SC17" s="105">
        <f t="shared" si="326"/>
        <v>0</v>
      </c>
      <c r="SD17" s="104">
        <f t="shared" si="326"/>
        <v>0</v>
      </c>
      <c r="SE17" s="103">
        <f t="shared" si="326"/>
        <v>1200</v>
      </c>
      <c r="SF17" s="105">
        <f t="shared" si="326"/>
        <v>981.64</v>
      </c>
      <c r="SG17" s="104">
        <f t="shared" si="326"/>
        <v>218.36</v>
      </c>
      <c r="SH17" s="103">
        <f t="shared" si="201"/>
        <v>17700</v>
      </c>
      <c r="SI17" s="106">
        <f t="shared" ref="SI17:SV17" si="327">SUM(SI5:SI16)</f>
        <v>17481.640000000003</v>
      </c>
      <c r="SJ17" s="104">
        <f t="shared" si="327"/>
        <v>218.36</v>
      </c>
      <c r="SK17" s="102">
        <f t="shared" si="327"/>
        <v>16000</v>
      </c>
      <c r="SL17" s="103">
        <f t="shared" si="327"/>
        <v>16000</v>
      </c>
      <c r="SM17" s="104">
        <f t="shared" si="327"/>
        <v>0</v>
      </c>
      <c r="SN17" s="103">
        <f t="shared" si="327"/>
        <v>0</v>
      </c>
      <c r="SO17" s="105">
        <f t="shared" si="327"/>
        <v>0</v>
      </c>
      <c r="SP17" s="104">
        <f t="shared" si="327"/>
        <v>0</v>
      </c>
      <c r="SQ17" s="103">
        <f t="shared" si="327"/>
        <v>0</v>
      </c>
      <c r="SR17" s="105">
        <f t="shared" si="327"/>
        <v>0</v>
      </c>
      <c r="SS17" s="104">
        <f t="shared" si="327"/>
        <v>0</v>
      </c>
      <c r="ST17" s="103">
        <f t="shared" si="327"/>
        <v>1200</v>
      </c>
      <c r="SU17" s="105">
        <f t="shared" si="327"/>
        <v>1313.0800000000002</v>
      </c>
      <c r="SV17" s="104">
        <f t="shared" si="327"/>
        <v>-113.08000000000001</v>
      </c>
      <c r="SW17" s="103">
        <f t="shared" si="208"/>
        <v>17200</v>
      </c>
      <c r="SX17" s="106">
        <f t="shared" ref="SX17:TK17" si="328">SUM(SX5:SX16)</f>
        <v>17313.079999999998</v>
      </c>
      <c r="SY17" s="104">
        <f t="shared" si="328"/>
        <v>-113.07999999999933</v>
      </c>
      <c r="SZ17" s="102">
        <f t="shared" si="328"/>
        <v>15341.599999999999</v>
      </c>
      <c r="TA17" s="103">
        <f t="shared" si="328"/>
        <v>15341.599999999999</v>
      </c>
      <c r="TB17" s="104">
        <f t="shared" si="328"/>
        <v>0</v>
      </c>
      <c r="TC17" s="103">
        <f t="shared" si="328"/>
        <v>0</v>
      </c>
      <c r="TD17" s="105">
        <f t="shared" si="328"/>
        <v>0</v>
      </c>
      <c r="TE17" s="104">
        <f t="shared" si="328"/>
        <v>0</v>
      </c>
      <c r="TF17" s="103">
        <f t="shared" si="328"/>
        <v>0</v>
      </c>
      <c r="TG17" s="105">
        <f t="shared" si="328"/>
        <v>0</v>
      </c>
      <c r="TH17" s="104">
        <f t="shared" si="328"/>
        <v>0</v>
      </c>
      <c r="TI17" s="103">
        <f t="shared" si="328"/>
        <v>1200</v>
      </c>
      <c r="TJ17" s="105">
        <f t="shared" si="328"/>
        <v>754.51</v>
      </c>
      <c r="TK17" s="104">
        <f t="shared" si="328"/>
        <v>445.49</v>
      </c>
      <c r="TL17" s="103">
        <f t="shared" si="215"/>
        <v>16541.599999999999</v>
      </c>
      <c r="TM17" s="106">
        <f t="shared" ref="TM17:TZ17" si="329">SUM(TM5:TM16)</f>
        <v>16096.11</v>
      </c>
      <c r="TN17" s="104">
        <f t="shared" si="329"/>
        <v>445.48999999999978</v>
      </c>
      <c r="TO17" s="102">
        <f t="shared" si="329"/>
        <v>14000</v>
      </c>
      <c r="TP17" s="103">
        <f t="shared" si="329"/>
        <v>14000</v>
      </c>
      <c r="TQ17" s="104">
        <f t="shared" si="329"/>
        <v>0</v>
      </c>
      <c r="TR17" s="103">
        <f t="shared" si="329"/>
        <v>0</v>
      </c>
      <c r="TS17" s="105">
        <f t="shared" si="329"/>
        <v>0</v>
      </c>
      <c r="TT17" s="104">
        <f t="shared" si="329"/>
        <v>0</v>
      </c>
      <c r="TU17" s="103">
        <f t="shared" si="329"/>
        <v>0</v>
      </c>
      <c r="TV17" s="105">
        <f t="shared" si="329"/>
        <v>1663.98</v>
      </c>
      <c r="TW17" s="104">
        <f t="shared" si="329"/>
        <v>-1663.98</v>
      </c>
      <c r="TX17" s="103">
        <f t="shared" si="329"/>
        <v>1200</v>
      </c>
      <c r="TY17" s="105">
        <f t="shared" si="329"/>
        <v>538.29999999999995</v>
      </c>
      <c r="TZ17" s="104">
        <f t="shared" si="329"/>
        <v>661.69999999999993</v>
      </c>
      <c r="UA17" s="103">
        <f t="shared" si="222"/>
        <v>15200</v>
      </c>
      <c r="UB17" s="106">
        <f t="shared" ref="UB17:UO17" si="330">SUM(UB5:UB16)</f>
        <v>16202.28</v>
      </c>
      <c r="UC17" s="104">
        <f t="shared" si="330"/>
        <v>-1002.28</v>
      </c>
      <c r="UD17" s="102">
        <f t="shared" si="330"/>
        <v>0</v>
      </c>
      <c r="UE17" s="103">
        <f t="shared" si="330"/>
        <v>0</v>
      </c>
      <c r="UF17" s="104">
        <f t="shared" si="330"/>
        <v>0</v>
      </c>
      <c r="UG17" s="103">
        <f t="shared" si="330"/>
        <v>0</v>
      </c>
      <c r="UH17" s="105">
        <f t="shared" si="330"/>
        <v>0</v>
      </c>
      <c r="UI17" s="104">
        <f t="shared" si="330"/>
        <v>0</v>
      </c>
      <c r="UJ17" s="103">
        <f t="shared" si="330"/>
        <v>0</v>
      </c>
      <c r="UK17" s="105">
        <f t="shared" si="330"/>
        <v>0</v>
      </c>
      <c r="UL17" s="104">
        <f t="shared" si="330"/>
        <v>0</v>
      </c>
      <c r="UM17" s="103">
        <f t="shared" si="330"/>
        <v>0</v>
      </c>
      <c r="UN17" s="105">
        <f t="shared" si="330"/>
        <v>0</v>
      </c>
      <c r="UO17" s="104">
        <f t="shared" si="330"/>
        <v>0</v>
      </c>
      <c r="UP17" s="103">
        <f t="shared" si="226"/>
        <v>0</v>
      </c>
      <c r="UQ17" s="106">
        <f t="shared" ref="UQ17:VD17" si="331">SUM(UQ5:UQ16)</f>
        <v>0</v>
      </c>
      <c r="UR17" s="104">
        <f t="shared" si="331"/>
        <v>0</v>
      </c>
      <c r="US17" s="102">
        <f t="shared" si="331"/>
        <v>15000</v>
      </c>
      <c r="UT17" s="103">
        <f t="shared" si="331"/>
        <v>15000</v>
      </c>
      <c r="UU17" s="104">
        <f t="shared" si="331"/>
        <v>0</v>
      </c>
      <c r="UV17" s="103">
        <f t="shared" si="331"/>
        <v>0</v>
      </c>
      <c r="UW17" s="105">
        <f t="shared" si="331"/>
        <v>0</v>
      </c>
      <c r="UX17" s="104">
        <f t="shared" si="331"/>
        <v>0</v>
      </c>
      <c r="UY17" s="103">
        <f t="shared" si="331"/>
        <v>0</v>
      </c>
      <c r="UZ17" s="105">
        <f t="shared" si="331"/>
        <v>0</v>
      </c>
      <c r="VA17" s="104">
        <f t="shared" si="331"/>
        <v>0</v>
      </c>
      <c r="VB17" s="103">
        <f t="shared" si="331"/>
        <v>1200</v>
      </c>
      <c r="VC17" s="105">
        <f t="shared" si="331"/>
        <v>771.81999999999994</v>
      </c>
      <c r="VD17" s="104">
        <f t="shared" si="331"/>
        <v>428.17999999999995</v>
      </c>
      <c r="VE17" s="103">
        <f t="shared" si="233"/>
        <v>16200</v>
      </c>
      <c r="VF17" s="106">
        <f t="shared" ref="VF17:VS17" si="332">SUM(VF5:VF16)</f>
        <v>15771.819999999998</v>
      </c>
      <c r="VG17" s="104">
        <f t="shared" si="332"/>
        <v>428.17999999999984</v>
      </c>
      <c r="VH17" s="102">
        <f t="shared" si="332"/>
        <v>15000</v>
      </c>
      <c r="VI17" s="103">
        <f t="shared" si="332"/>
        <v>15000</v>
      </c>
      <c r="VJ17" s="104">
        <f t="shared" si="332"/>
        <v>0</v>
      </c>
      <c r="VK17" s="103">
        <f t="shared" si="332"/>
        <v>0</v>
      </c>
      <c r="VL17" s="105">
        <f t="shared" si="332"/>
        <v>0</v>
      </c>
      <c r="VM17" s="104">
        <f t="shared" si="332"/>
        <v>0</v>
      </c>
      <c r="VN17" s="103">
        <f t="shared" si="332"/>
        <v>0</v>
      </c>
      <c r="VO17" s="105">
        <f t="shared" si="332"/>
        <v>0</v>
      </c>
      <c r="VP17" s="104">
        <f t="shared" si="332"/>
        <v>0</v>
      </c>
      <c r="VQ17" s="103">
        <f t="shared" si="332"/>
        <v>1200</v>
      </c>
      <c r="VR17" s="105">
        <f t="shared" si="332"/>
        <v>566.67000000000007</v>
      </c>
      <c r="VS17" s="104">
        <f t="shared" si="332"/>
        <v>633.32999999999993</v>
      </c>
      <c r="VT17" s="103">
        <f t="shared" si="240"/>
        <v>16200</v>
      </c>
      <c r="VU17" s="106">
        <f t="shared" ref="VU17:WH17" si="333">SUM(VU5:VU16)</f>
        <v>15566.67</v>
      </c>
      <c r="VV17" s="104">
        <f t="shared" si="333"/>
        <v>633.33000000000061</v>
      </c>
      <c r="VW17" s="102">
        <f t="shared" si="333"/>
        <v>15636</v>
      </c>
      <c r="VX17" s="103">
        <f t="shared" si="333"/>
        <v>15636</v>
      </c>
      <c r="VY17" s="104">
        <f t="shared" si="333"/>
        <v>0</v>
      </c>
      <c r="VZ17" s="103">
        <f t="shared" si="333"/>
        <v>0</v>
      </c>
      <c r="WA17" s="105">
        <f t="shared" si="333"/>
        <v>0</v>
      </c>
      <c r="WB17" s="104">
        <f t="shared" si="333"/>
        <v>0</v>
      </c>
      <c r="WC17" s="103">
        <f t="shared" si="333"/>
        <v>0</v>
      </c>
      <c r="WD17" s="105">
        <f t="shared" si="333"/>
        <v>10956.59</v>
      </c>
      <c r="WE17" s="104">
        <f t="shared" si="333"/>
        <v>-10956.59</v>
      </c>
      <c r="WF17" s="103">
        <f t="shared" si="333"/>
        <v>0</v>
      </c>
      <c r="WG17" s="105">
        <f t="shared" si="333"/>
        <v>0</v>
      </c>
      <c r="WH17" s="104">
        <f t="shared" si="333"/>
        <v>0</v>
      </c>
      <c r="WI17" s="103">
        <f t="shared" si="247"/>
        <v>15636</v>
      </c>
      <c r="WJ17" s="106">
        <f t="shared" ref="WJ17:WW17" si="334">SUM(WJ5:WJ16)</f>
        <v>26592.59</v>
      </c>
      <c r="WK17" s="104">
        <f t="shared" si="334"/>
        <v>-10956.59</v>
      </c>
      <c r="WL17" s="102">
        <f t="shared" si="334"/>
        <v>15312.12</v>
      </c>
      <c r="WM17" s="103">
        <f t="shared" si="334"/>
        <v>15312.12</v>
      </c>
      <c r="WN17" s="104">
        <f t="shared" si="334"/>
        <v>0</v>
      </c>
      <c r="WO17" s="103">
        <f t="shared" si="334"/>
        <v>0</v>
      </c>
      <c r="WP17" s="105">
        <f t="shared" si="334"/>
        <v>0</v>
      </c>
      <c r="WQ17" s="104">
        <f t="shared" si="334"/>
        <v>0</v>
      </c>
      <c r="WR17" s="103">
        <f t="shared" si="334"/>
        <v>0</v>
      </c>
      <c r="WS17" s="105">
        <f t="shared" si="334"/>
        <v>3403.94</v>
      </c>
      <c r="WT17" s="104">
        <f t="shared" si="334"/>
        <v>-3403.94</v>
      </c>
      <c r="WU17" s="103">
        <f t="shared" si="334"/>
        <v>1200</v>
      </c>
      <c r="WV17" s="105">
        <f t="shared" si="334"/>
        <v>613.48</v>
      </c>
      <c r="WW17" s="104">
        <f t="shared" si="334"/>
        <v>586.52</v>
      </c>
      <c r="WX17" s="103">
        <f t="shared" si="254"/>
        <v>16512.120000000003</v>
      </c>
      <c r="WY17" s="106">
        <f t="shared" ref="WY17:XL17" si="335">SUM(WY5:WY16)</f>
        <v>19329.539999999997</v>
      </c>
      <c r="WZ17" s="104">
        <f t="shared" si="335"/>
        <v>-2817.42</v>
      </c>
      <c r="XA17" s="102">
        <f t="shared" si="335"/>
        <v>16000</v>
      </c>
      <c r="XB17" s="103">
        <f t="shared" si="335"/>
        <v>16000</v>
      </c>
      <c r="XC17" s="104">
        <f t="shared" si="335"/>
        <v>0</v>
      </c>
      <c r="XD17" s="103">
        <f t="shared" si="335"/>
        <v>0</v>
      </c>
      <c r="XE17" s="105">
        <f t="shared" si="335"/>
        <v>0</v>
      </c>
      <c r="XF17" s="104">
        <f t="shared" si="335"/>
        <v>0</v>
      </c>
      <c r="XG17" s="103">
        <f t="shared" si="335"/>
        <v>0</v>
      </c>
      <c r="XH17" s="105">
        <f t="shared" si="335"/>
        <v>1290.51</v>
      </c>
      <c r="XI17" s="104">
        <f t="shared" si="335"/>
        <v>-1290.51</v>
      </c>
      <c r="XJ17" s="103">
        <f t="shared" si="335"/>
        <v>1200</v>
      </c>
      <c r="XK17" s="105">
        <f t="shared" si="335"/>
        <v>1408.62</v>
      </c>
      <c r="XL17" s="104">
        <f t="shared" si="335"/>
        <v>-208.62</v>
      </c>
      <c r="XM17" s="103">
        <f t="shared" si="261"/>
        <v>17200</v>
      </c>
      <c r="XN17" s="106">
        <f t="shared" ref="XN17:YA17" si="336">SUM(XN5:XN16)</f>
        <v>18699.129999999997</v>
      </c>
      <c r="XO17" s="104">
        <f t="shared" si="336"/>
        <v>-1499.13</v>
      </c>
      <c r="XP17" s="102">
        <f t="shared" si="336"/>
        <v>11004</v>
      </c>
      <c r="XQ17" s="103">
        <f t="shared" si="336"/>
        <v>11004</v>
      </c>
      <c r="XR17" s="104">
        <f t="shared" si="336"/>
        <v>0</v>
      </c>
      <c r="XS17" s="103">
        <f t="shared" si="336"/>
        <v>6063.6900000000005</v>
      </c>
      <c r="XT17" s="105">
        <f t="shared" si="336"/>
        <v>6063.6900000000005</v>
      </c>
      <c r="XU17" s="104">
        <f t="shared" si="336"/>
        <v>0</v>
      </c>
      <c r="XV17" s="103">
        <f t="shared" si="336"/>
        <v>0</v>
      </c>
      <c r="XW17" s="105">
        <f t="shared" si="336"/>
        <v>1427.97</v>
      </c>
      <c r="XX17" s="104">
        <f t="shared" si="336"/>
        <v>-1427.97</v>
      </c>
      <c r="XY17" s="103">
        <f t="shared" si="336"/>
        <v>1200</v>
      </c>
      <c r="XZ17" s="105">
        <f t="shared" si="336"/>
        <v>964.96</v>
      </c>
      <c r="YA17" s="104">
        <f t="shared" si="336"/>
        <v>235.03999999999996</v>
      </c>
      <c r="YB17" s="103">
        <f t="shared" si="268"/>
        <v>18267.690000000002</v>
      </c>
      <c r="YC17" s="106">
        <f t="shared" ref="YC17:YP17" si="337">SUM(YC5:YC16)</f>
        <v>19460.62</v>
      </c>
      <c r="YD17" s="104">
        <f t="shared" si="337"/>
        <v>-1192.93</v>
      </c>
      <c r="YE17" s="102">
        <f t="shared" si="337"/>
        <v>10680</v>
      </c>
      <c r="YF17" s="103">
        <f t="shared" si="337"/>
        <v>10680</v>
      </c>
      <c r="YG17" s="104">
        <f t="shared" si="337"/>
        <v>0</v>
      </c>
      <c r="YH17" s="103">
        <f t="shared" si="337"/>
        <v>5820.0099999999984</v>
      </c>
      <c r="YI17" s="105">
        <f t="shared" si="337"/>
        <v>5820.0099999999984</v>
      </c>
      <c r="YJ17" s="104">
        <f t="shared" si="337"/>
        <v>0</v>
      </c>
      <c r="YK17" s="103">
        <f t="shared" si="337"/>
        <v>0</v>
      </c>
      <c r="YL17" s="105">
        <f t="shared" si="337"/>
        <v>435.27</v>
      </c>
      <c r="YM17" s="104">
        <f t="shared" si="337"/>
        <v>-435.27</v>
      </c>
      <c r="YN17" s="103">
        <f t="shared" si="337"/>
        <v>1200</v>
      </c>
      <c r="YO17" s="105">
        <f t="shared" si="337"/>
        <v>1108.1300000000001</v>
      </c>
      <c r="YP17" s="104">
        <f t="shared" si="337"/>
        <v>91.86999999999999</v>
      </c>
      <c r="YQ17" s="103">
        <f t="shared" si="275"/>
        <v>17700.009999999998</v>
      </c>
      <c r="YR17" s="106">
        <f t="shared" ref="YR17:ZE17" si="338">SUM(YR5:YR16)</f>
        <v>18043.410000000003</v>
      </c>
      <c r="YS17" s="104">
        <f t="shared" si="338"/>
        <v>-343.40000000000032</v>
      </c>
      <c r="YT17" s="102">
        <f t="shared" si="338"/>
        <v>11184</v>
      </c>
      <c r="YU17" s="103">
        <f t="shared" si="338"/>
        <v>11184</v>
      </c>
      <c r="YV17" s="104">
        <f t="shared" si="338"/>
        <v>0</v>
      </c>
      <c r="YW17" s="103">
        <f t="shared" si="338"/>
        <v>5874.0499999999993</v>
      </c>
      <c r="YX17" s="105">
        <f t="shared" si="338"/>
        <v>5874.0499999999993</v>
      </c>
      <c r="YY17" s="104">
        <f t="shared" si="338"/>
        <v>0</v>
      </c>
      <c r="YZ17" s="103">
        <f t="shared" si="338"/>
        <v>0</v>
      </c>
      <c r="ZA17" s="105">
        <f t="shared" si="338"/>
        <v>2319.39</v>
      </c>
      <c r="ZB17" s="104">
        <f t="shared" si="338"/>
        <v>-2319.39</v>
      </c>
      <c r="ZC17" s="103">
        <f t="shared" si="338"/>
        <v>1200</v>
      </c>
      <c r="ZD17" s="105">
        <f t="shared" si="338"/>
        <v>854.17</v>
      </c>
      <c r="ZE17" s="104">
        <f t="shared" si="338"/>
        <v>345.83</v>
      </c>
      <c r="ZF17" s="103">
        <f t="shared" si="282"/>
        <v>18258.05</v>
      </c>
      <c r="ZG17" s="106">
        <f t="shared" ref="ZG17:ZT17" si="339">SUM(ZG5:ZG16)</f>
        <v>20231.61</v>
      </c>
      <c r="ZH17" s="104">
        <f t="shared" si="339"/>
        <v>-1973.56</v>
      </c>
      <c r="ZI17" s="102">
        <f t="shared" si="339"/>
        <v>15000</v>
      </c>
      <c r="ZJ17" s="103">
        <f t="shared" si="339"/>
        <v>15000</v>
      </c>
      <c r="ZK17" s="104">
        <f t="shared" si="339"/>
        <v>0</v>
      </c>
      <c r="ZL17" s="103">
        <f t="shared" si="339"/>
        <v>0</v>
      </c>
      <c r="ZM17" s="105">
        <f t="shared" si="339"/>
        <v>0</v>
      </c>
      <c r="ZN17" s="104">
        <f t="shared" si="339"/>
        <v>0</v>
      </c>
      <c r="ZO17" s="103">
        <f t="shared" si="339"/>
        <v>0</v>
      </c>
      <c r="ZP17" s="105">
        <f t="shared" si="339"/>
        <v>0</v>
      </c>
      <c r="ZQ17" s="104">
        <f t="shared" si="339"/>
        <v>0</v>
      </c>
      <c r="ZR17" s="103">
        <f t="shared" si="339"/>
        <v>1200</v>
      </c>
      <c r="ZS17" s="105">
        <f t="shared" si="339"/>
        <v>2351.4299999999998</v>
      </c>
      <c r="ZT17" s="104">
        <f t="shared" si="339"/>
        <v>-1151.4299999999998</v>
      </c>
      <c r="ZU17" s="103">
        <f t="shared" si="289"/>
        <v>16200</v>
      </c>
      <c r="ZV17" s="106">
        <f>SUM(ZV5:ZV16)</f>
        <v>17351.429999999997</v>
      </c>
      <c r="ZW17" s="104">
        <f>SUM(ZW5:ZW16)</f>
        <v>-1151.4299999999996</v>
      </c>
      <c r="ZX17" s="102">
        <f>SUM(ZX5:ZX16)</f>
        <v>296.52000000000004</v>
      </c>
      <c r="ZY17" s="103">
        <f>SUM(ZY5:ZY16)</f>
        <v>296.52000000000004</v>
      </c>
      <c r="ZZ17" s="104">
        <f>SUM(ZZ5:ZZ16)</f>
        <v>0</v>
      </c>
      <c r="AAA17" s="103">
        <f t="shared" si="293"/>
        <v>296.52000000000004</v>
      </c>
      <c r="AAB17" s="106">
        <f t="shared" si="293"/>
        <v>296.52000000000004</v>
      </c>
      <c r="AAC17" s="104">
        <f>SUM(AAC5:AAC16)</f>
        <v>0</v>
      </c>
      <c r="AAD17" s="112">
        <f t="shared" si="295"/>
        <v>1212833.3199999998</v>
      </c>
      <c r="AAE17" s="113">
        <f t="shared" si="295"/>
        <v>1222207.8899999999</v>
      </c>
      <c r="AAF17" s="114">
        <f t="shared" si="3"/>
        <v>1.0077294792659557</v>
      </c>
      <c r="AAG17" s="113">
        <f>SUM(AAG5:AAG16)</f>
        <v>9374.5700000000434</v>
      </c>
    </row>
    <row r="18" spans="1:713" s="83" customFormat="1" ht="20" customHeight="1" x14ac:dyDescent="0.2">
      <c r="A18" s="84" t="s">
        <v>155</v>
      </c>
      <c r="B18" s="58" t="s">
        <v>136</v>
      </c>
      <c r="C18" s="59"/>
      <c r="D18" s="59"/>
      <c r="E18" s="60">
        <v>2023</v>
      </c>
      <c r="F18" s="61">
        <v>44927</v>
      </c>
      <c r="G18" s="62"/>
      <c r="H18" s="63">
        <v>0</v>
      </c>
      <c r="I18" s="64">
        <f t="shared" ref="I18:I29" si="340">G18-H18</f>
        <v>0</v>
      </c>
      <c r="J18" s="65">
        <v>5000</v>
      </c>
      <c r="K18" s="63">
        <v>4812.04</v>
      </c>
      <c r="L18" s="64">
        <f t="shared" ref="L18:L29" si="341">J18-K18</f>
        <v>187.96000000000004</v>
      </c>
      <c r="M18" s="65">
        <v>1500</v>
      </c>
      <c r="N18" s="63">
        <v>1650.63</v>
      </c>
      <c r="O18" s="64">
        <f t="shared" ref="O18:O29" si="342">M18-N18</f>
        <v>-150.63000000000011</v>
      </c>
      <c r="P18" s="65">
        <v>500</v>
      </c>
      <c r="Q18" s="63">
        <v>441.74</v>
      </c>
      <c r="R18" s="64">
        <f t="shared" ref="R18:R29" si="343">P18-Q18</f>
        <v>58.259999999999991</v>
      </c>
      <c r="S18" s="65">
        <v>165.24</v>
      </c>
      <c r="T18" s="63">
        <v>165.24</v>
      </c>
      <c r="U18" s="64">
        <f t="shared" ref="U18:U29" si="344">S18-T18</f>
        <v>0</v>
      </c>
      <c r="V18" s="66">
        <f t="shared" ref="V18:W29" si="345">G18+J18+M18+P18+S18</f>
        <v>7165.24</v>
      </c>
      <c r="W18" s="67">
        <f t="shared" si="345"/>
        <v>7069.65</v>
      </c>
      <c r="X18" s="64">
        <f t="shared" ref="X18:X29" si="346">V18-W18</f>
        <v>95.590000000000146</v>
      </c>
      <c r="Y18" s="62">
        <v>1100</v>
      </c>
      <c r="Z18" s="63">
        <v>1100</v>
      </c>
      <c r="AA18" s="64">
        <f t="shared" ref="AA18:AA29" si="347">Y18-Z18</f>
        <v>0</v>
      </c>
      <c r="AB18" s="65"/>
      <c r="AC18" s="63"/>
      <c r="AD18" s="64">
        <f t="shared" ref="AD18:AD29" si="348">AB18-AC18</f>
        <v>0</v>
      </c>
      <c r="AE18" s="65"/>
      <c r="AF18" s="63"/>
      <c r="AG18" s="64">
        <f t="shared" ref="AG18:AG29" si="349">AE18-AF18</f>
        <v>0</v>
      </c>
      <c r="AH18" s="65"/>
      <c r="AI18" s="63"/>
      <c r="AJ18" s="64">
        <f t="shared" ref="AJ18:AJ29" si="350">AH18-AI18</f>
        <v>0</v>
      </c>
      <c r="AK18" s="66">
        <f t="shared" si="16"/>
        <v>1100</v>
      </c>
      <c r="AL18" s="67">
        <f t="shared" si="17"/>
        <v>1100</v>
      </c>
      <c r="AM18" s="64">
        <f t="shared" ref="AM18:AM29" si="351">AK18-AL18</f>
        <v>0</v>
      </c>
      <c r="AN18" s="62"/>
      <c r="AO18" s="63"/>
      <c r="AP18" s="64">
        <f>AN18-AO18</f>
        <v>0</v>
      </c>
      <c r="AQ18" s="65"/>
      <c r="AR18" s="63"/>
      <c r="AS18" s="64">
        <f>AQ18-AR18</f>
        <v>0</v>
      </c>
      <c r="AT18" s="65"/>
      <c r="AU18" s="63"/>
      <c r="AV18" s="64">
        <f>AT18-AU18</f>
        <v>0</v>
      </c>
      <c r="AW18" s="65"/>
      <c r="AX18" s="63"/>
      <c r="AY18" s="64">
        <f t="shared" ref="AY18:AY29" si="352">AW18-AX18</f>
        <v>0</v>
      </c>
      <c r="AZ18" s="66">
        <f t="shared" si="23"/>
        <v>0</v>
      </c>
      <c r="BA18" s="67">
        <f t="shared" ref="BA18:BA29" si="353">AO18+AR18+AU18++AX18</f>
        <v>0</v>
      </c>
      <c r="BB18" s="64">
        <f t="shared" ref="BB18:BB29" si="354">AZ18-BA18</f>
        <v>0</v>
      </c>
      <c r="BC18" s="62"/>
      <c r="BD18" s="63"/>
      <c r="BE18" s="64">
        <f t="shared" ref="BE18:BE29" si="355">BC18-BD18</f>
        <v>0</v>
      </c>
      <c r="BF18" s="65"/>
      <c r="BG18" s="63"/>
      <c r="BH18" s="64">
        <f t="shared" ref="BH18:BH29" si="356">BF18-BG18</f>
        <v>0</v>
      </c>
      <c r="BI18" s="65"/>
      <c r="BJ18" s="63"/>
      <c r="BK18" s="64">
        <f t="shared" ref="BK18:BK29" si="357">BI18-BJ18</f>
        <v>0</v>
      </c>
      <c r="BL18" s="65">
        <v>100</v>
      </c>
      <c r="BM18" s="63"/>
      <c r="BN18" s="64">
        <f t="shared" ref="BN18:BN29" si="358">BL18-BM18</f>
        <v>100</v>
      </c>
      <c r="BO18" s="66">
        <f t="shared" si="30"/>
        <v>100</v>
      </c>
      <c r="BP18" s="67">
        <f t="shared" ref="BP18:BP29" si="359">BD18+BG18+BJ18++BM18</f>
        <v>0</v>
      </c>
      <c r="BQ18" s="64">
        <f t="shared" ref="BQ18:BQ29" si="360">BO18-BP18</f>
        <v>100</v>
      </c>
      <c r="BR18" s="62">
        <v>3416.66</v>
      </c>
      <c r="BS18" s="63">
        <v>3416.66</v>
      </c>
      <c r="BT18" s="64">
        <f t="shared" ref="BT18:BT29" si="361">BR18-BS18</f>
        <v>0</v>
      </c>
      <c r="BU18" s="65">
        <v>687.48</v>
      </c>
      <c r="BV18" s="63">
        <v>687.48</v>
      </c>
      <c r="BW18" s="64">
        <f t="shared" ref="BW18:BW29" si="362">BU18-BV18</f>
        <v>0</v>
      </c>
      <c r="BX18" s="65"/>
      <c r="BY18" s="63"/>
      <c r="BZ18" s="64">
        <f t="shared" ref="BZ18:BZ29" si="363">BX18-BY18</f>
        <v>0</v>
      </c>
      <c r="CA18" s="65"/>
      <c r="CB18" s="63"/>
      <c r="CC18" s="64">
        <f t="shared" ref="CC18:CC29" si="364">CA18-CB18</f>
        <v>0</v>
      </c>
      <c r="CD18" s="66">
        <f t="shared" si="33"/>
        <v>4104.1399999999994</v>
      </c>
      <c r="CE18" s="67">
        <f t="shared" ref="CE18:CE29" si="365">BS18+BV18+BY18++CB18</f>
        <v>4104.1399999999994</v>
      </c>
      <c r="CF18" s="64">
        <f t="shared" ref="CF18:CF29" si="366">CD18-CE18</f>
        <v>0</v>
      </c>
      <c r="CG18" s="62"/>
      <c r="CH18" s="63"/>
      <c r="CI18" s="64">
        <f t="shared" ref="CI18:CI29" si="367">CG18-CH18</f>
        <v>0</v>
      </c>
      <c r="CJ18" s="65"/>
      <c r="CK18" s="63"/>
      <c r="CL18" s="64">
        <f t="shared" ref="CL18:CL29" si="368">CJ18-CK18</f>
        <v>0</v>
      </c>
      <c r="CM18" s="65"/>
      <c r="CN18" s="63"/>
      <c r="CO18" s="64">
        <f t="shared" ref="CO18:CO29" si="369">CM18-CN18</f>
        <v>0</v>
      </c>
      <c r="CP18" s="65"/>
      <c r="CQ18" s="63"/>
      <c r="CR18" s="64">
        <f t="shared" ref="CR18:CR29" si="370">CP18-CQ18</f>
        <v>0</v>
      </c>
      <c r="CS18" s="66">
        <f t="shared" si="40"/>
        <v>0</v>
      </c>
      <c r="CT18" s="67">
        <f t="shared" ref="CT18:CT29" si="371">CH18+CK18+CN18++CQ18</f>
        <v>0</v>
      </c>
      <c r="CU18" s="64">
        <f t="shared" ref="CU18:CU29" si="372">CS18-CT18</f>
        <v>0</v>
      </c>
      <c r="CV18" s="68"/>
      <c r="CW18" s="69"/>
      <c r="CX18" s="70"/>
      <c r="CY18" s="71"/>
      <c r="CZ18" s="69"/>
      <c r="DA18" s="70"/>
      <c r="DB18" s="71"/>
      <c r="DC18" s="69"/>
      <c r="DD18" s="70"/>
      <c r="DE18" s="71"/>
      <c r="DF18" s="69"/>
      <c r="DG18" s="70"/>
      <c r="DH18" s="66">
        <f t="shared" si="43"/>
        <v>0</v>
      </c>
      <c r="DI18" s="67">
        <f t="shared" ref="DI18:DI29" si="373">CW18+CZ18+DC18++DF18</f>
        <v>0</v>
      </c>
      <c r="DJ18" s="64">
        <f t="shared" ref="DJ18:DJ29" si="374">DH18-DI18</f>
        <v>0</v>
      </c>
      <c r="DK18" s="68"/>
      <c r="DL18" s="69"/>
      <c r="DM18" s="70"/>
      <c r="DN18" s="71"/>
      <c r="DO18" s="69"/>
      <c r="DP18" s="70"/>
      <c r="DQ18" s="71"/>
      <c r="DR18" s="69"/>
      <c r="DS18" s="70"/>
      <c r="DT18" s="71"/>
      <c r="DU18" s="69"/>
      <c r="DV18" s="70"/>
      <c r="DW18" s="66">
        <f t="shared" si="46"/>
        <v>0</v>
      </c>
      <c r="DX18" s="67">
        <f t="shared" ref="DX18:DX29" si="375">DL18+DO18+DR18++DU18</f>
        <v>0</v>
      </c>
      <c r="DY18" s="64">
        <f t="shared" ref="DY18:DY29" si="376">DW18-DX18</f>
        <v>0</v>
      </c>
      <c r="DZ18" s="62"/>
      <c r="EA18" s="63"/>
      <c r="EB18" s="64">
        <f t="shared" ref="EB18:EB29" si="377">DZ18-EA18</f>
        <v>0</v>
      </c>
      <c r="EC18" s="65"/>
      <c r="ED18" s="63"/>
      <c r="EE18" s="64">
        <f t="shared" ref="EE18:EE29" si="378">EC18-ED18</f>
        <v>0</v>
      </c>
      <c r="EF18" s="65"/>
      <c r="EG18" s="63"/>
      <c r="EH18" s="64">
        <f t="shared" ref="EH18:EH29" si="379">EF18-EG18</f>
        <v>0</v>
      </c>
      <c r="EI18" s="65">
        <v>100</v>
      </c>
      <c r="EJ18" s="63"/>
      <c r="EK18" s="64">
        <f t="shared" ref="EK18:EK29" si="380">EI18-EJ18</f>
        <v>100</v>
      </c>
      <c r="EL18" s="66">
        <f t="shared" si="53"/>
        <v>100</v>
      </c>
      <c r="EM18" s="67">
        <f t="shared" ref="EM18:EM29" si="381">EA18+ED18+EG18++EJ18</f>
        <v>0</v>
      </c>
      <c r="EN18" s="64">
        <f t="shared" ref="EN18:EN29" si="382">EL18-EM18</f>
        <v>100</v>
      </c>
      <c r="EO18" s="62"/>
      <c r="EP18" s="63"/>
      <c r="EQ18" s="64">
        <f t="shared" ref="EQ18:EQ29" si="383">EO18-EP18</f>
        <v>0</v>
      </c>
      <c r="ER18" s="65"/>
      <c r="ES18" s="63"/>
      <c r="ET18" s="64">
        <f t="shared" ref="ET18:ET29" si="384">ER18-ES18</f>
        <v>0</v>
      </c>
      <c r="EU18" s="65"/>
      <c r="EV18" s="63"/>
      <c r="EW18" s="64">
        <f t="shared" ref="EW18:EW29" si="385">EU18-EV18</f>
        <v>0</v>
      </c>
      <c r="EX18" s="65">
        <v>100</v>
      </c>
      <c r="EY18" s="63"/>
      <c r="EZ18" s="64">
        <f t="shared" ref="EZ18:EZ29" si="386">EX18-EY18</f>
        <v>100</v>
      </c>
      <c r="FA18" s="66">
        <f t="shared" si="60"/>
        <v>100</v>
      </c>
      <c r="FB18" s="67">
        <f t="shared" ref="FB18:FB29" si="387">EP18+ES18+EV18++EY18</f>
        <v>0</v>
      </c>
      <c r="FC18" s="64">
        <f t="shared" ref="FC18:FC29" si="388">FA18-FB18</f>
        <v>100</v>
      </c>
      <c r="FD18" s="62"/>
      <c r="FE18" s="63"/>
      <c r="FF18" s="64">
        <f t="shared" ref="FF18:FF29" si="389">FD18-FE18</f>
        <v>0</v>
      </c>
      <c r="FG18" s="65"/>
      <c r="FH18" s="63"/>
      <c r="FI18" s="64">
        <f t="shared" ref="FI18:FI29" si="390">FG18-FH18</f>
        <v>0</v>
      </c>
      <c r="FJ18" s="65"/>
      <c r="FK18" s="63"/>
      <c r="FL18" s="64">
        <f t="shared" ref="FL18:FL29" si="391">FJ18-FK18</f>
        <v>0</v>
      </c>
      <c r="FM18" s="65">
        <v>100</v>
      </c>
      <c r="FN18" s="63"/>
      <c r="FO18" s="64">
        <f t="shared" ref="FO18:FO29" si="392">FM18-FN18</f>
        <v>100</v>
      </c>
      <c r="FP18" s="66">
        <f t="shared" si="67"/>
        <v>100</v>
      </c>
      <c r="FQ18" s="67">
        <f t="shared" ref="FQ18:FQ29" si="393">FE18+FH18+FK18++FN18</f>
        <v>0</v>
      </c>
      <c r="FR18" s="64">
        <f t="shared" ref="FR18:FR29" si="394">FP18-FQ18</f>
        <v>100</v>
      </c>
      <c r="FS18" s="62"/>
      <c r="FT18" s="63"/>
      <c r="FU18" s="64">
        <f t="shared" ref="FU18:FU29" si="395">FS18-FT18</f>
        <v>0</v>
      </c>
      <c r="FV18" s="65"/>
      <c r="FW18" s="63"/>
      <c r="FX18" s="64">
        <f t="shared" ref="FX18:FX29" si="396">FV18-FW18</f>
        <v>0</v>
      </c>
      <c r="FY18" s="65"/>
      <c r="FZ18" s="63"/>
      <c r="GA18" s="64">
        <f t="shared" ref="GA18:GA29" si="397">FY18-FZ18</f>
        <v>0</v>
      </c>
      <c r="GB18" s="65"/>
      <c r="GC18" s="63"/>
      <c r="GD18" s="64">
        <f t="shared" ref="GD18:GD29" si="398">GB18-GC18</f>
        <v>0</v>
      </c>
      <c r="GE18" s="66">
        <f t="shared" si="74"/>
        <v>0</v>
      </c>
      <c r="GF18" s="67">
        <f t="shared" ref="GF18:GF29" si="399">FT18+FW18+FZ18++GC18</f>
        <v>0</v>
      </c>
      <c r="GG18" s="64">
        <f t="shared" ref="GG18:GG29" si="400">GE18-GF18</f>
        <v>0</v>
      </c>
      <c r="GH18" s="62"/>
      <c r="GI18" s="63"/>
      <c r="GJ18" s="64">
        <f t="shared" ref="GJ18:GJ29" si="401">GH18-GI18</f>
        <v>0</v>
      </c>
      <c r="GK18" s="65"/>
      <c r="GL18" s="63"/>
      <c r="GM18" s="64">
        <f t="shared" ref="GM18:GM29" si="402">GK18-GL18</f>
        <v>0</v>
      </c>
      <c r="GN18" s="65"/>
      <c r="GO18" s="63"/>
      <c r="GP18" s="64">
        <f t="shared" ref="GP18:GP29" si="403">GN18-GO18</f>
        <v>0</v>
      </c>
      <c r="GQ18" s="65"/>
      <c r="GR18" s="63"/>
      <c r="GS18" s="64">
        <f t="shared" ref="GS18:GS29" si="404">GQ18-GR18</f>
        <v>0</v>
      </c>
      <c r="GT18" s="66">
        <f t="shared" si="81"/>
        <v>0</v>
      </c>
      <c r="GU18" s="67">
        <f t="shared" ref="GU18:GU29" si="405">GI18+GL18+GO18++GR18</f>
        <v>0</v>
      </c>
      <c r="GV18" s="64">
        <f t="shared" ref="GV18:GV29" si="406">GT18-GU18</f>
        <v>0</v>
      </c>
      <c r="GW18" s="68"/>
      <c r="GX18" s="69"/>
      <c r="GY18" s="70"/>
      <c r="GZ18" s="71"/>
      <c r="HA18" s="69"/>
      <c r="HB18" s="70"/>
      <c r="HC18" s="71"/>
      <c r="HD18" s="69"/>
      <c r="HE18" s="70"/>
      <c r="HF18" s="71"/>
      <c r="HG18" s="69"/>
      <c r="HH18" s="70"/>
      <c r="HI18" s="66">
        <f t="shared" si="84"/>
        <v>0</v>
      </c>
      <c r="HJ18" s="67">
        <f t="shared" ref="HJ18:HJ29" si="407">GX18+HA18+HD18++HG18</f>
        <v>0</v>
      </c>
      <c r="HK18" s="64">
        <f t="shared" ref="HK18:HK29" si="408">HI18-HJ18</f>
        <v>0</v>
      </c>
      <c r="HL18" s="62"/>
      <c r="HM18" s="63"/>
      <c r="HN18" s="64">
        <f t="shared" ref="HN18:HN29" si="409">HL18-HM18</f>
        <v>0</v>
      </c>
      <c r="HO18" s="65"/>
      <c r="HP18" s="63"/>
      <c r="HQ18" s="64">
        <f t="shared" ref="HQ18:HQ29" si="410">HO18-HP18</f>
        <v>0</v>
      </c>
      <c r="HR18" s="65"/>
      <c r="HS18" s="63"/>
      <c r="HT18" s="64">
        <f t="shared" ref="HT18:HT29" si="411">HR18-HS18</f>
        <v>0</v>
      </c>
      <c r="HU18" s="65">
        <v>100</v>
      </c>
      <c r="HV18" s="63"/>
      <c r="HW18" s="64">
        <f t="shared" ref="HW18:HW29" si="412">HU18-HV18</f>
        <v>100</v>
      </c>
      <c r="HX18" s="66">
        <f t="shared" si="91"/>
        <v>100</v>
      </c>
      <c r="HY18" s="67">
        <f t="shared" ref="HY18:HY29" si="413">HM18+HP18+HS18++HV18</f>
        <v>0</v>
      </c>
      <c r="HZ18" s="64">
        <f t="shared" ref="HZ18:HZ29" si="414">HX18-HY18</f>
        <v>100</v>
      </c>
      <c r="IA18" s="62"/>
      <c r="IB18" s="63"/>
      <c r="IC18" s="64">
        <f t="shared" ref="IC18:IC29" si="415">IA18-IB18</f>
        <v>0</v>
      </c>
      <c r="ID18" s="65"/>
      <c r="IE18" s="63"/>
      <c r="IF18" s="64">
        <f t="shared" ref="IF18:IF29" si="416">ID18-IE18</f>
        <v>0</v>
      </c>
      <c r="IG18" s="65"/>
      <c r="IH18" s="63"/>
      <c r="II18" s="64">
        <f t="shared" ref="II18:II29" si="417">IG18-IH18</f>
        <v>0</v>
      </c>
      <c r="IJ18" s="65">
        <v>100</v>
      </c>
      <c r="IK18" s="63"/>
      <c r="IL18" s="64">
        <f t="shared" ref="IL18:IL29" si="418">IJ18-IK18</f>
        <v>100</v>
      </c>
      <c r="IM18" s="66">
        <f t="shared" si="98"/>
        <v>100</v>
      </c>
      <c r="IN18" s="67">
        <f t="shared" ref="IN18:IN29" si="419">IB18+IE18+IH18++IK18</f>
        <v>0</v>
      </c>
      <c r="IO18" s="64">
        <f t="shared" ref="IO18:IO29" si="420">IM18-IN18</f>
        <v>100</v>
      </c>
      <c r="IP18" s="62"/>
      <c r="IQ18" s="63"/>
      <c r="IR18" s="64">
        <f t="shared" ref="IR18:IR29" si="421">IP18-IQ18</f>
        <v>0</v>
      </c>
      <c r="IS18" s="65"/>
      <c r="IT18" s="63"/>
      <c r="IU18" s="64">
        <f t="shared" ref="IU18:IU29" si="422">IS18-IT18</f>
        <v>0</v>
      </c>
      <c r="IV18" s="65">
        <v>2745</v>
      </c>
      <c r="IW18" s="63">
        <v>2909</v>
      </c>
      <c r="IX18" s="64">
        <f t="shared" ref="IX18:IX29" si="423">IV18-IW18</f>
        <v>-164</v>
      </c>
      <c r="IY18" s="65"/>
      <c r="IZ18" s="63"/>
      <c r="JA18" s="64">
        <f t="shared" ref="JA18:JA29" si="424">IY18-IZ18</f>
        <v>0</v>
      </c>
      <c r="JB18" s="66">
        <f t="shared" si="105"/>
        <v>2745</v>
      </c>
      <c r="JC18" s="67">
        <f t="shared" ref="JC18:JC29" si="425">IQ18+IT18+IW18++IZ18</f>
        <v>2909</v>
      </c>
      <c r="JD18" s="64">
        <f t="shared" ref="JD18:JD29" si="426">JB18-JC18</f>
        <v>-164</v>
      </c>
      <c r="JE18" s="62"/>
      <c r="JF18" s="63"/>
      <c r="JG18" s="64">
        <f t="shared" ref="JG18:JG29" si="427">JE18-JF18</f>
        <v>0</v>
      </c>
      <c r="JH18" s="65"/>
      <c r="JI18" s="63"/>
      <c r="JJ18" s="64">
        <f t="shared" ref="JJ18:JJ29" si="428">JH18-JI18</f>
        <v>0</v>
      </c>
      <c r="JK18" s="65"/>
      <c r="JL18" s="63"/>
      <c r="JM18" s="64">
        <f t="shared" ref="JM18:JM29" si="429">JK18-JL18</f>
        <v>0</v>
      </c>
      <c r="JN18" s="65">
        <v>100</v>
      </c>
      <c r="JO18" s="63"/>
      <c r="JP18" s="64">
        <f t="shared" ref="JP18:JP29" si="430">JN18-JO18</f>
        <v>100</v>
      </c>
      <c r="JQ18" s="66">
        <f t="shared" si="112"/>
        <v>100</v>
      </c>
      <c r="JR18" s="67">
        <f t="shared" ref="JR18:JR29" si="431">JF18+JI18+JL18++JO18</f>
        <v>0</v>
      </c>
      <c r="JS18" s="64">
        <f t="shared" ref="JS18:JS29" si="432">JQ18-JR18</f>
        <v>100</v>
      </c>
      <c r="JT18" s="62">
        <v>5553.7</v>
      </c>
      <c r="JU18" s="63">
        <v>5553.7</v>
      </c>
      <c r="JV18" s="64">
        <f t="shared" ref="JV18:JV29" si="433">JT18-JU18</f>
        <v>0</v>
      </c>
      <c r="JW18" s="65"/>
      <c r="JX18" s="63"/>
      <c r="JY18" s="64">
        <f t="shared" ref="JY18:JY29" si="434">JW18-JX18</f>
        <v>0</v>
      </c>
      <c r="JZ18" s="65"/>
      <c r="KA18" s="63"/>
      <c r="KB18" s="64">
        <f t="shared" ref="KB18:KB29" si="435">JZ18-KA18</f>
        <v>0</v>
      </c>
      <c r="KC18" s="65">
        <v>100</v>
      </c>
      <c r="KD18" s="63"/>
      <c r="KE18" s="64">
        <f t="shared" ref="KE18:KE29" si="436">KC18-KD18</f>
        <v>100</v>
      </c>
      <c r="KF18" s="66">
        <f t="shared" si="119"/>
        <v>5653.7</v>
      </c>
      <c r="KG18" s="67">
        <f t="shared" ref="KG18:KG29" si="437">JU18+JX18+KA18++KD18</f>
        <v>5553.7</v>
      </c>
      <c r="KH18" s="64">
        <f t="shared" ref="KH18:KH29" si="438">KF18-KG18</f>
        <v>100</v>
      </c>
      <c r="KI18" s="68"/>
      <c r="KJ18" s="69"/>
      <c r="KK18" s="70"/>
      <c r="KL18" s="71"/>
      <c r="KM18" s="69"/>
      <c r="KN18" s="70"/>
      <c r="KO18" s="71"/>
      <c r="KP18" s="69"/>
      <c r="KQ18" s="70"/>
      <c r="KR18" s="71"/>
      <c r="KS18" s="69"/>
      <c r="KT18" s="64">
        <f t="shared" ref="KT18:KT29" si="439">KR18-KS18</f>
        <v>0</v>
      </c>
      <c r="KU18" s="66">
        <f t="shared" si="1"/>
        <v>0</v>
      </c>
      <c r="KV18" s="67">
        <f t="shared" ref="KV18:KV29" si="440">KJ18+KM18+KP18++KS18</f>
        <v>0</v>
      </c>
      <c r="KW18" s="64">
        <f t="shared" ref="KW18:KW29" si="441">KU18-KV18</f>
        <v>0</v>
      </c>
      <c r="KX18" s="72"/>
      <c r="KY18" s="73"/>
      <c r="KZ18" s="74"/>
      <c r="LA18" s="75"/>
      <c r="LB18" s="73"/>
      <c r="LC18" s="74"/>
      <c r="LD18" s="75"/>
      <c r="LE18" s="73"/>
      <c r="LF18" s="74"/>
      <c r="LG18" s="75"/>
      <c r="LH18" s="73"/>
      <c r="LI18" s="74"/>
      <c r="LJ18" s="76"/>
      <c r="LK18" s="77"/>
      <c r="LL18" s="74"/>
      <c r="LM18" s="68"/>
      <c r="LN18" s="69"/>
      <c r="LO18" s="70"/>
      <c r="LP18" s="71"/>
      <c r="LQ18" s="69"/>
      <c r="LR18" s="70"/>
      <c r="LS18" s="71"/>
      <c r="LT18" s="69"/>
      <c r="LU18" s="70"/>
      <c r="LV18" s="71"/>
      <c r="LW18" s="69"/>
      <c r="LX18" s="64">
        <f t="shared" ref="LX18:LX29" si="442">LV18-LW18</f>
        <v>0</v>
      </c>
      <c r="LY18" s="66">
        <f t="shared" si="124"/>
        <v>0</v>
      </c>
      <c r="LZ18" s="67">
        <f t="shared" ref="LZ18:LZ29" si="443">LN18+LQ18+LT18++LW18</f>
        <v>0</v>
      </c>
      <c r="MA18" s="64">
        <f t="shared" ref="MA18:MA29" si="444">LY18-LZ18</f>
        <v>0</v>
      </c>
      <c r="MB18" s="62">
        <v>650</v>
      </c>
      <c r="MC18" s="63">
        <v>650</v>
      </c>
      <c r="MD18" s="64">
        <f t="shared" ref="MD18:MD29" si="445">MB18-MC18</f>
        <v>0</v>
      </c>
      <c r="ME18" s="65">
        <v>1050.2</v>
      </c>
      <c r="MF18" s="63">
        <v>1050.2</v>
      </c>
      <c r="MG18" s="64">
        <f t="shared" ref="MG18:MG29" si="446">ME18-MF18</f>
        <v>0</v>
      </c>
      <c r="MH18" s="65"/>
      <c r="MI18" s="63"/>
      <c r="MJ18" s="64">
        <f t="shared" ref="MJ18:MJ29" si="447">MH18-MI18</f>
        <v>0</v>
      </c>
      <c r="MK18" s="65">
        <v>100</v>
      </c>
      <c r="ML18" s="63"/>
      <c r="MM18" s="64">
        <f t="shared" ref="MM18:MM29" si="448">MK18-ML18</f>
        <v>100</v>
      </c>
      <c r="MN18" s="66">
        <f t="shared" si="131"/>
        <v>1800.2</v>
      </c>
      <c r="MO18" s="67">
        <f t="shared" ref="MO18:MO29" si="449">MC18+MF18+MI18++ML18</f>
        <v>1700.2</v>
      </c>
      <c r="MP18" s="64">
        <f t="shared" ref="MP18:MP29" si="450">MN18-MO18</f>
        <v>100</v>
      </c>
      <c r="MQ18" s="62"/>
      <c r="MR18" s="63"/>
      <c r="MS18" s="64">
        <f t="shared" ref="MS18:MS29" si="451">MQ18-MR18</f>
        <v>0</v>
      </c>
      <c r="MT18" s="65"/>
      <c r="MU18" s="63"/>
      <c r="MV18" s="64">
        <f t="shared" ref="MV18:MV29" si="452">MT18-MU18</f>
        <v>0</v>
      </c>
      <c r="MW18" s="65"/>
      <c r="MX18" s="63"/>
      <c r="MY18" s="64">
        <f t="shared" ref="MY18:MY29" si="453">MW18-MX18</f>
        <v>0</v>
      </c>
      <c r="MZ18" s="65"/>
      <c r="NA18" s="63"/>
      <c r="NB18" s="64">
        <f t="shared" ref="NB18:NB29" si="454">MZ18-NA18</f>
        <v>0</v>
      </c>
      <c r="NC18" s="66">
        <f t="shared" si="138"/>
        <v>0</v>
      </c>
      <c r="ND18" s="67">
        <f t="shared" ref="ND18:ND29" si="455">MR18+MU18+MX18++NA18</f>
        <v>0</v>
      </c>
      <c r="NE18" s="64">
        <f t="shared" ref="NE18:NE29" si="456">NC18-ND18</f>
        <v>0</v>
      </c>
      <c r="NF18" s="62">
        <v>1000</v>
      </c>
      <c r="NG18" s="63">
        <v>1000</v>
      </c>
      <c r="NH18" s="64">
        <f t="shared" ref="NH18:NH29" si="457">NF18-NG18</f>
        <v>0</v>
      </c>
      <c r="NI18" s="65">
        <v>886.87</v>
      </c>
      <c r="NJ18" s="63">
        <v>886.87</v>
      </c>
      <c r="NK18" s="64">
        <f t="shared" ref="NK18:NK29" si="458">NI18-NJ18</f>
        <v>0</v>
      </c>
      <c r="NL18" s="65"/>
      <c r="NM18" s="63"/>
      <c r="NN18" s="64">
        <f t="shared" ref="NN18:NN29" si="459">NL18-NM18</f>
        <v>0</v>
      </c>
      <c r="NO18" s="65">
        <v>100</v>
      </c>
      <c r="NP18" s="63"/>
      <c r="NQ18" s="64">
        <f t="shared" ref="NQ18:NQ29" si="460">NO18-NP18</f>
        <v>100</v>
      </c>
      <c r="NR18" s="66">
        <f t="shared" si="145"/>
        <v>1986.87</v>
      </c>
      <c r="NS18" s="67">
        <f t="shared" ref="NS18:NS29" si="461">NG18+NJ18+NM18++NP18</f>
        <v>1886.87</v>
      </c>
      <c r="NT18" s="64">
        <f t="shared" ref="NT18:NT29" si="462">NR18-NS18</f>
        <v>100</v>
      </c>
      <c r="NU18" s="62">
        <v>864</v>
      </c>
      <c r="NV18" s="63">
        <v>864</v>
      </c>
      <c r="NW18" s="64">
        <f t="shared" ref="NW18:NW29" si="463">NU18-NV18</f>
        <v>0</v>
      </c>
      <c r="NX18" s="65">
        <v>898.56</v>
      </c>
      <c r="NY18" s="63">
        <v>898.56</v>
      </c>
      <c r="NZ18" s="64">
        <f t="shared" ref="NZ18:NZ29" si="464">NX18-NY18</f>
        <v>0</v>
      </c>
      <c r="OA18" s="65"/>
      <c r="OB18" s="63"/>
      <c r="OC18" s="64">
        <f t="shared" ref="OC18:OC29" si="465">OA18-OB18</f>
        <v>0</v>
      </c>
      <c r="OD18" s="65">
        <v>100</v>
      </c>
      <c r="OE18" s="63"/>
      <c r="OF18" s="64">
        <f t="shared" ref="OF18:OF29" si="466">OD18-OE18</f>
        <v>100</v>
      </c>
      <c r="OG18" s="66">
        <f t="shared" si="152"/>
        <v>1862.56</v>
      </c>
      <c r="OH18" s="67">
        <f t="shared" ref="OH18:OH29" si="467">NV18+NY18+OB18++OE18</f>
        <v>1762.56</v>
      </c>
      <c r="OI18" s="64">
        <f t="shared" ref="OI18:OI29" si="468">OG18-OH18</f>
        <v>100</v>
      </c>
      <c r="OJ18" s="62"/>
      <c r="OK18" s="63"/>
      <c r="OL18" s="64">
        <f t="shared" ref="OL18:OL29" si="469">OJ18-OK18</f>
        <v>0</v>
      </c>
      <c r="OM18" s="65"/>
      <c r="ON18" s="63"/>
      <c r="OO18" s="64">
        <f t="shared" ref="OO18:OO29" si="470">OM18-ON18</f>
        <v>0</v>
      </c>
      <c r="OP18" s="65"/>
      <c r="OQ18" s="63"/>
      <c r="OR18" s="64">
        <f t="shared" ref="OR18:OR29" si="471">OP18-OQ18</f>
        <v>0</v>
      </c>
      <c r="OS18" s="65">
        <v>100</v>
      </c>
      <c r="OT18" s="63"/>
      <c r="OU18" s="64">
        <f t="shared" ref="OU18:OU29" si="472">OS18-OT18</f>
        <v>100</v>
      </c>
      <c r="OV18" s="66">
        <f t="shared" si="159"/>
        <v>100</v>
      </c>
      <c r="OW18" s="67">
        <f t="shared" ref="OW18:OW29" si="473">OK18+ON18+OQ18++OT18</f>
        <v>0</v>
      </c>
      <c r="OX18" s="64">
        <f t="shared" ref="OX18:OX29" si="474">OV18-OW18</f>
        <v>100</v>
      </c>
      <c r="OY18" s="62"/>
      <c r="OZ18" s="63"/>
      <c r="PA18" s="64">
        <f t="shared" ref="PA18:PA29" si="475">OY18-OZ18</f>
        <v>0</v>
      </c>
      <c r="PB18" s="65"/>
      <c r="PC18" s="63"/>
      <c r="PD18" s="64">
        <f t="shared" ref="PD18:PD29" si="476">PB18-PC18</f>
        <v>0</v>
      </c>
      <c r="PE18" s="65"/>
      <c r="PF18" s="63"/>
      <c r="PG18" s="64">
        <f t="shared" ref="PG18:PG29" si="477">PE18-PF18</f>
        <v>0</v>
      </c>
      <c r="PH18" s="65">
        <v>100</v>
      </c>
      <c r="PI18" s="63"/>
      <c r="PJ18" s="64">
        <f t="shared" ref="PJ18:PJ29" si="478">PH18-PI18</f>
        <v>100</v>
      </c>
      <c r="PK18" s="66">
        <f t="shared" si="166"/>
        <v>100</v>
      </c>
      <c r="PL18" s="67">
        <f t="shared" ref="PL18:PL29" si="479">OZ18+PC18+PF18++PI18</f>
        <v>0</v>
      </c>
      <c r="PM18" s="64">
        <f t="shared" ref="PM18:PM29" si="480">PK18-PL18</f>
        <v>100</v>
      </c>
      <c r="PN18" s="62">
        <v>1400</v>
      </c>
      <c r="PO18" s="63">
        <v>1400</v>
      </c>
      <c r="PP18" s="64">
        <f t="shared" ref="PP18:PP29" si="481">PN18-PO18</f>
        <v>0</v>
      </c>
      <c r="PQ18" s="65"/>
      <c r="PR18" s="63"/>
      <c r="PS18" s="64">
        <f t="shared" ref="PS18:PS29" si="482">PQ18-PR18</f>
        <v>0</v>
      </c>
      <c r="PT18" s="65"/>
      <c r="PU18" s="63"/>
      <c r="PV18" s="64">
        <f t="shared" ref="PV18:PV29" si="483">PT18-PU18</f>
        <v>0</v>
      </c>
      <c r="PW18" s="65">
        <v>100</v>
      </c>
      <c r="PX18" s="63"/>
      <c r="PY18" s="64">
        <f t="shared" ref="PY18:PY29" si="484">PW18-PX18</f>
        <v>100</v>
      </c>
      <c r="PZ18" s="66">
        <f t="shared" si="173"/>
        <v>1500</v>
      </c>
      <c r="QA18" s="67">
        <f t="shared" ref="QA18:QA29" si="485">PO18+PR18+PU18++PX18</f>
        <v>1400</v>
      </c>
      <c r="QB18" s="64">
        <f t="shared" ref="QB18:QB29" si="486">PZ18-QA18</f>
        <v>100</v>
      </c>
      <c r="QC18" s="62"/>
      <c r="QD18" s="63"/>
      <c r="QE18" s="64">
        <f t="shared" ref="QE18:QE29" si="487">QC18-QD18</f>
        <v>0</v>
      </c>
      <c r="QF18" s="65"/>
      <c r="QG18" s="63"/>
      <c r="QH18" s="64">
        <f t="shared" ref="QH18:QH29" si="488">QF18-QG18</f>
        <v>0</v>
      </c>
      <c r="QI18" s="65"/>
      <c r="QJ18" s="63"/>
      <c r="QK18" s="64">
        <f t="shared" ref="QK18:QK29" si="489">QI18-QJ18</f>
        <v>0</v>
      </c>
      <c r="QL18" s="65">
        <v>100</v>
      </c>
      <c r="QM18" s="63">
        <v>150.81</v>
      </c>
      <c r="QN18" s="64">
        <f t="shared" ref="QN18:QN29" si="490">QL18-QM18</f>
        <v>-50.81</v>
      </c>
      <c r="QO18" s="66">
        <f t="shared" si="180"/>
        <v>100</v>
      </c>
      <c r="QP18" s="67">
        <f t="shared" ref="QP18:QP29" si="491">QD18+QG18+QJ18++QM18</f>
        <v>150.81</v>
      </c>
      <c r="QQ18" s="64">
        <f t="shared" ref="QQ18:QQ29" si="492">QO18-QP18</f>
        <v>-50.81</v>
      </c>
      <c r="QR18" s="62"/>
      <c r="QS18" s="63"/>
      <c r="QT18" s="64">
        <f t="shared" ref="QT18:QT29" si="493">QR18-QS18</f>
        <v>0</v>
      </c>
      <c r="QU18" s="65"/>
      <c r="QV18" s="63"/>
      <c r="QW18" s="64">
        <f t="shared" ref="QW18:QW29" si="494">QU18-QV18</f>
        <v>0</v>
      </c>
      <c r="QX18" s="65"/>
      <c r="QY18" s="63"/>
      <c r="QZ18" s="64">
        <f t="shared" ref="QZ18:QZ29" si="495">QX18-QY18</f>
        <v>0</v>
      </c>
      <c r="RA18" s="65"/>
      <c r="RB18" s="63"/>
      <c r="RC18" s="64">
        <f t="shared" ref="RC18:RC29" si="496">RA18-RB18</f>
        <v>0</v>
      </c>
      <c r="RD18" s="66">
        <f t="shared" si="187"/>
        <v>0</v>
      </c>
      <c r="RE18" s="67">
        <f t="shared" ref="RE18:RE29" si="497">QS18+QV18+QY18++RB18</f>
        <v>0</v>
      </c>
      <c r="RF18" s="64">
        <f t="shared" ref="RF18:RF29" si="498">RD18-RE18</f>
        <v>0</v>
      </c>
      <c r="RG18" s="62"/>
      <c r="RH18" s="63"/>
      <c r="RI18" s="64">
        <f t="shared" ref="RI18:RI29" si="499">RG18-RH18</f>
        <v>0</v>
      </c>
      <c r="RJ18" s="65"/>
      <c r="RK18" s="63"/>
      <c r="RL18" s="64">
        <f t="shared" ref="RL18:RL29" si="500">RJ18-RK18</f>
        <v>0</v>
      </c>
      <c r="RM18" s="65"/>
      <c r="RN18" s="63"/>
      <c r="RO18" s="64">
        <f t="shared" ref="RO18:RO29" si="501">RM18-RN18</f>
        <v>0</v>
      </c>
      <c r="RP18" s="65"/>
      <c r="RQ18" s="63"/>
      <c r="RR18" s="64">
        <f t="shared" ref="RR18:RR29" si="502">RP18-RQ18</f>
        <v>0</v>
      </c>
      <c r="RS18" s="66">
        <f t="shared" si="194"/>
        <v>0</v>
      </c>
      <c r="RT18" s="67">
        <f t="shared" ref="RT18:RT29" si="503">RH18+RK18+RN18++RQ18</f>
        <v>0</v>
      </c>
      <c r="RU18" s="64">
        <f t="shared" ref="RU18:RU29" si="504">RS18-RT18</f>
        <v>0</v>
      </c>
      <c r="RV18" s="62"/>
      <c r="RW18" s="63"/>
      <c r="RX18" s="64">
        <f t="shared" ref="RX18:RX29" si="505">RV18-RW18</f>
        <v>0</v>
      </c>
      <c r="RY18" s="65"/>
      <c r="RZ18" s="63"/>
      <c r="SA18" s="64">
        <f t="shared" ref="SA18:SA29" si="506">RY18-RZ18</f>
        <v>0</v>
      </c>
      <c r="SB18" s="65"/>
      <c r="SC18" s="63"/>
      <c r="SD18" s="64">
        <f t="shared" ref="SD18:SD29" si="507">SB18-SC18</f>
        <v>0</v>
      </c>
      <c r="SE18" s="65">
        <v>100</v>
      </c>
      <c r="SF18" s="63"/>
      <c r="SG18" s="64">
        <f t="shared" ref="SG18:SG29" si="508">SE18-SF18</f>
        <v>100</v>
      </c>
      <c r="SH18" s="66">
        <f t="shared" si="201"/>
        <v>100</v>
      </c>
      <c r="SI18" s="67">
        <f t="shared" ref="SI18:SI29" si="509">RW18+RZ18+SC18++SF18</f>
        <v>0</v>
      </c>
      <c r="SJ18" s="64">
        <f t="shared" ref="SJ18:SJ29" si="510">SH18-SI18</f>
        <v>100</v>
      </c>
      <c r="SK18" s="62"/>
      <c r="SL18" s="63"/>
      <c r="SM18" s="64">
        <f t="shared" ref="SM18:SM29" si="511">SK18-SL18</f>
        <v>0</v>
      </c>
      <c r="SN18" s="65"/>
      <c r="SO18" s="63"/>
      <c r="SP18" s="64">
        <f t="shared" ref="SP18:SP29" si="512">SN18-SO18</f>
        <v>0</v>
      </c>
      <c r="SQ18" s="65"/>
      <c r="SR18" s="63"/>
      <c r="SS18" s="64">
        <f t="shared" ref="SS18:SS29" si="513">SQ18-SR18</f>
        <v>0</v>
      </c>
      <c r="ST18" s="65">
        <v>100</v>
      </c>
      <c r="SU18" s="63"/>
      <c r="SV18" s="64">
        <f t="shared" ref="SV18:SV29" si="514">ST18-SU18</f>
        <v>100</v>
      </c>
      <c r="SW18" s="66">
        <f t="shared" si="208"/>
        <v>100</v>
      </c>
      <c r="SX18" s="67">
        <f t="shared" ref="SX18:SX29" si="515">SL18+SO18+SR18++SU18</f>
        <v>0</v>
      </c>
      <c r="SY18" s="64">
        <f t="shared" ref="SY18:SY29" si="516">SW18-SX18</f>
        <v>100</v>
      </c>
      <c r="SZ18" s="62">
        <v>1321.16</v>
      </c>
      <c r="TA18" s="63">
        <v>1321.16</v>
      </c>
      <c r="TB18" s="64">
        <f t="shared" ref="TB18:TB29" si="517">SZ18-TA18</f>
        <v>0</v>
      </c>
      <c r="TC18" s="65"/>
      <c r="TD18" s="63"/>
      <c r="TE18" s="64">
        <f t="shared" ref="TE18:TE29" si="518">TC18-TD18</f>
        <v>0</v>
      </c>
      <c r="TF18" s="65"/>
      <c r="TG18" s="63"/>
      <c r="TH18" s="64">
        <f t="shared" ref="TH18:TH29" si="519">TF18-TG18</f>
        <v>0</v>
      </c>
      <c r="TI18" s="65">
        <v>100</v>
      </c>
      <c r="TJ18" s="63"/>
      <c r="TK18" s="64">
        <f t="shared" ref="TK18:TK29" si="520">TI18-TJ18</f>
        <v>100</v>
      </c>
      <c r="TL18" s="66">
        <f t="shared" si="215"/>
        <v>1421.16</v>
      </c>
      <c r="TM18" s="67">
        <f t="shared" ref="TM18:TM29" si="521">TA18+TD18+TG18++TJ18</f>
        <v>1321.16</v>
      </c>
      <c r="TN18" s="64">
        <f t="shared" ref="TN18:TN29" si="522">TL18-TM18</f>
        <v>100</v>
      </c>
      <c r="TO18" s="62"/>
      <c r="TP18" s="63"/>
      <c r="TQ18" s="64">
        <f t="shared" ref="TQ18:TQ29" si="523">TO18-TP18</f>
        <v>0</v>
      </c>
      <c r="TR18" s="65"/>
      <c r="TS18" s="63"/>
      <c r="TT18" s="64">
        <f t="shared" ref="TT18:TT29" si="524">TR18-TS18</f>
        <v>0</v>
      </c>
      <c r="TU18" s="65"/>
      <c r="TV18" s="63"/>
      <c r="TW18" s="64">
        <f t="shared" ref="TW18:TW29" si="525">TU18-TV18</f>
        <v>0</v>
      </c>
      <c r="TX18" s="65">
        <v>100</v>
      </c>
      <c r="TY18" s="63"/>
      <c r="TZ18" s="64">
        <f t="shared" ref="TZ18:TZ29" si="526">TX18-TY18</f>
        <v>100</v>
      </c>
      <c r="UA18" s="66">
        <f t="shared" si="222"/>
        <v>100</v>
      </c>
      <c r="UB18" s="67">
        <f t="shared" ref="UB18:UB29" si="527">TP18+TS18+TV18++TY18</f>
        <v>0</v>
      </c>
      <c r="UC18" s="64">
        <f t="shared" ref="UC18:UC29" si="528">UA18-UB18</f>
        <v>100</v>
      </c>
      <c r="UD18" s="62">
        <v>1125</v>
      </c>
      <c r="UE18" s="63">
        <v>1125</v>
      </c>
      <c r="UF18" s="64">
        <f t="shared" ref="UF18:UF29" si="529">UD18-UE18</f>
        <v>0</v>
      </c>
      <c r="UG18" s="65">
        <v>490.51</v>
      </c>
      <c r="UH18" s="63">
        <v>490.51</v>
      </c>
      <c r="UI18" s="64">
        <f t="shared" ref="UI18:UI29" si="530">UG18-UH18</f>
        <v>0</v>
      </c>
      <c r="UJ18" s="65"/>
      <c r="UK18" s="63"/>
      <c r="UL18" s="64">
        <f t="shared" ref="UL18:UL29" si="531">UJ18-UK18</f>
        <v>0</v>
      </c>
      <c r="UM18" s="65">
        <v>100</v>
      </c>
      <c r="UN18" s="63"/>
      <c r="UO18" s="64">
        <f t="shared" ref="UO18:UO29" si="532">UM18-UN18</f>
        <v>100</v>
      </c>
      <c r="UP18" s="66">
        <f t="shared" si="226"/>
        <v>1715.51</v>
      </c>
      <c r="UQ18" s="67">
        <f t="shared" ref="UQ18:UQ29" si="533">UE18+UH18+UK18++UN18</f>
        <v>1615.51</v>
      </c>
      <c r="UR18" s="64">
        <f t="shared" ref="UR18:UR29" si="534">UP18-UQ18</f>
        <v>100</v>
      </c>
      <c r="US18" s="62"/>
      <c r="UT18" s="63"/>
      <c r="UU18" s="64">
        <f t="shared" ref="UU18:UU29" si="535">US18-UT18</f>
        <v>0</v>
      </c>
      <c r="UV18" s="65"/>
      <c r="UW18" s="63"/>
      <c r="UX18" s="64">
        <f t="shared" ref="UX18:UX29" si="536">UV18-UW18</f>
        <v>0</v>
      </c>
      <c r="UY18" s="65"/>
      <c r="UZ18" s="63"/>
      <c r="VA18" s="64">
        <f t="shared" ref="VA18:VA29" si="537">UY18-UZ18</f>
        <v>0</v>
      </c>
      <c r="VB18" s="65">
        <v>100</v>
      </c>
      <c r="VC18" s="63"/>
      <c r="VD18" s="64">
        <f t="shared" ref="VD18:VD29" si="538">VB18-VC18</f>
        <v>100</v>
      </c>
      <c r="VE18" s="66">
        <f t="shared" si="233"/>
        <v>100</v>
      </c>
      <c r="VF18" s="67">
        <f t="shared" ref="VF18:VF29" si="539">UT18+UW18+UZ18++VC18</f>
        <v>0</v>
      </c>
      <c r="VG18" s="64">
        <f t="shared" ref="VG18:VG29" si="540">VE18-VF18</f>
        <v>100</v>
      </c>
      <c r="VH18" s="62"/>
      <c r="VI18" s="63"/>
      <c r="VJ18" s="64">
        <f t="shared" ref="VJ18:VJ29" si="541">VH18-VI18</f>
        <v>0</v>
      </c>
      <c r="VK18" s="65"/>
      <c r="VL18" s="63"/>
      <c r="VM18" s="64">
        <f t="shared" ref="VM18:VM29" si="542">VK18-VL18</f>
        <v>0</v>
      </c>
      <c r="VN18" s="65"/>
      <c r="VO18" s="63"/>
      <c r="VP18" s="64">
        <f t="shared" ref="VP18:VP29" si="543">VN18-VO18</f>
        <v>0</v>
      </c>
      <c r="VQ18" s="65">
        <v>100</v>
      </c>
      <c r="VR18" s="63"/>
      <c r="VS18" s="64">
        <f t="shared" ref="VS18:VS29" si="544">VQ18-VR18</f>
        <v>100</v>
      </c>
      <c r="VT18" s="66">
        <f t="shared" si="240"/>
        <v>100</v>
      </c>
      <c r="VU18" s="67">
        <f t="shared" ref="VU18:VU29" si="545">VI18+VL18+VO18++VR18</f>
        <v>0</v>
      </c>
      <c r="VV18" s="64">
        <f t="shared" ref="VV18:VV29" si="546">VT18-VU18</f>
        <v>100</v>
      </c>
      <c r="VW18" s="62">
        <v>1303</v>
      </c>
      <c r="VX18" s="63">
        <v>1303</v>
      </c>
      <c r="VY18" s="64">
        <f t="shared" ref="VY18:VY29" si="547">VW18-VX18</f>
        <v>0</v>
      </c>
      <c r="VZ18" s="65"/>
      <c r="WA18" s="63"/>
      <c r="WB18" s="64">
        <f t="shared" ref="WB18:WB29" si="548">VZ18-WA18</f>
        <v>0</v>
      </c>
      <c r="WC18" s="65"/>
      <c r="WD18" s="63"/>
      <c r="WE18" s="64">
        <f t="shared" ref="WE18:WE29" si="549">WC18-WD18</f>
        <v>0</v>
      </c>
      <c r="WF18" s="65"/>
      <c r="WG18" s="63"/>
      <c r="WH18" s="64">
        <f t="shared" ref="WH18:WH29" si="550">WF18-WG18</f>
        <v>0</v>
      </c>
      <c r="WI18" s="66">
        <f t="shared" si="247"/>
        <v>1303</v>
      </c>
      <c r="WJ18" s="67">
        <f t="shared" ref="WJ18:WJ29" si="551">VX18+WA18+WD18++WG18</f>
        <v>1303</v>
      </c>
      <c r="WK18" s="64">
        <f t="shared" ref="WK18:WK29" si="552">WI18-WJ18</f>
        <v>0</v>
      </c>
      <c r="WL18" s="62">
        <v>1376.01</v>
      </c>
      <c r="WM18" s="63">
        <v>1376.01</v>
      </c>
      <c r="WN18" s="64">
        <f t="shared" ref="WN18:WN29" si="553">WL18-WM18</f>
        <v>0</v>
      </c>
      <c r="WO18" s="65"/>
      <c r="WP18" s="63"/>
      <c r="WQ18" s="64">
        <f t="shared" ref="WQ18:WQ29" si="554">WO18-WP18</f>
        <v>0</v>
      </c>
      <c r="WR18" s="65"/>
      <c r="WS18" s="63"/>
      <c r="WT18" s="64">
        <f t="shared" ref="WT18:WT29" si="555">WR18-WS18</f>
        <v>0</v>
      </c>
      <c r="WU18" s="65">
        <v>100</v>
      </c>
      <c r="WV18" s="63"/>
      <c r="WW18" s="64">
        <f t="shared" ref="WW18:WW29" si="556">WU18-WV18</f>
        <v>100</v>
      </c>
      <c r="WX18" s="66">
        <f t="shared" si="254"/>
        <v>1476.01</v>
      </c>
      <c r="WY18" s="67">
        <f t="shared" ref="WY18:WY29" si="557">WM18+WP18+WS18++WV18</f>
        <v>1376.01</v>
      </c>
      <c r="WZ18" s="64">
        <f t="shared" ref="WZ18:WZ29" si="558">WX18-WY18</f>
        <v>100</v>
      </c>
      <c r="XA18" s="62"/>
      <c r="XB18" s="63"/>
      <c r="XC18" s="64">
        <f t="shared" ref="XC18:XC29" si="559">XA18-XB18</f>
        <v>0</v>
      </c>
      <c r="XD18" s="65"/>
      <c r="XE18" s="63"/>
      <c r="XF18" s="64">
        <f t="shared" ref="XF18:XF29" si="560">XD18-XE18</f>
        <v>0</v>
      </c>
      <c r="XG18" s="65"/>
      <c r="XH18" s="63"/>
      <c r="XI18" s="64">
        <f t="shared" ref="XI18:XI29" si="561">XG18-XH18</f>
        <v>0</v>
      </c>
      <c r="XJ18" s="65">
        <v>100</v>
      </c>
      <c r="XK18" s="63"/>
      <c r="XL18" s="64">
        <f t="shared" ref="XL18:XL29" si="562">XJ18-XK18</f>
        <v>100</v>
      </c>
      <c r="XM18" s="66">
        <f t="shared" si="261"/>
        <v>100</v>
      </c>
      <c r="XN18" s="67">
        <f t="shared" ref="XN18:XN29" si="563">XB18+XE18+XH18++XK18</f>
        <v>0</v>
      </c>
      <c r="XO18" s="64">
        <f t="shared" ref="XO18:XO29" si="564">XM18-XN18</f>
        <v>100</v>
      </c>
      <c r="XP18" s="62">
        <v>917</v>
      </c>
      <c r="XQ18" s="63">
        <v>917</v>
      </c>
      <c r="XR18" s="64">
        <f t="shared" ref="XR18:XR29" si="565">XP18-XQ18</f>
        <v>0</v>
      </c>
      <c r="XS18" s="65">
        <v>604.38</v>
      </c>
      <c r="XT18" s="63">
        <v>604.38</v>
      </c>
      <c r="XU18" s="64">
        <f t="shared" ref="XU18:XU29" si="566">XS18-XT18</f>
        <v>0</v>
      </c>
      <c r="XV18" s="65"/>
      <c r="XW18" s="63"/>
      <c r="XX18" s="64">
        <f t="shared" ref="XX18:XX29" si="567">XV18-XW18</f>
        <v>0</v>
      </c>
      <c r="XY18" s="65">
        <v>100</v>
      </c>
      <c r="XZ18" s="63"/>
      <c r="YA18" s="64">
        <f t="shared" ref="YA18:YA29" si="568">XY18-XZ18</f>
        <v>100</v>
      </c>
      <c r="YB18" s="66">
        <f t="shared" si="268"/>
        <v>1621.38</v>
      </c>
      <c r="YC18" s="67">
        <f t="shared" ref="YC18:YC29" si="569">XQ18+XT18+XW18++XZ18</f>
        <v>1521.38</v>
      </c>
      <c r="YD18" s="64">
        <f t="shared" ref="YD18:YD29" si="570">YB18-YC18</f>
        <v>100</v>
      </c>
      <c r="YE18" s="62">
        <v>890</v>
      </c>
      <c r="YF18" s="63">
        <v>890</v>
      </c>
      <c r="YG18" s="64">
        <f t="shared" ref="YG18:YG29" si="571">YE18-YF18</f>
        <v>0</v>
      </c>
      <c r="YH18" s="65">
        <v>581.58000000000004</v>
      </c>
      <c r="YI18" s="63">
        <v>581.58000000000004</v>
      </c>
      <c r="YJ18" s="64">
        <f t="shared" ref="YJ18:YJ29" si="572">YH18-YI18</f>
        <v>0</v>
      </c>
      <c r="YK18" s="65"/>
      <c r="YL18" s="63"/>
      <c r="YM18" s="64">
        <f t="shared" ref="YM18:YM29" si="573">YK18-YL18</f>
        <v>0</v>
      </c>
      <c r="YN18" s="65">
        <v>100</v>
      </c>
      <c r="YO18" s="63"/>
      <c r="YP18" s="64">
        <f t="shared" ref="YP18:YP29" si="574">YN18-YO18</f>
        <v>100</v>
      </c>
      <c r="YQ18" s="66">
        <f t="shared" si="275"/>
        <v>1571.58</v>
      </c>
      <c r="YR18" s="67">
        <f t="shared" ref="YR18:YR29" si="575">YF18+YI18+YL18++YO18</f>
        <v>1471.58</v>
      </c>
      <c r="YS18" s="64">
        <f t="shared" ref="YS18:YS29" si="576">YQ18-YR18</f>
        <v>100</v>
      </c>
      <c r="YT18" s="62">
        <v>932</v>
      </c>
      <c r="YU18" s="63">
        <v>932</v>
      </c>
      <c r="YV18" s="64">
        <f t="shared" ref="YV18:YV29" si="577">YT18-YU18</f>
        <v>0</v>
      </c>
      <c r="YW18" s="65">
        <v>626.24</v>
      </c>
      <c r="YX18" s="63">
        <v>626.24</v>
      </c>
      <c r="YY18" s="64">
        <f t="shared" ref="YY18:YY29" si="578">YW18-YX18</f>
        <v>0</v>
      </c>
      <c r="YZ18" s="65"/>
      <c r="ZA18" s="63"/>
      <c r="ZB18" s="64">
        <f t="shared" ref="ZB18:ZB29" si="579">YZ18-ZA18</f>
        <v>0</v>
      </c>
      <c r="ZC18" s="65">
        <v>100</v>
      </c>
      <c r="ZD18" s="63"/>
      <c r="ZE18" s="64">
        <f t="shared" ref="ZE18:ZE29" si="580">ZC18-ZD18</f>
        <v>100</v>
      </c>
      <c r="ZF18" s="66">
        <f t="shared" si="282"/>
        <v>1658.24</v>
      </c>
      <c r="ZG18" s="67">
        <f t="shared" ref="ZG18:ZG29" si="581">YU18+YX18+ZA18++ZD18</f>
        <v>1558.24</v>
      </c>
      <c r="ZH18" s="64">
        <f t="shared" ref="ZH18:ZH29" si="582">ZF18-ZG18</f>
        <v>100</v>
      </c>
      <c r="ZI18" s="62">
        <v>1250</v>
      </c>
      <c r="ZJ18" s="63">
        <v>1250</v>
      </c>
      <c r="ZK18" s="64">
        <f t="shared" ref="ZK18:ZK29" si="583">ZI18-ZJ18</f>
        <v>0</v>
      </c>
      <c r="ZL18" s="65"/>
      <c r="ZM18" s="63"/>
      <c r="ZN18" s="64">
        <f t="shared" ref="ZN18:ZN29" si="584">ZL18-ZM18</f>
        <v>0</v>
      </c>
      <c r="ZO18" s="65"/>
      <c r="ZP18" s="63"/>
      <c r="ZQ18" s="64">
        <f t="shared" ref="ZQ18:ZQ29" si="585">ZO18-ZP18</f>
        <v>0</v>
      </c>
      <c r="ZR18" s="65">
        <v>100</v>
      </c>
      <c r="ZS18" s="63"/>
      <c r="ZT18" s="64">
        <f t="shared" ref="ZT18:ZT29" si="586">ZR18-ZS18</f>
        <v>100</v>
      </c>
      <c r="ZU18" s="66">
        <f t="shared" si="289"/>
        <v>1350</v>
      </c>
      <c r="ZV18" s="67">
        <f t="shared" ref="ZV18:ZV29" si="587">ZJ18+ZM18+ZP18++ZS18</f>
        <v>1250</v>
      </c>
      <c r="ZW18" s="64">
        <f t="shared" ref="ZW18:ZW29" si="588">ZU18-ZV18</f>
        <v>100</v>
      </c>
      <c r="ZX18" s="62">
        <v>24.71</v>
      </c>
      <c r="ZY18" s="63">
        <v>24.71</v>
      </c>
      <c r="ZZ18" s="64">
        <f t="shared" ref="ZZ18:ZZ29" si="589">ZX18-ZY18</f>
        <v>0</v>
      </c>
      <c r="AAA18" s="66">
        <f t="shared" si="293"/>
        <v>24.71</v>
      </c>
      <c r="AAB18" s="67">
        <f t="shared" si="293"/>
        <v>24.71</v>
      </c>
      <c r="AAC18" s="64">
        <f t="shared" ref="AAC18:AAC29" si="590">AAA18-AAB18</f>
        <v>0</v>
      </c>
      <c r="AAD18" s="78">
        <f t="shared" si="295"/>
        <v>40331.589999999997</v>
      </c>
      <c r="AAE18" s="79">
        <f t="shared" si="295"/>
        <v>37750.81</v>
      </c>
      <c r="AAF18" s="80">
        <f t="shared" si="3"/>
        <v>0.93601095320070449</v>
      </c>
      <c r="AAG18" s="81">
        <f t="shared" ref="AAG18:AAG29" si="591">AAE18-AAD18</f>
        <v>-2580.7799999999988</v>
      </c>
      <c r="AAH18" s="58" t="s">
        <v>136</v>
      </c>
      <c r="AAI18" s="59"/>
      <c r="AAJ18" s="59"/>
      <c r="AAK18" s="60">
        <v>2023</v>
      </c>
    </row>
    <row r="19" spans="1:713" s="83" customFormat="1" ht="20" customHeight="1" x14ac:dyDescent="0.2">
      <c r="A19" s="57" t="s">
        <v>156</v>
      </c>
      <c r="B19" s="58"/>
      <c r="C19" s="59"/>
      <c r="D19" s="59"/>
      <c r="E19" s="60"/>
      <c r="F19" s="61">
        <v>44958</v>
      </c>
      <c r="G19" s="62"/>
      <c r="H19" s="63">
        <v>0</v>
      </c>
      <c r="I19" s="64">
        <f t="shared" si="340"/>
        <v>0</v>
      </c>
      <c r="J19" s="65">
        <v>4200</v>
      </c>
      <c r="K19" s="63">
        <v>4160.16</v>
      </c>
      <c r="L19" s="64">
        <f t="shared" si="341"/>
        <v>39.840000000000146</v>
      </c>
      <c r="M19" s="65">
        <v>1500</v>
      </c>
      <c r="N19" s="63">
        <v>0</v>
      </c>
      <c r="O19" s="64">
        <f t="shared" si="342"/>
        <v>1500</v>
      </c>
      <c r="P19" s="65">
        <v>500</v>
      </c>
      <c r="Q19" s="63">
        <v>545.67999999999995</v>
      </c>
      <c r="R19" s="64">
        <f t="shared" si="343"/>
        <v>-45.67999999999995</v>
      </c>
      <c r="S19" s="65">
        <v>165.24</v>
      </c>
      <c r="T19" s="63">
        <v>165.24</v>
      </c>
      <c r="U19" s="64">
        <f t="shared" si="344"/>
        <v>0</v>
      </c>
      <c r="V19" s="66">
        <f t="shared" si="345"/>
        <v>6365.24</v>
      </c>
      <c r="W19" s="67">
        <f t="shared" si="345"/>
        <v>4871.08</v>
      </c>
      <c r="X19" s="64">
        <f t="shared" si="346"/>
        <v>1494.1599999999999</v>
      </c>
      <c r="Y19" s="62">
        <v>1100</v>
      </c>
      <c r="Z19" s="63">
        <v>1100</v>
      </c>
      <c r="AA19" s="64">
        <f t="shared" si="347"/>
        <v>0</v>
      </c>
      <c r="AB19" s="65"/>
      <c r="AC19" s="63"/>
      <c r="AD19" s="64">
        <f t="shared" si="348"/>
        <v>0</v>
      </c>
      <c r="AE19" s="65"/>
      <c r="AF19" s="63"/>
      <c r="AG19" s="64">
        <f t="shared" si="349"/>
        <v>0</v>
      </c>
      <c r="AH19" s="65"/>
      <c r="AI19" s="63"/>
      <c r="AJ19" s="64">
        <f t="shared" si="350"/>
        <v>0</v>
      </c>
      <c r="AK19" s="66">
        <f t="shared" si="16"/>
        <v>1100</v>
      </c>
      <c r="AL19" s="67">
        <f t="shared" si="17"/>
        <v>1100</v>
      </c>
      <c r="AM19" s="64">
        <f t="shared" si="351"/>
        <v>0</v>
      </c>
      <c r="AN19" s="62"/>
      <c r="AO19" s="63"/>
      <c r="AP19" s="64">
        <f t="shared" ref="AP19:AP29" si="592">AN19-AO19</f>
        <v>0</v>
      </c>
      <c r="AQ19" s="65"/>
      <c r="AR19" s="63"/>
      <c r="AS19" s="64">
        <f t="shared" ref="AS19:AS29" si="593">AQ19-AR19</f>
        <v>0</v>
      </c>
      <c r="AT19" s="65"/>
      <c r="AU19" s="63"/>
      <c r="AV19" s="64">
        <f t="shared" ref="AV19:AV29" si="594">AT19-AU19</f>
        <v>0</v>
      </c>
      <c r="AW19" s="65"/>
      <c r="AX19" s="63"/>
      <c r="AY19" s="64">
        <f t="shared" si="352"/>
        <v>0</v>
      </c>
      <c r="AZ19" s="66">
        <f t="shared" si="23"/>
        <v>0</v>
      </c>
      <c r="BA19" s="67">
        <f t="shared" si="353"/>
        <v>0</v>
      </c>
      <c r="BB19" s="64">
        <f t="shared" si="354"/>
        <v>0</v>
      </c>
      <c r="BC19" s="62">
        <v>7900.8</v>
      </c>
      <c r="BD19" s="63">
        <v>7900.8</v>
      </c>
      <c r="BE19" s="64">
        <f t="shared" si="355"/>
        <v>0</v>
      </c>
      <c r="BF19" s="65"/>
      <c r="BG19" s="63"/>
      <c r="BH19" s="64">
        <f t="shared" si="356"/>
        <v>0</v>
      </c>
      <c r="BI19" s="65"/>
      <c r="BJ19" s="63"/>
      <c r="BK19" s="64">
        <f t="shared" si="357"/>
        <v>0</v>
      </c>
      <c r="BL19" s="65">
        <v>100</v>
      </c>
      <c r="BM19" s="63"/>
      <c r="BN19" s="64">
        <f t="shared" si="358"/>
        <v>100</v>
      </c>
      <c r="BO19" s="66">
        <f t="shared" si="30"/>
        <v>8000.8</v>
      </c>
      <c r="BP19" s="67">
        <f t="shared" si="359"/>
        <v>7900.8</v>
      </c>
      <c r="BQ19" s="64">
        <f t="shared" si="360"/>
        <v>100</v>
      </c>
      <c r="BR19" s="62">
        <v>3416.66</v>
      </c>
      <c r="BS19" s="63">
        <v>3416.66</v>
      </c>
      <c r="BT19" s="64">
        <f t="shared" si="361"/>
        <v>0</v>
      </c>
      <c r="BU19" s="65"/>
      <c r="BV19" s="63"/>
      <c r="BW19" s="64">
        <f t="shared" si="362"/>
        <v>0</v>
      </c>
      <c r="BX19" s="65"/>
      <c r="BY19" s="63"/>
      <c r="BZ19" s="64">
        <f t="shared" si="363"/>
        <v>0</v>
      </c>
      <c r="CA19" s="65"/>
      <c r="CB19" s="63"/>
      <c r="CC19" s="64">
        <f t="shared" si="364"/>
        <v>0</v>
      </c>
      <c r="CD19" s="66">
        <f t="shared" si="33"/>
        <v>3416.66</v>
      </c>
      <c r="CE19" s="67">
        <f t="shared" si="365"/>
        <v>3416.66</v>
      </c>
      <c r="CF19" s="64">
        <f t="shared" si="366"/>
        <v>0</v>
      </c>
      <c r="CG19" s="62"/>
      <c r="CH19" s="63"/>
      <c r="CI19" s="64">
        <f t="shared" si="367"/>
        <v>0</v>
      </c>
      <c r="CJ19" s="65"/>
      <c r="CK19" s="63"/>
      <c r="CL19" s="64">
        <f t="shared" si="368"/>
        <v>0</v>
      </c>
      <c r="CM19" s="65"/>
      <c r="CN19" s="63"/>
      <c r="CO19" s="64">
        <f t="shared" si="369"/>
        <v>0</v>
      </c>
      <c r="CP19" s="65"/>
      <c r="CQ19" s="63"/>
      <c r="CR19" s="64">
        <f t="shared" si="370"/>
        <v>0</v>
      </c>
      <c r="CS19" s="66">
        <f t="shared" si="40"/>
        <v>0</v>
      </c>
      <c r="CT19" s="67">
        <f t="shared" si="371"/>
        <v>0</v>
      </c>
      <c r="CU19" s="64">
        <f t="shared" si="372"/>
        <v>0</v>
      </c>
      <c r="CV19" s="68"/>
      <c r="CW19" s="69"/>
      <c r="CX19" s="70"/>
      <c r="CY19" s="71"/>
      <c r="CZ19" s="69"/>
      <c r="DA19" s="70"/>
      <c r="DB19" s="71"/>
      <c r="DC19" s="69"/>
      <c r="DD19" s="70"/>
      <c r="DE19" s="71"/>
      <c r="DF19" s="69"/>
      <c r="DG19" s="70"/>
      <c r="DH19" s="66">
        <f t="shared" si="43"/>
        <v>0</v>
      </c>
      <c r="DI19" s="67">
        <f t="shared" si="373"/>
        <v>0</v>
      </c>
      <c r="DJ19" s="64">
        <f t="shared" si="374"/>
        <v>0</v>
      </c>
      <c r="DK19" s="68"/>
      <c r="DL19" s="69"/>
      <c r="DM19" s="70"/>
      <c r="DN19" s="71"/>
      <c r="DO19" s="69"/>
      <c r="DP19" s="70"/>
      <c r="DQ19" s="71"/>
      <c r="DR19" s="69"/>
      <c r="DS19" s="70"/>
      <c r="DT19" s="71"/>
      <c r="DU19" s="69"/>
      <c r="DV19" s="70"/>
      <c r="DW19" s="66">
        <f t="shared" si="46"/>
        <v>0</v>
      </c>
      <c r="DX19" s="67">
        <f t="shared" si="375"/>
        <v>0</v>
      </c>
      <c r="DY19" s="64">
        <f t="shared" si="376"/>
        <v>0</v>
      </c>
      <c r="DZ19" s="62"/>
      <c r="EA19" s="63"/>
      <c r="EB19" s="64">
        <f t="shared" si="377"/>
        <v>0</v>
      </c>
      <c r="EC19" s="65"/>
      <c r="ED19" s="63"/>
      <c r="EE19" s="64">
        <f t="shared" si="378"/>
        <v>0</v>
      </c>
      <c r="EF19" s="65"/>
      <c r="EG19" s="63"/>
      <c r="EH19" s="64">
        <f t="shared" si="379"/>
        <v>0</v>
      </c>
      <c r="EI19" s="65">
        <v>100</v>
      </c>
      <c r="EJ19" s="63"/>
      <c r="EK19" s="64">
        <f t="shared" si="380"/>
        <v>100</v>
      </c>
      <c r="EL19" s="66">
        <f t="shared" si="53"/>
        <v>100</v>
      </c>
      <c r="EM19" s="67">
        <f t="shared" si="381"/>
        <v>0</v>
      </c>
      <c r="EN19" s="64">
        <f t="shared" si="382"/>
        <v>100</v>
      </c>
      <c r="EO19" s="62"/>
      <c r="EP19" s="63"/>
      <c r="EQ19" s="64">
        <f t="shared" si="383"/>
        <v>0</v>
      </c>
      <c r="ER19" s="65"/>
      <c r="ES19" s="63"/>
      <c r="ET19" s="64">
        <f t="shared" si="384"/>
        <v>0</v>
      </c>
      <c r="EU19" s="65"/>
      <c r="EV19" s="63"/>
      <c r="EW19" s="64">
        <f t="shared" si="385"/>
        <v>0</v>
      </c>
      <c r="EX19" s="65">
        <v>100</v>
      </c>
      <c r="EY19" s="63"/>
      <c r="EZ19" s="64">
        <f t="shared" si="386"/>
        <v>100</v>
      </c>
      <c r="FA19" s="66">
        <f t="shared" si="60"/>
        <v>100</v>
      </c>
      <c r="FB19" s="67">
        <f t="shared" si="387"/>
        <v>0</v>
      </c>
      <c r="FC19" s="64">
        <f t="shared" si="388"/>
        <v>100</v>
      </c>
      <c r="FD19" s="62"/>
      <c r="FE19" s="63"/>
      <c r="FF19" s="64">
        <f t="shared" si="389"/>
        <v>0</v>
      </c>
      <c r="FG19" s="65"/>
      <c r="FH19" s="63"/>
      <c r="FI19" s="64">
        <f t="shared" si="390"/>
        <v>0</v>
      </c>
      <c r="FJ19" s="65"/>
      <c r="FK19" s="63"/>
      <c r="FL19" s="64">
        <f t="shared" si="391"/>
        <v>0</v>
      </c>
      <c r="FM19" s="65">
        <v>100</v>
      </c>
      <c r="FN19" s="63">
        <v>146.91999999999999</v>
      </c>
      <c r="FO19" s="64">
        <f t="shared" si="392"/>
        <v>-46.919999999999987</v>
      </c>
      <c r="FP19" s="66">
        <f t="shared" si="67"/>
        <v>100</v>
      </c>
      <c r="FQ19" s="67">
        <f t="shared" si="393"/>
        <v>146.91999999999999</v>
      </c>
      <c r="FR19" s="64">
        <f t="shared" si="394"/>
        <v>-46.919999999999987</v>
      </c>
      <c r="FS19" s="62"/>
      <c r="FT19" s="63"/>
      <c r="FU19" s="64">
        <f t="shared" si="395"/>
        <v>0</v>
      </c>
      <c r="FV19" s="65"/>
      <c r="FW19" s="63"/>
      <c r="FX19" s="64">
        <f t="shared" si="396"/>
        <v>0</v>
      </c>
      <c r="FY19" s="65"/>
      <c r="FZ19" s="63">
        <v>3636.94</v>
      </c>
      <c r="GA19" s="64">
        <f t="shared" si="397"/>
        <v>-3636.94</v>
      </c>
      <c r="GB19" s="65"/>
      <c r="GC19" s="63"/>
      <c r="GD19" s="64">
        <f t="shared" si="398"/>
        <v>0</v>
      </c>
      <c r="GE19" s="66">
        <f t="shared" si="74"/>
        <v>0</v>
      </c>
      <c r="GF19" s="67">
        <f t="shared" si="399"/>
        <v>3636.94</v>
      </c>
      <c r="GG19" s="64">
        <f t="shared" si="400"/>
        <v>-3636.94</v>
      </c>
      <c r="GH19" s="62"/>
      <c r="GI19" s="63"/>
      <c r="GJ19" s="64">
        <f t="shared" si="401"/>
        <v>0</v>
      </c>
      <c r="GK19" s="65"/>
      <c r="GL19" s="63"/>
      <c r="GM19" s="64">
        <f t="shared" si="402"/>
        <v>0</v>
      </c>
      <c r="GN19" s="65"/>
      <c r="GO19" s="63">
        <v>3281.47</v>
      </c>
      <c r="GP19" s="64">
        <f t="shared" si="403"/>
        <v>-3281.47</v>
      </c>
      <c r="GQ19" s="65"/>
      <c r="GR19" s="63"/>
      <c r="GS19" s="64">
        <f t="shared" si="404"/>
        <v>0</v>
      </c>
      <c r="GT19" s="66">
        <f t="shared" si="81"/>
        <v>0</v>
      </c>
      <c r="GU19" s="67">
        <f t="shared" si="405"/>
        <v>3281.47</v>
      </c>
      <c r="GV19" s="64">
        <f t="shared" si="406"/>
        <v>-3281.47</v>
      </c>
      <c r="GW19" s="68"/>
      <c r="GX19" s="69"/>
      <c r="GY19" s="70"/>
      <c r="GZ19" s="71"/>
      <c r="HA19" s="69"/>
      <c r="HB19" s="70"/>
      <c r="HC19" s="71"/>
      <c r="HD19" s="69"/>
      <c r="HE19" s="70"/>
      <c r="HF19" s="71"/>
      <c r="HG19" s="69"/>
      <c r="HH19" s="70"/>
      <c r="HI19" s="66">
        <f t="shared" si="84"/>
        <v>0</v>
      </c>
      <c r="HJ19" s="67">
        <f t="shared" si="407"/>
        <v>0</v>
      </c>
      <c r="HK19" s="64">
        <f t="shared" si="408"/>
        <v>0</v>
      </c>
      <c r="HL19" s="62">
        <v>7900.8</v>
      </c>
      <c r="HM19" s="63">
        <v>7900.8</v>
      </c>
      <c r="HN19" s="64">
        <f t="shared" si="409"/>
        <v>0</v>
      </c>
      <c r="HO19" s="65"/>
      <c r="HP19" s="63"/>
      <c r="HQ19" s="64">
        <f t="shared" si="410"/>
        <v>0</v>
      </c>
      <c r="HR19" s="65"/>
      <c r="HS19" s="63"/>
      <c r="HT19" s="64">
        <f t="shared" si="411"/>
        <v>0</v>
      </c>
      <c r="HU19" s="65">
        <v>100</v>
      </c>
      <c r="HV19" s="63"/>
      <c r="HW19" s="64">
        <f t="shared" si="412"/>
        <v>100</v>
      </c>
      <c r="HX19" s="66">
        <f t="shared" si="91"/>
        <v>8000.8</v>
      </c>
      <c r="HY19" s="67">
        <f t="shared" si="413"/>
        <v>7900.8</v>
      </c>
      <c r="HZ19" s="64">
        <f t="shared" si="414"/>
        <v>100</v>
      </c>
      <c r="IA19" s="62">
        <v>23556.959999999999</v>
      </c>
      <c r="IB19" s="63">
        <v>23556.959999999999</v>
      </c>
      <c r="IC19" s="64">
        <f t="shared" si="415"/>
        <v>0</v>
      </c>
      <c r="ID19" s="65"/>
      <c r="IE19" s="63"/>
      <c r="IF19" s="64">
        <f t="shared" si="416"/>
        <v>0</v>
      </c>
      <c r="IG19" s="65"/>
      <c r="IH19" s="63"/>
      <c r="II19" s="64">
        <f t="shared" si="417"/>
        <v>0</v>
      </c>
      <c r="IJ19" s="65">
        <v>100</v>
      </c>
      <c r="IK19" s="63">
        <v>205.56</v>
      </c>
      <c r="IL19" s="64">
        <f t="shared" si="418"/>
        <v>-105.56</v>
      </c>
      <c r="IM19" s="66">
        <f t="shared" si="98"/>
        <v>23656.959999999999</v>
      </c>
      <c r="IN19" s="67">
        <f t="shared" si="419"/>
        <v>23762.52</v>
      </c>
      <c r="IO19" s="64">
        <f t="shared" si="420"/>
        <v>-105.56000000000131</v>
      </c>
      <c r="IP19" s="62"/>
      <c r="IQ19" s="63"/>
      <c r="IR19" s="64">
        <f t="shared" si="421"/>
        <v>0</v>
      </c>
      <c r="IS19" s="65"/>
      <c r="IT19" s="63"/>
      <c r="IU19" s="64">
        <f t="shared" si="422"/>
        <v>0</v>
      </c>
      <c r="IV19" s="65"/>
      <c r="IW19" s="63"/>
      <c r="IX19" s="64">
        <f t="shared" si="423"/>
        <v>0</v>
      </c>
      <c r="IY19" s="65"/>
      <c r="IZ19" s="63"/>
      <c r="JA19" s="64">
        <f t="shared" si="424"/>
        <v>0</v>
      </c>
      <c r="JB19" s="66">
        <f t="shared" si="105"/>
        <v>0</v>
      </c>
      <c r="JC19" s="67">
        <f t="shared" si="425"/>
        <v>0</v>
      </c>
      <c r="JD19" s="64">
        <f t="shared" si="426"/>
        <v>0</v>
      </c>
      <c r="JE19" s="62"/>
      <c r="JF19" s="63"/>
      <c r="JG19" s="64">
        <f t="shared" si="427"/>
        <v>0</v>
      </c>
      <c r="JH19" s="65">
        <v>442.35</v>
      </c>
      <c r="JI19" s="65">
        <v>442.35</v>
      </c>
      <c r="JJ19" s="64">
        <f t="shared" si="428"/>
        <v>0</v>
      </c>
      <c r="JK19" s="65">
        <v>301.94</v>
      </c>
      <c r="JL19" s="63">
        <v>1014.51</v>
      </c>
      <c r="JM19" s="64">
        <f t="shared" si="429"/>
        <v>-712.56999999999994</v>
      </c>
      <c r="JN19" s="65">
        <v>100</v>
      </c>
      <c r="JO19" s="63">
        <v>100.93</v>
      </c>
      <c r="JP19" s="64">
        <f t="shared" si="430"/>
        <v>-0.93000000000000682</v>
      </c>
      <c r="JQ19" s="66">
        <f t="shared" si="112"/>
        <v>844.29</v>
      </c>
      <c r="JR19" s="67">
        <f t="shared" si="431"/>
        <v>1557.7900000000002</v>
      </c>
      <c r="JS19" s="64">
        <f t="shared" si="432"/>
        <v>-713.50000000000023</v>
      </c>
      <c r="JT19" s="62">
        <v>5553.7</v>
      </c>
      <c r="JU19" s="63">
        <v>5553.7</v>
      </c>
      <c r="JV19" s="64">
        <f t="shared" si="433"/>
        <v>0</v>
      </c>
      <c r="JW19" s="65"/>
      <c r="JX19" s="63"/>
      <c r="JY19" s="64">
        <f t="shared" si="434"/>
        <v>0</v>
      </c>
      <c r="JZ19" s="65"/>
      <c r="KA19" s="63"/>
      <c r="KB19" s="64">
        <f t="shared" si="435"/>
        <v>0</v>
      </c>
      <c r="KC19" s="65">
        <v>100</v>
      </c>
      <c r="KD19" s="63">
        <v>174.26</v>
      </c>
      <c r="KE19" s="64">
        <f t="shared" si="436"/>
        <v>-74.259999999999991</v>
      </c>
      <c r="KF19" s="66">
        <f t="shared" si="119"/>
        <v>5653.7</v>
      </c>
      <c r="KG19" s="67">
        <f t="shared" si="437"/>
        <v>5727.96</v>
      </c>
      <c r="KH19" s="64">
        <f t="shared" si="438"/>
        <v>-74.260000000000218</v>
      </c>
      <c r="KI19" s="68"/>
      <c r="KJ19" s="69"/>
      <c r="KK19" s="70"/>
      <c r="KL19" s="71"/>
      <c r="KM19" s="69"/>
      <c r="KN19" s="70"/>
      <c r="KO19" s="71"/>
      <c r="KP19" s="69"/>
      <c r="KQ19" s="70"/>
      <c r="KR19" s="71"/>
      <c r="KS19" s="69"/>
      <c r="KT19" s="64">
        <f t="shared" si="439"/>
        <v>0</v>
      </c>
      <c r="KU19" s="66">
        <f t="shared" si="1"/>
        <v>0</v>
      </c>
      <c r="KV19" s="67">
        <f t="shared" si="440"/>
        <v>0</v>
      </c>
      <c r="KW19" s="64">
        <f t="shared" si="441"/>
        <v>0</v>
      </c>
      <c r="KX19" s="72"/>
      <c r="KY19" s="73"/>
      <c r="KZ19" s="74"/>
      <c r="LA19" s="75"/>
      <c r="LB19" s="73"/>
      <c r="LC19" s="74"/>
      <c r="LD19" s="75"/>
      <c r="LE19" s="73"/>
      <c r="LF19" s="74"/>
      <c r="LG19" s="75"/>
      <c r="LH19" s="73"/>
      <c r="LI19" s="74"/>
      <c r="LJ19" s="76"/>
      <c r="LK19" s="77"/>
      <c r="LL19" s="74"/>
      <c r="LM19" s="68"/>
      <c r="LN19" s="69"/>
      <c r="LO19" s="70"/>
      <c r="LP19" s="71"/>
      <c r="LQ19" s="69"/>
      <c r="LR19" s="70"/>
      <c r="LS19" s="71"/>
      <c r="LT19" s="69"/>
      <c r="LU19" s="70"/>
      <c r="LV19" s="71"/>
      <c r="LW19" s="69"/>
      <c r="LX19" s="64">
        <f t="shared" si="442"/>
        <v>0</v>
      </c>
      <c r="LY19" s="66">
        <f t="shared" si="124"/>
        <v>0</v>
      </c>
      <c r="LZ19" s="67">
        <f t="shared" si="443"/>
        <v>0</v>
      </c>
      <c r="MA19" s="64">
        <f t="shared" si="444"/>
        <v>0</v>
      </c>
      <c r="MB19" s="62">
        <v>650</v>
      </c>
      <c r="MC19" s="63">
        <v>650</v>
      </c>
      <c r="MD19" s="64">
        <f t="shared" si="445"/>
        <v>0</v>
      </c>
      <c r="ME19" s="65">
        <v>1050.2</v>
      </c>
      <c r="MF19" s="63">
        <v>1050.2</v>
      </c>
      <c r="MG19" s="64">
        <f t="shared" si="446"/>
        <v>0</v>
      </c>
      <c r="MH19" s="65"/>
      <c r="MI19" s="63"/>
      <c r="MJ19" s="64">
        <f t="shared" si="447"/>
        <v>0</v>
      </c>
      <c r="MK19" s="65">
        <v>100</v>
      </c>
      <c r="ML19" s="63">
        <v>254.18</v>
      </c>
      <c r="MM19" s="64">
        <f t="shared" si="448"/>
        <v>-154.18</v>
      </c>
      <c r="MN19" s="66">
        <f t="shared" si="131"/>
        <v>1800.2</v>
      </c>
      <c r="MO19" s="67">
        <f t="shared" si="449"/>
        <v>1954.38</v>
      </c>
      <c r="MP19" s="64">
        <f t="shared" si="450"/>
        <v>-154.18000000000006</v>
      </c>
      <c r="MQ19" s="62"/>
      <c r="MR19" s="63"/>
      <c r="MS19" s="64">
        <f t="shared" si="451"/>
        <v>0</v>
      </c>
      <c r="MT19" s="65"/>
      <c r="MU19" s="63"/>
      <c r="MV19" s="64">
        <f t="shared" si="452"/>
        <v>0</v>
      </c>
      <c r="MW19" s="65"/>
      <c r="MX19" s="63"/>
      <c r="MY19" s="64">
        <f t="shared" si="453"/>
        <v>0</v>
      </c>
      <c r="MZ19" s="65"/>
      <c r="NA19" s="63"/>
      <c r="NB19" s="64">
        <f t="shared" si="454"/>
        <v>0</v>
      </c>
      <c r="NC19" s="66">
        <f t="shared" si="138"/>
        <v>0</v>
      </c>
      <c r="ND19" s="67">
        <f t="shared" si="455"/>
        <v>0</v>
      </c>
      <c r="NE19" s="64">
        <f t="shared" si="456"/>
        <v>0</v>
      </c>
      <c r="NF19" s="62">
        <v>1000</v>
      </c>
      <c r="NG19" s="63">
        <v>1000</v>
      </c>
      <c r="NH19" s="64">
        <f t="shared" si="457"/>
        <v>0</v>
      </c>
      <c r="NI19" s="65">
        <v>886.87</v>
      </c>
      <c r="NJ19" s="63">
        <v>886.87</v>
      </c>
      <c r="NK19" s="64">
        <f t="shared" si="458"/>
        <v>0</v>
      </c>
      <c r="NL19" s="65"/>
      <c r="NM19" s="63"/>
      <c r="NN19" s="64">
        <f t="shared" si="459"/>
        <v>0</v>
      </c>
      <c r="NO19" s="65">
        <v>100</v>
      </c>
      <c r="NP19" s="63">
        <v>179.2</v>
      </c>
      <c r="NQ19" s="64">
        <f t="shared" si="460"/>
        <v>-79.199999999999989</v>
      </c>
      <c r="NR19" s="66">
        <f t="shared" si="145"/>
        <v>1986.87</v>
      </c>
      <c r="NS19" s="67">
        <f t="shared" si="461"/>
        <v>2066.0699999999997</v>
      </c>
      <c r="NT19" s="64">
        <f t="shared" si="462"/>
        <v>-79.199999999999818</v>
      </c>
      <c r="NU19" s="62">
        <v>864</v>
      </c>
      <c r="NV19" s="63">
        <v>864</v>
      </c>
      <c r="NW19" s="64">
        <f t="shared" si="463"/>
        <v>0</v>
      </c>
      <c r="NX19" s="65">
        <v>898.56</v>
      </c>
      <c r="NY19" s="63">
        <v>898.56</v>
      </c>
      <c r="NZ19" s="64">
        <f t="shared" si="464"/>
        <v>0</v>
      </c>
      <c r="OA19" s="65"/>
      <c r="OB19" s="63"/>
      <c r="OC19" s="64">
        <f t="shared" si="465"/>
        <v>0</v>
      </c>
      <c r="OD19" s="65">
        <v>100</v>
      </c>
      <c r="OE19" s="63">
        <v>329.51</v>
      </c>
      <c r="OF19" s="64">
        <f t="shared" si="466"/>
        <v>-229.51</v>
      </c>
      <c r="OG19" s="66">
        <f t="shared" si="152"/>
        <v>1862.56</v>
      </c>
      <c r="OH19" s="67">
        <f t="shared" si="467"/>
        <v>2092.0699999999997</v>
      </c>
      <c r="OI19" s="64">
        <f t="shared" si="468"/>
        <v>-229.50999999999976</v>
      </c>
      <c r="OJ19" s="62"/>
      <c r="OK19" s="63"/>
      <c r="OL19" s="64">
        <f t="shared" si="469"/>
        <v>0</v>
      </c>
      <c r="OM19" s="65"/>
      <c r="ON19" s="63"/>
      <c r="OO19" s="64">
        <f t="shared" si="470"/>
        <v>0</v>
      </c>
      <c r="OP19" s="65"/>
      <c r="OQ19" s="63"/>
      <c r="OR19" s="64">
        <f t="shared" si="471"/>
        <v>0</v>
      </c>
      <c r="OS19" s="65">
        <v>100</v>
      </c>
      <c r="OT19" s="63">
        <v>175.59</v>
      </c>
      <c r="OU19" s="64">
        <f t="shared" si="472"/>
        <v>-75.59</v>
      </c>
      <c r="OV19" s="66">
        <f t="shared" si="159"/>
        <v>100</v>
      </c>
      <c r="OW19" s="67">
        <f t="shared" si="473"/>
        <v>175.59</v>
      </c>
      <c r="OX19" s="64">
        <f t="shared" si="474"/>
        <v>-75.59</v>
      </c>
      <c r="OY19" s="62"/>
      <c r="OZ19" s="63"/>
      <c r="PA19" s="64">
        <f t="shared" si="475"/>
        <v>0</v>
      </c>
      <c r="PB19" s="65"/>
      <c r="PC19" s="63"/>
      <c r="PD19" s="64">
        <f t="shared" si="476"/>
        <v>0</v>
      </c>
      <c r="PE19" s="65"/>
      <c r="PF19" s="63"/>
      <c r="PG19" s="64">
        <f t="shared" si="477"/>
        <v>0</v>
      </c>
      <c r="PH19" s="65">
        <v>100</v>
      </c>
      <c r="PI19" s="63"/>
      <c r="PJ19" s="64">
        <f t="shared" si="478"/>
        <v>100</v>
      </c>
      <c r="PK19" s="66">
        <f t="shared" si="166"/>
        <v>100</v>
      </c>
      <c r="PL19" s="67">
        <f t="shared" si="479"/>
        <v>0</v>
      </c>
      <c r="PM19" s="64">
        <f t="shared" si="480"/>
        <v>100</v>
      </c>
      <c r="PN19" s="62">
        <v>1400</v>
      </c>
      <c r="PO19" s="63">
        <v>1400</v>
      </c>
      <c r="PP19" s="64">
        <f t="shared" si="481"/>
        <v>0</v>
      </c>
      <c r="PQ19" s="65"/>
      <c r="PR19" s="63"/>
      <c r="PS19" s="64">
        <f t="shared" si="482"/>
        <v>0</v>
      </c>
      <c r="PT19" s="65"/>
      <c r="PU19" s="63"/>
      <c r="PV19" s="64">
        <f t="shared" si="483"/>
        <v>0</v>
      </c>
      <c r="PW19" s="65">
        <v>100</v>
      </c>
      <c r="PX19" s="63">
        <v>99.36</v>
      </c>
      <c r="PY19" s="64">
        <f t="shared" si="484"/>
        <v>0.64000000000000057</v>
      </c>
      <c r="PZ19" s="66">
        <f t="shared" si="173"/>
        <v>1500</v>
      </c>
      <c r="QA19" s="67">
        <f t="shared" si="485"/>
        <v>1499.36</v>
      </c>
      <c r="QB19" s="64">
        <f t="shared" si="486"/>
        <v>0.64000000000010004</v>
      </c>
      <c r="QC19" s="62"/>
      <c r="QD19" s="63"/>
      <c r="QE19" s="64">
        <f t="shared" si="487"/>
        <v>0</v>
      </c>
      <c r="QF19" s="65"/>
      <c r="QG19" s="63"/>
      <c r="QH19" s="64">
        <f t="shared" si="488"/>
        <v>0</v>
      </c>
      <c r="QI19" s="65"/>
      <c r="QJ19" s="63"/>
      <c r="QK19" s="64">
        <f t="shared" si="489"/>
        <v>0</v>
      </c>
      <c r="QL19" s="65">
        <v>100</v>
      </c>
      <c r="QM19" s="63"/>
      <c r="QN19" s="64">
        <f t="shared" si="490"/>
        <v>100</v>
      </c>
      <c r="QO19" s="66">
        <f t="shared" si="180"/>
        <v>100</v>
      </c>
      <c r="QP19" s="67">
        <f t="shared" si="491"/>
        <v>0</v>
      </c>
      <c r="QQ19" s="64">
        <f t="shared" si="492"/>
        <v>100</v>
      </c>
      <c r="QR19" s="62"/>
      <c r="QS19" s="63"/>
      <c r="QT19" s="64">
        <f t="shared" si="493"/>
        <v>0</v>
      </c>
      <c r="QU19" s="65"/>
      <c r="QV19" s="63"/>
      <c r="QW19" s="64">
        <f t="shared" si="494"/>
        <v>0</v>
      </c>
      <c r="QX19" s="65"/>
      <c r="QY19" s="63">
        <v>11709.56</v>
      </c>
      <c r="QZ19" s="64">
        <f t="shared" si="495"/>
        <v>-11709.56</v>
      </c>
      <c r="RA19" s="65"/>
      <c r="RB19" s="63"/>
      <c r="RC19" s="64">
        <f t="shared" si="496"/>
        <v>0</v>
      </c>
      <c r="RD19" s="66">
        <f t="shared" si="187"/>
        <v>0</v>
      </c>
      <c r="RE19" s="67">
        <f t="shared" si="497"/>
        <v>11709.56</v>
      </c>
      <c r="RF19" s="64">
        <f t="shared" si="498"/>
        <v>-11709.56</v>
      </c>
      <c r="RG19" s="62"/>
      <c r="RH19" s="63"/>
      <c r="RI19" s="64">
        <f t="shared" si="499"/>
        <v>0</v>
      </c>
      <c r="RJ19" s="65"/>
      <c r="RK19" s="63"/>
      <c r="RL19" s="64">
        <f t="shared" si="500"/>
        <v>0</v>
      </c>
      <c r="RM19" s="65"/>
      <c r="RN19" s="63">
        <v>7342.43</v>
      </c>
      <c r="RO19" s="64">
        <f t="shared" si="501"/>
        <v>-7342.43</v>
      </c>
      <c r="RP19" s="65"/>
      <c r="RQ19" s="63"/>
      <c r="RR19" s="64">
        <f t="shared" si="502"/>
        <v>0</v>
      </c>
      <c r="RS19" s="66">
        <f t="shared" si="194"/>
        <v>0</v>
      </c>
      <c r="RT19" s="67">
        <f t="shared" si="503"/>
        <v>7342.43</v>
      </c>
      <c r="RU19" s="64">
        <f t="shared" si="504"/>
        <v>-7342.43</v>
      </c>
      <c r="RV19" s="62"/>
      <c r="RW19" s="63"/>
      <c r="RX19" s="64">
        <f t="shared" si="505"/>
        <v>0</v>
      </c>
      <c r="RY19" s="65"/>
      <c r="RZ19" s="63"/>
      <c r="SA19" s="64">
        <f t="shared" si="506"/>
        <v>0</v>
      </c>
      <c r="SB19" s="65"/>
      <c r="SC19" s="63">
        <v>1375</v>
      </c>
      <c r="SD19" s="64">
        <f t="shared" si="507"/>
        <v>-1375</v>
      </c>
      <c r="SE19" s="65">
        <v>100</v>
      </c>
      <c r="SF19" s="63">
        <v>235.37</v>
      </c>
      <c r="SG19" s="64">
        <f t="shared" si="508"/>
        <v>-135.37</v>
      </c>
      <c r="SH19" s="66">
        <f t="shared" si="201"/>
        <v>100</v>
      </c>
      <c r="SI19" s="67">
        <f t="shared" si="509"/>
        <v>1610.37</v>
      </c>
      <c r="SJ19" s="64">
        <f t="shared" si="510"/>
        <v>-1510.37</v>
      </c>
      <c r="SK19" s="62"/>
      <c r="SL19" s="63"/>
      <c r="SM19" s="64">
        <f t="shared" si="511"/>
        <v>0</v>
      </c>
      <c r="SN19" s="65"/>
      <c r="SO19" s="63"/>
      <c r="SP19" s="64">
        <f t="shared" si="512"/>
        <v>0</v>
      </c>
      <c r="SQ19" s="65"/>
      <c r="SR19" s="63"/>
      <c r="SS19" s="64">
        <f t="shared" si="513"/>
        <v>0</v>
      </c>
      <c r="ST19" s="65">
        <v>100</v>
      </c>
      <c r="SU19" s="63">
        <v>141.69</v>
      </c>
      <c r="SV19" s="64">
        <f t="shared" si="514"/>
        <v>-41.69</v>
      </c>
      <c r="SW19" s="66">
        <f t="shared" si="208"/>
        <v>100</v>
      </c>
      <c r="SX19" s="67">
        <f t="shared" si="515"/>
        <v>141.69</v>
      </c>
      <c r="SY19" s="64">
        <f t="shared" si="516"/>
        <v>-41.69</v>
      </c>
      <c r="SZ19" s="62">
        <v>1321.16</v>
      </c>
      <c r="TA19" s="63">
        <v>1321.16</v>
      </c>
      <c r="TB19" s="64">
        <f t="shared" si="517"/>
        <v>0</v>
      </c>
      <c r="TC19" s="65"/>
      <c r="TD19" s="63"/>
      <c r="TE19" s="64">
        <f t="shared" si="518"/>
        <v>0</v>
      </c>
      <c r="TF19" s="65"/>
      <c r="TG19" s="63"/>
      <c r="TH19" s="64">
        <f t="shared" si="519"/>
        <v>0</v>
      </c>
      <c r="TI19" s="65">
        <v>100</v>
      </c>
      <c r="TJ19" s="63">
        <v>270.02999999999997</v>
      </c>
      <c r="TK19" s="64">
        <f t="shared" si="520"/>
        <v>-170.02999999999997</v>
      </c>
      <c r="TL19" s="66">
        <f t="shared" si="215"/>
        <v>1421.16</v>
      </c>
      <c r="TM19" s="67">
        <f t="shared" si="521"/>
        <v>1591.19</v>
      </c>
      <c r="TN19" s="64">
        <f t="shared" si="522"/>
        <v>-170.02999999999997</v>
      </c>
      <c r="TO19" s="62"/>
      <c r="TP19" s="63"/>
      <c r="TQ19" s="64">
        <f t="shared" si="523"/>
        <v>0</v>
      </c>
      <c r="TR19" s="65"/>
      <c r="TS19" s="63"/>
      <c r="TT19" s="64">
        <f t="shared" si="524"/>
        <v>0</v>
      </c>
      <c r="TU19" s="65"/>
      <c r="TV19" s="63"/>
      <c r="TW19" s="64">
        <f t="shared" si="525"/>
        <v>0</v>
      </c>
      <c r="TX19" s="65">
        <v>100</v>
      </c>
      <c r="TY19" s="63">
        <v>197.03</v>
      </c>
      <c r="TZ19" s="64">
        <f t="shared" si="526"/>
        <v>-97.03</v>
      </c>
      <c r="UA19" s="66">
        <f t="shared" si="222"/>
        <v>100</v>
      </c>
      <c r="UB19" s="67">
        <f t="shared" si="527"/>
        <v>197.03</v>
      </c>
      <c r="UC19" s="64">
        <f t="shared" si="528"/>
        <v>-97.03</v>
      </c>
      <c r="UD19" s="62">
        <v>1125</v>
      </c>
      <c r="UE19" s="63">
        <v>1125</v>
      </c>
      <c r="UF19" s="64">
        <f t="shared" si="529"/>
        <v>0</v>
      </c>
      <c r="UG19" s="65">
        <v>490.51</v>
      </c>
      <c r="UH19" s="63">
        <v>490.51</v>
      </c>
      <c r="UI19" s="64">
        <f t="shared" si="530"/>
        <v>0</v>
      </c>
      <c r="UJ19" s="65"/>
      <c r="UK19" s="63"/>
      <c r="UL19" s="64">
        <f t="shared" si="531"/>
        <v>0</v>
      </c>
      <c r="UM19" s="65">
        <v>100</v>
      </c>
      <c r="UN19" s="63"/>
      <c r="UO19" s="64">
        <f t="shared" si="532"/>
        <v>100</v>
      </c>
      <c r="UP19" s="66">
        <f t="shared" si="226"/>
        <v>1715.51</v>
      </c>
      <c r="UQ19" s="67">
        <f t="shared" si="533"/>
        <v>1615.51</v>
      </c>
      <c r="UR19" s="64">
        <f t="shared" si="534"/>
        <v>100</v>
      </c>
      <c r="US19" s="62"/>
      <c r="UT19" s="63"/>
      <c r="UU19" s="64">
        <f t="shared" si="535"/>
        <v>0</v>
      </c>
      <c r="UV19" s="65"/>
      <c r="UW19" s="63"/>
      <c r="UX19" s="64">
        <f t="shared" si="536"/>
        <v>0</v>
      </c>
      <c r="UY19" s="65"/>
      <c r="UZ19" s="63"/>
      <c r="VA19" s="64">
        <f t="shared" si="537"/>
        <v>0</v>
      </c>
      <c r="VB19" s="65">
        <v>100</v>
      </c>
      <c r="VC19" s="63">
        <v>92.75</v>
      </c>
      <c r="VD19" s="64">
        <f t="shared" si="538"/>
        <v>7.25</v>
      </c>
      <c r="VE19" s="66">
        <f t="shared" si="233"/>
        <v>100</v>
      </c>
      <c r="VF19" s="67">
        <f t="shared" si="539"/>
        <v>92.75</v>
      </c>
      <c r="VG19" s="64">
        <f t="shared" si="540"/>
        <v>7.25</v>
      </c>
      <c r="VH19" s="62"/>
      <c r="VI19" s="63"/>
      <c r="VJ19" s="64">
        <f t="shared" si="541"/>
        <v>0</v>
      </c>
      <c r="VK19" s="65"/>
      <c r="VL19" s="63"/>
      <c r="VM19" s="64">
        <f t="shared" si="542"/>
        <v>0</v>
      </c>
      <c r="VN19" s="65"/>
      <c r="VO19" s="63"/>
      <c r="VP19" s="64">
        <f t="shared" si="543"/>
        <v>0</v>
      </c>
      <c r="VQ19" s="65">
        <v>100</v>
      </c>
      <c r="VR19" s="63">
        <v>138.97999999999999</v>
      </c>
      <c r="VS19" s="64">
        <f t="shared" si="544"/>
        <v>-38.97999999999999</v>
      </c>
      <c r="VT19" s="66">
        <f t="shared" si="240"/>
        <v>100</v>
      </c>
      <c r="VU19" s="67">
        <f t="shared" si="545"/>
        <v>138.97999999999999</v>
      </c>
      <c r="VV19" s="64">
        <f t="shared" si="546"/>
        <v>-38.97999999999999</v>
      </c>
      <c r="VW19" s="62">
        <v>1303</v>
      </c>
      <c r="VX19" s="63">
        <v>1303</v>
      </c>
      <c r="VY19" s="64">
        <f t="shared" si="547"/>
        <v>0</v>
      </c>
      <c r="VZ19" s="65"/>
      <c r="WA19" s="63"/>
      <c r="WB19" s="64">
        <f t="shared" si="548"/>
        <v>0</v>
      </c>
      <c r="WC19" s="65"/>
      <c r="WD19" s="63"/>
      <c r="WE19" s="64">
        <f t="shared" si="549"/>
        <v>0</v>
      </c>
      <c r="WF19" s="65"/>
      <c r="WG19" s="63"/>
      <c r="WH19" s="64">
        <f t="shared" si="550"/>
        <v>0</v>
      </c>
      <c r="WI19" s="66">
        <f t="shared" si="247"/>
        <v>1303</v>
      </c>
      <c r="WJ19" s="67">
        <f t="shared" si="551"/>
        <v>1303</v>
      </c>
      <c r="WK19" s="64">
        <f t="shared" si="552"/>
        <v>0</v>
      </c>
      <c r="WL19" s="62">
        <v>1376.01</v>
      </c>
      <c r="WM19" s="63">
        <v>1376.01</v>
      </c>
      <c r="WN19" s="64">
        <f t="shared" si="553"/>
        <v>0</v>
      </c>
      <c r="WO19" s="65">
        <v>418.56</v>
      </c>
      <c r="WP19" s="63">
        <v>418.56</v>
      </c>
      <c r="WQ19" s="64">
        <f t="shared" si="554"/>
        <v>0</v>
      </c>
      <c r="WR19" s="65"/>
      <c r="WS19" s="63"/>
      <c r="WT19" s="64">
        <f t="shared" si="555"/>
        <v>0</v>
      </c>
      <c r="WU19" s="65">
        <v>100</v>
      </c>
      <c r="WV19" s="63">
        <v>105.32</v>
      </c>
      <c r="WW19" s="64">
        <f t="shared" si="556"/>
        <v>-5.3199999999999932</v>
      </c>
      <c r="WX19" s="66">
        <f t="shared" si="254"/>
        <v>1894.57</v>
      </c>
      <c r="WY19" s="67">
        <f t="shared" si="557"/>
        <v>1899.8899999999999</v>
      </c>
      <c r="WZ19" s="64">
        <f t="shared" si="558"/>
        <v>-5.3199999999999363</v>
      </c>
      <c r="XA19" s="62"/>
      <c r="XB19" s="63"/>
      <c r="XC19" s="64">
        <f t="shared" si="559"/>
        <v>0</v>
      </c>
      <c r="XD19" s="65"/>
      <c r="XE19" s="63"/>
      <c r="XF19" s="64">
        <f t="shared" si="560"/>
        <v>0</v>
      </c>
      <c r="XG19" s="65"/>
      <c r="XH19" s="63"/>
      <c r="XI19" s="64">
        <f t="shared" si="561"/>
        <v>0</v>
      </c>
      <c r="XJ19" s="65">
        <v>100</v>
      </c>
      <c r="XK19" s="63">
        <v>384.29</v>
      </c>
      <c r="XL19" s="64">
        <f t="shared" si="562"/>
        <v>-284.29000000000002</v>
      </c>
      <c r="XM19" s="66">
        <f t="shared" si="261"/>
        <v>100</v>
      </c>
      <c r="XN19" s="67">
        <f t="shared" si="563"/>
        <v>384.29</v>
      </c>
      <c r="XO19" s="64">
        <f t="shared" si="564"/>
        <v>-284.29000000000002</v>
      </c>
      <c r="XP19" s="62">
        <v>917</v>
      </c>
      <c r="XQ19" s="63">
        <v>917</v>
      </c>
      <c r="XR19" s="64">
        <f t="shared" si="565"/>
        <v>0</v>
      </c>
      <c r="XS19" s="65">
        <v>604.38</v>
      </c>
      <c r="XT19" s="63">
        <v>604.38</v>
      </c>
      <c r="XU19" s="64">
        <f t="shared" si="566"/>
        <v>0</v>
      </c>
      <c r="XV19" s="65"/>
      <c r="XW19" s="63"/>
      <c r="XX19" s="64">
        <f t="shared" si="567"/>
        <v>0</v>
      </c>
      <c r="XY19" s="65">
        <v>100</v>
      </c>
      <c r="XZ19" s="63">
        <v>309.27999999999997</v>
      </c>
      <c r="YA19" s="64">
        <f t="shared" si="568"/>
        <v>-209.27999999999997</v>
      </c>
      <c r="YB19" s="66">
        <f t="shared" si="268"/>
        <v>1621.38</v>
      </c>
      <c r="YC19" s="67">
        <f t="shared" si="569"/>
        <v>1830.66</v>
      </c>
      <c r="YD19" s="64">
        <f t="shared" si="570"/>
        <v>-209.27999999999997</v>
      </c>
      <c r="YE19" s="62">
        <v>890</v>
      </c>
      <c r="YF19" s="63">
        <v>890</v>
      </c>
      <c r="YG19" s="64">
        <f t="shared" si="571"/>
        <v>0</v>
      </c>
      <c r="YH19" s="65">
        <v>581.58000000000004</v>
      </c>
      <c r="YI19" s="63">
        <v>581.58000000000004</v>
      </c>
      <c r="YJ19" s="64">
        <f t="shared" si="572"/>
        <v>0</v>
      </c>
      <c r="YK19" s="65"/>
      <c r="YL19" s="63"/>
      <c r="YM19" s="64">
        <f t="shared" si="573"/>
        <v>0</v>
      </c>
      <c r="YN19" s="65">
        <v>100</v>
      </c>
      <c r="YO19" s="63">
        <v>293.05</v>
      </c>
      <c r="YP19" s="64">
        <f t="shared" si="574"/>
        <v>-193.05</v>
      </c>
      <c r="YQ19" s="66">
        <f t="shared" si="275"/>
        <v>1571.58</v>
      </c>
      <c r="YR19" s="67">
        <f t="shared" si="575"/>
        <v>1764.6299999999999</v>
      </c>
      <c r="YS19" s="64">
        <f t="shared" si="576"/>
        <v>-193.04999999999995</v>
      </c>
      <c r="YT19" s="62">
        <v>932</v>
      </c>
      <c r="YU19" s="63">
        <v>932</v>
      </c>
      <c r="YV19" s="64">
        <f t="shared" si="577"/>
        <v>0</v>
      </c>
      <c r="YW19" s="65">
        <v>626.24</v>
      </c>
      <c r="YX19" s="63">
        <v>626.24</v>
      </c>
      <c r="YY19" s="64">
        <f t="shared" si="578"/>
        <v>0</v>
      </c>
      <c r="YZ19" s="65"/>
      <c r="ZA19" s="63"/>
      <c r="ZB19" s="64">
        <f t="shared" si="579"/>
        <v>0</v>
      </c>
      <c r="ZC19" s="65">
        <v>100</v>
      </c>
      <c r="ZD19" s="63">
        <v>181.96</v>
      </c>
      <c r="ZE19" s="64">
        <f t="shared" si="580"/>
        <v>-81.960000000000008</v>
      </c>
      <c r="ZF19" s="66">
        <f t="shared" si="282"/>
        <v>1658.24</v>
      </c>
      <c r="ZG19" s="67">
        <f t="shared" si="581"/>
        <v>1740.2</v>
      </c>
      <c r="ZH19" s="64">
        <f t="shared" si="582"/>
        <v>-81.960000000000036</v>
      </c>
      <c r="ZI19" s="62">
        <v>1250</v>
      </c>
      <c r="ZJ19" s="63">
        <v>1250</v>
      </c>
      <c r="ZK19" s="64">
        <f t="shared" si="583"/>
        <v>0</v>
      </c>
      <c r="ZL19" s="65"/>
      <c r="ZM19" s="63"/>
      <c r="ZN19" s="64">
        <f t="shared" si="584"/>
        <v>0</v>
      </c>
      <c r="ZO19" s="65"/>
      <c r="ZP19" s="63"/>
      <c r="ZQ19" s="64">
        <f t="shared" si="585"/>
        <v>0</v>
      </c>
      <c r="ZR19" s="65">
        <v>100</v>
      </c>
      <c r="ZS19" s="63"/>
      <c r="ZT19" s="64">
        <f t="shared" si="586"/>
        <v>100</v>
      </c>
      <c r="ZU19" s="66">
        <f t="shared" si="289"/>
        <v>1350</v>
      </c>
      <c r="ZV19" s="67">
        <f t="shared" si="587"/>
        <v>1250</v>
      </c>
      <c r="ZW19" s="64">
        <f t="shared" si="588"/>
        <v>100</v>
      </c>
      <c r="ZX19" s="62">
        <v>24.71</v>
      </c>
      <c r="ZY19" s="63">
        <v>24.71</v>
      </c>
      <c r="ZZ19" s="64">
        <f t="shared" si="589"/>
        <v>0</v>
      </c>
      <c r="AAA19" s="66">
        <f t="shared" si="293"/>
        <v>24.71</v>
      </c>
      <c r="AAB19" s="67">
        <f t="shared" si="293"/>
        <v>24.71</v>
      </c>
      <c r="AAC19" s="64">
        <f t="shared" si="590"/>
        <v>0</v>
      </c>
      <c r="AAD19" s="85">
        <f t="shared" si="295"/>
        <v>76620.520000000019</v>
      </c>
      <c r="AAE19" s="86">
        <f t="shared" si="295"/>
        <v>104399.59000000001</v>
      </c>
      <c r="AAF19" s="87">
        <f t="shared" si="3"/>
        <v>1.3625539215865408</v>
      </c>
      <c r="AAG19" s="88">
        <f t="shared" si="591"/>
        <v>27779.069999999992</v>
      </c>
      <c r="AAH19" s="58"/>
      <c r="AAI19" s="59"/>
      <c r="AAJ19" s="59"/>
      <c r="AAK19" s="60"/>
    </row>
    <row r="20" spans="1:713" s="83" customFormat="1" ht="20" customHeight="1" x14ac:dyDescent="0.2">
      <c r="A20" s="84" t="s">
        <v>157</v>
      </c>
      <c r="B20" s="89">
        <f>AAH20</f>
        <v>1499667.13</v>
      </c>
      <c r="C20" s="90"/>
      <c r="D20" s="90"/>
      <c r="E20" s="60"/>
      <c r="F20" s="61">
        <v>44986</v>
      </c>
      <c r="G20" s="62"/>
      <c r="H20" s="63">
        <v>0</v>
      </c>
      <c r="I20" s="64">
        <f t="shared" si="340"/>
        <v>0</v>
      </c>
      <c r="J20" s="65">
        <v>4200</v>
      </c>
      <c r="K20" s="63">
        <v>4134.46</v>
      </c>
      <c r="L20" s="64">
        <f t="shared" si="341"/>
        <v>65.539999999999964</v>
      </c>
      <c r="M20" s="65">
        <v>1500</v>
      </c>
      <c r="N20" s="63">
        <v>2794.36</v>
      </c>
      <c r="O20" s="64">
        <f t="shared" si="342"/>
        <v>-1294.3600000000001</v>
      </c>
      <c r="P20" s="65">
        <v>600</v>
      </c>
      <c r="Q20" s="63">
        <v>606.30999999999995</v>
      </c>
      <c r="R20" s="64">
        <f t="shared" si="343"/>
        <v>-6.3099999999999454</v>
      </c>
      <c r="S20" s="65">
        <v>165.24</v>
      </c>
      <c r="T20" s="63">
        <v>165.24</v>
      </c>
      <c r="U20" s="64">
        <f t="shared" si="344"/>
        <v>0</v>
      </c>
      <c r="V20" s="66">
        <f t="shared" si="345"/>
        <v>6465.24</v>
      </c>
      <c r="W20" s="67">
        <f t="shared" si="345"/>
        <v>7700.369999999999</v>
      </c>
      <c r="X20" s="64">
        <f t="shared" si="346"/>
        <v>-1235.1299999999992</v>
      </c>
      <c r="Y20" s="62">
        <v>1100</v>
      </c>
      <c r="Z20" s="63">
        <v>1100</v>
      </c>
      <c r="AA20" s="64">
        <f t="shared" si="347"/>
        <v>0</v>
      </c>
      <c r="AB20" s="65"/>
      <c r="AC20" s="63"/>
      <c r="AD20" s="64">
        <f t="shared" si="348"/>
        <v>0</v>
      </c>
      <c r="AE20" s="65"/>
      <c r="AF20" s="63"/>
      <c r="AG20" s="64">
        <f t="shared" si="349"/>
        <v>0</v>
      </c>
      <c r="AH20" s="65"/>
      <c r="AI20" s="63"/>
      <c r="AJ20" s="64">
        <f t="shared" si="350"/>
        <v>0</v>
      </c>
      <c r="AK20" s="66">
        <f t="shared" si="16"/>
        <v>1100</v>
      </c>
      <c r="AL20" s="67">
        <f t="shared" si="17"/>
        <v>1100</v>
      </c>
      <c r="AM20" s="64">
        <f t="shared" si="351"/>
        <v>0</v>
      </c>
      <c r="AN20" s="62"/>
      <c r="AO20" s="63"/>
      <c r="AP20" s="64">
        <f t="shared" si="592"/>
        <v>0</v>
      </c>
      <c r="AQ20" s="65"/>
      <c r="AR20" s="63"/>
      <c r="AS20" s="64">
        <f t="shared" si="593"/>
        <v>0</v>
      </c>
      <c r="AT20" s="65"/>
      <c r="AU20" s="63"/>
      <c r="AV20" s="64">
        <f t="shared" si="594"/>
        <v>0</v>
      </c>
      <c r="AW20" s="65"/>
      <c r="AX20" s="63"/>
      <c r="AY20" s="64">
        <f t="shared" si="352"/>
        <v>0</v>
      </c>
      <c r="AZ20" s="66">
        <f t="shared" si="23"/>
        <v>0</v>
      </c>
      <c r="BA20" s="67">
        <f t="shared" si="353"/>
        <v>0</v>
      </c>
      <c r="BB20" s="64">
        <f t="shared" si="354"/>
        <v>0</v>
      </c>
      <c r="BC20" s="62"/>
      <c r="BD20" s="63"/>
      <c r="BE20" s="64">
        <f t="shared" si="355"/>
        <v>0</v>
      </c>
      <c r="BF20" s="65"/>
      <c r="BG20" s="63"/>
      <c r="BH20" s="64">
        <f t="shared" si="356"/>
        <v>0</v>
      </c>
      <c r="BI20" s="65"/>
      <c r="BJ20" s="63"/>
      <c r="BK20" s="64">
        <f t="shared" si="357"/>
        <v>0</v>
      </c>
      <c r="BL20" s="65">
        <v>100</v>
      </c>
      <c r="BM20" s="63"/>
      <c r="BN20" s="64">
        <f t="shared" si="358"/>
        <v>100</v>
      </c>
      <c r="BO20" s="66">
        <f t="shared" si="30"/>
        <v>100</v>
      </c>
      <c r="BP20" s="67">
        <f t="shared" si="359"/>
        <v>0</v>
      </c>
      <c r="BQ20" s="64">
        <f t="shared" si="360"/>
        <v>100</v>
      </c>
      <c r="BR20" s="62">
        <v>3416.66</v>
      </c>
      <c r="BS20" s="63">
        <v>3416.66</v>
      </c>
      <c r="BT20" s="64">
        <f t="shared" si="361"/>
        <v>0</v>
      </c>
      <c r="BU20" s="65"/>
      <c r="BV20" s="63"/>
      <c r="BW20" s="64">
        <f t="shared" si="362"/>
        <v>0</v>
      </c>
      <c r="BX20" s="65"/>
      <c r="BY20" s="63"/>
      <c r="BZ20" s="64">
        <f t="shared" si="363"/>
        <v>0</v>
      </c>
      <c r="CA20" s="65"/>
      <c r="CB20" s="63"/>
      <c r="CC20" s="64">
        <f t="shared" si="364"/>
        <v>0</v>
      </c>
      <c r="CD20" s="66">
        <f t="shared" si="33"/>
        <v>3416.66</v>
      </c>
      <c r="CE20" s="67">
        <f t="shared" si="365"/>
        <v>3416.66</v>
      </c>
      <c r="CF20" s="64">
        <f t="shared" si="366"/>
        <v>0</v>
      </c>
      <c r="CG20" s="62"/>
      <c r="CH20" s="63"/>
      <c r="CI20" s="64">
        <f t="shared" si="367"/>
        <v>0</v>
      </c>
      <c r="CJ20" s="65"/>
      <c r="CK20" s="63"/>
      <c r="CL20" s="64">
        <f t="shared" si="368"/>
        <v>0</v>
      </c>
      <c r="CM20" s="65"/>
      <c r="CN20" s="63"/>
      <c r="CO20" s="64">
        <f t="shared" si="369"/>
        <v>0</v>
      </c>
      <c r="CP20" s="65"/>
      <c r="CQ20" s="63"/>
      <c r="CR20" s="64">
        <f t="shared" si="370"/>
        <v>0</v>
      </c>
      <c r="CS20" s="66">
        <f t="shared" si="40"/>
        <v>0</v>
      </c>
      <c r="CT20" s="67">
        <f t="shared" si="371"/>
        <v>0</v>
      </c>
      <c r="CU20" s="64">
        <f t="shared" si="372"/>
        <v>0</v>
      </c>
      <c r="CV20" s="68"/>
      <c r="CW20" s="69"/>
      <c r="CX20" s="70"/>
      <c r="CY20" s="71"/>
      <c r="CZ20" s="69"/>
      <c r="DA20" s="70"/>
      <c r="DB20" s="71"/>
      <c r="DC20" s="69"/>
      <c r="DD20" s="70"/>
      <c r="DE20" s="71"/>
      <c r="DF20" s="69"/>
      <c r="DG20" s="70"/>
      <c r="DH20" s="66">
        <f t="shared" si="43"/>
        <v>0</v>
      </c>
      <c r="DI20" s="67">
        <f t="shared" si="373"/>
        <v>0</v>
      </c>
      <c r="DJ20" s="64">
        <f t="shared" si="374"/>
        <v>0</v>
      </c>
      <c r="DK20" s="68"/>
      <c r="DL20" s="69"/>
      <c r="DM20" s="70"/>
      <c r="DN20" s="71"/>
      <c r="DO20" s="69"/>
      <c r="DP20" s="70"/>
      <c r="DQ20" s="71"/>
      <c r="DR20" s="69"/>
      <c r="DS20" s="70"/>
      <c r="DT20" s="71"/>
      <c r="DU20" s="69"/>
      <c r="DV20" s="70"/>
      <c r="DW20" s="66">
        <f t="shared" si="46"/>
        <v>0</v>
      </c>
      <c r="DX20" s="67">
        <f t="shared" si="375"/>
        <v>0</v>
      </c>
      <c r="DY20" s="64">
        <f t="shared" si="376"/>
        <v>0</v>
      </c>
      <c r="DZ20" s="62"/>
      <c r="EA20" s="63"/>
      <c r="EB20" s="64">
        <f t="shared" si="377"/>
        <v>0</v>
      </c>
      <c r="EC20" s="65"/>
      <c r="ED20" s="63"/>
      <c r="EE20" s="64">
        <f t="shared" si="378"/>
        <v>0</v>
      </c>
      <c r="EF20" s="65"/>
      <c r="EG20" s="63"/>
      <c r="EH20" s="64">
        <f t="shared" si="379"/>
        <v>0</v>
      </c>
      <c r="EI20" s="65">
        <v>100</v>
      </c>
      <c r="EJ20" s="63">
        <v>165.71</v>
      </c>
      <c r="EK20" s="64">
        <f t="shared" si="380"/>
        <v>-65.710000000000008</v>
      </c>
      <c r="EL20" s="66">
        <f t="shared" si="53"/>
        <v>100</v>
      </c>
      <c r="EM20" s="67">
        <f t="shared" si="381"/>
        <v>165.71</v>
      </c>
      <c r="EN20" s="64">
        <f t="shared" si="382"/>
        <v>-65.710000000000008</v>
      </c>
      <c r="EO20" s="62">
        <v>7442.79</v>
      </c>
      <c r="EP20" s="63">
        <v>7442.79</v>
      </c>
      <c r="EQ20" s="64">
        <f t="shared" si="383"/>
        <v>0</v>
      </c>
      <c r="ER20" s="65"/>
      <c r="ES20" s="63"/>
      <c r="ET20" s="64">
        <f t="shared" si="384"/>
        <v>0</v>
      </c>
      <c r="EU20" s="65"/>
      <c r="EV20" s="63"/>
      <c r="EW20" s="64">
        <f t="shared" si="385"/>
        <v>0</v>
      </c>
      <c r="EX20" s="65">
        <v>100</v>
      </c>
      <c r="EY20" s="63">
        <v>184.72</v>
      </c>
      <c r="EZ20" s="64">
        <f t="shared" si="386"/>
        <v>-84.72</v>
      </c>
      <c r="FA20" s="66">
        <f t="shared" si="60"/>
        <v>7542.79</v>
      </c>
      <c r="FB20" s="67">
        <f t="shared" si="387"/>
        <v>7627.51</v>
      </c>
      <c r="FC20" s="64">
        <f t="shared" si="388"/>
        <v>-84.720000000000255</v>
      </c>
      <c r="FD20" s="62">
        <v>7442.79</v>
      </c>
      <c r="FE20" s="63">
        <v>7442.79</v>
      </c>
      <c r="FF20" s="64">
        <f t="shared" si="389"/>
        <v>0</v>
      </c>
      <c r="FG20" s="65"/>
      <c r="FH20" s="63"/>
      <c r="FI20" s="64">
        <f t="shared" si="390"/>
        <v>0</v>
      </c>
      <c r="FJ20" s="65"/>
      <c r="FK20" s="63"/>
      <c r="FL20" s="64">
        <f t="shared" si="391"/>
        <v>0</v>
      </c>
      <c r="FM20" s="65">
        <v>100</v>
      </c>
      <c r="FN20" s="63">
        <v>170.55</v>
      </c>
      <c r="FO20" s="64">
        <f t="shared" si="392"/>
        <v>-70.550000000000011</v>
      </c>
      <c r="FP20" s="66">
        <f t="shared" si="67"/>
        <v>7542.79</v>
      </c>
      <c r="FQ20" s="67">
        <f t="shared" si="393"/>
        <v>7613.34</v>
      </c>
      <c r="FR20" s="64">
        <f t="shared" si="394"/>
        <v>-70.550000000000182</v>
      </c>
      <c r="FS20" s="62"/>
      <c r="FT20" s="63"/>
      <c r="FU20" s="64">
        <f t="shared" si="395"/>
        <v>0</v>
      </c>
      <c r="FV20" s="65"/>
      <c r="FW20" s="63"/>
      <c r="FX20" s="64">
        <f t="shared" si="396"/>
        <v>0</v>
      </c>
      <c r="FY20" s="65"/>
      <c r="FZ20" s="63"/>
      <c r="GA20" s="64">
        <f t="shared" si="397"/>
        <v>0</v>
      </c>
      <c r="GB20" s="65"/>
      <c r="GC20" s="63"/>
      <c r="GD20" s="64">
        <f t="shared" si="398"/>
        <v>0</v>
      </c>
      <c r="GE20" s="66">
        <f t="shared" si="74"/>
        <v>0</v>
      </c>
      <c r="GF20" s="67">
        <f t="shared" si="399"/>
        <v>0</v>
      </c>
      <c r="GG20" s="64">
        <f t="shared" si="400"/>
        <v>0</v>
      </c>
      <c r="GH20" s="62"/>
      <c r="GI20" s="63"/>
      <c r="GJ20" s="64">
        <f t="shared" si="401"/>
        <v>0</v>
      </c>
      <c r="GK20" s="65"/>
      <c r="GL20" s="63"/>
      <c r="GM20" s="64">
        <f t="shared" si="402"/>
        <v>0</v>
      </c>
      <c r="GN20" s="65"/>
      <c r="GO20" s="63">
        <v>235.95</v>
      </c>
      <c r="GP20" s="64">
        <f t="shared" si="403"/>
        <v>-235.95</v>
      </c>
      <c r="GQ20" s="65"/>
      <c r="GR20" s="63"/>
      <c r="GS20" s="64">
        <f t="shared" si="404"/>
        <v>0</v>
      </c>
      <c r="GT20" s="66">
        <f t="shared" si="81"/>
        <v>0</v>
      </c>
      <c r="GU20" s="67">
        <f t="shared" si="405"/>
        <v>235.95</v>
      </c>
      <c r="GV20" s="64">
        <f t="shared" si="406"/>
        <v>-235.95</v>
      </c>
      <c r="GW20" s="68"/>
      <c r="GX20" s="69"/>
      <c r="GY20" s="70"/>
      <c r="GZ20" s="71"/>
      <c r="HA20" s="69"/>
      <c r="HB20" s="70"/>
      <c r="HC20" s="71"/>
      <c r="HD20" s="69"/>
      <c r="HE20" s="70"/>
      <c r="HF20" s="71"/>
      <c r="HG20" s="69"/>
      <c r="HH20" s="70"/>
      <c r="HI20" s="66">
        <f t="shared" si="84"/>
        <v>0</v>
      </c>
      <c r="HJ20" s="67">
        <f t="shared" si="407"/>
        <v>0</v>
      </c>
      <c r="HK20" s="64">
        <f t="shared" si="408"/>
        <v>0</v>
      </c>
      <c r="HL20" s="62"/>
      <c r="HM20" s="63"/>
      <c r="HN20" s="64">
        <f t="shared" si="409"/>
        <v>0</v>
      </c>
      <c r="HO20" s="65"/>
      <c r="HP20" s="63"/>
      <c r="HQ20" s="64">
        <f t="shared" si="410"/>
        <v>0</v>
      </c>
      <c r="HR20" s="65"/>
      <c r="HS20" s="63"/>
      <c r="HT20" s="64">
        <f t="shared" si="411"/>
        <v>0</v>
      </c>
      <c r="HU20" s="65">
        <v>100</v>
      </c>
      <c r="HV20" s="63"/>
      <c r="HW20" s="64">
        <f t="shared" si="412"/>
        <v>100</v>
      </c>
      <c r="HX20" s="66">
        <f t="shared" si="91"/>
        <v>100</v>
      </c>
      <c r="HY20" s="67">
        <f t="shared" si="413"/>
        <v>0</v>
      </c>
      <c r="HZ20" s="64">
        <f t="shared" si="414"/>
        <v>100</v>
      </c>
      <c r="IA20" s="62"/>
      <c r="IB20" s="63"/>
      <c r="IC20" s="64">
        <f t="shared" si="415"/>
        <v>0</v>
      </c>
      <c r="ID20" s="65"/>
      <c r="IE20" s="63"/>
      <c r="IF20" s="64">
        <f t="shared" si="416"/>
        <v>0</v>
      </c>
      <c r="IG20" s="65">
        <v>1021.08</v>
      </c>
      <c r="IH20" s="63"/>
      <c r="II20" s="64">
        <f t="shared" si="417"/>
        <v>1021.08</v>
      </c>
      <c r="IJ20" s="65">
        <v>100</v>
      </c>
      <c r="IK20" s="63"/>
      <c r="IL20" s="64">
        <f t="shared" si="418"/>
        <v>100</v>
      </c>
      <c r="IM20" s="66">
        <f t="shared" si="98"/>
        <v>1121.08</v>
      </c>
      <c r="IN20" s="67">
        <f t="shared" si="419"/>
        <v>0</v>
      </c>
      <c r="IO20" s="64">
        <f t="shared" si="420"/>
        <v>1121.08</v>
      </c>
      <c r="IP20" s="62"/>
      <c r="IQ20" s="63"/>
      <c r="IR20" s="64">
        <f t="shared" si="421"/>
        <v>0</v>
      </c>
      <c r="IS20" s="65"/>
      <c r="IT20" s="63"/>
      <c r="IU20" s="64">
        <f t="shared" si="422"/>
        <v>0</v>
      </c>
      <c r="IV20" s="65"/>
      <c r="IW20" s="63"/>
      <c r="IX20" s="64">
        <f t="shared" si="423"/>
        <v>0</v>
      </c>
      <c r="IY20" s="65"/>
      <c r="IZ20" s="63"/>
      <c r="JA20" s="64">
        <f t="shared" si="424"/>
        <v>0</v>
      </c>
      <c r="JB20" s="66">
        <f t="shared" si="105"/>
        <v>0</v>
      </c>
      <c r="JC20" s="67">
        <f t="shared" si="425"/>
        <v>0</v>
      </c>
      <c r="JD20" s="64">
        <f t="shared" si="426"/>
        <v>0</v>
      </c>
      <c r="JE20" s="62"/>
      <c r="JF20" s="63"/>
      <c r="JG20" s="64">
        <f t="shared" si="427"/>
        <v>0</v>
      </c>
      <c r="JH20" s="65">
        <v>442.35</v>
      </c>
      <c r="JI20" s="65">
        <v>442.35</v>
      </c>
      <c r="JJ20" s="64">
        <f t="shared" si="428"/>
        <v>0</v>
      </c>
      <c r="JK20" s="65"/>
      <c r="JL20" s="63">
        <v>1109.53</v>
      </c>
      <c r="JM20" s="64">
        <f t="shared" si="429"/>
        <v>-1109.53</v>
      </c>
      <c r="JN20" s="65">
        <v>100</v>
      </c>
      <c r="JO20" s="63">
        <v>214.45</v>
      </c>
      <c r="JP20" s="64">
        <f t="shared" si="430"/>
        <v>-114.44999999999999</v>
      </c>
      <c r="JQ20" s="66">
        <f t="shared" si="112"/>
        <v>542.35</v>
      </c>
      <c r="JR20" s="67">
        <f t="shared" si="431"/>
        <v>1766.3300000000002</v>
      </c>
      <c r="JS20" s="64">
        <f t="shared" si="432"/>
        <v>-1223.98</v>
      </c>
      <c r="JT20" s="62">
        <v>5553.7</v>
      </c>
      <c r="JU20" s="63">
        <v>5553.7</v>
      </c>
      <c r="JV20" s="64">
        <f t="shared" si="433"/>
        <v>0</v>
      </c>
      <c r="JW20" s="65"/>
      <c r="JX20" s="63"/>
      <c r="JY20" s="64">
        <f t="shared" si="434"/>
        <v>0</v>
      </c>
      <c r="JZ20" s="65"/>
      <c r="KA20" s="63"/>
      <c r="KB20" s="64">
        <f t="shared" si="435"/>
        <v>0</v>
      </c>
      <c r="KC20" s="65">
        <v>100</v>
      </c>
      <c r="KD20" s="63">
        <v>183.17</v>
      </c>
      <c r="KE20" s="64">
        <f t="shared" si="436"/>
        <v>-83.169999999999987</v>
      </c>
      <c r="KF20" s="66">
        <f t="shared" si="119"/>
        <v>5653.7</v>
      </c>
      <c r="KG20" s="67">
        <f t="shared" si="437"/>
        <v>5736.87</v>
      </c>
      <c r="KH20" s="64">
        <f t="shared" si="438"/>
        <v>-83.170000000000073</v>
      </c>
      <c r="KI20" s="68"/>
      <c r="KJ20" s="69"/>
      <c r="KK20" s="70"/>
      <c r="KL20" s="71"/>
      <c r="KM20" s="69"/>
      <c r="KN20" s="70"/>
      <c r="KO20" s="71"/>
      <c r="KP20" s="69"/>
      <c r="KQ20" s="70"/>
      <c r="KR20" s="71"/>
      <c r="KS20" s="69"/>
      <c r="KT20" s="64">
        <f t="shared" si="439"/>
        <v>0</v>
      </c>
      <c r="KU20" s="66">
        <f t="shared" si="1"/>
        <v>0</v>
      </c>
      <c r="KV20" s="67">
        <f t="shared" si="440"/>
        <v>0</v>
      </c>
      <c r="KW20" s="64">
        <f t="shared" si="441"/>
        <v>0</v>
      </c>
      <c r="KX20" s="72"/>
      <c r="KY20" s="73"/>
      <c r="KZ20" s="74"/>
      <c r="LA20" s="75"/>
      <c r="LB20" s="73"/>
      <c r="LC20" s="74"/>
      <c r="LD20" s="75"/>
      <c r="LE20" s="73"/>
      <c r="LF20" s="74"/>
      <c r="LG20" s="75"/>
      <c r="LH20" s="73"/>
      <c r="LI20" s="74"/>
      <c r="LJ20" s="76"/>
      <c r="LK20" s="77"/>
      <c r="LL20" s="74"/>
      <c r="LM20" s="68"/>
      <c r="LN20" s="69"/>
      <c r="LO20" s="70"/>
      <c r="LP20" s="71"/>
      <c r="LQ20" s="69"/>
      <c r="LR20" s="70"/>
      <c r="LS20" s="71"/>
      <c r="LT20" s="69"/>
      <c r="LU20" s="70"/>
      <c r="LV20" s="71"/>
      <c r="LW20" s="69"/>
      <c r="LX20" s="64">
        <f t="shared" si="442"/>
        <v>0</v>
      </c>
      <c r="LY20" s="66">
        <f t="shared" si="124"/>
        <v>0</v>
      </c>
      <c r="LZ20" s="67">
        <f t="shared" si="443"/>
        <v>0</v>
      </c>
      <c r="MA20" s="64">
        <f t="shared" si="444"/>
        <v>0</v>
      </c>
      <c r="MB20" s="62">
        <v>650</v>
      </c>
      <c r="MC20" s="63">
        <v>650</v>
      </c>
      <c r="MD20" s="64">
        <f t="shared" si="445"/>
        <v>0</v>
      </c>
      <c r="ME20" s="65">
        <v>1050.2</v>
      </c>
      <c r="MF20" s="63">
        <v>1050.2</v>
      </c>
      <c r="MG20" s="64">
        <f t="shared" si="446"/>
        <v>0</v>
      </c>
      <c r="MH20" s="65"/>
      <c r="MI20" s="63"/>
      <c r="MJ20" s="64">
        <f t="shared" si="447"/>
        <v>0</v>
      </c>
      <c r="MK20" s="65">
        <v>100</v>
      </c>
      <c r="ML20" s="63"/>
      <c r="MM20" s="64">
        <f t="shared" si="448"/>
        <v>100</v>
      </c>
      <c r="MN20" s="66">
        <f t="shared" si="131"/>
        <v>1800.2</v>
      </c>
      <c r="MO20" s="67">
        <f t="shared" si="449"/>
        <v>1700.2</v>
      </c>
      <c r="MP20" s="64">
        <f t="shared" si="450"/>
        <v>100</v>
      </c>
      <c r="MQ20" s="62"/>
      <c r="MR20" s="63"/>
      <c r="MS20" s="64">
        <f t="shared" si="451"/>
        <v>0</v>
      </c>
      <c r="MT20" s="65"/>
      <c r="MU20" s="63"/>
      <c r="MV20" s="64">
        <f t="shared" si="452"/>
        <v>0</v>
      </c>
      <c r="MW20" s="65"/>
      <c r="MX20" s="63"/>
      <c r="MY20" s="64">
        <f t="shared" si="453"/>
        <v>0</v>
      </c>
      <c r="MZ20" s="65"/>
      <c r="NA20" s="63"/>
      <c r="NB20" s="64">
        <f t="shared" si="454"/>
        <v>0</v>
      </c>
      <c r="NC20" s="66">
        <f t="shared" si="138"/>
        <v>0</v>
      </c>
      <c r="ND20" s="67">
        <f t="shared" si="455"/>
        <v>0</v>
      </c>
      <c r="NE20" s="64">
        <f t="shared" si="456"/>
        <v>0</v>
      </c>
      <c r="NF20" s="62">
        <v>1000</v>
      </c>
      <c r="NG20" s="63">
        <v>1000</v>
      </c>
      <c r="NH20" s="64">
        <f t="shared" si="457"/>
        <v>0</v>
      </c>
      <c r="NI20" s="65">
        <v>886.87</v>
      </c>
      <c r="NJ20" s="63">
        <v>886.87</v>
      </c>
      <c r="NK20" s="64">
        <f t="shared" si="458"/>
        <v>0</v>
      </c>
      <c r="NL20" s="65"/>
      <c r="NM20" s="63"/>
      <c r="NN20" s="64">
        <f t="shared" si="459"/>
        <v>0</v>
      </c>
      <c r="NO20" s="65">
        <v>100</v>
      </c>
      <c r="NP20" s="63"/>
      <c r="NQ20" s="64">
        <f t="shared" si="460"/>
        <v>100</v>
      </c>
      <c r="NR20" s="66">
        <f t="shared" si="145"/>
        <v>1986.87</v>
      </c>
      <c r="NS20" s="67">
        <f t="shared" si="461"/>
        <v>1886.87</v>
      </c>
      <c r="NT20" s="64">
        <f t="shared" si="462"/>
        <v>100</v>
      </c>
      <c r="NU20" s="62">
        <v>864</v>
      </c>
      <c r="NV20" s="63">
        <v>864</v>
      </c>
      <c r="NW20" s="64">
        <f t="shared" si="463"/>
        <v>0</v>
      </c>
      <c r="NX20" s="65">
        <v>898.56</v>
      </c>
      <c r="NY20" s="63">
        <v>898.56</v>
      </c>
      <c r="NZ20" s="64">
        <f t="shared" si="464"/>
        <v>0</v>
      </c>
      <c r="OA20" s="65">
        <v>884.31</v>
      </c>
      <c r="OB20" s="63">
        <v>1142.82</v>
      </c>
      <c r="OC20" s="64">
        <f t="shared" si="465"/>
        <v>-258.51</v>
      </c>
      <c r="OD20" s="65">
        <v>100</v>
      </c>
      <c r="OE20" s="63">
        <v>115.61</v>
      </c>
      <c r="OF20" s="64">
        <f t="shared" si="466"/>
        <v>-15.61</v>
      </c>
      <c r="OG20" s="66">
        <f t="shared" si="152"/>
        <v>2746.87</v>
      </c>
      <c r="OH20" s="67">
        <f t="shared" si="467"/>
        <v>3020.9900000000002</v>
      </c>
      <c r="OI20" s="64">
        <f t="shared" si="468"/>
        <v>-274.12000000000035</v>
      </c>
      <c r="OJ20" s="62"/>
      <c r="OK20" s="63"/>
      <c r="OL20" s="64">
        <f t="shared" si="469"/>
        <v>0</v>
      </c>
      <c r="OM20" s="65"/>
      <c r="ON20" s="63"/>
      <c r="OO20" s="64">
        <f t="shared" si="470"/>
        <v>0</v>
      </c>
      <c r="OP20" s="65"/>
      <c r="OQ20" s="63"/>
      <c r="OR20" s="64">
        <f t="shared" si="471"/>
        <v>0</v>
      </c>
      <c r="OS20" s="65">
        <v>100</v>
      </c>
      <c r="OT20" s="63"/>
      <c r="OU20" s="64">
        <f t="shared" si="472"/>
        <v>100</v>
      </c>
      <c r="OV20" s="66">
        <f t="shared" si="159"/>
        <v>100</v>
      </c>
      <c r="OW20" s="67">
        <f t="shared" si="473"/>
        <v>0</v>
      </c>
      <c r="OX20" s="64">
        <f t="shared" si="474"/>
        <v>100</v>
      </c>
      <c r="OY20" s="62"/>
      <c r="OZ20" s="63"/>
      <c r="PA20" s="64">
        <f t="shared" si="475"/>
        <v>0</v>
      </c>
      <c r="PB20" s="65"/>
      <c r="PC20" s="63"/>
      <c r="PD20" s="64">
        <f t="shared" si="476"/>
        <v>0</v>
      </c>
      <c r="PE20" s="65"/>
      <c r="PF20" s="63"/>
      <c r="PG20" s="64">
        <f t="shared" si="477"/>
        <v>0</v>
      </c>
      <c r="PH20" s="65">
        <v>100</v>
      </c>
      <c r="PI20" s="63">
        <v>329.37</v>
      </c>
      <c r="PJ20" s="64">
        <f t="shared" si="478"/>
        <v>-229.37</v>
      </c>
      <c r="PK20" s="66">
        <f t="shared" si="166"/>
        <v>100</v>
      </c>
      <c r="PL20" s="67">
        <f t="shared" si="479"/>
        <v>329.37</v>
      </c>
      <c r="PM20" s="64">
        <f t="shared" si="480"/>
        <v>-229.37</v>
      </c>
      <c r="PN20" s="62">
        <v>1400</v>
      </c>
      <c r="PO20" s="63">
        <v>1400</v>
      </c>
      <c r="PP20" s="64">
        <f t="shared" si="481"/>
        <v>0</v>
      </c>
      <c r="PQ20" s="65"/>
      <c r="PR20" s="63"/>
      <c r="PS20" s="64">
        <f t="shared" si="482"/>
        <v>0</v>
      </c>
      <c r="PT20" s="65"/>
      <c r="PU20" s="63"/>
      <c r="PV20" s="64">
        <f t="shared" si="483"/>
        <v>0</v>
      </c>
      <c r="PW20" s="65">
        <v>100</v>
      </c>
      <c r="PX20" s="63">
        <v>154.13</v>
      </c>
      <c r="PY20" s="64">
        <f t="shared" si="484"/>
        <v>-54.129999999999995</v>
      </c>
      <c r="PZ20" s="66">
        <f t="shared" si="173"/>
        <v>1500</v>
      </c>
      <c r="QA20" s="67">
        <f t="shared" si="485"/>
        <v>1554.13</v>
      </c>
      <c r="QB20" s="64">
        <f t="shared" si="486"/>
        <v>-54.130000000000109</v>
      </c>
      <c r="QC20" s="62"/>
      <c r="QD20" s="63"/>
      <c r="QE20" s="64">
        <f t="shared" si="487"/>
        <v>0</v>
      </c>
      <c r="QF20" s="65"/>
      <c r="QG20" s="63"/>
      <c r="QH20" s="64">
        <f t="shared" si="488"/>
        <v>0</v>
      </c>
      <c r="QI20" s="65"/>
      <c r="QJ20" s="63"/>
      <c r="QK20" s="64">
        <f t="shared" si="489"/>
        <v>0</v>
      </c>
      <c r="QL20" s="65">
        <v>100</v>
      </c>
      <c r="QM20" s="63">
        <v>333.94</v>
      </c>
      <c r="QN20" s="64">
        <f t="shared" si="490"/>
        <v>-233.94</v>
      </c>
      <c r="QO20" s="66">
        <f t="shared" si="180"/>
        <v>100</v>
      </c>
      <c r="QP20" s="67">
        <f t="shared" si="491"/>
        <v>333.94</v>
      </c>
      <c r="QQ20" s="64">
        <f t="shared" si="492"/>
        <v>-233.94</v>
      </c>
      <c r="QR20" s="62"/>
      <c r="QS20" s="63"/>
      <c r="QT20" s="64">
        <f t="shared" si="493"/>
        <v>0</v>
      </c>
      <c r="QU20" s="65"/>
      <c r="QV20" s="63"/>
      <c r="QW20" s="64">
        <f t="shared" si="494"/>
        <v>0</v>
      </c>
      <c r="QX20" s="65"/>
      <c r="QY20" s="63">
        <v>807.58</v>
      </c>
      <c r="QZ20" s="64">
        <f t="shared" si="495"/>
        <v>-807.58</v>
      </c>
      <c r="RA20" s="65"/>
      <c r="RB20" s="63"/>
      <c r="RC20" s="64">
        <f t="shared" si="496"/>
        <v>0</v>
      </c>
      <c r="RD20" s="66">
        <f t="shared" si="187"/>
        <v>0</v>
      </c>
      <c r="RE20" s="67">
        <f t="shared" si="497"/>
        <v>807.58</v>
      </c>
      <c r="RF20" s="64">
        <f t="shared" si="498"/>
        <v>-807.58</v>
      </c>
      <c r="RG20" s="62"/>
      <c r="RH20" s="63"/>
      <c r="RI20" s="64">
        <f t="shared" si="499"/>
        <v>0</v>
      </c>
      <c r="RJ20" s="65"/>
      <c r="RK20" s="63"/>
      <c r="RL20" s="64">
        <f t="shared" si="500"/>
        <v>0</v>
      </c>
      <c r="RM20" s="65"/>
      <c r="RN20" s="63"/>
      <c r="RO20" s="64">
        <f t="shared" si="501"/>
        <v>0</v>
      </c>
      <c r="RP20" s="65"/>
      <c r="RQ20" s="63"/>
      <c r="RR20" s="64">
        <f t="shared" si="502"/>
        <v>0</v>
      </c>
      <c r="RS20" s="66">
        <f t="shared" si="194"/>
        <v>0</v>
      </c>
      <c r="RT20" s="67">
        <f t="shared" si="503"/>
        <v>0</v>
      </c>
      <c r="RU20" s="64">
        <f t="shared" si="504"/>
        <v>0</v>
      </c>
      <c r="RV20" s="62"/>
      <c r="RW20" s="63"/>
      <c r="RX20" s="64">
        <f t="shared" si="505"/>
        <v>0</v>
      </c>
      <c r="RY20" s="65"/>
      <c r="RZ20" s="63"/>
      <c r="SA20" s="64">
        <f t="shared" si="506"/>
        <v>0</v>
      </c>
      <c r="SB20" s="65"/>
      <c r="SC20" s="63"/>
      <c r="SD20" s="64">
        <f t="shared" si="507"/>
        <v>0</v>
      </c>
      <c r="SE20" s="65">
        <v>100</v>
      </c>
      <c r="SF20" s="63">
        <v>75.92</v>
      </c>
      <c r="SG20" s="64">
        <f t="shared" si="508"/>
        <v>24.08</v>
      </c>
      <c r="SH20" s="66">
        <f t="shared" si="201"/>
        <v>100</v>
      </c>
      <c r="SI20" s="67">
        <f t="shared" si="509"/>
        <v>75.92</v>
      </c>
      <c r="SJ20" s="64">
        <f t="shared" si="510"/>
        <v>24.08</v>
      </c>
      <c r="SK20" s="62"/>
      <c r="SL20" s="63"/>
      <c r="SM20" s="64">
        <f t="shared" si="511"/>
        <v>0</v>
      </c>
      <c r="SN20" s="65"/>
      <c r="SO20" s="63"/>
      <c r="SP20" s="64">
        <f t="shared" si="512"/>
        <v>0</v>
      </c>
      <c r="SQ20" s="65"/>
      <c r="SR20" s="63"/>
      <c r="SS20" s="64">
        <f t="shared" si="513"/>
        <v>0</v>
      </c>
      <c r="ST20" s="65">
        <v>100</v>
      </c>
      <c r="SU20" s="63"/>
      <c r="SV20" s="64">
        <f t="shared" si="514"/>
        <v>100</v>
      </c>
      <c r="SW20" s="66">
        <f t="shared" si="208"/>
        <v>100</v>
      </c>
      <c r="SX20" s="67">
        <f t="shared" si="515"/>
        <v>0</v>
      </c>
      <c r="SY20" s="64">
        <f t="shared" si="516"/>
        <v>100</v>
      </c>
      <c r="SZ20" s="62">
        <v>1321.16</v>
      </c>
      <c r="TA20" s="63">
        <v>1321.16</v>
      </c>
      <c r="TB20" s="64">
        <f t="shared" si="517"/>
        <v>0</v>
      </c>
      <c r="TC20" s="65"/>
      <c r="TD20" s="63"/>
      <c r="TE20" s="64">
        <f t="shared" si="518"/>
        <v>0</v>
      </c>
      <c r="TF20" s="65"/>
      <c r="TG20" s="63">
        <v>2616.84</v>
      </c>
      <c r="TH20" s="64">
        <f t="shared" si="519"/>
        <v>-2616.84</v>
      </c>
      <c r="TI20" s="65">
        <v>100</v>
      </c>
      <c r="TJ20" s="63">
        <v>323.05</v>
      </c>
      <c r="TK20" s="64">
        <f t="shared" si="520"/>
        <v>-223.05</v>
      </c>
      <c r="TL20" s="66">
        <f t="shared" si="215"/>
        <v>1421.16</v>
      </c>
      <c r="TM20" s="67">
        <f t="shared" si="521"/>
        <v>4261.05</v>
      </c>
      <c r="TN20" s="64">
        <f t="shared" si="522"/>
        <v>-2839.8900000000003</v>
      </c>
      <c r="TO20" s="62"/>
      <c r="TP20" s="63"/>
      <c r="TQ20" s="64">
        <f t="shared" si="523"/>
        <v>0</v>
      </c>
      <c r="TR20" s="65"/>
      <c r="TS20" s="63"/>
      <c r="TT20" s="64">
        <f t="shared" si="524"/>
        <v>0</v>
      </c>
      <c r="TU20" s="65"/>
      <c r="TV20" s="63"/>
      <c r="TW20" s="64">
        <f t="shared" si="525"/>
        <v>0</v>
      </c>
      <c r="TX20" s="65">
        <v>100</v>
      </c>
      <c r="TY20" s="63">
        <v>91.77</v>
      </c>
      <c r="TZ20" s="64">
        <f t="shared" si="526"/>
        <v>8.230000000000004</v>
      </c>
      <c r="UA20" s="66">
        <f t="shared" si="222"/>
        <v>100</v>
      </c>
      <c r="UB20" s="67">
        <f t="shared" si="527"/>
        <v>91.77</v>
      </c>
      <c r="UC20" s="64">
        <f t="shared" si="528"/>
        <v>8.230000000000004</v>
      </c>
      <c r="UD20" s="62">
        <v>1125</v>
      </c>
      <c r="UE20" s="63">
        <v>1125</v>
      </c>
      <c r="UF20" s="64">
        <f t="shared" si="529"/>
        <v>0</v>
      </c>
      <c r="UG20" s="65">
        <v>490.51</v>
      </c>
      <c r="UH20" s="63">
        <v>490.51</v>
      </c>
      <c r="UI20" s="64">
        <f t="shared" si="530"/>
        <v>0</v>
      </c>
      <c r="UJ20" s="65"/>
      <c r="UK20" s="63"/>
      <c r="UL20" s="64">
        <f t="shared" si="531"/>
        <v>0</v>
      </c>
      <c r="UM20" s="65">
        <v>100</v>
      </c>
      <c r="UN20" s="63">
        <v>44.94</v>
      </c>
      <c r="UO20" s="64">
        <f t="shared" si="532"/>
        <v>55.06</v>
      </c>
      <c r="UP20" s="66">
        <f t="shared" si="226"/>
        <v>1715.51</v>
      </c>
      <c r="UQ20" s="67">
        <f t="shared" si="533"/>
        <v>1660.45</v>
      </c>
      <c r="UR20" s="64">
        <f t="shared" si="534"/>
        <v>55.059999999999945</v>
      </c>
      <c r="US20" s="62">
        <v>15000</v>
      </c>
      <c r="UT20" s="63">
        <v>15000</v>
      </c>
      <c r="UU20" s="64">
        <f t="shared" si="535"/>
        <v>0</v>
      </c>
      <c r="UV20" s="65"/>
      <c r="UW20" s="63"/>
      <c r="UX20" s="64">
        <f t="shared" si="536"/>
        <v>0</v>
      </c>
      <c r="UY20" s="65"/>
      <c r="UZ20" s="63"/>
      <c r="VA20" s="64">
        <f t="shared" si="537"/>
        <v>0</v>
      </c>
      <c r="VB20" s="65">
        <v>100</v>
      </c>
      <c r="VC20" s="63"/>
      <c r="VD20" s="64">
        <f t="shared" si="538"/>
        <v>100</v>
      </c>
      <c r="VE20" s="66">
        <f t="shared" si="233"/>
        <v>15100</v>
      </c>
      <c r="VF20" s="67">
        <f t="shared" si="539"/>
        <v>15000</v>
      </c>
      <c r="VG20" s="64">
        <f t="shared" si="540"/>
        <v>100</v>
      </c>
      <c r="VH20" s="62"/>
      <c r="VI20" s="63"/>
      <c r="VJ20" s="64">
        <f t="shared" si="541"/>
        <v>0</v>
      </c>
      <c r="VK20" s="65"/>
      <c r="VL20" s="63"/>
      <c r="VM20" s="64">
        <f t="shared" si="542"/>
        <v>0</v>
      </c>
      <c r="VN20" s="65"/>
      <c r="VO20" s="63"/>
      <c r="VP20" s="64">
        <f t="shared" si="543"/>
        <v>0</v>
      </c>
      <c r="VQ20" s="65">
        <v>100</v>
      </c>
      <c r="VR20" s="63">
        <v>82.43</v>
      </c>
      <c r="VS20" s="64">
        <f t="shared" si="544"/>
        <v>17.569999999999993</v>
      </c>
      <c r="VT20" s="66">
        <f t="shared" si="240"/>
        <v>100</v>
      </c>
      <c r="VU20" s="67">
        <f t="shared" si="545"/>
        <v>82.43</v>
      </c>
      <c r="VV20" s="64">
        <f t="shared" si="546"/>
        <v>17.569999999999993</v>
      </c>
      <c r="VW20" s="62">
        <v>1303</v>
      </c>
      <c r="VX20" s="63">
        <v>1303</v>
      </c>
      <c r="VY20" s="64">
        <f t="shared" si="547"/>
        <v>0</v>
      </c>
      <c r="VZ20" s="65"/>
      <c r="WA20" s="63"/>
      <c r="WB20" s="64">
        <f t="shared" si="548"/>
        <v>0</v>
      </c>
      <c r="WC20" s="65"/>
      <c r="WD20" s="63"/>
      <c r="WE20" s="64">
        <f t="shared" si="549"/>
        <v>0</v>
      </c>
      <c r="WF20" s="65"/>
      <c r="WG20" s="63"/>
      <c r="WH20" s="64">
        <f t="shared" si="550"/>
        <v>0</v>
      </c>
      <c r="WI20" s="66">
        <f t="shared" si="247"/>
        <v>1303</v>
      </c>
      <c r="WJ20" s="67">
        <f t="shared" si="551"/>
        <v>1303</v>
      </c>
      <c r="WK20" s="64">
        <f t="shared" si="552"/>
        <v>0</v>
      </c>
      <c r="WL20" s="62">
        <v>1376.01</v>
      </c>
      <c r="WM20" s="63">
        <v>1376.01</v>
      </c>
      <c r="WN20" s="64">
        <f t="shared" si="553"/>
        <v>0</v>
      </c>
      <c r="WO20" s="65"/>
      <c r="WP20" s="63"/>
      <c r="WQ20" s="64">
        <f t="shared" si="554"/>
        <v>0</v>
      </c>
      <c r="WR20" s="65"/>
      <c r="WS20" s="63"/>
      <c r="WT20" s="64">
        <f t="shared" si="555"/>
        <v>0</v>
      </c>
      <c r="WU20" s="65">
        <v>100</v>
      </c>
      <c r="WV20" s="63"/>
      <c r="WW20" s="64">
        <f t="shared" si="556"/>
        <v>100</v>
      </c>
      <c r="WX20" s="66">
        <f t="shared" si="254"/>
        <v>1476.01</v>
      </c>
      <c r="WY20" s="67">
        <f t="shared" si="557"/>
        <v>1376.01</v>
      </c>
      <c r="WZ20" s="64">
        <f t="shared" si="558"/>
        <v>100</v>
      </c>
      <c r="XA20" s="62"/>
      <c r="XB20" s="63"/>
      <c r="XC20" s="64">
        <f t="shared" si="559"/>
        <v>0</v>
      </c>
      <c r="XD20" s="65"/>
      <c r="XE20" s="63"/>
      <c r="XF20" s="64">
        <f t="shared" si="560"/>
        <v>0</v>
      </c>
      <c r="XG20" s="65">
        <v>2170.4299999999998</v>
      </c>
      <c r="XH20" s="63">
        <v>2548.11</v>
      </c>
      <c r="XI20" s="64">
        <f t="shared" si="561"/>
        <v>-377.68000000000029</v>
      </c>
      <c r="XJ20" s="65">
        <v>100</v>
      </c>
      <c r="XK20" s="63">
        <v>94.08</v>
      </c>
      <c r="XL20" s="64">
        <f t="shared" si="562"/>
        <v>5.9200000000000017</v>
      </c>
      <c r="XM20" s="66">
        <f t="shared" si="261"/>
        <v>2270.4299999999998</v>
      </c>
      <c r="XN20" s="67">
        <f t="shared" si="563"/>
        <v>2642.19</v>
      </c>
      <c r="XO20" s="64">
        <f t="shared" si="564"/>
        <v>-371.76000000000022</v>
      </c>
      <c r="XP20" s="62">
        <v>917</v>
      </c>
      <c r="XQ20" s="63">
        <v>917</v>
      </c>
      <c r="XR20" s="64">
        <f t="shared" si="565"/>
        <v>0</v>
      </c>
      <c r="XS20" s="65">
        <v>604.38</v>
      </c>
      <c r="XT20" s="63">
        <v>604.38</v>
      </c>
      <c r="XU20" s="64">
        <f t="shared" si="566"/>
        <v>0</v>
      </c>
      <c r="XV20" s="65"/>
      <c r="XW20" s="63">
        <v>289.61</v>
      </c>
      <c r="XX20" s="64">
        <f t="shared" si="567"/>
        <v>-289.61</v>
      </c>
      <c r="XY20" s="65">
        <v>100</v>
      </c>
      <c r="XZ20" s="63">
        <v>95.36</v>
      </c>
      <c r="YA20" s="64">
        <f t="shared" si="568"/>
        <v>4.6400000000000006</v>
      </c>
      <c r="YB20" s="66">
        <f t="shared" si="268"/>
        <v>1621.38</v>
      </c>
      <c r="YC20" s="67">
        <f t="shared" si="569"/>
        <v>1906.3500000000001</v>
      </c>
      <c r="YD20" s="64">
        <f t="shared" si="570"/>
        <v>-284.97000000000003</v>
      </c>
      <c r="YE20" s="62">
        <v>890</v>
      </c>
      <c r="YF20" s="63">
        <v>890</v>
      </c>
      <c r="YG20" s="64">
        <f t="shared" si="571"/>
        <v>0</v>
      </c>
      <c r="YH20" s="65">
        <v>581.58000000000004</v>
      </c>
      <c r="YI20" s="63">
        <v>581.58000000000004</v>
      </c>
      <c r="YJ20" s="64">
        <f t="shared" si="572"/>
        <v>0</v>
      </c>
      <c r="YK20" s="65"/>
      <c r="YL20" s="63">
        <v>857.34</v>
      </c>
      <c r="YM20" s="64">
        <f t="shared" si="573"/>
        <v>-857.34</v>
      </c>
      <c r="YN20" s="65">
        <v>100</v>
      </c>
      <c r="YO20" s="63">
        <v>166.9</v>
      </c>
      <c r="YP20" s="64">
        <f t="shared" si="574"/>
        <v>-66.900000000000006</v>
      </c>
      <c r="YQ20" s="66">
        <f t="shared" si="275"/>
        <v>1571.58</v>
      </c>
      <c r="YR20" s="67">
        <f t="shared" si="575"/>
        <v>2495.8200000000002</v>
      </c>
      <c r="YS20" s="64">
        <f t="shared" si="576"/>
        <v>-924.24000000000024</v>
      </c>
      <c r="YT20" s="62">
        <v>932</v>
      </c>
      <c r="YU20" s="63">
        <v>932</v>
      </c>
      <c r="YV20" s="64">
        <f t="shared" si="577"/>
        <v>0</v>
      </c>
      <c r="YW20" s="65">
        <v>626.24</v>
      </c>
      <c r="YX20" s="63">
        <v>626.24</v>
      </c>
      <c r="YY20" s="64">
        <f t="shared" si="578"/>
        <v>0</v>
      </c>
      <c r="YZ20" s="65"/>
      <c r="ZA20" s="63">
        <v>15.12</v>
      </c>
      <c r="ZB20" s="64">
        <f t="shared" si="579"/>
        <v>-15.12</v>
      </c>
      <c r="ZC20" s="65">
        <v>100</v>
      </c>
      <c r="ZD20" s="63">
        <v>68.430000000000007</v>
      </c>
      <c r="ZE20" s="64">
        <f t="shared" si="580"/>
        <v>31.569999999999993</v>
      </c>
      <c r="ZF20" s="66">
        <f t="shared" si="282"/>
        <v>1658.24</v>
      </c>
      <c r="ZG20" s="67">
        <f t="shared" si="581"/>
        <v>1641.79</v>
      </c>
      <c r="ZH20" s="64">
        <f t="shared" si="582"/>
        <v>16.450000000000045</v>
      </c>
      <c r="ZI20" s="62">
        <v>1250</v>
      </c>
      <c r="ZJ20" s="63">
        <v>1250</v>
      </c>
      <c r="ZK20" s="64">
        <f t="shared" si="583"/>
        <v>0</v>
      </c>
      <c r="ZL20" s="65"/>
      <c r="ZM20" s="63"/>
      <c r="ZN20" s="64">
        <f t="shared" si="584"/>
        <v>0</v>
      </c>
      <c r="ZO20" s="65"/>
      <c r="ZP20" s="63"/>
      <c r="ZQ20" s="64">
        <f t="shared" si="585"/>
        <v>0</v>
      </c>
      <c r="ZR20" s="65">
        <v>100</v>
      </c>
      <c r="ZS20" s="63">
        <v>499.74</v>
      </c>
      <c r="ZT20" s="64">
        <f t="shared" si="586"/>
        <v>-399.74</v>
      </c>
      <c r="ZU20" s="66">
        <f t="shared" si="289"/>
        <v>1350</v>
      </c>
      <c r="ZV20" s="67">
        <f t="shared" si="587"/>
        <v>1749.74</v>
      </c>
      <c r="ZW20" s="64">
        <f t="shared" si="588"/>
        <v>-399.74</v>
      </c>
      <c r="ZX20" s="62">
        <v>24.71</v>
      </c>
      <c r="ZY20" s="63">
        <v>24.71</v>
      </c>
      <c r="ZZ20" s="64">
        <f t="shared" si="589"/>
        <v>0</v>
      </c>
      <c r="AAA20" s="66">
        <f t="shared" si="293"/>
        <v>24.71</v>
      </c>
      <c r="AAB20" s="67">
        <f t="shared" si="293"/>
        <v>24.71</v>
      </c>
      <c r="AAC20" s="64">
        <f t="shared" si="590"/>
        <v>0</v>
      </c>
      <c r="AAD20" s="85">
        <f t="shared" si="295"/>
        <v>70602.86</v>
      </c>
      <c r="AAE20" s="86">
        <f t="shared" si="295"/>
        <v>77979.340000000011</v>
      </c>
      <c r="AAF20" s="87">
        <f t="shared" si="3"/>
        <v>1.1044784871321078</v>
      </c>
      <c r="AAG20" s="88">
        <f t="shared" si="591"/>
        <v>7376.4800000000105</v>
      </c>
      <c r="AAH20" s="91">
        <f>AAD30</f>
        <v>1499667.13</v>
      </c>
      <c r="AAI20" s="92"/>
      <c r="AAJ20" s="92"/>
      <c r="AAK20" s="60"/>
    </row>
    <row r="21" spans="1:713" s="83" customFormat="1" ht="20" customHeight="1" x14ac:dyDescent="0.2">
      <c r="A21" s="57" t="s">
        <v>158</v>
      </c>
      <c r="B21" s="93"/>
      <c r="C21" s="90"/>
      <c r="D21" s="90"/>
      <c r="E21" s="60"/>
      <c r="F21" s="61">
        <v>45017</v>
      </c>
      <c r="G21" s="62"/>
      <c r="H21" s="63">
        <v>0</v>
      </c>
      <c r="I21" s="64">
        <f t="shared" si="340"/>
        <v>0</v>
      </c>
      <c r="J21" s="65">
        <v>3500</v>
      </c>
      <c r="K21" s="63">
        <v>3418.12</v>
      </c>
      <c r="L21" s="64">
        <f t="shared" si="341"/>
        <v>81.880000000000109</v>
      </c>
      <c r="M21" s="65">
        <v>1500</v>
      </c>
      <c r="N21" s="63">
        <v>0</v>
      </c>
      <c r="O21" s="64">
        <f t="shared" si="342"/>
        <v>1500</v>
      </c>
      <c r="P21" s="65">
        <v>700</v>
      </c>
      <c r="Q21" s="63">
        <v>341.77</v>
      </c>
      <c r="R21" s="64">
        <f t="shared" si="343"/>
        <v>358.23</v>
      </c>
      <c r="S21" s="65">
        <v>330.48</v>
      </c>
      <c r="T21" s="63">
        <v>165.24</v>
      </c>
      <c r="U21" s="64">
        <f t="shared" si="344"/>
        <v>165.24</v>
      </c>
      <c r="V21" s="66">
        <f t="shared" si="345"/>
        <v>6030.48</v>
      </c>
      <c r="W21" s="67">
        <f t="shared" si="345"/>
        <v>3925.13</v>
      </c>
      <c r="X21" s="64">
        <f t="shared" si="346"/>
        <v>2105.3499999999995</v>
      </c>
      <c r="Y21" s="62">
        <v>1100</v>
      </c>
      <c r="Z21" s="63">
        <v>1100</v>
      </c>
      <c r="AA21" s="64">
        <f t="shared" si="347"/>
        <v>0</v>
      </c>
      <c r="AB21" s="65"/>
      <c r="AC21" s="63"/>
      <c r="AD21" s="64">
        <f t="shared" si="348"/>
        <v>0</v>
      </c>
      <c r="AE21" s="65"/>
      <c r="AF21" s="63"/>
      <c r="AG21" s="64">
        <f t="shared" si="349"/>
        <v>0</v>
      </c>
      <c r="AH21" s="65"/>
      <c r="AI21" s="63"/>
      <c r="AJ21" s="64">
        <f t="shared" si="350"/>
        <v>0</v>
      </c>
      <c r="AK21" s="66">
        <f t="shared" si="16"/>
        <v>1100</v>
      </c>
      <c r="AL21" s="67">
        <f t="shared" si="17"/>
        <v>1100</v>
      </c>
      <c r="AM21" s="64">
        <f t="shared" si="351"/>
        <v>0</v>
      </c>
      <c r="AN21" s="62"/>
      <c r="AO21" s="63"/>
      <c r="AP21" s="64">
        <f t="shared" si="592"/>
        <v>0</v>
      </c>
      <c r="AQ21" s="65"/>
      <c r="AR21" s="63"/>
      <c r="AS21" s="64">
        <f t="shared" si="593"/>
        <v>0</v>
      </c>
      <c r="AT21" s="65"/>
      <c r="AU21" s="63"/>
      <c r="AV21" s="64">
        <f t="shared" si="594"/>
        <v>0</v>
      </c>
      <c r="AW21" s="65"/>
      <c r="AX21" s="63"/>
      <c r="AY21" s="64">
        <f t="shared" si="352"/>
        <v>0</v>
      </c>
      <c r="AZ21" s="66">
        <f t="shared" si="23"/>
        <v>0</v>
      </c>
      <c r="BA21" s="67">
        <f t="shared" si="353"/>
        <v>0</v>
      </c>
      <c r="BB21" s="64">
        <f t="shared" si="354"/>
        <v>0</v>
      </c>
      <c r="BC21" s="62"/>
      <c r="BD21" s="63"/>
      <c r="BE21" s="64">
        <f t="shared" si="355"/>
        <v>0</v>
      </c>
      <c r="BF21" s="65"/>
      <c r="BG21" s="63"/>
      <c r="BH21" s="64">
        <f t="shared" si="356"/>
        <v>0</v>
      </c>
      <c r="BI21" s="65">
        <v>3200.88</v>
      </c>
      <c r="BJ21" s="63">
        <v>12000</v>
      </c>
      <c r="BK21" s="64">
        <f t="shared" si="357"/>
        <v>-8799.119999999999</v>
      </c>
      <c r="BL21" s="65">
        <v>100</v>
      </c>
      <c r="BM21" s="63"/>
      <c r="BN21" s="64">
        <f t="shared" si="358"/>
        <v>100</v>
      </c>
      <c r="BO21" s="66">
        <f t="shared" si="30"/>
        <v>3300.88</v>
      </c>
      <c r="BP21" s="67">
        <f t="shared" si="359"/>
        <v>12000</v>
      </c>
      <c r="BQ21" s="64">
        <f t="shared" si="360"/>
        <v>-8699.119999999999</v>
      </c>
      <c r="BR21" s="62">
        <v>3416.66</v>
      </c>
      <c r="BS21" s="63">
        <v>3416.66</v>
      </c>
      <c r="BT21" s="64">
        <f t="shared" si="361"/>
        <v>0</v>
      </c>
      <c r="BU21" s="65"/>
      <c r="BV21" s="63"/>
      <c r="BW21" s="64">
        <f t="shared" si="362"/>
        <v>0</v>
      </c>
      <c r="BX21" s="65"/>
      <c r="BY21" s="63"/>
      <c r="BZ21" s="64">
        <f t="shared" si="363"/>
        <v>0</v>
      </c>
      <c r="CA21" s="65"/>
      <c r="CB21" s="63"/>
      <c r="CC21" s="64">
        <f t="shared" si="364"/>
        <v>0</v>
      </c>
      <c r="CD21" s="66">
        <f t="shared" si="33"/>
        <v>3416.66</v>
      </c>
      <c r="CE21" s="67">
        <f t="shared" si="365"/>
        <v>3416.66</v>
      </c>
      <c r="CF21" s="64">
        <f t="shared" si="366"/>
        <v>0</v>
      </c>
      <c r="CG21" s="62"/>
      <c r="CH21" s="63"/>
      <c r="CI21" s="64">
        <f t="shared" si="367"/>
        <v>0</v>
      </c>
      <c r="CJ21" s="65"/>
      <c r="CK21" s="63"/>
      <c r="CL21" s="64">
        <f t="shared" si="368"/>
        <v>0</v>
      </c>
      <c r="CM21" s="65"/>
      <c r="CN21" s="63"/>
      <c r="CO21" s="64">
        <f t="shared" si="369"/>
        <v>0</v>
      </c>
      <c r="CP21" s="65"/>
      <c r="CQ21" s="63"/>
      <c r="CR21" s="64">
        <f t="shared" si="370"/>
        <v>0</v>
      </c>
      <c r="CS21" s="66">
        <f t="shared" si="40"/>
        <v>0</v>
      </c>
      <c r="CT21" s="67">
        <f t="shared" si="371"/>
        <v>0</v>
      </c>
      <c r="CU21" s="64">
        <f t="shared" si="372"/>
        <v>0</v>
      </c>
      <c r="CV21" s="68"/>
      <c r="CW21" s="69"/>
      <c r="CX21" s="70"/>
      <c r="CY21" s="71"/>
      <c r="CZ21" s="69"/>
      <c r="DA21" s="70"/>
      <c r="DB21" s="71"/>
      <c r="DC21" s="69"/>
      <c r="DD21" s="70"/>
      <c r="DE21" s="71"/>
      <c r="DF21" s="69"/>
      <c r="DG21" s="70"/>
      <c r="DH21" s="66">
        <f t="shared" si="43"/>
        <v>0</v>
      </c>
      <c r="DI21" s="67">
        <f t="shared" si="373"/>
        <v>0</v>
      </c>
      <c r="DJ21" s="64">
        <f t="shared" si="374"/>
        <v>0</v>
      </c>
      <c r="DK21" s="68"/>
      <c r="DL21" s="69"/>
      <c r="DM21" s="70"/>
      <c r="DN21" s="71"/>
      <c r="DO21" s="69"/>
      <c r="DP21" s="70"/>
      <c r="DQ21" s="71"/>
      <c r="DR21" s="69"/>
      <c r="DS21" s="70"/>
      <c r="DT21" s="71"/>
      <c r="DU21" s="69"/>
      <c r="DV21" s="70"/>
      <c r="DW21" s="66">
        <f t="shared" si="46"/>
        <v>0</v>
      </c>
      <c r="DX21" s="67">
        <f t="shared" si="375"/>
        <v>0</v>
      </c>
      <c r="DY21" s="64">
        <f t="shared" si="376"/>
        <v>0</v>
      </c>
      <c r="DZ21" s="62"/>
      <c r="EA21" s="63"/>
      <c r="EB21" s="64">
        <f t="shared" si="377"/>
        <v>0</v>
      </c>
      <c r="EC21" s="65"/>
      <c r="ED21" s="63"/>
      <c r="EE21" s="64">
        <f t="shared" si="378"/>
        <v>0</v>
      </c>
      <c r="EF21" s="65"/>
      <c r="EG21" s="63"/>
      <c r="EH21" s="64">
        <f t="shared" si="379"/>
        <v>0</v>
      </c>
      <c r="EI21" s="65">
        <v>100</v>
      </c>
      <c r="EJ21" s="63"/>
      <c r="EK21" s="64">
        <f t="shared" si="380"/>
        <v>100</v>
      </c>
      <c r="EL21" s="66">
        <f t="shared" si="53"/>
        <v>100</v>
      </c>
      <c r="EM21" s="67">
        <f t="shared" si="381"/>
        <v>0</v>
      </c>
      <c r="EN21" s="64">
        <f t="shared" si="382"/>
        <v>100</v>
      </c>
      <c r="EO21" s="62"/>
      <c r="EP21" s="63"/>
      <c r="EQ21" s="64">
        <f t="shared" si="383"/>
        <v>0</v>
      </c>
      <c r="ER21" s="65"/>
      <c r="ES21" s="63"/>
      <c r="ET21" s="64">
        <f t="shared" si="384"/>
        <v>0</v>
      </c>
      <c r="EU21" s="65">
        <v>2612.71</v>
      </c>
      <c r="EV21" s="63">
        <v>4921.9799999999996</v>
      </c>
      <c r="EW21" s="64">
        <f t="shared" si="385"/>
        <v>-2309.2699999999995</v>
      </c>
      <c r="EX21" s="65">
        <v>100</v>
      </c>
      <c r="EY21" s="63"/>
      <c r="EZ21" s="64">
        <f t="shared" si="386"/>
        <v>100</v>
      </c>
      <c r="FA21" s="66">
        <f t="shared" si="60"/>
        <v>2712.71</v>
      </c>
      <c r="FB21" s="67">
        <f t="shared" si="387"/>
        <v>4921.9799999999996</v>
      </c>
      <c r="FC21" s="64">
        <f t="shared" si="388"/>
        <v>-2209.2699999999995</v>
      </c>
      <c r="FD21" s="62"/>
      <c r="FE21" s="63"/>
      <c r="FF21" s="64">
        <f t="shared" si="389"/>
        <v>0</v>
      </c>
      <c r="FG21" s="65"/>
      <c r="FH21" s="63"/>
      <c r="FI21" s="64">
        <f t="shared" si="390"/>
        <v>0</v>
      </c>
      <c r="FJ21" s="65">
        <v>2612.71</v>
      </c>
      <c r="FK21" s="63">
        <v>4921.9799999999996</v>
      </c>
      <c r="FL21" s="64">
        <f t="shared" si="391"/>
        <v>-2309.2699999999995</v>
      </c>
      <c r="FM21" s="65">
        <v>100</v>
      </c>
      <c r="FN21" s="63"/>
      <c r="FO21" s="64">
        <f t="shared" si="392"/>
        <v>100</v>
      </c>
      <c r="FP21" s="66">
        <f t="shared" si="67"/>
        <v>2712.71</v>
      </c>
      <c r="FQ21" s="67">
        <f t="shared" si="393"/>
        <v>4921.9799999999996</v>
      </c>
      <c r="FR21" s="64">
        <f t="shared" si="394"/>
        <v>-2209.2699999999995</v>
      </c>
      <c r="FS21" s="62"/>
      <c r="FT21" s="63"/>
      <c r="FU21" s="64">
        <f t="shared" si="395"/>
        <v>0</v>
      </c>
      <c r="FV21" s="65"/>
      <c r="FW21" s="63"/>
      <c r="FX21" s="64">
        <f t="shared" si="396"/>
        <v>0</v>
      </c>
      <c r="FY21" s="65"/>
      <c r="FZ21" s="63"/>
      <c r="GA21" s="64">
        <f t="shared" si="397"/>
        <v>0</v>
      </c>
      <c r="GB21" s="65"/>
      <c r="GC21" s="63"/>
      <c r="GD21" s="64">
        <f t="shared" si="398"/>
        <v>0</v>
      </c>
      <c r="GE21" s="66">
        <f t="shared" si="74"/>
        <v>0</v>
      </c>
      <c r="GF21" s="67">
        <f t="shared" si="399"/>
        <v>0</v>
      </c>
      <c r="GG21" s="64">
        <f t="shared" si="400"/>
        <v>0</v>
      </c>
      <c r="GH21" s="62"/>
      <c r="GI21" s="63"/>
      <c r="GJ21" s="64">
        <f t="shared" si="401"/>
        <v>0</v>
      </c>
      <c r="GK21" s="65"/>
      <c r="GL21" s="63"/>
      <c r="GM21" s="64">
        <f t="shared" si="402"/>
        <v>0</v>
      </c>
      <c r="GN21" s="65"/>
      <c r="GO21" s="63"/>
      <c r="GP21" s="64">
        <f t="shared" si="403"/>
        <v>0</v>
      </c>
      <c r="GQ21" s="65"/>
      <c r="GR21" s="63"/>
      <c r="GS21" s="64">
        <f t="shared" si="404"/>
        <v>0</v>
      </c>
      <c r="GT21" s="66">
        <f t="shared" si="81"/>
        <v>0</v>
      </c>
      <c r="GU21" s="67">
        <f t="shared" si="405"/>
        <v>0</v>
      </c>
      <c r="GV21" s="64">
        <f t="shared" si="406"/>
        <v>0</v>
      </c>
      <c r="GW21" s="68"/>
      <c r="GX21" s="69"/>
      <c r="GY21" s="70"/>
      <c r="GZ21" s="71"/>
      <c r="HA21" s="69"/>
      <c r="HB21" s="70"/>
      <c r="HC21" s="71"/>
      <c r="HD21" s="69"/>
      <c r="HE21" s="70"/>
      <c r="HF21" s="71"/>
      <c r="HG21" s="69"/>
      <c r="HH21" s="70"/>
      <c r="HI21" s="66">
        <f t="shared" si="84"/>
        <v>0</v>
      </c>
      <c r="HJ21" s="67">
        <f t="shared" si="407"/>
        <v>0</v>
      </c>
      <c r="HK21" s="64">
        <f t="shared" si="408"/>
        <v>0</v>
      </c>
      <c r="HL21" s="62"/>
      <c r="HM21" s="63"/>
      <c r="HN21" s="64">
        <f t="shared" si="409"/>
        <v>0</v>
      </c>
      <c r="HO21" s="65"/>
      <c r="HP21" s="63"/>
      <c r="HQ21" s="64">
        <f t="shared" si="410"/>
        <v>0</v>
      </c>
      <c r="HR21" s="65">
        <v>3200.88</v>
      </c>
      <c r="HS21" s="63">
        <v>4742.7</v>
      </c>
      <c r="HT21" s="64">
        <f t="shared" si="411"/>
        <v>-1541.8199999999997</v>
      </c>
      <c r="HU21" s="65">
        <v>100</v>
      </c>
      <c r="HV21" s="63"/>
      <c r="HW21" s="64">
        <f t="shared" si="412"/>
        <v>100</v>
      </c>
      <c r="HX21" s="66">
        <f t="shared" si="91"/>
        <v>3300.88</v>
      </c>
      <c r="HY21" s="67">
        <f t="shared" si="413"/>
        <v>4742.7</v>
      </c>
      <c r="HZ21" s="64">
        <f t="shared" si="414"/>
        <v>-1441.8199999999997</v>
      </c>
      <c r="IA21" s="62"/>
      <c r="IB21" s="63"/>
      <c r="IC21" s="64">
        <f t="shared" si="415"/>
        <v>0</v>
      </c>
      <c r="ID21" s="65"/>
      <c r="IE21" s="63"/>
      <c r="IF21" s="64">
        <f t="shared" si="416"/>
        <v>0</v>
      </c>
      <c r="IG21" s="65"/>
      <c r="IH21" s="63"/>
      <c r="II21" s="64">
        <f t="shared" si="417"/>
        <v>0</v>
      </c>
      <c r="IJ21" s="65">
        <v>100</v>
      </c>
      <c r="IK21" s="63">
        <v>140.24</v>
      </c>
      <c r="IL21" s="64">
        <f t="shared" si="418"/>
        <v>-40.240000000000009</v>
      </c>
      <c r="IM21" s="66">
        <f t="shared" si="98"/>
        <v>100</v>
      </c>
      <c r="IN21" s="67">
        <f t="shared" si="419"/>
        <v>140.24</v>
      </c>
      <c r="IO21" s="64">
        <f t="shared" si="420"/>
        <v>-40.240000000000009</v>
      </c>
      <c r="IP21" s="62"/>
      <c r="IQ21" s="63"/>
      <c r="IR21" s="64">
        <f t="shared" si="421"/>
        <v>0</v>
      </c>
      <c r="IS21" s="65"/>
      <c r="IT21" s="63"/>
      <c r="IU21" s="64">
        <f t="shared" si="422"/>
        <v>0</v>
      </c>
      <c r="IV21" s="65"/>
      <c r="IW21" s="63"/>
      <c r="IX21" s="64">
        <f t="shared" si="423"/>
        <v>0</v>
      </c>
      <c r="IY21" s="65"/>
      <c r="IZ21" s="63"/>
      <c r="JA21" s="64">
        <f t="shared" si="424"/>
        <v>0</v>
      </c>
      <c r="JB21" s="66">
        <f t="shared" si="105"/>
        <v>0</v>
      </c>
      <c r="JC21" s="67">
        <f t="shared" si="425"/>
        <v>0</v>
      </c>
      <c r="JD21" s="64">
        <f t="shared" si="426"/>
        <v>0</v>
      </c>
      <c r="JE21" s="62"/>
      <c r="JF21" s="63"/>
      <c r="JG21" s="64">
        <f t="shared" si="427"/>
        <v>0</v>
      </c>
      <c r="JH21" s="65">
        <v>442.35</v>
      </c>
      <c r="JI21" s="65">
        <v>442.35</v>
      </c>
      <c r="JJ21" s="64">
        <f t="shared" si="428"/>
        <v>0</v>
      </c>
      <c r="JK21" s="65"/>
      <c r="JL21" s="63"/>
      <c r="JM21" s="64">
        <f t="shared" si="429"/>
        <v>0</v>
      </c>
      <c r="JN21" s="65">
        <v>100</v>
      </c>
      <c r="JO21" s="63"/>
      <c r="JP21" s="64">
        <f t="shared" si="430"/>
        <v>100</v>
      </c>
      <c r="JQ21" s="66">
        <f t="shared" si="112"/>
        <v>542.35</v>
      </c>
      <c r="JR21" s="67">
        <f t="shared" si="431"/>
        <v>442.35</v>
      </c>
      <c r="JS21" s="64">
        <f t="shared" si="432"/>
        <v>100</v>
      </c>
      <c r="JT21" s="62">
        <v>5553.7</v>
      </c>
      <c r="JU21" s="63">
        <v>5553.7</v>
      </c>
      <c r="JV21" s="64">
        <f t="shared" si="433"/>
        <v>0</v>
      </c>
      <c r="JW21" s="65"/>
      <c r="JX21" s="63"/>
      <c r="JY21" s="64">
        <f t="shared" si="434"/>
        <v>0</v>
      </c>
      <c r="JZ21" s="65"/>
      <c r="KA21" s="63"/>
      <c r="KB21" s="64">
        <f t="shared" si="435"/>
        <v>0</v>
      </c>
      <c r="KC21" s="65">
        <v>100</v>
      </c>
      <c r="KD21" s="63"/>
      <c r="KE21" s="64">
        <f t="shared" si="436"/>
        <v>100</v>
      </c>
      <c r="KF21" s="66">
        <f t="shared" si="119"/>
        <v>5653.7</v>
      </c>
      <c r="KG21" s="67">
        <f t="shared" si="437"/>
        <v>5553.7</v>
      </c>
      <c r="KH21" s="64">
        <f t="shared" si="438"/>
        <v>100</v>
      </c>
      <c r="KI21" s="68"/>
      <c r="KJ21" s="69"/>
      <c r="KK21" s="70"/>
      <c r="KL21" s="71"/>
      <c r="KM21" s="69"/>
      <c r="KN21" s="70"/>
      <c r="KO21" s="71"/>
      <c r="KP21" s="69"/>
      <c r="KQ21" s="70"/>
      <c r="KR21" s="71"/>
      <c r="KS21" s="69"/>
      <c r="KT21" s="64">
        <f t="shared" si="439"/>
        <v>0</v>
      </c>
      <c r="KU21" s="66">
        <f t="shared" si="1"/>
        <v>0</v>
      </c>
      <c r="KV21" s="67">
        <f t="shared" si="440"/>
        <v>0</v>
      </c>
      <c r="KW21" s="64">
        <f t="shared" si="441"/>
        <v>0</v>
      </c>
      <c r="KX21" s="72"/>
      <c r="KY21" s="73"/>
      <c r="KZ21" s="74"/>
      <c r="LA21" s="75"/>
      <c r="LB21" s="73"/>
      <c r="LC21" s="74"/>
      <c r="LD21" s="75"/>
      <c r="LE21" s="73"/>
      <c r="LF21" s="74"/>
      <c r="LG21" s="75"/>
      <c r="LH21" s="73"/>
      <c r="LI21" s="74"/>
      <c r="LJ21" s="76"/>
      <c r="LK21" s="77"/>
      <c r="LL21" s="74"/>
      <c r="LM21" s="68"/>
      <c r="LN21" s="69"/>
      <c r="LO21" s="70"/>
      <c r="LP21" s="71"/>
      <c r="LQ21" s="69"/>
      <c r="LR21" s="70"/>
      <c r="LS21" s="71"/>
      <c r="LT21" s="69"/>
      <c r="LU21" s="70"/>
      <c r="LV21" s="71"/>
      <c r="LW21" s="69"/>
      <c r="LX21" s="64">
        <f t="shared" si="442"/>
        <v>0</v>
      </c>
      <c r="LY21" s="66">
        <f t="shared" si="124"/>
        <v>0</v>
      </c>
      <c r="LZ21" s="67">
        <f t="shared" si="443"/>
        <v>0</v>
      </c>
      <c r="MA21" s="64">
        <f t="shared" si="444"/>
        <v>0</v>
      </c>
      <c r="MB21" s="62">
        <v>650</v>
      </c>
      <c r="MC21" s="63">
        <v>650</v>
      </c>
      <c r="MD21" s="64">
        <f t="shared" si="445"/>
        <v>0</v>
      </c>
      <c r="ME21" s="65">
        <v>1050.2</v>
      </c>
      <c r="MF21" s="63">
        <f>526.27</f>
        <v>526.27</v>
      </c>
      <c r="MG21" s="64">
        <f t="shared" si="446"/>
        <v>523.93000000000006</v>
      </c>
      <c r="MH21" s="65">
        <v>1118.01</v>
      </c>
      <c r="MI21" s="63"/>
      <c r="MJ21" s="64">
        <f t="shared" si="447"/>
        <v>1118.01</v>
      </c>
      <c r="MK21" s="65">
        <v>100</v>
      </c>
      <c r="ML21" s="63">
        <v>256.17</v>
      </c>
      <c r="MM21" s="64">
        <f t="shared" si="448"/>
        <v>-156.17000000000002</v>
      </c>
      <c r="MN21" s="66">
        <f t="shared" si="131"/>
        <v>2918.21</v>
      </c>
      <c r="MO21" s="67">
        <f t="shared" si="449"/>
        <v>1432.44</v>
      </c>
      <c r="MP21" s="64">
        <f t="shared" si="450"/>
        <v>1485.77</v>
      </c>
      <c r="MQ21" s="62"/>
      <c r="MR21" s="63"/>
      <c r="MS21" s="64">
        <f t="shared" si="451"/>
        <v>0</v>
      </c>
      <c r="MT21" s="65"/>
      <c r="MU21" s="63"/>
      <c r="MV21" s="64">
        <f t="shared" si="452"/>
        <v>0</v>
      </c>
      <c r="MW21" s="65"/>
      <c r="MX21" s="63"/>
      <c r="MY21" s="64">
        <f t="shared" si="453"/>
        <v>0</v>
      </c>
      <c r="MZ21" s="65"/>
      <c r="NA21" s="63"/>
      <c r="NB21" s="64">
        <f t="shared" si="454"/>
        <v>0</v>
      </c>
      <c r="NC21" s="66">
        <f t="shared" si="138"/>
        <v>0</v>
      </c>
      <c r="ND21" s="67">
        <f t="shared" si="455"/>
        <v>0</v>
      </c>
      <c r="NE21" s="64">
        <f t="shared" si="456"/>
        <v>0</v>
      </c>
      <c r="NF21" s="62">
        <v>1000</v>
      </c>
      <c r="NG21" s="63">
        <v>1000</v>
      </c>
      <c r="NH21" s="64">
        <f t="shared" si="457"/>
        <v>0</v>
      </c>
      <c r="NI21" s="65">
        <v>886.87</v>
      </c>
      <c r="NJ21" s="63">
        <v>718.98</v>
      </c>
      <c r="NK21" s="64">
        <f t="shared" si="458"/>
        <v>167.89</v>
      </c>
      <c r="NL21" s="65"/>
      <c r="NM21" s="63"/>
      <c r="NN21" s="64">
        <f t="shared" si="459"/>
        <v>0</v>
      </c>
      <c r="NO21" s="65">
        <v>100</v>
      </c>
      <c r="NP21" s="63">
        <v>183.53</v>
      </c>
      <c r="NQ21" s="64">
        <f t="shared" si="460"/>
        <v>-83.53</v>
      </c>
      <c r="NR21" s="66">
        <f t="shared" si="145"/>
        <v>1986.87</v>
      </c>
      <c r="NS21" s="67">
        <f t="shared" si="461"/>
        <v>1902.51</v>
      </c>
      <c r="NT21" s="64">
        <f t="shared" si="462"/>
        <v>84.3599999999999</v>
      </c>
      <c r="NU21" s="62">
        <v>864</v>
      </c>
      <c r="NV21" s="63">
        <v>864</v>
      </c>
      <c r="NW21" s="64">
        <f t="shared" si="463"/>
        <v>0</v>
      </c>
      <c r="NX21" s="65">
        <v>988.24</v>
      </c>
      <c r="NY21" s="63">
        <v>988.24</v>
      </c>
      <c r="NZ21" s="64">
        <f t="shared" si="464"/>
        <v>0</v>
      </c>
      <c r="OA21" s="65"/>
      <c r="OB21" s="63"/>
      <c r="OC21" s="64">
        <f t="shared" si="465"/>
        <v>0</v>
      </c>
      <c r="OD21" s="65">
        <v>100</v>
      </c>
      <c r="OE21" s="63">
        <v>120.56</v>
      </c>
      <c r="OF21" s="64">
        <f t="shared" si="466"/>
        <v>-20.560000000000002</v>
      </c>
      <c r="OG21" s="66">
        <f t="shared" si="152"/>
        <v>1952.24</v>
      </c>
      <c r="OH21" s="67">
        <f t="shared" si="467"/>
        <v>1972.8</v>
      </c>
      <c r="OI21" s="64">
        <f t="shared" si="468"/>
        <v>-20.559999999999945</v>
      </c>
      <c r="OJ21" s="62"/>
      <c r="OK21" s="63"/>
      <c r="OL21" s="64">
        <f t="shared" si="469"/>
        <v>0</v>
      </c>
      <c r="OM21" s="65"/>
      <c r="ON21" s="63"/>
      <c r="OO21" s="64">
        <f t="shared" si="470"/>
        <v>0</v>
      </c>
      <c r="OP21" s="65"/>
      <c r="OQ21" s="63"/>
      <c r="OR21" s="64">
        <f t="shared" si="471"/>
        <v>0</v>
      </c>
      <c r="OS21" s="65">
        <v>100</v>
      </c>
      <c r="OT21" s="63">
        <v>174.27</v>
      </c>
      <c r="OU21" s="64">
        <f t="shared" si="472"/>
        <v>-74.27000000000001</v>
      </c>
      <c r="OV21" s="66">
        <f t="shared" si="159"/>
        <v>100</v>
      </c>
      <c r="OW21" s="67">
        <f t="shared" si="473"/>
        <v>174.27</v>
      </c>
      <c r="OX21" s="64">
        <f t="shared" si="474"/>
        <v>-74.27000000000001</v>
      </c>
      <c r="OY21" s="62"/>
      <c r="OZ21" s="63"/>
      <c r="PA21" s="64">
        <f t="shared" si="475"/>
        <v>0</v>
      </c>
      <c r="PB21" s="65"/>
      <c r="PC21" s="63"/>
      <c r="PD21" s="64">
        <f t="shared" si="476"/>
        <v>0</v>
      </c>
      <c r="PE21" s="65"/>
      <c r="PF21" s="63"/>
      <c r="PG21" s="64">
        <f t="shared" si="477"/>
        <v>0</v>
      </c>
      <c r="PH21" s="65">
        <v>100</v>
      </c>
      <c r="PI21" s="63"/>
      <c r="PJ21" s="64">
        <f t="shared" si="478"/>
        <v>100</v>
      </c>
      <c r="PK21" s="66">
        <f t="shared" si="166"/>
        <v>100</v>
      </c>
      <c r="PL21" s="67">
        <f t="shared" si="479"/>
        <v>0</v>
      </c>
      <c r="PM21" s="64">
        <f t="shared" si="480"/>
        <v>100</v>
      </c>
      <c r="PN21" s="62">
        <v>1400</v>
      </c>
      <c r="PO21" s="63">
        <v>1400</v>
      </c>
      <c r="PP21" s="64">
        <f t="shared" si="481"/>
        <v>0</v>
      </c>
      <c r="PQ21" s="65"/>
      <c r="PR21" s="63"/>
      <c r="PS21" s="64">
        <f t="shared" si="482"/>
        <v>0</v>
      </c>
      <c r="PT21" s="65"/>
      <c r="PU21" s="63"/>
      <c r="PV21" s="64">
        <f t="shared" si="483"/>
        <v>0</v>
      </c>
      <c r="PW21" s="65">
        <v>100</v>
      </c>
      <c r="PX21" s="63"/>
      <c r="PY21" s="64">
        <f t="shared" si="484"/>
        <v>100</v>
      </c>
      <c r="PZ21" s="66">
        <f t="shared" si="173"/>
        <v>1500</v>
      </c>
      <c r="QA21" s="67">
        <f t="shared" si="485"/>
        <v>1400</v>
      </c>
      <c r="QB21" s="64">
        <f t="shared" si="486"/>
        <v>100</v>
      </c>
      <c r="QC21" s="62"/>
      <c r="QD21" s="63"/>
      <c r="QE21" s="64">
        <f t="shared" si="487"/>
        <v>0</v>
      </c>
      <c r="QF21" s="65"/>
      <c r="QG21" s="63"/>
      <c r="QH21" s="64">
        <f t="shared" si="488"/>
        <v>0</v>
      </c>
      <c r="QI21" s="65"/>
      <c r="QJ21" s="63"/>
      <c r="QK21" s="64">
        <f t="shared" si="489"/>
        <v>0</v>
      </c>
      <c r="QL21" s="65">
        <v>100</v>
      </c>
      <c r="QM21" s="63"/>
      <c r="QN21" s="64">
        <f t="shared" si="490"/>
        <v>100</v>
      </c>
      <c r="QO21" s="66">
        <f t="shared" si="180"/>
        <v>100</v>
      </c>
      <c r="QP21" s="67">
        <f t="shared" si="491"/>
        <v>0</v>
      </c>
      <c r="QQ21" s="64">
        <f t="shared" si="492"/>
        <v>100</v>
      </c>
      <c r="QR21" s="62"/>
      <c r="QS21" s="63"/>
      <c r="QT21" s="64">
        <f t="shared" si="493"/>
        <v>0</v>
      </c>
      <c r="QU21" s="65"/>
      <c r="QV21" s="63"/>
      <c r="QW21" s="64">
        <f t="shared" si="494"/>
        <v>0</v>
      </c>
      <c r="QX21" s="65"/>
      <c r="QY21" s="63"/>
      <c r="QZ21" s="64">
        <f t="shared" si="495"/>
        <v>0</v>
      </c>
      <c r="RA21" s="65"/>
      <c r="RB21" s="63"/>
      <c r="RC21" s="64">
        <f t="shared" si="496"/>
        <v>0</v>
      </c>
      <c r="RD21" s="66">
        <f t="shared" si="187"/>
        <v>0</v>
      </c>
      <c r="RE21" s="67">
        <f t="shared" si="497"/>
        <v>0</v>
      </c>
      <c r="RF21" s="64">
        <f t="shared" si="498"/>
        <v>0</v>
      </c>
      <c r="RG21" s="62"/>
      <c r="RH21" s="63"/>
      <c r="RI21" s="64">
        <f t="shared" si="499"/>
        <v>0</v>
      </c>
      <c r="RJ21" s="65"/>
      <c r="RK21" s="63"/>
      <c r="RL21" s="64">
        <f t="shared" si="500"/>
        <v>0</v>
      </c>
      <c r="RM21" s="65"/>
      <c r="RN21" s="63"/>
      <c r="RO21" s="64">
        <f t="shared" si="501"/>
        <v>0</v>
      </c>
      <c r="RP21" s="65"/>
      <c r="RQ21" s="63"/>
      <c r="RR21" s="64">
        <f t="shared" si="502"/>
        <v>0</v>
      </c>
      <c r="RS21" s="66">
        <f t="shared" si="194"/>
        <v>0</v>
      </c>
      <c r="RT21" s="67">
        <f t="shared" si="503"/>
        <v>0</v>
      </c>
      <c r="RU21" s="64">
        <f t="shared" si="504"/>
        <v>0</v>
      </c>
      <c r="RV21" s="62"/>
      <c r="RW21" s="63"/>
      <c r="RX21" s="64">
        <f t="shared" si="505"/>
        <v>0</v>
      </c>
      <c r="RY21" s="65"/>
      <c r="RZ21" s="63"/>
      <c r="SA21" s="64">
        <f t="shared" si="506"/>
        <v>0</v>
      </c>
      <c r="SB21" s="65"/>
      <c r="SC21" s="63"/>
      <c r="SD21" s="64">
        <f t="shared" si="507"/>
        <v>0</v>
      </c>
      <c r="SE21" s="65">
        <v>100</v>
      </c>
      <c r="SF21" s="63">
        <v>71.78</v>
      </c>
      <c r="SG21" s="64">
        <f t="shared" si="508"/>
        <v>28.22</v>
      </c>
      <c r="SH21" s="66">
        <f t="shared" si="201"/>
        <v>100</v>
      </c>
      <c r="SI21" s="67">
        <f t="shared" si="509"/>
        <v>71.78</v>
      </c>
      <c r="SJ21" s="64">
        <f t="shared" si="510"/>
        <v>28.22</v>
      </c>
      <c r="SK21" s="62"/>
      <c r="SL21" s="63"/>
      <c r="SM21" s="64">
        <f t="shared" si="511"/>
        <v>0</v>
      </c>
      <c r="SN21" s="65"/>
      <c r="SO21" s="63"/>
      <c r="SP21" s="64">
        <f t="shared" si="512"/>
        <v>0</v>
      </c>
      <c r="SQ21" s="65"/>
      <c r="SR21" s="63"/>
      <c r="SS21" s="64">
        <f t="shared" si="513"/>
        <v>0</v>
      </c>
      <c r="ST21" s="65">
        <v>100</v>
      </c>
      <c r="SU21" s="63">
        <v>188.2</v>
      </c>
      <c r="SV21" s="64">
        <f t="shared" si="514"/>
        <v>-88.199999999999989</v>
      </c>
      <c r="SW21" s="66">
        <f t="shared" si="208"/>
        <v>100</v>
      </c>
      <c r="SX21" s="67">
        <f t="shared" si="515"/>
        <v>188.2</v>
      </c>
      <c r="SY21" s="64">
        <f t="shared" si="516"/>
        <v>-88.199999999999989</v>
      </c>
      <c r="SZ21" s="62">
        <v>1321.16</v>
      </c>
      <c r="TA21" s="63">
        <f>1321.16+506.91</f>
        <v>1828.0700000000002</v>
      </c>
      <c r="TB21" s="64">
        <f t="shared" si="517"/>
        <v>-506.91000000000008</v>
      </c>
      <c r="TC21" s="65"/>
      <c r="TD21" s="63">
        <v>1443.95</v>
      </c>
      <c r="TE21" s="64">
        <f t="shared" si="518"/>
        <v>-1443.95</v>
      </c>
      <c r="TF21" s="65"/>
      <c r="TG21" s="63"/>
      <c r="TH21" s="64">
        <f t="shared" si="519"/>
        <v>0</v>
      </c>
      <c r="TI21" s="65">
        <v>100</v>
      </c>
      <c r="TJ21" s="63">
        <v>203.34</v>
      </c>
      <c r="TK21" s="64">
        <f t="shared" si="520"/>
        <v>-103.34</v>
      </c>
      <c r="TL21" s="66">
        <f t="shared" si="215"/>
        <v>1421.16</v>
      </c>
      <c r="TM21" s="67">
        <f t="shared" si="521"/>
        <v>3475.3600000000006</v>
      </c>
      <c r="TN21" s="64">
        <f t="shared" si="522"/>
        <v>-2054.2000000000007</v>
      </c>
      <c r="TO21" s="62"/>
      <c r="TP21" s="63"/>
      <c r="TQ21" s="64">
        <f t="shared" si="523"/>
        <v>0</v>
      </c>
      <c r="TR21" s="65"/>
      <c r="TS21" s="63"/>
      <c r="TT21" s="64">
        <f t="shared" si="524"/>
        <v>0</v>
      </c>
      <c r="TU21" s="65"/>
      <c r="TV21" s="63"/>
      <c r="TW21" s="64">
        <f t="shared" si="525"/>
        <v>0</v>
      </c>
      <c r="TX21" s="65">
        <v>100</v>
      </c>
      <c r="TY21" s="63">
        <v>68.61</v>
      </c>
      <c r="TZ21" s="64">
        <f t="shared" si="526"/>
        <v>31.39</v>
      </c>
      <c r="UA21" s="66">
        <f t="shared" si="222"/>
        <v>100</v>
      </c>
      <c r="UB21" s="67">
        <f t="shared" si="527"/>
        <v>68.61</v>
      </c>
      <c r="UC21" s="64">
        <f t="shared" si="528"/>
        <v>31.39</v>
      </c>
      <c r="UD21" s="62">
        <v>1125</v>
      </c>
      <c r="UE21" s="63">
        <v>1125</v>
      </c>
      <c r="UF21" s="64">
        <f t="shared" si="529"/>
        <v>0</v>
      </c>
      <c r="UG21" s="65">
        <v>490.51</v>
      </c>
      <c r="UH21" s="63">
        <v>490.51</v>
      </c>
      <c r="UI21" s="64">
        <f t="shared" si="530"/>
        <v>0</v>
      </c>
      <c r="UJ21" s="65"/>
      <c r="UK21" s="63"/>
      <c r="UL21" s="64">
        <f t="shared" si="531"/>
        <v>0</v>
      </c>
      <c r="UM21" s="65">
        <v>100</v>
      </c>
      <c r="UN21" s="63"/>
      <c r="UO21" s="64">
        <f t="shared" si="532"/>
        <v>100</v>
      </c>
      <c r="UP21" s="66">
        <f t="shared" si="226"/>
        <v>1715.51</v>
      </c>
      <c r="UQ21" s="67">
        <f t="shared" si="533"/>
        <v>1615.51</v>
      </c>
      <c r="UR21" s="64">
        <f t="shared" si="534"/>
        <v>100</v>
      </c>
      <c r="US21" s="62"/>
      <c r="UT21" s="63"/>
      <c r="UU21" s="64">
        <f t="shared" si="535"/>
        <v>0</v>
      </c>
      <c r="UV21" s="65"/>
      <c r="UW21" s="63"/>
      <c r="UX21" s="64">
        <f t="shared" si="536"/>
        <v>0</v>
      </c>
      <c r="UY21" s="65"/>
      <c r="UZ21" s="63"/>
      <c r="VA21" s="64">
        <f t="shared" si="537"/>
        <v>0</v>
      </c>
      <c r="VB21" s="65">
        <v>100</v>
      </c>
      <c r="VC21" s="63">
        <v>44.89</v>
      </c>
      <c r="VD21" s="64">
        <f t="shared" si="538"/>
        <v>55.11</v>
      </c>
      <c r="VE21" s="66">
        <f t="shared" si="233"/>
        <v>100</v>
      </c>
      <c r="VF21" s="67">
        <f t="shared" si="539"/>
        <v>44.89</v>
      </c>
      <c r="VG21" s="64">
        <f t="shared" si="540"/>
        <v>55.11</v>
      </c>
      <c r="VH21" s="62"/>
      <c r="VI21" s="63"/>
      <c r="VJ21" s="64">
        <f t="shared" si="541"/>
        <v>0</v>
      </c>
      <c r="VK21" s="65"/>
      <c r="VL21" s="63"/>
      <c r="VM21" s="64">
        <f t="shared" si="542"/>
        <v>0</v>
      </c>
      <c r="VN21" s="65"/>
      <c r="VO21" s="63"/>
      <c r="VP21" s="64">
        <f t="shared" si="543"/>
        <v>0</v>
      </c>
      <c r="VQ21" s="65">
        <v>100</v>
      </c>
      <c r="VR21" s="63">
        <v>87.39</v>
      </c>
      <c r="VS21" s="64">
        <f t="shared" si="544"/>
        <v>12.61</v>
      </c>
      <c r="VT21" s="66">
        <f t="shared" si="240"/>
        <v>100</v>
      </c>
      <c r="VU21" s="67">
        <f t="shared" si="545"/>
        <v>87.39</v>
      </c>
      <c r="VV21" s="64">
        <f t="shared" si="546"/>
        <v>12.61</v>
      </c>
      <c r="VW21" s="62">
        <v>1303</v>
      </c>
      <c r="VX21" s="63">
        <v>1303</v>
      </c>
      <c r="VY21" s="64">
        <f t="shared" si="547"/>
        <v>0</v>
      </c>
      <c r="VZ21" s="65"/>
      <c r="WA21" s="63"/>
      <c r="WB21" s="64">
        <f t="shared" si="548"/>
        <v>0</v>
      </c>
      <c r="WC21" s="65"/>
      <c r="WD21" s="63"/>
      <c r="WE21" s="64">
        <f t="shared" si="549"/>
        <v>0</v>
      </c>
      <c r="WF21" s="65"/>
      <c r="WG21" s="63"/>
      <c r="WH21" s="64">
        <f t="shared" si="550"/>
        <v>0</v>
      </c>
      <c r="WI21" s="66">
        <f t="shared" si="247"/>
        <v>1303</v>
      </c>
      <c r="WJ21" s="67">
        <f t="shared" si="551"/>
        <v>1303</v>
      </c>
      <c r="WK21" s="64">
        <f t="shared" si="552"/>
        <v>0</v>
      </c>
      <c r="WL21" s="62">
        <v>1376.01</v>
      </c>
      <c r="WM21" s="63">
        <v>1376.01</v>
      </c>
      <c r="WN21" s="64">
        <f t="shared" si="553"/>
        <v>0</v>
      </c>
      <c r="WO21" s="65">
        <v>418.56</v>
      </c>
      <c r="WP21" s="63">
        <v>418.56</v>
      </c>
      <c r="WQ21" s="64">
        <f t="shared" si="554"/>
        <v>0</v>
      </c>
      <c r="WR21" s="65"/>
      <c r="WS21" s="63"/>
      <c r="WT21" s="64">
        <f t="shared" si="555"/>
        <v>0</v>
      </c>
      <c r="WU21" s="65">
        <v>100</v>
      </c>
      <c r="WV21" s="63">
        <v>126.22</v>
      </c>
      <c r="WW21" s="64">
        <f t="shared" si="556"/>
        <v>-26.22</v>
      </c>
      <c r="WX21" s="66">
        <f t="shared" si="254"/>
        <v>1894.57</v>
      </c>
      <c r="WY21" s="67">
        <f t="shared" si="557"/>
        <v>1920.79</v>
      </c>
      <c r="WZ21" s="64">
        <f t="shared" si="558"/>
        <v>-26.220000000000027</v>
      </c>
      <c r="XA21" s="62"/>
      <c r="XB21" s="63"/>
      <c r="XC21" s="64">
        <f t="shared" si="559"/>
        <v>0</v>
      </c>
      <c r="XD21" s="65"/>
      <c r="XE21" s="63"/>
      <c r="XF21" s="64">
        <f t="shared" si="560"/>
        <v>0</v>
      </c>
      <c r="XG21" s="65"/>
      <c r="XH21" s="63"/>
      <c r="XI21" s="64">
        <f t="shared" si="561"/>
        <v>0</v>
      </c>
      <c r="XJ21" s="65">
        <v>100</v>
      </c>
      <c r="XK21" s="63">
        <v>61</v>
      </c>
      <c r="XL21" s="64">
        <f t="shared" si="562"/>
        <v>39</v>
      </c>
      <c r="XM21" s="66">
        <f t="shared" si="261"/>
        <v>100</v>
      </c>
      <c r="XN21" s="67">
        <f t="shared" si="563"/>
        <v>61</v>
      </c>
      <c r="XO21" s="64">
        <f t="shared" si="564"/>
        <v>39</v>
      </c>
      <c r="XP21" s="62">
        <v>917</v>
      </c>
      <c r="XQ21" s="63">
        <v>917</v>
      </c>
      <c r="XR21" s="64">
        <f t="shared" si="565"/>
        <v>0</v>
      </c>
      <c r="XS21" s="65">
        <v>591.29999999999995</v>
      </c>
      <c r="XT21" s="63">
        <v>591.29999999999995</v>
      </c>
      <c r="XU21" s="64">
        <f t="shared" si="566"/>
        <v>0</v>
      </c>
      <c r="XV21" s="65"/>
      <c r="XW21" s="63"/>
      <c r="XX21" s="64">
        <f t="shared" si="567"/>
        <v>0</v>
      </c>
      <c r="XY21" s="65">
        <v>100</v>
      </c>
      <c r="XZ21" s="63">
        <v>37.47</v>
      </c>
      <c r="YA21" s="64">
        <f t="shared" si="568"/>
        <v>62.53</v>
      </c>
      <c r="YB21" s="66">
        <f t="shared" si="268"/>
        <v>1608.3</v>
      </c>
      <c r="YC21" s="67">
        <f t="shared" si="569"/>
        <v>1545.77</v>
      </c>
      <c r="YD21" s="64">
        <f t="shared" si="570"/>
        <v>62.529999999999973</v>
      </c>
      <c r="YE21" s="62">
        <v>890</v>
      </c>
      <c r="YF21" s="63">
        <v>890</v>
      </c>
      <c r="YG21" s="64">
        <f t="shared" si="571"/>
        <v>0</v>
      </c>
      <c r="YH21" s="65">
        <v>725.15</v>
      </c>
      <c r="YI21" s="63">
        <v>725.15</v>
      </c>
      <c r="YJ21" s="64">
        <f t="shared" si="572"/>
        <v>0</v>
      </c>
      <c r="YK21" s="65"/>
      <c r="YL21" s="63"/>
      <c r="YM21" s="64">
        <f t="shared" si="573"/>
        <v>0</v>
      </c>
      <c r="YN21" s="65">
        <v>100</v>
      </c>
      <c r="YO21" s="63">
        <v>18.829999999999998</v>
      </c>
      <c r="YP21" s="64">
        <f t="shared" si="574"/>
        <v>81.17</v>
      </c>
      <c r="YQ21" s="66">
        <f t="shared" si="275"/>
        <v>1715.15</v>
      </c>
      <c r="YR21" s="67">
        <f t="shared" si="575"/>
        <v>1633.98</v>
      </c>
      <c r="YS21" s="64">
        <f t="shared" si="576"/>
        <v>81.170000000000073</v>
      </c>
      <c r="YT21" s="62">
        <v>932</v>
      </c>
      <c r="YU21" s="63">
        <v>932</v>
      </c>
      <c r="YV21" s="64">
        <f t="shared" si="577"/>
        <v>0</v>
      </c>
      <c r="YW21" s="65">
        <v>513.28</v>
      </c>
      <c r="YX21" s="63">
        <v>513.28</v>
      </c>
      <c r="YY21" s="64">
        <f t="shared" si="578"/>
        <v>0</v>
      </c>
      <c r="YZ21" s="65"/>
      <c r="ZA21" s="63"/>
      <c r="ZB21" s="64">
        <f t="shared" si="579"/>
        <v>0</v>
      </c>
      <c r="ZC21" s="65">
        <v>100</v>
      </c>
      <c r="ZD21" s="63">
        <v>41.17</v>
      </c>
      <c r="ZE21" s="64">
        <f t="shared" si="580"/>
        <v>58.83</v>
      </c>
      <c r="ZF21" s="66">
        <f t="shared" si="282"/>
        <v>1545.28</v>
      </c>
      <c r="ZG21" s="67">
        <f t="shared" si="581"/>
        <v>1486.45</v>
      </c>
      <c r="ZH21" s="64">
        <f t="shared" si="582"/>
        <v>58.829999999999927</v>
      </c>
      <c r="ZI21" s="62">
        <v>1250</v>
      </c>
      <c r="ZJ21" s="63">
        <v>1250</v>
      </c>
      <c r="ZK21" s="64">
        <f t="shared" si="583"/>
        <v>0</v>
      </c>
      <c r="ZL21" s="65"/>
      <c r="ZM21" s="63"/>
      <c r="ZN21" s="64">
        <f t="shared" si="584"/>
        <v>0</v>
      </c>
      <c r="ZO21" s="65"/>
      <c r="ZP21" s="63"/>
      <c r="ZQ21" s="64">
        <f t="shared" si="585"/>
        <v>0</v>
      </c>
      <c r="ZR21" s="65">
        <v>100</v>
      </c>
      <c r="ZS21" s="63">
        <v>94.17</v>
      </c>
      <c r="ZT21" s="64">
        <f t="shared" si="586"/>
        <v>5.8299999999999983</v>
      </c>
      <c r="ZU21" s="66">
        <f t="shared" si="289"/>
        <v>1350</v>
      </c>
      <c r="ZV21" s="67">
        <f t="shared" si="587"/>
        <v>1344.17</v>
      </c>
      <c r="ZW21" s="64">
        <f t="shared" si="588"/>
        <v>5.8299999999999272</v>
      </c>
      <c r="ZX21" s="62">
        <v>24.71</v>
      </c>
      <c r="ZY21" s="63">
        <v>24.71</v>
      </c>
      <c r="ZZ21" s="64">
        <f t="shared" si="589"/>
        <v>0</v>
      </c>
      <c r="AAA21" s="66">
        <f t="shared" si="293"/>
        <v>24.71</v>
      </c>
      <c r="AAB21" s="67">
        <f t="shared" si="293"/>
        <v>24.71</v>
      </c>
      <c r="AAC21" s="64">
        <f t="shared" si="590"/>
        <v>0</v>
      </c>
      <c r="AAD21" s="85">
        <f t="shared" si="295"/>
        <v>49477.66</v>
      </c>
      <c r="AAE21" s="86">
        <f t="shared" si="295"/>
        <v>61590.659999999996</v>
      </c>
      <c r="AAF21" s="87">
        <f t="shared" si="3"/>
        <v>1.2448175600867137</v>
      </c>
      <c r="AAG21" s="88">
        <f t="shared" si="591"/>
        <v>12112.999999999993</v>
      </c>
      <c r="AAH21" s="91"/>
      <c r="AAI21" s="92"/>
      <c r="AAJ21" s="92"/>
      <c r="AAK21" s="60"/>
    </row>
    <row r="22" spans="1:713" s="83" customFormat="1" ht="20" customHeight="1" x14ac:dyDescent="0.2">
      <c r="A22" s="84" t="s">
        <v>159</v>
      </c>
      <c r="B22" s="58" t="s">
        <v>145</v>
      </c>
      <c r="C22" s="59"/>
      <c r="D22" s="59"/>
      <c r="E22" s="60"/>
      <c r="F22" s="61">
        <v>45047</v>
      </c>
      <c r="G22" s="62"/>
      <c r="H22" s="63">
        <v>0</v>
      </c>
      <c r="I22" s="64">
        <f t="shared" si="340"/>
        <v>0</v>
      </c>
      <c r="J22" s="65">
        <v>3000</v>
      </c>
      <c r="K22" s="63">
        <v>3514.55</v>
      </c>
      <c r="L22" s="64">
        <f t="shared" si="341"/>
        <v>-514.55000000000018</v>
      </c>
      <c r="M22" s="65">
        <v>1500</v>
      </c>
      <c r="N22" s="63">
        <v>0</v>
      </c>
      <c r="O22" s="64">
        <f t="shared" si="342"/>
        <v>1500</v>
      </c>
      <c r="P22" s="65">
        <v>800</v>
      </c>
      <c r="Q22" s="63">
        <v>660.25</v>
      </c>
      <c r="R22" s="64">
        <f t="shared" si="343"/>
        <v>139.75</v>
      </c>
      <c r="S22" s="65">
        <v>330.48</v>
      </c>
      <c r="T22" s="63">
        <v>165.24</v>
      </c>
      <c r="U22" s="64">
        <f t="shared" si="344"/>
        <v>165.24</v>
      </c>
      <c r="V22" s="66">
        <f t="shared" si="345"/>
        <v>5630.48</v>
      </c>
      <c r="W22" s="67">
        <f t="shared" si="345"/>
        <v>4340.04</v>
      </c>
      <c r="X22" s="64">
        <f t="shared" si="346"/>
        <v>1290.4399999999996</v>
      </c>
      <c r="Y22" s="62">
        <v>1100</v>
      </c>
      <c r="Z22" s="63">
        <v>1100</v>
      </c>
      <c r="AA22" s="64">
        <f t="shared" si="347"/>
        <v>0</v>
      </c>
      <c r="AB22" s="65"/>
      <c r="AC22" s="63"/>
      <c r="AD22" s="64">
        <f t="shared" si="348"/>
        <v>0</v>
      </c>
      <c r="AE22" s="65"/>
      <c r="AF22" s="63"/>
      <c r="AG22" s="64">
        <f t="shared" si="349"/>
        <v>0</v>
      </c>
      <c r="AH22" s="65"/>
      <c r="AI22" s="63"/>
      <c r="AJ22" s="64">
        <f t="shared" si="350"/>
        <v>0</v>
      </c>
      <c r="AK22" s="66">
        <f t="shared" si="16"/>
        <v>1100</v>
      </c>
      <c r="AL22" s="67">
        <f t="shared" si="17"/>
        <v>1100</v>
      </c>
      <c r="AM22" s="64">
        <f t="shared" si="351"/>
        <v>0</v>
      </c>
      <c r="AN22" s="62"/>
      <c r="AO22" s="63"/>
      <c r="AP22" s="64">
        <f t="shared" si="592"/>
        <v>0</v>
      </c>
      <c r="AQ22" s="65"/>
      <c r="AR22" s="63"/>
      <c r="AS22" s="64">
        <f t="shared" si="593"/>
        <v>0</v>
      </c>
      <c r="AT22" s="65"/>
      <c r="AU22" s="63"/>
      <c r="AV22" s="64">
        <f t="shared" si="594"/>
        <v>0</v>
      </c>
      <c r="AW22" s="65"/>
      <c r="AX22" s="63"/>
      <c r="AY22" s="64">
        <f t="shared" si="352"/>
        <v>0</v>
      </c>
      <c r="AZ22" s="66">
        <f t="shared" si="23"/>
        <v>0</v>
      </c>
      <c r="BA22" s="67">
        <f t="shared" si="353"/>
        <v>0</v>
      </c>
      <c r="BB22" s="64">
        <f t="shared" si="354"/>
        <v>0</v>
      </c>
      <c r="BC22" s="62">
        <v>7900.8</v>
      </c>
      <c r="BD22" s="63">
        <v>7900.8</v>
      </c>
      <c r="BE22" s="64">
        <f t="shared" si="355"/>
        <v>0</v>
      </c>
      <c r="BF22" s="65"/>
      <c r="BG22" s="63"/>
      <c r="BH22" s="64">
        <f t="shared" si="356"/>
        <v>0</v>
      </c>
      <c r="BI22" s="65"/>
      <c r="BJ22" s="63"/>
      <c r="BK22" s="64">
        <f t="shared" si="357"/>
        <v>0</v>
      </c>
      <c r="BL22" s="65">
        <v>100</v>
      </c>
      <c r="BM22" s="63"/>
      <c r="BN22" s="64">
        <f t="shared" si="358"/>
        <v>100</v>
      </c>
      <c r="BO22" s="66">
        <f t="shared" si="30"/>
        <v>8000.8</v>
      </c>
      <c r="BP22" s="67">
        <f t="shared" si="359"/>
        <v>7900.8</v>
      </c>
      <c r="BQ22" s="64">
        <f t="shared" si="360"/>
        <v>100</v>
      </c>
      <c r="BR22" s="62">
        <v>3416.66</v>
      </c>
      <c r="BS22" s="63">
        <v>3416.66</v>
      </c>
      <c r="BT22" s="64">
        <f t="shared" si="361"/>
        <v>0</v>
      </c>
      <c r="BU22" s="65"/>
      <c r="BV22" s="63"/>
      <c r="BW22" s="64">
        <f t="shared" si="362"/>
        <v>0</v>
      </c>
      <c r="BX22" s="65"/>
      <c r="BY22" s="63"/>
      <c r="BZ22" s="64">
        <f t="shared" si="363"/>
        <v>0</v>
      </c>
      <c r="CA22" s="65"/>
      <c r="CB22" s="63"/>
      <c r="CC22" s="64">
        <f t="shared" si="364"/>
        <v>0</v>
      </c>
      <c r="CD22" s="66">
        <f t="shared" si="33"/>
        <v>3416.66</v>
      </c>
      <c r="CE22" s="67">
        <f t="shared" si="365"/>
        <v>3416.66</v>
      </c>
      <c r="CF22" s="64">
        <f t="shared" si="366"/>
        <v>0</v>
      </c>
      <c r="CG22" s="62"/>
      <c r="CH22" s="63"/>
      <c r="CI22" s="64">
        <f t="shared" si="367"/>
        <v>0</v>
      </c>
      <c r="CJ22" s="65"/>
      <c r="CK22" s="63"/>
      <c r="CL22" s="64">
        <f t="shared" si="368"/>
        <v>0</v>
      </c>
      <c r="CM22" s="65"/>
      <c r="CN22" s="63"/>
      <c r="CO22" s="64">
        <f t="shared" si="369"/>
        <v>0</v>
      </c>
      <c r="CP22" s="65"/>
      <c r="CQ22" s="63"/>
      <c r="CR22" s="64">
        <f t="shared" si="370"/>
        <v>0</v>
      </c>
      <c r="CS22" s="66">
        <f t="shared" si="40"/>
        <v>0</v>
      </c>
      <c r="CT22" s="67">
        <f t="shared" si="371"/>
        <v>0</v>
      </c>
      <c r="CU22" s="64">
        <f t="shared" si="372"/>
        <v>0</v>
      </c>
      <c r="CV22" s="68"/>
      <c r="CW22" s="69"/>
      <c r="CX22" s="70"/>
      <c r="CY22" s="71"/>
      <c r="CZ22" s="69"/>
      <c r="DA22" s="70"/>
      <c r="DB22" s="71"/>
      <c r="DC22" s="69"/>
      <c r="DD22" s="70"/>
      <c r="DE22" s="71"/>
      <c r="DF22" s="69"/>
      <c r="DG22" s="70"/>
      <c r="DH22" s="66">
        <f t="shared" si="43"/>
        <v>0</v>
      </c>
      <c r="DI22" s="67">
        <f t="shared" si="373"/>
        <v>0</v>
      </c>
      <c r="DJ22" s="64">
        <f t="shared" si="374"/>
        <v>0</v>
      </c>
      <c r="DK22" s="68"/>
      <c r="DL22" s="69"/>
      <c r="DM22" s="70"/>
      <c r="DN22" s="71"/>
      <c r="DO22" s="69"/>
      <c r="DP22" s="70"/>
      <c r="DQ22" s="71"/>
      <c r="DR22" s="69"/>
      <c r="DS22" s="70"/>
      <c r="DT22" s="71"/>
      <c r="DU22" s="69"/>
      <c r="DV22" s="70"/>
      <c r="DW22" s="66">
        <f t="shared" si="46"/>
        <v>0</v>
      </c>
      <c r="DX22" s="67">
        <f t="shared" si="375"/>
        <v>0</v>
      </c>
      <c r="DY22" s="64">
        <f t="shared" si="376"/>
        <v>0</v>
      </c>
      <c r="DZ22" s="62"/>
      <c r="EA22" s="63"/>
      <c r="EB22" s="64">
        <f t="shared" si="377"/>
        <v>0</v>
      </c>
      <c r="EC22" s="65"/>
      <c r="ED22" s="63"/>
      <c r="EE22" s="64">
        <f t="shared" si="378"/>
        <v>0</v>
      </c>
      <c r="EF22" s="65"/>
      <c r="EG22" s="63"/>
      <c r="EH22" s="64">
        <f t="shared" si="379"/>
        <v>0</v>
      </c>
      <c r="EI22" s="65">
        <v>100</v>
      </c>
      <c r="EJ22" s="63">
        <v>131.97</v>
      </c>
      <c r="EK22" s="64">
        <f t="shared" si="380"/>
        <v>-31.97</v>
      </c>
      <c r="EL22" s="66">
        <f t="shared" si="53"/>
        <v>100</v>
      </c>
      <c r="EM22" s="67">
        <f t="shared" si="381"/>
        <v>131.97</v>
      </c>
      <c r="EN22" s="64">
        <f t="shared" si="382"/>
        <v>-31.97</v>
      </c>
      <c r="EO22" s="62"/>
      <c r="EP22" s="63"/>
      <c r="EQ22" s="64">
        <f t="shared" si="383"/>
        <v>0</v>
      </c>
      <c r="ER22" s="65"/>
      <c r="ES22" s="63"/>
      <c r="ET22" s="64">
        <f t="shared" si="384"/>
        <v>0</v>
      </c>
      <c r="EU22" s="65"/>
      <c r="EV22" s="63"/>
      <c r="EW22" s="64">
        <f t="shared" si="385"/>
        <v>0</v>
      </c>
      <c r="EX22" s="65">
        <v>100</v>
      </c>
      <c r="EY22" s="63"/>
      <c r="EZ22" s="64">
        <f t="shared" si="386"/>
        <v>100</v>
      </c>
      <c r="FA22" s="66">
        <f t="shared" si="60"/>
        <v>100</v>
      </c>
      <c r="FB22" s="67">
        <f t="shared" si="387"/>
        <v>0</v>
      </c>
      <c r="FC22" s="64">
        <f t="shared" si="388"/>
        <v>100</v>
      </c>
      <c r="FD22" s="62"/>
      <c r="FE22" s="63"/>
      <c r="FF22" s="64">
        <f t="shared" si="389"/>
        <v>0</v>
      </c>
      <c r="FG22" s="65"/>
      <c r="FH22" s="63"/>
      <c r="FI22" s="64">
        <f t="shared" si="390"/>
        <v>0</v>
      </c>
      <c r="FJ22" s="65"/>
      <c r="FK22" s="63"/>
      <c r="FL22" s="64">
        <f t="shared" si="391"/>
        <v>0</v>
      </c>
      <c r="FM22" s="65">
        <v>100</v>
      </c>
      <c r="FN22" s="63"/>
      <c r="FO22" s="64">
        <f t="shared" si="392"/>
        <v>100</v>
      </c>
      <c r="FP22" s="66">
        <f t="shared" si="67"/>
        <v>100</v>
      </c>
      <c r="FQ22" s="67">
        <f t="shared" si="393"/>
        <v>0</v>
      </c>
      <c r="FR22" s="64">
        <f t="shared" si="394"/>
        <v>100</v>
      </c>
      <c r="FS22" s="62"/>
      <c r="FT22" s="63"/>
      <c r="FU22" s="64">
        <f t="shared" si="395"/>
        <v>0</v>
      </c>
      <c r="FV22" s="65"/>
      <c r="FW22" s="63"/>
      <c r="FX22" s="64">
        <f t="shared" si="396"/>
        <v>0</v>
      </c>
      <c r="FY22" s="65"/>
      <c r="FZ22" s="63"/>
      <c r="GA22" s="64">
        <f t="shared" si="397"/>
        <v>0</v>
      </c>
      <c r="GB22" s="65"/>
      <c r="GC22" s="63"/>
      <c r="GD22" s="64">
        <f t="shared" si="398"/>
        <v>0</v>
      </c>
      <c r="GE22" s="66">
        <f t="shared" si="74"/>
        <v>0</v>
      </c>
      <c r="GF22" s="67">
        <f t="shared" si="399"/>
        <v>0</v>
      </c>
      <c r="GG22" s="64">
        <f t="shared" si="400"/>
        <v>0</v>
      </c>
      <c r="GH22" s="62"/>
      <c r="GI22" s="63"/>
      <c r="GJ22" s="64">
        <f t="shared" si="401"/>
        <v>0</v>
      </c>
      <c r="GK22" s="65"/>
      <c r="GL22" s="63"/>
      <c r="GM22" s="64">
        <f t="shared" si="402"/>
        <v>0</v>
      </c>
      <c r="GN22" s="65"/>
      <c r="GO22" s="63"/>
      <c r="GP22" s="64">
        <f t="shared" si="403"/>
        <v>0</v>
      </c>
      <c r="GQ22" s="65"/>
      <c r="GR22" s="63"/>
      <c r="GS22" s="64">
        <f t="shared" si="404"/>
        <v>0</v>
      </c>
      <c r="GT22" s="66">
        <f t="shared" si="81"/>
        <v>0</v>
      </c>
      <c r="GU22" s="67">
        <f t="shared" si="405"/>
        <v>0</v>
      </c>
      <c r="GV22" s="64">
        <f t="shared" si="406"/>
        <v>0</v>
      </c>
      <c r="GW22" s="68"/>
      <c r="GX22" s="69"/>
      <c r="GY22" s="70"/>
      <c r="GZ22" s="71"/>
      <c r="HA22" s="69"/>
      <c r="HB22" s="70"/>
      <c r="HC22" s="71"/>
      <c r="HD22" s="69"/>
      <c r="HE22" s="70"/>
      <c r="HF22" s="71"/>
      <c r="HG22" s="69"/>
      <c r="HH22" s="70"/>
      <c r="HI22" s="66">
        <f t="shared" si="84"/>
        <v>0</v>
      </c>
      <c r="HJ22" s="67">
        <f t="shared" si="407"/>
        <v>0</v>
      </c>
      <c r="HK22" s="64">
        <f t="shared" si="408"/>
        <v>0</v>
      </c>
      <c r="HL22" s="62">
        <v>7900.8</v>
      </c>
      <c r="HM22" s="63">
        <v>7900.8</v>
      </c>
      <c r="HN22" s="64">
        <f t="shared" si="409"/>
        <v>0</v>
      </c>
      <c r="HO22" s="65"/>
      <c r="HP22" s="63"/>
      <c r="HQ22" s="64">
        <f t="shared" si="410"/>
        <v>0</v>
      </c>
      <c r="HR22" s="65"/>
      <c r="HS22" s="63"/>
      <c r="HT22" s="64">
        <f t="shared" si="411"/>
        <v>0</v>
      </c>
      <c r="HU22" s="65">
        <v>100</v>
      </c>
      <c r="HV22" s="63"/>
      <c r="HW22" s="64">
        <f t="shared" si="412"/>
        <v>100</v>
      </c>
      <c r="HX22" s="66">
        <f t="shared" si="91"/>
        <v>8000.8</v>
      </c>
      <c r="HY22" s="67">
        <f t="shared" si="413"/>
        <v>7900.8</v>
      </c>
      <c r="HZ22" s="64">
        <f t="shared" si="414"/>
        <v>100</v>
      </c>
      <c r="IA22" s="62"/>
      <c r="IB22" s="63"/>
      <c r="IC22" s="64">
        <f t="shared" si="415"/>
        <v>0</v>
      </c>
      <c r="ID22" s="65"/>
      <c r="IE22" s="63"/>
      <c r="IF22" s="64">
        <f t="shared" si="416"/>
        <v>0</v>
      </c>
      <c r="IG22" s="65"/>
      <c r="IH22" s="63"/>
      <c r="II22" s="64">
        <f t="shared" si="417"/>
        <v>0</v>
      </c>
      <c r="IJ22" s="65">
        <v>100</v>
      </c>
      <c r="IK22" s="63"/>
      <c r="IL22" s="64">
        <f t="shared" si="418"/>
        <v>100</v>
      </c>
      <c r="IM22" s="66">
        <f t="shared" si="98"/>
        <v>100</v>
      </c>
      <c r="IN22" s="67">
        <f t="shared" si="419"/>
        <v>0</v>
      </c>
      <c r="IO22" s="64">
        <f t="shared" si="420"/>
        <v>100</v>
      </c>
      <c r="IP22" s="62"/>
      <c r="IQ22" s="63"/>
      <c r="IR22" s="64">
        <f t="shared" si="421"/>
        <v>0</v>
      </c>
      <c r="IS22" s="65"/>
      <c r="IT22" s="63"/>
      <c r="IU22" s="64">
        <f t="shared" si="422"/>
        <v>0</v>
      </c>
      <c r="IV22" s="65"/>
      <c r="IW22" s="63"/>
      <c r="IX22" s="64">
        <f t="shared" si="423"/>
        <v>0</v>
      </c>
      <c r="IY22" s="65"/>
      <c r="IZ22" s="63"/>
      <c r="JA22" s="64">
        <f t="shared" si="424"/>
        <v>0</v>
      </c>
      <c r="JB22" s="66">
        <f t="shared" si="105"/>
        <v>0</v>
      </c>
      <c r="JC22" s="67">
        <f t="shared" si="425"/>
        <v>0</v>
      </c>
      <c r="JD22" s="64">
        <f t="shared" si="426"/>
        <v>0</v>
      </c>
      <c r="JE22" s="62"/>
      <c r="JF22" s="63"/>
      <c r="JG22" s="64">
        <f t="shared" si="427"/>
        <v>0</v>
      </c>
      <c r="JH22" s="65">
        <v>442.35</v>
      </c>
      <c r="JI22" s="65">
        <v>442.35</v>
      </c>
      <c r="JJ22" s="64">
        <f t="shared" si="428"/>
        <v>0</v>
      </c>
      <c r="JK22" s="65"/>
      <c r="JL22" s="63"/>
      <c r="JM22" s="64">
        <f t="shared" si="429"/>
        <v>0</v>
      </c>
      <c r="JN22" s="65">
        <v>100</v>
      </c>
      <c r="JO22" s="63"/>
      <c r="JP22" s="64">
        <f t="shared" si="430"/>
        <v>100</v>
      </c>
      <c r="JQ22" s="66">
        <f t="shared" si="112"/>
        <v>542.35</v>
      </c>
      <c r="JR22" s="67">
        <f t="shared" si="431"/>
        <v>442.35</v>
      </c>
      <c r="JS22" s="64">
        <f t="shared" si="432"/>
        <v>100</v>
      </c>
      <c r="JT22" s="62">
        <v>5553.7</v>
      </c>
      <c r="JU22" s="63">
        <v>5553.7</v>
      </c>
      <c r="JV22" s="64">
        <f t="shared" si="433"/>
        <v>0</v>
      </c>
      <c r="JW22" s="65"/>
      <c r="JX22" s="63"/>
      <c r="JY22" s="64">
        <f t="shared" si="434"/>
        <v>0</v>
      </c>
      <c r="JZ22" s="65"/>
      <c r="KA22" s="63"/>
      <c r="KB22" s="64">
        <f t="shared" si="435"/>
        <v>0</v>
      </c>
      <c r="KC22" s="65">
        <v>100</v>
      </c>
      <c r="KD22" s="63"/>
      <c r="KE22" s="64">
        <f t="shared" si="436"/>
        <v>100</v>
      </c>
      <c r="KF22" s="66">
        <f t="shared" si="119"/>
        <v>5653.7</v>
      </c>
      <c r="KG22" s="67">
        <f t="shared" si="437"/>
        <v>5553.7</v>
      </c>
      <c r="KH22" s="64">
        <f t="shared" si="438"/>
        <v>100</v>
      </c>
      <c r="KI22" s="68"/>
      <c r="KJ22" s="69"/>
      <c r="KK22" s="70"/>
      <c r="KL22" s="71"/>
      <c r="KM22" s="69"/>
      <c r="KN22" s="70"/>
      <c r="KO22" s="71"/>
      <c r="KP22" s="69"/>
      <c r="KQ22" s="70"/>
      <c r="KR22" s="71"/>
      <c r="KS22" s="69"/>
      <c r="KT22" s="64">
        <f t="shared" si="439"/>
        <v>0</v>
      </c>
      <c r="KU22" s="66">
        <f t="shared" si="1"/>
        <v>0</v>
      </c>
      <c r="KV22" s="67">
        <f t="shared" si="440"/>
        <v>0</v>
      </c>
      <c r="KW22" s="64">
        <f t="shared" si="441"/>
        <v>0</v>
      </c>
      <c r="KX22" s="72"/>
      <c r="KY22" s="73"/>
      <c r="KZ22" s="74"/>
      <c r="LA22" s="75"/>
      <c r="LB22" s="73"/>
      <c r="LC22" s="74"/>
      <c r="LD22" s="75"/>
      <c r="LE22" s="73"/>
      <c r="LF22" s="74"/>
      <c r="LG22" s="75"/>
      <c r="LH22" s="73"/>
      <c r="LI22" s="74"/>
      <c r="LJ22" s="76"/>
      <c r="LK22" s="77"/>
      <c r="LL22" s="74"/>
      <c r="LM22" s="68"/>
      <c r="LN22" s="69"/>
      <c r="LO22" s="70"/>
      <c r="LP22" s="71"/>
      <c r="LQ22" s="69"/>
      <c r="LR22" s="70"/>
      <c r="LS22" s="71"/>
      <c r="LT22" s="69"/>
      <c r="LU22" s="70"/>
      <c r="LV22" s="71"/>
      <c r="LW22" s="69"/>
      <c r="LX22" s="64">
        <f t="shared" si="442"/>
        <v>0</v>
      </c>
      <c r="LY22" s="66">
        <f t="shared" si="124"/>
        <v>0</v>
      </c>
      <c r="LZ22" s="67">
        <f t="shared" si="443"/>
        <v>0</v>
      </c>
      <c r="MA22" s="64">
        <f t="shared" si="444"/>
        <v>0</v>
      </c>
      <c r="MB22" s="62">
        <v>650</v>
      </c>
      <c r="MC22" s="63">
        <v>650</v>
      </c>
      <c r="MD22" s="64">
        <f t="shared" si="445"/>
        <v>0</v>
      </c>
      <c r="ME22" s="65">
        <v>1050.2</v>
      </c>
      <c r="MF22" s="63">
        <v>1050.2</v>
      </c>
      <c r="MG22" s="64">
        <f>ME22-MF22</f>
        <v>0</v>
      </c>
      <c r="MH22" s="65"/>
      <c r="MI22" s="63"/>
      <c r="MJ22" s="64">
        <f t="shared" si="447"/>
        <v>0</v>
      </c>
      <c r="MK22" s="65">
        <v>100</v>
      </c>
      <c r="ML22" s="63"/>
      <c r="MM22" s="64">
        <f t="shared" si="448"/>
        <v>100</v>
      </c>
      <c r="MN22" s="66">
        <f>MB22+ME22+MH22+MK22</f>
        <v>1800.2</v>
      </c>
      <c r="MO22" s="67">
        <f t="shared" si="449"/>
        <v>1700.2</v>
      </c>
      <c r="MP22" s="64">
        <f t="shared" si="450"/>
        <v>100</v>
      </c>
      <c r="MQ22" s="62"/>
      <c r="MR22" s="63"/>
      <c r="MS22" s="64">
        <f t="shared" si="451"/>
        <v>0</v>
      </c>
      <c r="MT22" s="65"/>
      <c r="MU22" s="63"/>
      <c r="MV22" s="64">
        <f t="shared" si="452"/>
        <v>0</v>
      </c>
      <c r="MW22" s="65"/>
      <c r="MX22" s="63"/>
      <c r="MY22" s="64">
        <f t="shared" si="453"/>
        <v>0</v>
      </c>
      <c r="MZ22" s="65"/>
      <c r="NA22" s="63"/>
      <c r="NB22" s="64">
        <f t="shared" si="454"/>
        <v>0</v>
      </c>
      <c r="NC22" s="66">
        <f t="shared" si="138"/>
        <v>0</v>
      </c>
      <c r="ND22" s="67">
        <f t="shared" si="455"/>
        <v>0</v>
      </c>
      <c r="NE22" s="64">
        <f t="shared" si="456"/>
        <v>0</v>
      </c>
      <c r="NF22" s="62">
        <v>1000</v>
      </c>
      <c r="NG22" s="63">
        <v>1000</v>
      </c>
      <c r="NH22" s="64">
        <f t="shared" si="457"/>
        <v>0</v>
      </c>
      <c r="NI22" s="65">
        <v>886.87</v>
      </c>
      <c r="NJ22" s="63">
        <v>886.87</v>
      </c>
      <c r="NK22" s="64">
        <f t="shared" si="458"/>
        <v>0</v>
      </c>
      <c r="NL22" s="65"/>
      <c r="NM22" s="63"/>
      <c r="NN22" s="64">
        <f t="shared" si="459"/>
        <v>0</v>
      </c>
      <c r="NO22" s="65">
        <v>100</v>
      </c>
      <c r="NP22" s="63"/>
      <c r="NQ22" s="64">
        <f t="shared" si="460"/>
        <v>100</v>
      </c>
      <c r="NR22" s="66">
        <f t="shared" si="145"/>
        <v>1986.87</v>
      </c>
      <c r="NS22" s="67">
        <f t="shared" si="461"/>
        <v>1886.87</v>
      </c>
      <c r="NT22" s="64">
        <f t="shared" si="462"/>
        <v>100</v>
      </c>
      <c r="NU22" s="62">
        <v>864</v>
      </c>
      <c r="NV22" s="63">
        <v>864</v>
      </c>
      <c r="NW22" s="64">
        <f t="shared" si="463"/>
        <v>0</v>
      </c>
      <c r="NX22" s="65">
        <v>1020.8</v>
      </c>
      <c r="NY22" s="63">
        <v>1020.8</v>
      </c>
      <c r="NZ22" s="64">
        <f t="shared" si="464"/>
        <v>0</v>
      </c>
      <c r="OA22" s="65"/>
      <c r="OB22" s="63"/>
      <c r="OC22" s="64">
        <f t="shared" si="465"/>
        <v>0</v>
      </c>
      <c r="OD22" s="65">
        <v>100</v>
      </c>
      <c r="OE22" s="63">
        <v>126.39</v>
      </c>
      <c r="OF22" s="64">
        <f t="shared" si="466"/>
        <v>-26.39</v>
      </c>
      <c r="OG22" s="66">
        <f t="shared" si="152"/>
        <v>1984.8</v>
      </c>
      <c r="OH22" s="67">
        <f t="shared" si="467"/>
        <v>2011.19</v>
      </c>
      <c r="OI22" s="64">
        <f t="shared" si="468"/>
        <v>-26.3900000000001</v>
      </c>
      <c r="OJ22" s="62"/>
      <c r="OK22" s="63"/>
      <c r="OL22" s="64">
        <f t="shared" si="469"/>
        <v>0</v>
      </c>
      <c r="OM22" s="65"/>
      <c r="ON22" s="63"/>
      <c r="OO22" s="64">
        <f t="shared" si="470"/>
        <v>0</v>
      </c>
      <c r="OP22" s="65"/>
      <c r="OQ22" s="63"/>
      <c r="OR22" s="64">
        <f t="shared" si="471"/>
        <v>0</v>
      </c>
      <c r="OS22" s="65">
        <v>100</v>
      </c>
      <c r="OT22" s="63"/>
      <c r="OU22" s="64">
        <f t="shared" si="472"/>
        <v>100</v>
      </c>
      <c r="OV22" s="66">
        <f t="shared" si="159"/>
        <v>100</v>
      </c>
      <c r="OW22" s="67">
        <f t="shared" si="473"/>
        <v>0</v>
      </c>
      <c r="OX22" s="64">
        <f t="shared" si="474"/>
        <v>100</v>
      </c>
      <c r="OY22" s="62"/>
      <c r="OZ22" s="63"/>
      <c r="PA22" s="64">
        <f t="shared" si="475"/>
        <v>0</v>
      </c>
      <c r="PB22" s="65"/>
      <c r="PC22" s="63"/>
      <c r="PD22" s="64">
        <f t="shared" si="476"/>
        <v>0</v>
      </c>
      <c r="PE22" s="65"/>
      <c r="PF22" s="63"/>
      <c r="PG22" s="64">
        <f t="shared" si="477"/>
        <v>0</v>
      </c>
      <c r="PH22" s="65">
        <v>100</v>
      </c>
      <c r="PI22" s="63"/>
      <c r="PJ22" s="64">
        <f t="shared" si="478"/>
        <v>100</v>
      </c>
      <c r="PK22" s="66">
        <f t="shared" si="166"/>
        <v>100</v>
      </c>
      <c r="PL22" s="67">
        <f t="shared" si="479"/>
        <v>0</v>
      </c>
      <c r="PM22" s="64">
        <f t="shared" si="480"/>
        <v>100</v>
      </c>
      <c r="PN22" s="62">
        <v>1400</v>
      </c>
      <c r="PO22" s="63">
        <v>1400</v>
      </c>
      <c r="PP22" s="64">
        <f t="shared" si="481"/>
        <v>0</v>
      </c>
      <c r="PQ22" s="65"/>
      <c r="PR22" s="63"/>
      <c r="PS22" s="64">
        <f t="shared" si="482"/>
        <v>0</v>
      </c>
      <c r="PT22" s="65"/>
      <c r="PU22" s="63"/>
      <c r="PV22" s="64">
        <f t="shared" si="483"/>
        <v>0</v>
      </c>
      <c r="PW22" s="65">
        <v>100</v>
      </c>
      <c r="PX22" s="63"/>
      <c r="PY22" s="64">
        <f t="shared" si="484"/>
        <v>100</v>
      </c>
      <c r="PZ22" s="66">
        <f t="shared" si="173"/>
        <v>1500</v>
      </c>
      <c r="QA22" s="67">
        <f t="shared" si="485"/>
        <v>1400</v>
      </c>
      <c r="QB22" s="64">
        <f t="shared" si="486"/>
        <v>100</v>
      </c>
      <c r="QC22" s="62"/>
      <c r="QD22" s="63"/>
      <c r="QE22" s="64">
        <f t="shared" si="487"/>
        <v>0</v>
      </c>
      <c r="QF22" s="65"/>
      <c r="QG22" s="63"/>
      <c r="QH22" s="64">
        <f t="shared" si="488"/>
        <v>0</v>
      </c>
      <c r="QI22" s="65"/>
      <c r="QJ22" s="63"/>
      <c r="QK22" s="64">
        <f t="shared" si="489"/>
        <v>0</v>
      </c>
      <c r="QL22" s="65">
        <v>100</v>
      </c>
      <c r="QM22" s="63"/>
      <c r="QN22" s="64">
        <f t="shared" si="490"/>
        <v>100</v>
      </c>
      <c r="QO22" s="66">
        <f t="shared" si="180"/>
        <v>100</v>
      </c>
      <c r="QP22" s="67">
        <f t="shared" si="491"/>
        <v>0</v>
      </c>
      <c r="QQ22" s="64">
        <f t="shared" si="492"/>
        <v>100</v>
      </c>
      <c r="QR22" s="62"/>
      <c r="QS22" s="63"/>
      <c r="QT22" s="64">
        <f t="shared" si="493"/>
        <v>0</v>
      </c>
      <c r="QU22" s="65"/>
      <c r="QV22" s="63"/>
      <c r="QW22" s="64">
        <f t="shared" si="494"/>
        <v>0</v>
      </c>
      <c r="QX22" s="65"/>
      <c r="QY22" s="63"/>
      <c r="QZ22" s="64">
        <f t="shared" si="495"/>
        <v>0</v>
      </c>
      <c r="RA22" s="65"/>
      <c r="RB22" s="63"/>
      <c r="RC22" s="64">
        <f t="shared" si="496"/>
        <v>0</v>
      </c>
      <c r="RD22" s="66">
        <f t="shared" si="187"/>
        <v>0</v>
      </c>
      <c r="RE22" s="67">
        <f t="shared" si="497"/>
        <v>0</v>
      </c>
      <c r="RF22" s="64">
        <f t="shared" si="498"/>
        <v>0</v>
      </c>
      <c r="RG22" s="62"/>
      <c r="RH22" s="63"/>
      <c r="RI22" s="64">
        <f t="shared" si="499"/>
        <v>0</v>
      </c>
      <c r="RJ22" s="65"/>
      <c r="RK22" s="63"/>
      <c r="RL22" s="64">
        <f t="shared" si="500"/>
        <v>0</v>
      </c>
      <c r="RM22" s="65"/>
      <c r="RN22" s="63"/>
      <c r="RO22" s="64">
        <f t="shared" si="501"/>
        <v>0</v>
      </c>
      <c r="RP22" s="65"/>
      <c r="RQ22" s="63"/>
      <c r="RR22" s="64">
        <f t="shared" si="502"/>
        <v>0</v>
      </c>
      <c r="RS22" s="66">
        <f t="shared" si="194"/>
        <v>0</v>
      </c>
      <c r="RT22" s="67">
        <f t="shared" si="503"/>
        <v>0</v>
      </c>
      <c r="RU22" s="64">
        <f t="shared" si="504"/>
        <v>0</v>
      </c>
      <c r="RV22" s="62"/>
      <c r="RW22" s="63"/>
      <c r="RX22" s="64">
        <f t="shared" si="505"/>
        <v>0</v>
      </c>
      <c r="RY22" s="65"/>
      <c r="RZ22" s="63"/>
      <c r="SA22" s="64">
        <f t="shared" si="506"/>
        <v>0</v>
      </c>
      <c r="SB22" s="65"/>
      <c r="SC22" s="63"/>
      <c r="SD22" s="64">
        <f t="shared" si="507"/>
        <v>0</v>
      </c>
      <c r="SE22" s="65">
        <v>100</v>
      </c>
      <c r="SF22" s="63">
        <v>85.82</v>
      </c>
      <c r="SG22" s="64">
        <f t="shared" si="508"/>
        <v>14.180000000000007</v>
      </c>
      <c r="SH22" s="66">
        <f t="shared" si="201"/>
        <v>100</v>
      </c>
      <c r="SI22" s="67">
        <f t="shared" si="509"/>
        <v>85.82</v>
      </c>
      <c r="SJ22" s="64">
        <f t="shared" si="510"/>
        <v>14.180000000000007</v>
      </c>
      <c r="SK22" s="62"/>
      <c r="SL22" s="63"/>
      <c r="SM22" s="64">
        <f t="shared" si="511"/>
        <v>0</v>
      </c>
      <c r="SN22" s="65"/>
      <c r="SO22" s="63"/>
      <c r="SP22" s="64">
        <f t="shared" si="512"/>
        <v>0</v>
      </c>
      <c r="SQ22" s="65"/>
      <c r="SR22" s="63"/>
      <c r="SS22" s="64">
        <f t="shared" si="513"/>
        <v>0</v>
      </c>
      <c r="ST22" s="65">
        <v>100</v>
      </c>
      <c r="SU22" s="63"/>
      <c r="SV22" s="64">
        <f t="shared" si="514"/>
        <v>100</v>
      </c>
      <c r="SW22" s="66">
        <f t="shared" si="208"/>
        <v>100</v>
      </c>
      <c r="SX22" s="67">
        <f t="shared" si="515"/>
        <v>0</v>
      </c>
      <c r="SY22" s="64">
        <f t="shared" si="516"/>
        <v>100</v>
      </c>
      <c r="SZ22" s="62">
        <v>985.33</v>
      </c>
      <c r="TA22" s="63">
        <v>985.33</v>
      </c>
      <c r="TB22" s="64">
        <f t="shared" si="517"/>
        <v>0</v>
      </c>
      <c r="TC22" s="65">
        <v>692.63</v>
      </c>
      <c r="TD22" s="63">
        <v>0</v>
      </c>
      <c r="TE22" s="64">
        <f t="shared" si="518"/>
        <v>692.63</v>
      </c>
      <c r="TF22" s="65"/>
      <c r="TG22" s="63"/>
      <c r="TH22" s="64">
        <f t="shared" si="519"/>
        <v>0</v>
      </c>
      <c r="TI22" s="65">
        <v>100</v>
      </c>
      <c r="TJ22" s="63"/>
      <c r="TK22" s="64">
        <f t="shared" si="520"/>
        <v>100</v>
      </c>
      <c r="TL22" s="66">
        <f t="shared" si="215"/>
        <v>1777.96</v>
      </c>
      <c r="TM22" s="67">
        <f t="shared" si="521"/>
        <v>985.33</v>
      </c>
      <c r="TN22" s="64">
        <f t="shared" si="522"/>
        <v>792.63</v>
      </c>
      <c r="TO22" s="62"/>
      <c r="TP22" s="63"/>
      <c r="TQ22" s="64">
        <f t="shared" si="523"/>
        <v>0</v>
      </c>
      <c r="TR22" s="65"/>
      <c r="TS22" s="63"/>
      <c r="TT22" s="64">
        <f t="shared" si="524"/>
        <v>0</v>
      </c>
      <c r="TU22" s="65"/>
      <c r="TV22" s="63"/>
      <c r="TW22" s="64">
        <f t="shared" si="525"/>
        <v>0</v>
      </c>
      <c r="TX22" s="65">
        <v>100</v>
      </c>
      <c r="TY22" s="63">
        <v>104.65</v>
      </c>
      <c r="TZ22" s="64">
        <f t="shared" si="526"/>
        <v>-4.6500000000000057</v>
      </c>
      <c r="UA22" s="66">
        <f t="shared" si="222"/>
        <v>100</v>
      </c>
      <c r="UB22" s="67">
        <f t="shared" si="527"/>
        <v>104.65</v>
      </c>
      <c r="UC22" s="64">
        <f t="shared" si="528"/>
        <v>-4.6500000000000057</v>
      </c>
      <c r="UD22" s="62">
        <v>1125</v>
      </c>
      <c r="UE22" s="63">
        <v>1125</v>
      </c>
      <c r="UF22" s="64">
        <f t="shared" si="529"/>
        <v>0</v>
      </c>
      <c r="UG22" s="65">
        <v>490.51</v>
      </c>
      <c r="UH22" s="63">
        <v>490.51</v>
      </c>
      <c r="UI22" s="64">
        <f t="shared" si="530"/>
        <v>0</v>
      </c>
      <c r="UJ22" s="65"/>
      <c r="UK22" s="63"/>
      <c r="UL22" s="64">
        <f t="shared" si="531"/>
        <v>0</v>
      </c>
      <c r="UM22" s="65">
        <v>100</v>
      </c>
      <c r="UN22" s="63"/>
      <c r="UO22" s="64">
        <f t="shared" si="532"/>
        <v>100</v>
      </c>
      <c r="UP22" s="66">
        <f t="shared" si="226"/>
        <v>1715.51</v>
      </c>
      <c r="UQ22" s="67">
        <f t="shared" si="533"/>
        <v>1615.51</v>
      </c>
      <c r="UR22" s="64">
        <f t="shared" si="534"/>
        <v>100</v>
      </c>
      <c r="US22" s="62"/>
      <c r="UT22" s="63"/>
      <c r="UU22" s="64">
        <f t="shared" si="535"/>
        <v>0</v>
      </c>
      <c r="UV22" s="65"/>
      <c r="UW22" s="63"/>
      <c r="UX22" s="64">
        <f t="shared" si="536"/>
        <v>0</v>
      </c>
      <c r="UY22" s="65"/>
      <c r="UZ22" s="63"/>
      <c r="VA22" s="64">
        <f t="shared" si="537"/>
        <v>0</v>
      </c>
      <c r="VB22" s="65">
        <v>100</v>
      </c>
      <c r="VC22" s="63"/>
      <c r="VD22" s="64">
        <f t="shared" si="538"/>
        <v>100</v>
      </c>
      <c r="VE22" s="66">
        <f t="shared" si="233"/>
        <v>100</v>
      </c>
      <c r="VF22" s="67">
        <f t="shared" si="539"/>
        <v>0</v>
      </c>
      <c r="VG22" s="64">
        <f t="shared" si="540"/>
        <v>100</v>
      </c>
      <c r="VH22" s="62"/>
      <c r="VI22" s="63"/>
      <c r="VJ22" s="64">
        <f t="shared" si="541"/>
        <v>0</v>
      </c>
      <c r="VK22" s="65"/>
      <c r="VL22" s="63"/>
      <c r="VM22" s="64">
        <f t="shared" si="542"/>
        <v>0</v>
      </c>
      <c r="VN22" s="65"/>
      <c r="VO22" s="63"/>
      <c r="VP22" s="64">
        <f t="shared" si="543"/>
        <v>0</v>
      </c>
      <c r="VQ22" s="65">
        <v>100</v>
      </c>
      <c r="VR22" s="63">
        <v>62.59</v>
      </c>
      <c r="VS22" s="64">
        <f t="shared" si="544"/>
        <v>37.409999999999997</v>
      </c>
      <c r="VT22" s="66">
        <f t="shared" si="240"/>
        <v>100</v>
      </c>
      <c r="VU22" s="67">
        <f t="shared" si="545"/>
        <v>62.59</v>
      </c>
      <c r="VV22" s="64">
        <f t="shared" si="546"/>
        <v>37.409999999999997</v>
      </c>
      <c r="VW22" s="62">
        <v>1303</v>
      </c>
      <c r="VX22" s="63">
        <v>1303</v>
      </c>
      <c r="VY22" s="64">
        <f t="shared" si="547"/>
        <v>0</v>
      </c>
      <c r="VZ22" s="65"/>
      <c r="WA22" s="63"/>
      <c r="WB22" s="64">
        <f t="shared" si="548"/>
        <v>0</v>
      </c>
      <c r="WC22" s="65"/>
      <c r="WD22" s="63"/>
      <c r="WE22" s="64">
        <f t="shared" si="549"/>
        <v>0</v>
      </c>
      <c r="WF22" s="65"/>
      <c r="WG22" s="63"/>
      <c r="WH22" s="64">
        <f t="shared" si="550"/>
        <v>0</v>
      </c>
      <c r="WI22" s="66">
        <f t="shared" si="247"/>
        <v>1303</v>
      </c>
      <c r="WJ22" s="67">
        <f t="shared" si="551"/>
        <v>1303</v>
      </c>
      <c r="WK22" s="64">
        <f t="shared" si="552"/>
        <v>0</v>
      </c>
      <c r="WL22" s="62">
        <v>1376.01</v>
      </c>
      <c r="WM22" s="63">
        <v>1376.01</v>
      </c>
      <c r="WN22" s="64">
        <f t="shared" si="553"/>
        <v>0</v>
      </c>
      <c r="WO22" s="65"/>
      <c r="WP22" s="63"/>
      <c r="WQ22" s="64">
        <f t="shared" si="554"/>
        <v>0</v>
      </c>
      <c r="WR22" s="65"/>
      <c r="WS22" s="63"/>
      <c r="WT22" s="64">
        <f t="shared" si="555"/>
        <v>0</v>
      </c>
      <c r="WU22" s="65">
        <v>100</v>
      </c>
      <c r="WV22" s="63"/>
      <c r="WW22" s="64">
        <f t="shared" si="556"/>
        <v>100</v>
      </c>
      <c r="WX22" s="66">
        <f t="shared" si="254"/>
        <v>1476.01</v>
      </c>
      <c r="WY22" s="67">
        <f t="shared" si="557"/>
        <v>1376.01</v>
      </c>
      <c r="WZ22" s="64">
        <f t="shared" si="558"/>
        <v>100</v>
      </c>
      <c r="XA22" s="62"/>
      <c r="XB22" s="63"/>
      <c r="XC22" s="64">
        <f t="shared" si="559"/>
        <v>0</v>
      </c>
      <c r="XD22" s="65"/>
      <c r="XE22" s="63"/>
      <c r="XF22" s="64">
        <f t="shared" si="560"/>
        <v>0</v>
      </c>
      <c r="XG22" s="65"/>
      <c r="XH22" s="63"/>
      <c r="XI22" s="64">
        <f t="shared" si="561"/>
        <v>0</v>
      </c>
      <c r="XJ22" s="65">
        <v>100</v>
      </c>
      <c r="XK22" s="63">
        <v>65.14</v>
      </c>
      <c r="XL22" s="64">
        <f t="shared" si="562"/>
        <v>34.86</v>
      </c>
      <c r="XM22" s="66">
        <f t="shared" si="261"/>
        <v>100</v>
      </c>
      <c r="XN22" s="67">
        <f t="shared" si="563"/>
        <v>65.14</v>
      </c>
      <c r="XO22" s="64">
        <f t="shared" si="564"/>
        <v>34.86</v>
      </c>
      <c r="XP22" s="62">
        <v>917</v>
      </c>
      <c r="XQ22" s="63">
        <v>917</v>
      </c>
      <c r="XR22" s="64">
        <f t="shared" si="565"/>
        <v>0</v>
      </c>
      <c r="XS22" s="65">
        <v>591.29999999999995</v>
      </c>
      <c r="XT22" s="63">
        <v>591.29999999999995</v>
      </c>
      <c r="XU22" s="64">
        <f t="shared" si="566"/>
        <v>0</v>
      </c>
      <c r="XV22" s="65"/>
      <c r="XW22" s="63"/>
      <c r="XX22" s="64">
        <f t="shared" si="567"/>
        <v>0</v>
      </c>
      <c r="XY22" s="65">
        <v>100</v>
      </c>
      <c r="XZ22" s="63">
        <v>96.17</v>
      </c>
      <c r="YA22" s="64">
        <f t="shared" si="568"/>
        <v>3.8299999999999983</v>
      </c>
      <c r="YB22" s="66">
        <f t="shared" si="268"/>
        <v>1608.3</v>
      </c>
      <c r="YC22" s="67">
        <f t="shared" si="569"/>
        <v>1604.47</v>
      </c>
      <c r="YD22" s="64">
        <f t="shared" si="570"/>
        <v>3.8299999999999272</v>
      </c>
      <c r="YE22" s="62">
        <v>890</v>
      </c>
      <c r="YF22" s="63">
        <v>890</v>
      </c>
      <c r="YG22" s="64">
        <f t="shared" si="571"/>
        <v>0</v>
      </c>
      <c r="YH22" s="65">
        <v>725.15</v>
      </c>
      <c r="YI22" s="63">
        <v>725.15</v>
      </c>
      <c r="YJ22" s="64">
        <f t="shared" si="572"/>
        <v>0</v>
      </c>
      <c r="YK22" s="65"/>
      <c r="YL22" s="63"/>
      <c r="YM22" s="64">
        <f t="shared" si="573"/>
        <v>0</v>
      </c>
      <c r="YN22" s="65">
        <v>100</v>
      </c>
      <c r="YO22" s="63">
        <v>45.3</v>
      </c>
      <c r="YP22" s="64">
        <f t="shared" si="574"/>
        <v>54.7</v>
      </c>
      <c r="YQ22" s="66">
        <f t="shared" si="275"/>
        <v>1715.15</v>
      </c>
      <c r="YR22" s="67">
        <f t="shared" si="575"/>
        <v>1660.45</v>
      </c>
      <c r="YS22" s="64">
        <f t="shared" si="576"/>
        <v>54.700000000000045</v>
      </c>
      <c r="YT22" s="62">
        <v>932</v>
      </c>
      <c r="YU22" s="63">
        <v>932</v>
      </c>
      <c r="YV22" s="64">
        <f t="shared" si="577"/>
        <v>0</v>
      </c>
      <c r="YW22" s="65">
        <v>513.28</v>
      </c>
      <c r="YX22" s="63">
        <v>513.28</v>
      </c>
      <c r="YY22" s="64">
        <f t="shared" si="578"/>
        <v>0</v>
      </c>
      <c r="YZ22" s="65"/>
      <c r="ZA22" s="63"/>
      <c r="ZB22" s="64">
        <f t="shared" si="579"/>
        <v>0</v>
      </c>
      <c r="ZC22" s="65">
        <v>100</v>
      </c>
      <c r="ZD22" s="63">
        <v>59.37</v>
      </c>
      <c r="ZE22" s="64">
        <f t="shared" si="580"/>
        <v>40.630000000000003</v>
      </c>
      <c r="ZF22" s="66">
        <f t="shared" si="282"/>
        <v>1545.28</v>
      </c>
      <c r="ZG22" s="67">
        <f t="shared" si="581"/>
        <v>1504.6499999999999</v>
      </c>
      <c r="ZH22" s="64">
        <f t="shared" si="582"/>
        <v>40.630000000000109</v>
      </c>
      <c r="ZI22" s="62">
        <v>1250</v>
      </c>
      <c r="ZJ22" s="63">
        <v>1250</v>
      </c>
      <c r="ZK22" s="64">
        <f t="shared" si="583"/>
        <v>0</v>
      </c>
      <c r="ZL22" s="65"/>
      <c r="ZM22" s="63"/>
      <c r="ZN22" s="64">
        <f t="shared" si="584"/>
        <v>0</v>
      </c>
      <c r="ZO22" s="65"/>
      <c r="ZP22" s="63">
        <v>1834.31</v>
      </c>
      <c r="ZQ22" s="64">
        <f t="shared" si="585"/>
        <v>-1834.31</v>
      </c>
      <c r="ZR22" s="65">
        <v>100</v>
      </c>
      <c r="ZS22" s="63"/>
      <c r="ZT22" s="64">
        <f t="shared" si="586"/>
        <v>100</v>
      </c>
      <c r="ZU22" s="66">
        <f t="shared" si="289"/>
        <v>1350</v>
      </c>
      <c r="ZV22" s="67">
        <f t="shared" si="587"/>
        <v>3084.31</v>
      </c>
      <c r="ZW22" s="64">
        <f t="shared" si="588"/>
        <v>-1734.31</v>
      </c>
      <c r="ZX22" s="62">
        <v>24.71</v>
      </c>
      <c r="ZY22" s="63">
        <v>24.71</v>
      </c>
      <c r="ZZ22" s="64">
        <f t="shared" si="589"/>
        <v>0</v>
      </c>
      <c r="AAA22" s="66">
        <f t="shared" si="293"/>
        <v>24.71</v>
      </c>
      <c r="AAB22" s="67">
        <f t="shared" si="293"/>
        <v>24.71</v>
      </c>
      <c r="AAC22" s="64">
        <f t="shared" si="590"/>
        <v>0</v>
      </c>
      <c r="AAD22" s="85">
        <f t="shared" si="295"/>
        <v>52104.869999999995</v>
      </c>
      <c r="AAE22" s="86">
        <f t="shared" si="295"/>
        <v>49933.51</v>
      </c>
      <c r="AAF22" s="87">
        <f t="shared" si="3"/>
        <v>0.95832711990261188</v>
      </c>
      <c r="AAG22" s="88">
        <f t="shared" si="591"/>
        <v>-2171.3599999999933</v>
      </c>
      <c r="AAH22" s="58" t="s">
        <v>145</v>
      </c>
      <c r="AAI22" s="59"/>
      <c r="AAJ22" s="59"/>
      <c r="AAK22" s="60"/>
    </row>
    <row r="23" spans="1:713" s="83" customFormat="1" ht="20" customHeight="1" x14ac:dyDescent="0.2">
      <c r="A23" s="57" t="s">
        <v>160</v>
      </c>
      <c r="B23" s="58"/>
      <c r="C23" s="59"/>
      <c r="D23" s="59"/>
      <c r="E23" s="60"/>
      <c r="F23" s="61">
        <v>45078</v>
      </c>
      <c r="G23" s="62"/>
      <c r="H23" s="63">
        <v>0</v>
      </c>
      <c r="I23" s="64">
        <f t="shared" si="340"/>
        <v>0</v>
      </c>
      <c r="J23" s="65">
        <v>2000</v>
      </c>
      <c r="K23" s="63">
        <v>2485.8200000000002</v>
      </c>
      <c r="L23" s="64">
        <f t="shared" si="341"/>
        <v>-485.82000000000016</v>
      </c>
      <c r="M23" s="65">
        <v>2000</v>
      </c>
      <c r="N23" s="63">
        <v>0</v>
      </c>
      <c r="O23" s="64">
        <f t="shared" si="342"/>
        <v>2000</v>
      </c>
      <c r="P23" s="65">
        <v>1000</v>
      </c>
      <c r="Q23" s="63">
        <v>1052.57</v>
      </c>
      <c r="R23" s="64">
        <f t="shared" si="343"/>
        <v>-52.569999999999936</v>
      </c>
      <c r="S23" s="65">
        <v>660.96</v>
      </c>
      <c r="T23" s="63">
        <v>251.9</v>
      </c>
      <c r="U23" s="64">
        <f t="shared" si="344"/>
        <v>409.06000000000006</v>
      </c>
      <c r="V23" s="66">
        <f t="shared" si="345"/>
        <v>5660.96</v>
      </c>
      <c r="W23" s="67">
        <f t="shared" si="345"/>
        <v>3790.2900000000004</v>
      </c>
      <c r="X23" s="64">
        <f t="shared" si="346"/>
        <v>1870.6699999999996</v>
      </c>
      <c r="Y23" s="62">
        <v>1100</v>
      </c>
      <c r="Z23" s="63">
        <v>1100</v>
      </c>
      <c r="AA23" s="64">
        <f t="shared" si="347"/>
        <v>0</v>
      </c>
      <c r="AB23" s="65"/>
      <c r="AC23" s="63"/>
      <c r="AD23" s="64">
        <f t="shared" si="348"/>
        <v>0</v>
      </c>
      <c r="AE23" s="65"/>
      <c r="AF23" s="63"/>
      <c r="AG23" s="64">
        <f t="shared" si="349"/>
        <v>0</v>
      </c>
      <c r="AH23" s="65"/>
      <c r="AI23" s="63"/>
      <c r="AJ23" s="64">
        <f t="shared" si="350"/>
        <v>0</v>
      </c>
      <c r="AK23" s="66">
        <f t="shared" si="16"/>
        <v>1100</v>
      </c>
      <c r="AL23" s="67">
        <f t="shared" si="17"/>
        <v>1100</v>
      </c>
      <c r="AM23" s="64">
        <f t="shared" si="351"/>
        <v>0</v>
      </c>
      <c r="AN23" s="62">
        <v>6250</v>
      </c>
      <c r="AO23" s="63">
        <v>6250</v>
      </c>
      <c r="AP23" s="64">
        <f t="shared" si="592"/>
        <v>0</v>
      </c>
      <c r="AQ23" s="65"/>
      <c r="AR23" s="63"/>
      <c r="AS23" s="64">
        <f t="shared" si="593"/>
        <v>0</v>
      </c>
      <c r="AT23" s="65"/>
      <c r="AU23" s="63"/>
      <c r="AV23" s="64">
        <f t="shared" si="594"/>
        <v>0</v>
      </c>
      <c r="AW23" s="65"/>
      <c r="AX23" s="63"/>
      <c r="AY23" s="64">
        <f t="shared" si="352"/>
        <v>0</v>
      </c>
      <c r="AZ23" s="66">
        <f t="shared" si="23"/>
        <v>6250</v>
      </c>
      <c r="BA23" s="67">
        <f t="shared" si="353"/>
        <v>6250</v>
      </c>
      <c r="BB23" s="64">
        <f t="shared" si="354"/>
        <v>0</v>
      </c>
      <c r="BC23" s="62"/>
      <c r="BD23" s="63"/>
      <c r="BE23" s="64">
        <f t="shared" si="355"/>
        <v>0</v>
      </c>
      <c r="BF23" s="65"/>
      <c r="BG23" s="63"/>
      <c r="BH23" s="64">
        <f t="shared" si="356"/>
        <v>0</v>
      </c>
      <c r="BI23" s="65"/>
      <c r="BJ23" s="63"/>
      <c r="BK23" s="64">
        <f t="shared" si="357"/>
        <v>0</v>
      </c>
      <c r="BL23" s="65">
        <v>100</v>
      </c>
      <c r="BM23" s="63"/>
      <c r="BN23" s="64">
        <f t="shared" si="358"/>
        <v>100</v>
      </c>
      <c r="BO23" s="66">
        <f t="shared" si="30"/>
        <v>100</v>
      </c>
      <c r="BP23" s="67">
        <f t="shared" si="359"/>
        <v>0</v>
      </c>
      <c r="BQ23" s="64">
        <f t="shared" si="360"/>
        <v>100</v>
      </c>
      <c r="BR23" s="62">
        <v>3416.66</v>
      </c>
      <c r="BS23" s="63">
        <v>3416.66</v>
      </c>
      <c r="BT23" s="64">
        <f t="shared" si="361"/>
        <v>0</v>
      </c>
      <c r="BU23" s="65"/>
      <c r="BV23" s="63"/>
      <c r="BW23" s="64">
        <f t="shared" si="362"/>
        <v>0</v>
      </c>
      <c r="BX23" s="65"/>
      <c r="BY23" s="63"/>
      <c r="BZ23" s="64">
        <f t="shared" si="363"/>
        <v>0</v>
      </c>
      <c r="CA23" s="65"/>
      <c r="CB23" s="63"/>
      <c r="CC23" s="64">
        <f t="shared" si="364"/>
        <v>0</v>
      </c>
      <c r="CD23" s="66">
        <f t="shared" si="33"/>
        <v>3416.66</v>
      </c>
      <c r="CE23" s="67">
        <f t="shared" si="365"/>
        <v>3416.66</v>
      </c>
      <c r="CF23" s="64">
        <f t="shared" si="366"/>
        <v>0</v>
      </c>
      <c r="CG23" s="62">
        <v>5000</v>
      </c>
      <c r="CH23" s="63">
        <v>5000</v>
      </c>
      <c r="CI23" s="64">
        <f t="shared" si="367"/>
        <v>0</v>
      </c>
      <c r="CJ23" s="65"/>
      <c r="CK23" s="63"/>
      <c r="CL23" s="64">
        <f t="shared" si="368"/>
        <v>0</v>
      </c>
      <c r="CM23" s="65"/>
      <c r="CN23" s="63"/>
      <c r="CO23" s="64">
        <f t="shared" si="369"/>
        <v>0</v>
      </c>
      <c r="CP23" s="65"/>
      <c r="CQ23" s="63"/>
      <c r="CR23" s="64">
        <f t="shared" si="370"/>
        <v>0</v>
      </c>
      <c r="CS23" s="66">
        <f t="shared" si="40"/>
        <v>5000</v>
      </c>
      <c r="CT23" s="67">
        <f t="shared" si="371"/>
        <v>5000</v>
      </c>
      <c r="CU23" s="64">
        <f t="shared" si="372"/>
        <v>0</v>
      </c>
      <c r="CV23" s="68"/>
      <c r="CW23" s="69"/>
      <c r="CX23" s="70"/>
      <c r="CY23" s="71"/>
      <c r="CZ23" s="69"/>
      <c r="DA23" s="70"/>
      <c r="DB23" s="71"/>
      <c r="DC23" s="69"/>
      <c r="DD23" s="70"/>
      <c r="DE23" s="71"/>
      <c r="DF23" s="69"/>
      <c r="DG23" s="70"/>
      <c r="DH23" s="66">
        <f t="shared" si="43"/>
        <v>0</v>
      </c>
      <c r="DI23" s="67">
        <f t="shared" si="373"/>
        <v>0</v>
      </c>
      <c r="DJ23" s="64">
        <f t="shared" si="374"/>
        <v>0</v>
      </c>
      <c r="DK23" s="68"/>
      <c r="DL23" s="69"/>
      <c r="DM23" s="70"/>
      <c r="DN23" s="71"/>
      <c r="DO23" s="69"/>
      <c r="DP23" s="70"/>
      <c r="DQ23" s="71"/>
      <c r="DR23" s="69"/>
      <c r="DS23" s="70"/>
      <c r="DT23" s="71"/>
      <c r="DU23" s="69"/>
      <c r="DV23" s="70"/>
      <c r="DW23" s="66">
        <f t="shared" si="46"/>
        <v>0</v>
      </c>
      <c r="DX23" s="67">
        <f t="shared" si="375"/>
        <v>0</v>
      </c>
      <c r="DY23" s="64">
        <f t="shared" si="376"/>
        <v>0</v>
      </c>
      <c r="DZ23" s="62"/>
      <c r="EA23" s="63"/>
      <c r="EB23" s="64">
        <f t="shared" si="377"/>
        <v>0</v>
      </c>
      <c r="EC23" s="65"/>
      <c r="ED23" s="63"/>
      <c r="EE23" s="64">
        <f t="shared" si="378"/>
        <v>0</v>
      </c>
      <c r="EF23" s="65"/>
      <c r="EG23" s="63"/>
      <c r="EH23" s="64">
        <f t="shared" si="379"/>
        <v>0</v>
      </c>
      <c r="EI23" s="65">
        <v>100</v>
      </c>
      <c r="EJ23" s="63"/>
      <c r="EK23" s="64">
        <f t="shared" si="380"/>
        <v>100</v>
      </c>
      <c r="EL23" s="66">
        <f t="shared" si="53"/>
        <v>100</v>
      </c>
      <c r="EM23" s="67">
        <f t="shared" si="381"/>
        <v>0</v>
      </c>
      <c r="EN23" s="64">
        <f t="shared" si="382"/>
        <v>100</v>
      </c>
      <c r="EO23" s="62">
        <v>7442.79</v>
      </c>
      <c r="EP23" s="63">
        <v>7682.38</v>
      </c>
      <c r="EQ23" s="64">
        <f t="shared" si="383"/>
        <v>-239.59000000000015</v>
      </c>
      <c r="ER23" s="65"/>
      <c r="ES23" s="63"/>
      <c r="ET23" s="64">
        <f t="shared" si="384"/>
        <v>0</v>
      </c>
      <c r="EU23" s="65"/>
      <c r="EV23" s="63"/>
      <c r="EW23" s="64">
        <f t="shared" si="385"/>
        <v>0</v>
      </c>
      <c r="EX23" s="65">
        <v>100</v>
      </c>
      <c r="EY23" s="63"/>
      <c r="EZ23" s="64">
        <f t="shared" si="386"/>
        <v>100</v>
      </c>
      <c r="FA23" s="66">
        <f t="shared" si="60"/>
        <v>7542.79</v>
      </c>
      <c r="FB23" s="67">
        <f t="shared" si="387"/>
        <v>7682.38</v>
      </c>
      <c r="FC23" s="64">
        <f t="shared" si="388"/>
        <v>-139.59000000000015</v>
      </c>
      <c r="FD23" s="62">
        <v>7442.79</v>
      </c>
      <c r="FE23" s="63">
        <v>7682.38</v>
      </c>
      <c r="FF23" s="64">
        <f t="shared" si="389"/>
        <v>-239.59000000000015</v>
      </c>
      <c r="FG23" s="65"/>
      <c r="FH23" s="63"/>
      <c r="FI23" s="64">
        <f t="shared" si="390"/>
        <v>0</v>
      </c>
      <c r="FJ23" s="65"/>
      <c r="FK23" s="63"/>
      <c r="FL23" s="64">
        <f t="shared" si="391"/>
        <v>0</v>
      </c>
      <c r="FM23" s="65">
        <v>100</v>
      </c>
      <c r="FN23" s="63"/>
      <c r="FO23" s="64">
        <f t="shared" si="392"/>
        <v>100</v>
      </c>
      <c r="FP23" s="66">
        <f t="shared" si="67"/>
        <v>7542.79</v>
      </c>
      <c r="FQ23" s="67">
        <f t="shared" si="393"/>
        <v>7682.38</v>
      </c>
      <c r="FR23" s="64">
        <f t="shared" si="394"/>
        <v>-139.59000000000015</v>
      </c>
      <c r="FS23" s="62"/>
      <c r="FT23" s="63"/>
      <c r="FU23" s="64">
        <f t="shared" si="395"/>
        <v>0</v>
      </c>
      <c r="FV23" s="65"/>
      <c r="FW23" s="63"/>
      <c r="FX23" s="64">
        <f t="shared" si="396"/>
        <v>0</v>
      </c>
      <c r="FY23" s="65"/>
      <c r="FZ23" s="63"/>
      <c r="GA23" s="64">
        <f t="shared" si="397"/>
        <v>0</v>
      </c>
      <c r="GB23" s="65"/>
      <c r="GC23" s="63"/>
      <c r="GD23" s="64">
        <f t="shared" si="398"/>
        <v>0</v>
      </c>
      <c r="GE23" s="66">
        <f t="shared" si="74"/>
        <v>0</v>
      </c>
      <c r="GF23" s="67">
        <f t="shared" si="399"/>
        <v>0</v>
      </c>
      <c r="GG23" s="64">
        <f t="shared" si="400"/>
        <v>0</v>
      </c>
      <c r="GH23" s="62">
        <v>18000</v>
      </c>
      <c r="GI23" s="63">
        <v>18000</v>
      </c>
      <c r="GJ23" s="64">
        <f t="shared" si="401"/>
        <v>0</v>
      </c>
      <c r="GK23" s="65"/>
      <c r="GL23" s="63"/>
      <c r="GM23" s="64">
        <f t="shared" si="402"/>
        <v>0</v>
      </c>
      <c r="GN23" s="65"/>
      <c r="GO23" s="63"/>
      <c r="GP23" s="64">
        <f t="shared" si="403"/>
        <v>0</v>
      </c>
      <c r="GQ23" s="65"/>
      <c r="GR23" s="63"/>
      <c r="GS23" s="64">
        <f t="shared" si="404"/>
        <v>0</v>
      </c>
      <c r="GT23" s="66">
        <f t="shared" si="81"/>
        <v>18000</v>
      </c>
      <c r="GU23" s="67">
        <f t="shared" si="405"/>
        <v>18000</v>
      </c>
      <c r="GV23" s="64">
        <f t="shared" si="406"/>
        <v>0</v>
      </c>
      <c r="GW23" s="68"/>
      <c r="GX23" s="69"/>
      <c r="GY23" s="70"/>
      <c r="GZ23" s="71"/>
      <c r="HA23" s="69"/>
      <c r="HB23" s="70"/>
      <c r="HC23" s="71"/>
      <c r="HD23" s="69"/>
      <c r="HE23" s="70"/>
      <c r="HF23" s="71"/>
      <c r="HG23" s="69"/>
      <c r="HH23" s="70"/>
      <c r="HI23" s="66">
        <f t="shared" si="84"/>
        <v>0</v>
      </c>
      <c r="HJ23" s="67">
        <f t="shared" si="407"/>
        <v>0</v>
      </c>
      <c r="HK23" s="64">
        <f t="shared" si="408"/>
        <v>0</v>
      </c>
      <c r="HL23" s="62"/>
      <c r="HM23" s="63"/>
      <c r="HN23" s="64">
        <f t="shared" si="409"/>
        <v>0</v>
      </c>
      <c r="HO23" s="65"/>
      <c r="HP23" s="63"/>
      <c r="HQ23" s="64">
        <f t="shared" si="410"/>
        <v>0</v>
      </c>
      <c r="HR23" s="65"/>
      <c r="HS23" s="63"/>
      <c r="HT23" s="64">
        <f t="shared" si="411"/>
        <v>0</v>
      </c>
      <c r="HU23" s="65">
        <v>100</v>
      </c>
      <c r="HV23" s="63"/>
      <c r="HW23" s="64">
        <f t="shared" si="412"/>
        <v>100</v>
      </c>
      <c r="HX23" s="66">
        <f t="shared" si="91"/>
        <v>100</v>
      </c>
      <c r="HY23" s="67">
        <f t="shared" si="413"/>
        <v>0</v>
      </c>
      <c r="HZ23" s="64">
        <f t="shared" si="414"/>
        <v>100</v>
      </c>
      <c r="IA23" s="62"/>
      <c r="IB23" s="63"/>
      <c r="IC23" s="64">
        <f t="shared" si="415"/>
        <v>0</v>
      </c>
      <c r="ID23" s="65"/>
      <c r="IE23" s="63"/>
      <c r="IF23" s="64">
        <f t="shared" si="416"/>
        <v>0</v>
      </c>
      <c r="IG23" s="65">
        <v>601.78</v>
      </c>
      <c r="IH23" s="63">
        <v>405.9</v>
      </c>
      <c r="II23" s="64">
        <f t="shared" si="417"/>
        <v>195.88</v>
      </c>
      <c r="IJ23" s="65">
        <v>100</v>
      </c>
      <c r="IK23" s="63">
        <v>177.46</v>
      </c>
      <c r="IL23" s="64">
        <f t="shared" si="418"/>
        <v>-77.460000000000008</v>
      </c>
      <c r="IM23" s="66">
        <f t="shared" si="98"/>
        <v>701.78</v>
      </c>
      <c r="IN23" s="67">
        <f t="shared" si="419"/>
        <v>583.36</v>
      </c>
      <c r="IO23" s="64">
        <f t="shared" si="420"/>
        <v>118.41999999999996</v>
      </c>
      <c r="IP23" s="62">
        <v>5000</v>
      </c>
      <c r="IQ23" s="63">
        <v>5000</v>
      </c>
      <c r="IR23" s="64">
        <f t="shared" si="421"/>
        <v>0</v>
      </c>
      <c r="IS23" s="65"/>
      <c r="IT23" s="63"/>
      <c r="IU23" s="64">
        <f t="shared" si="422"/>
        <v>0</v>
      </c>
      <c r="IV23" s="65"/>
      <c r="IW23" s="63"/>
      <c r="IX23" s="64">
        <f t="shared" si="423"/>
        <v>0</v>
      </c>
      <c r="IY23" s="65"/>
      <c r="IZ23" s="63"/>
      <c r="JA23" s="64">
        <f t="shared" si="424"/>
        <v>0</v>
      </c>
      <c r="JB23" s="66">
        <f t="shared" si="105"/>
        <v>5000</v>
      </c>
      <c r="JC23" s="67">
        <f t="shared" si="425"/>
        <v>5000</v>
      </c>
      <c r="JD23" s="64">
        <f t="shared" si="426"/>
        <v>0</v>
      </c>
      <c r="JE23" s="62"/>
      <c r="JF23" s="63"/>
      <c r="JG23" s="64">
        <f t="shared" si="427"/>
        <v>0</v>
      </c>
      <c r="JH23" s="65">
        <v>442.35</v>
      </c>
      <c r="JI23" s="65">
        <v>442.35</v>
      </c>
      <c r="JJ23" s="64">
        <f t="shared" si="428"/>
        <v>0</v>
      </c>
      <c r="JK23" s="65"/>
      <c r="JL23" s="63"/>
      <c r="JM23" s="64">
        <f t="shared" si="429"/>
        <v>0</v>
      </c>
      <c r="JN23" s="65">
        <v>100</v>
      </c>
      <c r="JO23" s="63">
        <v>162.41</v>
      </c>
      <c r="JP23" s="64">
        <f t="shared" si="430"/>
        <v>-62.41</v>
      </c>
      <c r="JQ23" s="66">
        <f t="shared" si="112"/>
        <v>542.35</v>
      </c>
      <c r="JR23" s="67">
        <f t="shared" si="431"/>
        <v>604.76</v>
      </c>
      <c r="JS23" s="64">
        <f t="shared" si="432"/>
        <v>-62.409999999999968</v>
      </c>
      <c r="JT23" s="62">
        <v>5553.7</v>
      </c>
      <c r="JU23" s="63">
        <v>5553.7</v>
      </c>
      <c r="JV23" s="64">
        <f t="shared" si="433"/>
        <v>0</v>
      </c>
      <c r="JW23" s="65"/>
      <c r="JX23" s="63"/>
      <c r="JY23" s="64">
        <f t="shared" si="434"/>
        <v>0</v>
      </c>
      <c r="JZ23" s="65"/>
      <c r="KA23" s="63"/>
      <c r="KB23" s="64">
        <f t="shared" si="435"/>
        <v>0</v>
      </c>
      <c r="KC23" s="65">
        <v>100</v>
      </c>
      <c r="KD23" s="63"/>
      <c r="KE23" s="64">
        <f t="shared" si="436"/>
        <v>100</v>
      </c>
      <c r="KF23" s="66">
        <f t="shared" si="119"/>
        <v>5653.7</v>
      </c>
      <c r="KG23" s="67">
        <f t="shared" si="437"/>
        <v>5553.7</v>
      </c>
      <c r="KH23" s="64">
        <f t="shared" si="438"/>
        <v>100</v>
      </c>
      <c r="KI23" s="68"/>
      <c r="KJ23" s="69"/>
      <c r="KK23" s="70"/>
      <c r="KL23" s="71"/>
      <c r="KM23" s="69"/>
      <c r="KN23" s="70"/>
      <c r="KO23" s="71"/>
      <c r="KP23" s="69"/>
      <c r="KQ23" s="70"/>
      <c r="KR23" s="71"/>
      <c r="KS23" s="69"/>
      <c r="KT23" s="64">
        <f t="shared" si="439"/>
        <v>0</v>
      </c>
      <c r="KU23" s="66">
        <f t="shared" si="1"/>
        <v>0</v>
      </c>
      <c r="KV23" s="67">
        <f t="shared" si="440"/>
        <v>0</v>
      </c>
      <c r="KW23" s="64">
        <f t="shared" si="441"/>
        <v>0</v>
      </c>
      <c r="KX23" s="72"/>
      <c r="KY23" s="73"/>
      <c r="KZ23" s="74"/>
      <c r="LA23" s="75"/>
      <c r="LB23" s="73"/>
      <c r="LC23" s="74"/>
      <c r="LD23" s="75"/>
      <c r="LE23" s="73"/>
      <c r="LF23" s="74"/>
      <c r="LG23" s="75"/>
      <c r="LH23" s="73"/>
      <c r="LI23" s="74"/>
      <c r="LJ23" s="76"/>
      <c r="LK23" s="77"/>
      <c r="LL23" s="74"/>
      <c r="LM23" s="68"/>
      <c r="LN23" s="69"/>
      <c r="LO23" s="70"/>
      <c r="LP23" s="71"/>
      <c r="LQ23" s="69"/>
      <c r="LR23" s="70"/>
      <c r="LS23" s="71"/>
      <c r="LT23" s="69"/>
      <c r="LU23" s="70"/>
      <c r="LV23" s="71"/>
      <c r="LW23" s="69"/>
      <c r="LX23" s="64">
        <f t="shared" si="442"/>
        <v>0</v>
      </c>
      <c r="LY23" s="66">
        <f t="shared" si="124"/>
        <v>0</v>
      </c>
      <c r="LZ23" s="67">
        <f t="shared" si="443"/>
        <v>0</v>
      </c>
      <c r="MA23" s="64">
        <f t="shared" si="444"/>
        <v>0</v>
      </c>
      <c r="MB23" s="62">
        <v>650</v>
      </c>
      <c r="MC23" s="63">
        <v>650</v>
      </c>
      <c r="MD23" s="64">
        <f t="shared" si="445"/>
        <v>0</v>
      </c>
      <c r="ME23" s="65">
        <v>1050.2</v>
      </c>
      <c r="MF23" s="63">
        <v>1050.2</v>
      </c>
      <c r="MG23" s="64">
        <f>ME23-MF23</f>
        <v>0</v>
      </c>
      <c r="MH23" s="65"/>
      <c r="MI23" s="63"/>
      <c r="MJ23" s="64">
        <f t="shared" si="447"/>
        <v>0</v>
      </c>
      <c r="MK23" s="65">
        <v>100</v>
      </c>
      <c r="ML23" s="63"/>
      <c r="MM23" s="64">
        <f t="shared" si="448"/>
        <v>100</v>
      </c>
      <c r="MN23" s="66">
        <f>MB23+ME23+MH23+MK23</f>
        <v>1800.2</v>
      </c>
      <c r="MO23" s="67">
        <f t="shared" si="449"/>
        <v>1700.2</v>
      </c>
      <c r="MP23" s="64">
        <f t="shared" si="450"/>
        <v>100</v>
      </c>
      <c r="MQ23" s="62"/>
      <c r="MR23" s="63"/>
      <c r="MS23" s="64">
        <f t="shared" si="451"/>
        <v>0</v>
      </c>
      <c r="MT23" s="65"/>
      <c r="MU23" s="63"/>
      <c r="MV23" s="64">
        <f t="shared" si="452"/>
        <v>0</v>
      </c>
      <c r="MW23" s="65"/>
      <c r="MX23" s="63"/>
      <c r="MY23" s="64">
        <f t="shared" si="453"/>
        <v>0</v>
      </c>
      <c r="MZ23" s="65"/>
      <c r="NA23" s="63"/>
      <c r="NB23" s="64">
        <f t="shared" si="454"/>
        <v>0</v>
      </c>
      <c r="NC23" s="66">
        <f t="shared" si="138"/>
        <v>0</v>
      </c>
      <c r="ND23" s="67">
        <f t="shared" si="455"/>
        <v>0</v>
      </c>
      <c r="NE23" s="64">
        <f t="shared" si="456"/>
        <v>0</v>
      </c>
      <c r="NF23" s="62">
        <v>1000</v>
      </c>
      <c r="NG23" s="63">
        <v>1000</v>
      </c>
      <c r="NH23" s="64">
        <f t="shared" si="457"/>
        <v>0</v>
      </c>
      <c r="NI23" s="65">
        <v>886.87</v>
      </c>
      <c r="NJ23" s="63">
        <v>886.87</v>
      </c>
      <c r="NK23" s="64">
        <f t="shared" si="458"/>
        <v>0</v>
      </c>
      <c r="NL23" s="65"/>
      <c r="NM23" s="63"/>
      <c r="NN23" s="64">
        <f t="shared" si="459"/>
        <v>0</v>
      </c>
      <c r="NO23" s="65">
        <v>100</v>
      </c>
      <c r="NP23" s="63"/>
      <c r="NQ23" s="64">
        <f t="shared" si="460"/>
        <v>100</v>
      </c>
      <c r="NR23" s="66">
        <f t="shared" si="145"/>
        <v>1986.87</v>
      </c>
      <c r="NS23" s="67">
        <f t="shared" si="461"/>
        <v>1886.87</v>
      </c>
      <c r="NT23" s="64">
        <f t="shared" si="462"/>
        <v>100</v>
      </c>
      <c r="NU23" s="62">
        <v>864</v>
      </c>
      <c r="NV23" s="63">
        <v>864</v>
      </c>
      <c r="NW23" s="64">
        <f t="shared" si="463"/>
        <v>0</v>
      </c>
      <c r="NX23" s="65">
        <v>1004.52</v>
      </c>
      <c r="NY23" s="63">
        <v>1004.52</v>
      </c>
      <c r="NZ23" s="64">
        <f t="shared" si="464"/>
        <v>0</v>
      </c>
      <c r="OA23" s="65"/>
      <c r="OB23" s="63"/>
      <c r="OC23" s="64">
        <f t="shared" si="465"/>
        <v>0</v>
      </c>
      <c r="OD23" s="65">
        <v>100</v>
      </c>
      <c r="OE23" s="63"/>
      <c r="OF23" s="64">
        <f t="shared" si="466"/>
        <v>100</v>
      </c>
      <c r="OG23" s="66">
        <f t="shared" si="152"/>
        <v>1968.52</v>
      </c>
      <c r="OH23" s="67">
        <f t="shared" si="467"/>
        <v>1868.52</v>
      </c>
      <c r="OI23" s="64">
        <f t="shared" si="468"/>
        <v>100</v>
      </c>
      <c r="OJ23" s="62"/>
      <c r="OK23" s="63"/>
      <c r="OL23" s="64">
        <f t="shared" si="469"/>
        <v>0</v>
      </c>
      <c r="OM23" s="65"/>
      <c r="ON23" s="63"/>
      <c r="OO23" s="64">
        <f t="shared" si="470"/>
        <v>0</v>
      </c>
      <c r="OP23" s="65"/>
      <c r="OQ23" s="63"/>
      <c r="OR23" s="64">
        <f t="shared" si="471"/>
        <v>0</v>
      </c>
      <c r="OS23" s="65">
        <v>100</v>
      </c>
      <c r="OT23" s="63">
        <v>160.75</v>
      </c>
      <c r="OU23" s="64">
        <f t="shared" si="472"/>
        <v>-60.75</v>
      </c>
      <c r="OV23" s="66">
        <f t="shared" si="159"/>
        <v>100</v>
      </c>
      <c r="OW23" s="67">
        <f t="shared" si="473"/>
        <v>160.75</v>
      </c>
      <c r="OX23" s="64">
        <f t="shared" si="474"/>
        <v>-60.75</v>
      </c>
      <c r="OY23" s="62"/>
      <c r="OZ23" s="63"/>
      <c r="PA23" s="64">
        <f t="shared" si="475"/>
        <v>0</v>
      </c>
      <c r="PB23" s="65"/>
      <c r="PC23" s="63">
        <v>603.98</v>
      </c>
      <c r="PD23" s="64">
        <f t="shared" si="476"/>
        <v>-603.98</v>
      </c>
      <c r="PE23" s="65"/>
      <c r="PF23" s="63"/>
      <c r="PG23" s="64">
        <f t="shared" si="477"/>
        <v>0</v>
      </c>
      <c r="PH23" s="65">
        <v>100</v>
      </c>
      <c r="PI23" s="63">
        <v>191.3</v>
      </c>
      <c r="PJ23" s="64">
        <f t="shared" si="478"/>
        <v>-91.300000000000011</v>
      </c>
      <c r="PK23" s="66">
        <f t="shared" si="166"/>
        <v>100</v>
      </c>
      <c r="PL23" s="67">
        <f t="shared" si="479"/>
        <v>795.28</v>
      </c>
      <c r="PM23" s="64">
        <f t="shared" si="480"/>
        <v>-695.28</v>
      </c>
      <c r="PN23" s="62">
        <v>1400</v>
      </c>
      <c r="PO23" s="63">
        <v>1400</v>
      </c>
      <c r="PP23" s="64">
        <f t="shared" si="481"/>
        <v>0</v>
      </c>
      <c r="PQ23" s="65"/>
      <c r="PR23" s="63"/>
      <c r="PS23" s="64">
        <f t="shared" si="482"/>
        <v>0</v>
      </c>
      <c r="PT23" s="65"/>
      <c r="PU23" s="63"/>
      <c r="PV23" s="64">
        <f t="shared" si="483"/>
        <v>0</v>
      </c>
      <c r="PW23" s="65">
        <v>100</v>
      </c>
      <c r="PX23" s="63">
        <v>156.09</v>
      </c>
      <c r="PY23" s="64">
        <f t="shared" si="484"/>
        <v>-56.09</v>
      </c>
      <c r="PZ23" s="66">
        <f t="shared" si="173"/>
        <v>1500</v>
      </c>
      <c r="QA23" s="67">
        <f t="shared" si="485"/>
        <v>1556.09</v>
      </c>
      <c r="QB23" s="64">
        <f t="shared" si="486"/>
        <v>-56.089999999999918</v>
      </c>
      <c r="QC23" s="62"/>
      <c r="QD23" s="63"/>
      <c r="QE23" s="64">
        <f t="shared" si="487"/>
        <v>0</v>
      </c>
      <c r="QF23" s="65"/>
      <c r="QG23" s="63"/>
      <c r="QH23" s="64">
        <f t="shared" si="488"/>
        <v>0</v>
      </c>
      <c r="QI23" s="65"/>
      <c r="QJ23" s="63"/>
      <c r="QK23" s="64">
        <f t="shared" si="489"/>
        <v>0</v>
      </c>
      <c r="QL23" s="65">
        <v>100</v>
      </c>
      <c r="QM23" s="63"/>
      <c r="QN23" s="64">
        <f t="shared" si="490"/>
        <v>100</v>
      </c>
      <c r="QO23" s="66">
        <f t="shared" si="180"/>
        <v>100</v>
      </c>
      <c r="QP23" s="67">
        <f t="shared" si="491"/>
        <v>0</v>
      </c>
      <c r="QQ23" s="64">
        <f t="shared" si="492"/>
        <v>100</v>
      </c>
      <c r="QR23" s="62"/>
      <c r="QS23" s="63"/>
      <c r="QT23" s="64">
        <f t="shared" si="493"/>
        <v>0</v>
      </c>
      <c r="QU23" s="65"/>
      <c r="QV23" s="63"/>
      <c r="QW23" s="64">
        <f t="shared" si="494"/>
        <v>0</v>
      </c>
      <c r="QX23" s="65"/>
      <c r="QY23" s="63"/>
      <c r="QZ23" s="64">
        <f t="shared" si="495"/>
        <v>0</v>
      </c>
      <c r="RA23" s="65"/>
      <c r="RB23" s="63"/>
      <c r="RC23" s="64">
        <f t="shared" si="496"/>
        <v>0</v>
      </c>
      <c r="RD23" s="66">
        <f t="shared" si="187"/>
        <v>0</v>
      </c>
      <c r="RE23" s="67">
        <f t="shared" si="497"/>
        <v>0</v>
      </c>
      <c r="RF23" s="64">
        <f t="shared" si="498"/>
        <v>0</v>
      </c>
      <c r="RG23" s="62"/>
      <c r="RH23" s="63"/>
      <c r="RI23" s="64">
        <f t="shared" si="499"/>
        <v>0</v>
      </c>
      <c r="RJ23" s="65"/>
      <c r="RK23" s="63"/>
      <c r="RL23" s="64">
        <f t="shared" si="500"/>
        <v>0</v>
      </c>
      <c r="RM23" s="65"/>
      <c r="RN23" s="63"/>
      <c r="RO23" s="64">
        <f t="shared" si="501"/>
        <v>0</v>
      </c>
      <c r="RP23" s="65"/>
      <c r="RQ23" s="63"/>
      <c r="RR23" s="64">
        <f t="shared" si="502"/>
        <v>0</v>
      </c>
      <c r="RS23" s="66">
        <f t="shared" si="194"/>
        <v>0</v>
      </c>
      <c r="RT23" s="67">
        <f t="shared" si="503"/>
        <v>0</v>
      </c>
      <c r="RU23" s="64">
        <f t="shared" si="504"/>
        <v>0</v>
      </c>
      <c r="RV23" s="62"/>
      <c r="RW23" s="63"/>
      <c r="RX23" s="64">
        <f t="shared" si="505"/>
        <v>0</v>
      </c>
      <c r="RY23" s="65"/>
      <c r="RZ23" s="63"/>
      <c r="SA23" s="64">
        <f t="shared" si="506"/>
        <v>0</v>
      </c>
      <c r="SB23" s="65"/>
      <c r="SC23" s="63"/>
      <c r="SD23" s="64">
        <f t="shared" si="507"/>
        <v>0</v>
      </c>
      <c r="SE23" s="65">
        <v>100</v>
      </c>
      <c r="SF23" s="63">
        <v>85.01</v>
      </c>
      <c r="SG23" s="64">
        <f t="shared" si="508"/>
        <v>14.989999999999995</v>
      </c>
      <c r="SH23" s="66">
        <f t="shared" si="201"/>
        <v>100</v>
      </c>
      <c r="SI23" s="67">
        <f t="shared" si="509"/>
        <v>85.01</v>
      </c>
      <c r="SJ23" s="64">
        <f t="shared" si="510"/>
        <v>14.989999999999995</v>
      </c>
      <c r="SK23" s="62"/>
      <c r="SL23" s="63"/>
      <c r="SM23" s="64">
        <f t="shared" si="511"/>
        <v>0</v>
      </c>
      <c r="SN23" s="65"/>
      <c r="SO23" s="63"/>
      <c r="SP23" s="64">
        <f t="shared" si="512"/>
        <v>0</v>
      </c>
      <c r="SQ23" s="65"/>
      <c r="SR23" s="63"/>
      <c r="SS23" s="64">
        <f t="shared" si="513"/>
        <v>0</v>
      </c>
      <c r="ST23" s="65">
        <v>100</v>
      </c>
      <c r="SU23" s="63">
        <v>154.4</v>
      </c>
      <c r="SV23" s="64">
        <f t="shared" si="514"/>
        <v>-54.400000000000006</v>
      </c>
      <c r="SW23" s="66">
        <f t="shared" si="208"/>
        <v>100</v>
      </c>
      <c r="SX23" s="67">
        <f t="shared" si="515"/>
        <v>154.4</v>
      </c>
      <c r="SY23" s="64">
        <f t="shared" si="516"/>
        <v>-54.400000000000006</v>
      </c>
      <c r="SZ23" s="62">
        <v>985.33</v>
      </c>
      <c r="TA23" s="63">
        <v>985.33</v>
      </c>
      <c r="TB23" s="64">
        <f t="shared" si="517"/>
        <v>0</v>
      </c>
      <c r="TC23" s="65">
        <v>700.9</v>
      </c>
      <c r="TD23" s="63">
        <v>692.63</v>
      </c>
      <c r="TE23" s="64">
        <f t="shared" si="518"/>
        <v>8.2699999999999818</v>
      </c>
      <c r="TF23" s="65"/>
      <c r="TG23" s="63"/>
      <c r="TH23" s="64">
        <f t="shared" si="519"/>
        <v>0</v>
      </c>
      <c r="TI23" s="65">
        <v>100</v>
      </c>
      <c r="TJ23" s="63"/>
      <c r="TK23" s="64">
        <f t="shared" si="520"/>
        <v>100</v>
      </c>
      <c r="TL23" s="66">
        <f t="shared" si="215"/>
        <v>1786.23</v>
      </c>
      <c r="TM23" s="67">
        <f t="shared" si="521"/>
        <v>1677.96</v>
      </c>
      <c r="TN23" s="64">
        <f t="shared" si="522"/>
        <v>108.26999999999998</v>
      </c>
      <c r="TO23" s="62"/>
      <c r="TP23" s="63"/>
      <c r="TQ23" s="64">
        <f t="shared" si="523"/>
        <v>0</v>
      </c>
      <c r="TR23" s="65"/>
      <c r="TS23" s="63"/>
      <c r="TT23" s="64">
        <f t="shared" si="524"/>
        <v>0</v>
      </c>
      <c r="TU23" s="65"/>
      <c r="TV23" s="63"/>
      <c r="TW23" s="64">
        <f t="shared" si="525"/>
        <v>0</v>
      </c>
      <c r="TX23" s="65">
        <v>100</v>
      </c>
      <c r="TY23" s="63">
        <v>129.52000000000001</v>
      </c>
      <c r="TZ23" s="64">
        <f t="shared" si="526"/>
        <v>-29.52000000000001</v>
      </c>
      <c r="UA23" s="66">
        <f t="shared" si="222"/>
        <v>100</v>
      </c>
      <c r="UB23" s="67">
        <f t="shared" si="527"/>
        <v>129.52000000000001</v>
      </c>
      <c r="UC23" s="64">
        <f t="shared" si="528"/>
        <v>-29.52000000000001</v>
      </c>
      <c r="UD23" s="62">
        <v>1125</v>
      </c>
      <c r="UE23" s="63">
        <v>1125</v>
      </c>
      <c r="UF23" s="64">
        <f t="shared" si="529"/>
        <v>0</v>
      </c>
      <c r="UG23" s="65">
        <v>490.51</v>
      </c>
      <c r="UH23" s="63">
        <v>490.51</v>
      </c>
      <c r="UI23" s="64">
        <f t="shared" si="530"/>
        <v>0</v>
      </c>
      <c r="UJ23" s="65"/>
      <c r="UK23" s="63"/>
      <c r="UL23" s="64">
        <f t="shared" si="531"/>
        <v>0</v>
      </c>
      <c r="UM23" s="65">
        <v>100</v>
      </c>
      <c r="UN23" s="63"/>
      <c r="UO23" s="64">
        <f t="shared" si="532"/>
        <v>100</v>
      </c>
      <c r="UP23" s="66">
        <f t="shared" si="226"/>
        <v>1715.51</v>
      </c>
      <c r="UQ23" s="67">
        <f t="shared" si="533"/>
        <v>1615.51</v>
      </c>
      <c r="UR23" s="64">
        <f t="shared" si="534"/>
        <v>100</v>
      </c>
      <c r="US23" s="62"/>
      <c r="UT23" s="63"/>
      <c r="UU23" s="64">
        <f t="shared" si="535"/>
        <v>0</v>
      </c>
      <c r="UV23" s="65"/>
      <c r="UW23" s="63"/>
      <c r="UX23" s="64">
        <f t="shared" si="536"/>
        <v>0</v>
      </c>
      <c r="UY23" s="65"/>
      <c r="UZ23" s="63"/>
      <c r="VA23" s="64">
        <f t="shared" si="537"/>
        <v>0</v>
      </c>
      <c r="VB23" s="65">
        <v>100</v>
      </c>
      <c r="VC23" s="63"/>
      <c r="VD23" s="64">
        <f t="shared" si="538"/>
        <v>100</v>
      </c>
      <c r="VE23" s="66">
        <f t="shared" si="233"/>
        <v>100</v>
      </c>
      <c r="VF23" s="67">
        <f t="shared" si="539"/>
        <v>0</v>
      </c>
      <c r="VG23" s="64">
        <f t="shared" si="540"/>
        <v>100</v>
      </c>
      <c r="VH23" s="62"/>
      <c r="VI23" s="63"/>
      <c r="VJ23" s="64">
        <f t="shared" si="541"/>
        <v>0</v>
      </c>
      <c r="VK23" s="65"/>
      <c r="VL23" s="63"/>
      <c r="VM23" s="64">
        <f t="shared" si="542"/>
        <v>0</v>
      </c>
      <c r="VN23" s="65"/>
      <c r="VO23" s="63"/>
      <c r="VP23" s="64">
        <f t="shared" si="543"/>
        <v>0</v>
      </c>
      <c r="VQ23" s="65">
        <v>100</v>
      </c>
      <c r="VR23" s="63">
        <v>109.7</v>
      </c>
      <c r="VS23" s="64">
        <f t="shared" si="544"/>
        <v>-9.7000000000000028</v>
      </c>
      <c r="VT23" s="66">
        <f t="shared" si="240"/>
        <v>100</v>
      </c>
      <c r="VU23" s="67">
        <f t="shared" si="545"/>
        <v>109.7</v>
      </c>
      <c r="VV23" s="64">
        <f t="shared" si="546"/>
        <v>-9.7000000000000028</v>
      </c>
      <c r="VW23" s="62">
        <v>1303</v>
      </c>
      <c r="VX23" s="63">
        <v>1303</v>
      </c>
      <c r="VY23" s="64">
        <f t="shared" si="547"/>
        <v>0</v>
      </c>
      <c r="VZ23" s="65"/>
      <c r="WA23" s="63"/>
      <c r="WB23" s="64">
        <f t="shared" si="548"/>
        <v>0</v>
      </c>
      <c r="WC23" s="65"/>
      <c r="WD23" s="63"/>
      <c r="WE23" s="64">
        <f t="shared" si="549"/>
        <v>0</v>
      </c>
      <c r="WF23" s="65"/>
      <c r="WG23" s="63"/>
      <c r="WH23" s="64">
        <f t="shared" si="550"/>
        <v>0</v>
      </c>
      <c r="WI23" s="66">
        <f t="shared" si="247"/>
        <v>1303</v>
      </c>
      <c r="WJ23" s="67">
        <f t="shared" si="551"/>
        <v>1303</v>
      </c>
      <c r="WK23" s="64">
        <f t="shared" si="552"/>
        <v>0</v>
      </c>
      <c r="WL23" s="62">
        <v>1376.01</v>
      </c>
      <c r="WM23" s="63">
        <v>1376.01</v>
      </c>
      <c r="WN23" s="64">
        <f t="shared" si="553"/>
        <v>0</v>
      </c>
      <c r="WO23" s="65"/>
      <c r="WP23" s="63"/>
      <c r="WQ23" s="64">
        <f t="shared" si="554"/>
        <v>0</v>
      </c>
      <c r="WR23" s="65"/>
      <c r="WS23" s="63"/>
      <c r="WT23" s="64">
        <f t="shared" si="555"/>
        <v>0</v>
      </c>
      <c r="WU23" s="65">
        <v>100</v>
      </c>
      <c r="WV23" s="63">
        <v>103.76</v>
      </c>
      <c r="WW23" s="64">
        <f t="shared" si="556"/>
        <v>-3.7600000000000051</v>
      </c>
      <c r="WX23" s="66">
        <f t="shared" si="254"/>
        <v>1476.01</v>
      </c>
      <c r="WY23" s="67">
        <f t="shared" si="557"/>
        <v>1479.77</v>
      </c>
      <c r="WZ23" s="64">
        <f t="shared" si="558"/>
        <v>-3.7599999999999909</v>
      </c>
      <c r="XA23" s="62">
        <v>16500</v>
      </c>
      <c r="XB23" s="63">
        <v>16500</v>
      </c>
      <c r="XC23" s="64">
        <f t="shared" si="559"/>
        <v>0</v>
      </c>
      <c r="XD23" s="65"/>
      <c r="XE23" s="63"/>
      <c r="XF23" s="64">
        <f t="shared" si="560"/>
        <v>0</v>
      </c>
      <c r="XG23" s="65"/>
      <c r="XH23" s="63"/>
      <c r="XI23" s="64">
        <f t="shared" si="561"/>
        <v>0</v>
      </c>
      <c r="XJ23" s="65">
        <v>100</v>
      </c>
      <c r="XK23" s="63">
        <v>89.14</v>
      </c>
      <c r="XL23" s="64">
        <f t="shared" si="562"/>
        <v>10.86</v>
      </c>
      <c r="XM23" s="66">
        <f t="shared" si="261"/>
        <v>16600</v>
      </c>
      <c r="XN23" s="67">
        <f t="shared" si="563"/>
        <v>16589.14</v>
      </c>
      <c r="XO23" s="64">
        <f t="shared" si="564"/>
        <v>10.860000000000582</v>
      </c>
      <c r="XP23" s="62">
        <v>917</v>
      </c>
      <c r="XQ23" s="63">
        <v>917</v>
      </c>
      <c r="XR23" s="64">
        <f t="shared" si="565"/>
        <v>0</v>
      </c>
      <c r="XS23" s="65">
        <v>591.29999999999995</v>
      </c>
      <c r="XT23" s="63">
        <v>591.29999999999995</v>
      </c>
      <c r="XU23" s="64">
        <f t="shared" si="566"/>
        <v>0</v>
      </c>
      <c r="XV23" s="65"/>
      <c r="XW23" s="63"/>
      <c r="XX23" s="64">
        <f t="shared" si="567"/>
        <v>0</v>
      </c>
      <c r="XY23" s="65">
        <v>100</v>
      </c>
      <c r="XZ23" s="63">
        <v>78.819999999999993</v>
      </c>
      <c r="YA23" s="64">
        <f t="shared" si="568"/>
        <v>21.180000000000007</v>
      </c>
      <c r="YB23" s="66">
        <f t="shared" si="268"/>
        <v>1608.3</v>
      </c>
      <c r="YC23" s="67">
        <f t="shared" si="569"/>
        <v>1587.12</v>
      </c>
      <c r="YD23" s="64">
        <f t="shared" si="570"/>
        <v>21.180000000000064</v>
      </c>
      <c r="YE23" s="62">
        <v>890</v>
      </c>
      <c r="YF23" s="63">
        <v>890</v>
      </c>
      <c r="YG23" s="64">
        <f t="shared" si="571"/>
        <v>0</v>
      </c>
      <c r="YH23" s="65">
        <v>725.15</v>
      </c>
      <c r="YI23" s="63">
        <v>725.15</v>
      </c>
      <c r="YJ23" s="64">
        <f t="shared" si="572"/>
        <v>0</v>
      </c>
      <c r="YK23" s="65"/>
      <c r="YL23" s="63"/>
      <c r="YM23" s="64">
        <f t="shared" si="573"/>
        <v>0</v>
      </c>
      <c r="YN23" s="65">
        <v>100</v>
      </c>
      <c r="YO23" s="63">
        <v>150.85</v>
      </c>
      <c r="YP23" s="64">
        <f t="shared" si="574"/>
        <v>-50.849999999999994</v>
      </c>
      <c r="YQ23" s="66">
        <f t="shared" si="275"/>
        <v>1715.15</v>
      </c>
      <c r="YR23" s="67">
        <f t="shared" si="575"/>
        <v>1766</v>
      </c>
      <c r="YS23" s="64">
        <f t="shared" si="576"/>
        <v>-50.849999999999909</v>
      </c>
      <c r="YT23" s="62">
        <v>932</v>
      </c>
      <c r="YU23" s="63">
        <v>932</v>
      </c>
      <c r="YV23" s="64">
        <f t="shared" si="577"/>
        <v>0</v>
      </c>
      <c r="YW23" s="65">
        <v>513.28</v>
      </c>
      <c r="YX23" s="63">
        <v>513.28</v>
      </c>
      <c r="YY23" s="64">
        <f t="shared" si="578"/>
        <v>0</v>
      </c>
      <c r="YZ23" s="65"/>
      <c r="ZA23" s="63"/>
      <c r="ZB23" s="64">
        <f t="shared" si="579"/>
        <v>0</v>
      </c>
      <c r="ZC23" s="65">
        <v>100</v>
      </c>
      <c r="ZD23" s="63">
        <v>135.9</v>
      </c>
      <c r="ZE23" s="64">
        <f t="shared" si="580"/>
        <v>-35.900000000000006</v>
      </c>
      <c r="ZF23" s="66">
        <f t="shared" si="282"/>
        <v>1545.28</v>
      </c>
      <c r="ZG23" s="67">
        <f t="shared" si="581"/>
        <v>1581.18</v>
      </c>
      <c r="ZH23" s="64">
        <f t="shared" si="582"/>
        <v>-35.900000000000091</v>
      </c>
      <c r="ZI23" s="62">
        <v>1250</v>
      </c>
      <c r="ZJ23" s="63">
        <v>1250</v>
      </c>
      <c r="ZK23" s="64">
        <f t="shared" si="583"/>
        <v>0</v>
      </c>
      <c r="ZL23" s="65"/>
      <c r="ZM23" s="63"/>
      <c r="ZN23" s="64">
        <f t="shared" si="584"/>
        <v>0</v>
      </c>
      <c r="ZO23" s="65"/>
      <c r="ZP23" s="63"/>
      <c r="ZQ23" s="64">
        <f t="shared" si="585"/>
        <v>0</v>
      </c>
      <c r="ZR23" s="65">
        <v>100</v>
      </c>
      <c r="ZS23" s="63">
        <v>433.01</v>
      </c>
      <c r="ZT23" s="64">
        <f t="shared" si="586"/>
        <v>-333.01</v>
      </c>
      <c r="ZU23" s="66">
        <f t="shared" si="289"/>
        <v>1350</v>
      </c>
      <c r="ZV23" s="67">
        <f t="shared" si="587"/>
        <v>1683.01</v>
      </c>
      <c r="ZW23" s="64">
        <f t="shared" si="588"/>
        <v>-333.01</v>
      </c>
      <c r="ZX23" s="62">
        <v>24.71</v>
      </c>
      <c r="ZY23" s="63">
        <v>24.71</v>
      </c>
      <c r="ZZ23" s="64">
        <f t="shared" si="589"/>
        <v>0</v>
      </c>
      <c r="AAA23" s="66">
        <f t="shared" si="293"/>
        <v>24.71</v>
      </c>
      <c r="AAB23" s="67">
        <f t="shared" si="293"/>
        <v>24.71</v>
      </c>
      <c r="AAC23" s="64">
        <f t="shared" si="590"/>
        <v>0</v>
      </c>
      <c r="AAD23" s="85">
        <f t="shared" si="295"/>
        <v>102563.09999999999</v>
      </c>
      <c r="AAE23" s="86">
        <f t="shared" si="295"/>
        <v>101089.56000000001</v>
      </c>
      <c r="AAF23" s="87">
        <f t="shared" si="3"/>
        <v>0.98563284456105582</v>
      </c>
      <c r="AAG23" s="88">
        <f t="shared" si="591"/>
        <v>-1473.539999999979</v>
      </c>
      <c r="AAH23" s="58"/>
      <c r="AAI23" s="59"/>
      <c r="AAJ23" s="59"/>
      <c r="AAK23" s="60"/>
    </row>
    <row r="24" spans="1:713" s="83" customFormat="1" ht="20" customHeight="1" x14ac:dyDescent="0.2">
      <c r="A24" s="84" t="s">
        <v>21</v>
      </c>
      <c r="B24" s="89">
        <f>AAH24</f>
        <v>1541903.7399999993</v>
      </c>
      <c r="C24" s="90"/>
      <c r="D24" s="90"/>
      <c r="E24" s="60"/>
      <c r="F24" s="61">
        <v>45108</v>
      </c>
      <c r="G24" s="62">
        <f>371675.99</f>
        <v>371675.99</v>
      </c>
      <c r="H24" s="63">
        <v>371675.99</v>
      </c>
      <c r="I24" s="64">
        <f t="shared" si="340"/>
        <v>0</v>
      </c>
      <c r="J24" s="65">
        <v>3000</v>
      </c>
      <c r="K24" s="63">
        <v>2166.9299999999998</v>
      </c>
      <c r="L24" s="64">
        <f t="shared" si="341"/>
        <v>833.07000000000016</v>
      </c>
      <c r="M24" s="65">
        <v>6564.58</v>
      </c>
      <c r="N24" s="63">
        <f>3126.24+6564.58</f>
        <v>9690.82</v>
      </c>
      <c r="O24" s="64">
        <f t="shared" si="342"/>
        <v>-3126.24</v>
      </c>
      <c r="P24" s="65">
        <v>1300</v>
      </c>
      <c r="Q24" s="63">
        <v>1148.25</v>
      </c>
      <c r="R24" s="64">
        <f t="shared" si="343"/>
        <v>151.75</v>
      </c>
      <c r="S24" s="65">
        <v>991.44</v>
      </c>
      <c r="T24" s="63">
        <v>210.59</v>
      </c>
      <c r="U24" s="64">
        <f t="shared" si="344"/>
        <v>780.85</v>
      </c>
      <c r="V24" s="66">
        <f t="shared" si="345"/>
        <v>383532.01</v>
      </c>
      <c r="W24" s="67">
        <f t="shared" si="345"/>
        <v>384892.58</v>
      </c>
      <c r="X24" s="64">
        <f t="shared" si="346"/>
        <v>-1360.570000000007</v>
      </c>
      <c r="Y24" s="62">
        <f>1100+21800</f>
        <v>22900</v>
      </c>
      <c r="Z24" s="63">
        <v>22900</v>
      </c>
      <c r="AA24" s="64">
        <f t="shared" si="347"/>
        <v>0</v>
      </c>
      <c r="AB24" s="65"/>
      <c r="AC24" s="63"/>
      <c r="AD24" s="64">
        <f t="shared" si="348"/>
        <v>0</v>
      </c>
      <c r="AE24" s="65"/>
      <c r="AF24" s="63"/>
      <c r="AG24" s="64">
        <f t="shared" si="349"/>
        <v>0</v>
      </c>
      <c r="AH24" s="65"/>
      <c r="AI24" s="63"/>
      <c r="AJ24" s="64">
        <f t="shared" si="350"/>
        <v>0</v>
      </c>
      <c r="AK24" s="66">
        <f t="shared" si="16"/>
        <v>22900</v>
      </c>
      <c r="AL24" s="67">
        <f t="shared" si="17"/>
        <v>22900</v>
      </c>
      <c r="AM24" s="64">
        <f t="shared" si="351"/>
        <v>0</v>
      </c>
      <c r="AN24" s="62">
        <v>6250</v>
      </c>
      <c r="AO24" s="63">
        <v>6250</v>
      </c>
      <c r="AP24" s="64">
        <f t="shared" si="592"/>
        <v>0</v>
      </c>
      <c r="AQ24" s="65"/>
      <c r="AR24" s="63"/>
      <c r="AS24" s="64">
        <f t="shared" si="593"/>
        <v>0</v>
      </c>
      <c r="AT24" s="65"/>
      <c r="AU24" s="63"/>
      <c r="AV24" s="64">
        <f t="shared" si="594"/>
        <v>0</v>
      </c>
      <c r="AW24" s="65"/>
      <c r="AX24" s="63"/>
      <c r="AY24" s="64">
        <f t="shared" si="352"/>
        <v>0</v>
      </c>
      <c r="AZ24" s="66">
        <f t="shared" si="23"/>
        <v>6250</v>
      </c>
      <c r="BA24" s="67">
        <f t="shared" si="353"/>
        <v>6250</v>
      </c>
      <c r="BB24" s="64">
        <f t="shared" si="354"/>
        <v>0</v>
      </c>
      <c r="BC24" s="62"/>
      <c r="BD24" s="63"/>
      <c r="BE24" s="64">
        <f t="shared" si="355"/>
        <v>0</v>
      </c>
      <c r="BF24" s="65"/>
      <c r="BG24" s="63">
        <v>4362.3</v>
      </c>
      <c r="BH24" s="64">
        <f t="shared" si="356"/>
        <v>-4362.3</v>
      </c>
      <c r="BI24" s="65"/>
      <c r="BJ24" s="63"/>
      <c r="BK24" s="64">
        <f t="shared" si="357"/>
        <v>0</v>
      </c>
      <c r="BL24" s="65">
        <v>100</v>
      </c>
      <c r="BM24" s="63"/>
      <c r="BN24" s="64">
        <f t="shared" si="358"/>
        <v>100</v>
      </c>
      <c r="BO24" s="66">
        <f t="shared" si="30"/>
        <v>100</v>
      </c>
      <c r="BP24" s="67">
        <f t="shared" si="359"/>
        <v>4362.3</v>
      </c>
      <c r="BQ24" s="64">
        <f t="shared" si="360"/>
        <v>-4262.3</v>
      </c>
      <c r="BR24" s="62">
        <v>3416.66</v>
      </c>
      <c r="BS24" s="63">
        <v>3416.66</v>
      </c>
      <c r="BT24" s="64">
        <f t="shared" si="361"/>
        <v>0</v>
      </c>
      <c r="BU24" s="65"/>
      <c r="BV24" s="63"/>
      <c r="BW24" s="64">
        <f t="shared" si="362"/>
        <v>0</v>
      </c>
      <c r="BX24" s="65"/>
      <c r="BY24" s="63"/>
      <c r="BZ24" s="64">
        <f t="shared" si="363"/>
        <v>0</v>
      </c>
      <c r="CA24" s="65"/>
      <c r="CB24" s="63"/>
      <c r="CC24" s="64">
        <f t="shared" si="364"/>
        <v>0</v>
      </c>
      <c r="CD24" s="66">
        <f t="shared" si="33"/>
        <v>3416.66</v>
      </c>
      <c r="CE24" s="67">
        <f t="shared" si="365"/>
        <v>3416.66</v>
      </c>
      <c r="CF24" s="64">
        <f t="shared" si="366"/>
        <v>0</v>
      </c>
      <c r="CG24" s="62">
        <v>5000</v>
      </c>
      <c r="CH24" s="63">
        <v>5000</v>
      </c>
      <c r="CI24" s="64">
        <f t="shared" si="367"/>
        <v>0</v>
      </c>
      <c r="CJ24" s="65"/>
      <c r="CK24" s="63"/>
      <c r="CL24" s="64">
        <f t="shared" si="368"/>
        <v>0</v>
      </c>
      <c r="CM24" s="65"/>
      <c r="CN24" s="63"/>
      <c r="CO24" s="64">
        <f t="shared" si="369"/>
        <v>0</v>
      </c>
      <c r="CP24" s="65"/>
      <c r="CQ24" s="63"/>
      <c r="CR24" s="64">
        <f t="shared" si="370"/>
        <v>0</v>
      </c>
      <c r="CS24" s="66">
        <f t="shared" si="40"/>
        <v>5000</v>
      </c>
      <c r="CT24" s="67">
        <f t="shared" si="371"/>
        <v>5000</v>
      </c>
      <c r="CU24" s="64">
        <f t="shared" si="372"/>
        <v>0</v>
      </c>
      <c r="CV24" s="68"/>
      <c r="CW24" s="69"/>
      <c r="CX24" s="70"/>
      <c r="CY24" s="71"/>
      <c r="CZ24" s="69"/>
      <c r="DA24" s="70"/>
      <c r="DB24" s="71"/>
      <c r="DC24" s="69"/>
      <c r="DD24" s="70"/>
      <c r="DE24" s="71"/>
      <c r="DF24" s="69"/>
      <c r="DG24" s="70"/>
      <c r="DH24" s="66">
        <f t="shared" si="43"/>
        <v>0</v>
      </c>
      <c r="DI24" s="67">
        <f t="shared" si="373"/>
        <v>0</v>
      </c>
      <c r="DJ24" s="64">
        <f t="shared" si="374"/>
        <v>0</v>
      </c>
      <c r="DK24" s="68"/>
      <c r="DL24" s="69"/>
      <c r="DM24" s="70"/>
      <c r="DN24" s="71"/>
      <c r="DO24" s="69"/>
      <c r="DP24" s="70"/>
      <c r="DQ24" s="71"/>
      <c r="DR24" s="69"/>
      <c r="DS24" s="70"/>
      <c r="DT24" s="71"/>
      <c r="DU24" s="69"/>
      <c r="DV24" s="70"/>
      <c r="DW24" s="66">
        <f t="shared" si="46"/>
        <v>0</v>
      </c>
      <c r="DX24" s="67">
        <f t="shared" si="375"/>
        <v>0</v>
      </c>
      <c r="DY24" s="64">
        <f t="shared" si="376"/>
        <v>0</v>
      </c>
      <c r="DZ24" s="62">
        <v>12000</v>
      </c>
      <c r="EA24" s="63">
        <v>12000</v>
      </c>
      <c r="EB24" s="64">
        <f t="shared" si="377"/>
        <v>0</v>
      </c>
      <c r="EC24" s="65"/>
      <c r="ED24" s="63"/>
      <c r="EE24" s="64">
        <f t="shared" si="378"/>
        <v>0</v>
      </c>
      <c r="EF24" s="65"/>
      <c r="EG24" s="63"/>
      <c r="EH24" s="64">
        <f t="shared" si="379"/>
        <v>0</v>
      </c>
      <c r="EI24" s="65">
        <v>100</v>
      </c>
      <c r="EJ24" s="63"/>
      <c r="EK24" s="64">
        <f t="shared" si="380"/>
        <v>100</v>
      </c>
      <c r="EL24" s="66">
        <f t="shared" si="53"/>
        <v>12100</v>
      </c>
      <c r="EM24" s="67">
        <f t="shared" si="381"/>
        <v>12000</v>
      </c>
      <c r="EN24" s="64">
        <f t="shared" si="382"/>
        <v>100</v>
      </c>
      <c r="EO24" s="62"/>
      <c r="EP24" s="63"/>
      <c r="EQ24" s="64">
        <f t="shared" si="383"/>
        <v>0</v>
      </c>
      <c r="ER24" s="65"/>
      <c r="ES24" s="63">
        <v>3417.83</v>
      </c>
      <c r="ET24" s="64">
        <f t="shared" si="384"/>
        <v>-3417.83</v>
      </c>
      <c r="EU24" s="65"/>
      <c r="EV24" s="63"/>
      <c r="EW24" s="64">
        <f t="shared" si="385"/>
        <v>0</v>
      </c>
      <c r="EX24" s="65">
        <v>100</v>
      </c>
      <c r="EY24" s="63"/>
      <c r="EZ24" s="64">
        <f t="shared" si="386"/>
        <v>100</v>
      </c>
      <c r="FA24" s="66">
        <f t="shared" si="60"/>
        <v>100</v>
      </c>
      <c r="FB24" s="67">
        <f t="shared" si="387"/>
        <v>3417.83</v>
      </c>
      <c r="FC24" s="64">
        <f t="shared" si="388"/>
        <v>-3317.83</v>
      </c>
      <c r="FD24" s="62"/>
      <c r="FE24" s="63"/>
      <c r="FF24" s="64">
        <f t="shared" si="389"/>
        <v>0</v>
      </c>
      <c r="FG24" s="63">
        <v>3417.83</v>
      </c>
      <c r="FH24" s="63"/>
      <c r="FI24" s="64">
        <f t="shared" si="390"/>
        <v>3417.83</v>
      </c>
      <c r="FJ24" s="65"/>
      <c r="FK24" s="63"/>
      <c r="FL24" s="64">
        <f t="shared" si="391"/>
        <v>0</v>
      </c>
      <c r="FM24" s="65">
        <v>100</v>
      </c>
      <c r="FN24" s="63"/>
      <c r="FO24" s="64">
        <f t="shared" si="392"/>
        <v>100</v>
      </c>
      <c r="FP24" s="66">
        <f t="shared" si="67"/>
        <v>3517.83</v>
      </c>
      <c r="FQ24" s="67">
        <f t="shared" si="393"/>
        <v>0</v>
      </c>
      <c r="FR24" s="64">
        <f t="shared" si="394"/>
        <v>3517.83</v>
      </c>
      <c r="FS24" s="62">
        <v>18000</v>
      </c>
      <c r="FT24" s="63">
        <v>18000</v>
      </c>
      <c r="FU24" s="64">
        <f t="shared" si="395"/>
        <v>0</v>
      </c>
      <c r="FV24" s="65"/>
      <c r="FW24" s="63"/>
      <c r="FX24" s="64">
        <f t="shared" si="396"/>
        <v>0</v>
      </c>
      <c r="FY24" s="65"/>
      <c r="FZ24" s="63"/>
      <c r="GA24" s="64">
        <f t="shared" si="397"/>
        <v>0</v>
      </c>
      <c r="GB24" s="65"/>
      <c r="GC24" s="63"/>
      <c r="GD24" s="64">
        <f t="shared" si="398"/>
        <v>0</v>
      </c>
      <c r="GE24" s="66">
        <f t="shared" si="74"/>
        <v>18000</v>
      </c>
      <c r="GF24" s="67">
        <f t="shared" si="399"/>
        <v>18000</v>
      </c>
      <c r="GG24" s="64">
        <f t="shared" si="400"/>
        <v>0</v>
      </c>
      <c r="GH24" s="62"/>
      <c r="GI24" s="63"/>
      <c r="GJ24" s="64">
        <f t="shared" si="401"/>
        <v>0</v>
      </c>
      <c r="GK24" s="65"/>
      <c r="GL24" s="63"/>
      <c r="GM24" s="64">
        <f t="shared" si="402"/>
        <v>0</v>
      </c>
      <c r="GN24" s="65"/>
      <c r="GO24" s="63"/>
      <c r="GP24" s="64">
        <f t="shared" si="403"/>
        <v>0</v>
      </c>
      <c r="GQ24" s="65"/>
      <c r="GR24" s="63"/>
      <c r="GS24" s="64">
        <f t="shared" si="404"/>
        <v>0</v>
      </c>
      <c r="GT24" s="66">
        <f t="shared" si="81"/>
        <v>0</v>
      </c>
      <c r="GU24" s="67">
        <f t="shared" si="405"/>
        <v>0</v>
      </c>
      <c r="GV24" s="64">
        <f t="shared" si="406"/>
        <v>0</v>
      </c>
      <c r="GW24" s="62">
        <v>14210.52</v>
      </c>
      <c r="GX24" s="63">
        <v>14210.52</v>
      </c>
      <c r="GY24" s="64">
        <f t="shared" ref="GY24:GY29" si="595">GW24-GX24</f>
        <v>0</v>
      </c>
      <c r="GZ24" s="65"/>
      <c r="HA24" s="63"/>
      <c r="HB24" s="64">
        <f t="shared" ref="HB24:HB29" si="596">GZ24-HA24</f>
        <v>0</v>
      </c>
      <c r="HC24" s="65"/>
      <c r="HD24" s="63"/>
      <c r="HE24" s="64">
        <f t="shared" ref="HE24:HE29" si="597">HC24-HD24</f>
        <v>0</v>
      </c>
      <c r="HF24" s="65">
        <v>100</v>
      </c>
      <c r="HG24" s="63"/>
      <c r="HH24" s="64">
        <f t="shared" ref="HH24:HH29" si="598">HF24-HG24</f>
        <v>100</v>
      </c>
      <c r="HI24" s="66">
        <f t="shared" si="84"/>
        <v>14310.52</v>
      </c>
      <c r="HJ24" s="67">
        <f t="shared" si="407"/>
        <v>14210.52</v>
      </c>
      <c r="HK24" s="64">
        <f t="shared" si="408"/>
        <v>100</v>
      </c>
      <c r="HL24" s="62"/>
      <c r="HM24" s="63"/>
      <c r="HN24" s="64">
        <f t="shared" si="409"/>
        <v>0</v>
      </c>
      <c r="HO24" s="65"/>
      <c r="HP24" s="63">
        <v>4362.3</v>
      </c>
      <c r="HQ24" s="64">
        <f t="shared" si="410"/>
        <v>-4362.3</v>
      </c>
      <c r="HR24" s="65"/>
      <c r="HS24" s="63"/>
      <c r="HT24" s="64">
        <f t="shared" si="411"/>
        <v>0</v>
      </c>
      <c r="HU24" s="65">
        <v>100</v>
      </c>
      <c r="HV24" s="63"/>
      <c r="HW24" s="64">
        <f t="shared" si="412"/>
        <v>100</v>
      </c>
      <c r="HX24" s="66">
        <f t="shared" si="91"/>
        <v>100</v>
      </c>
      <c r="HY24" s="67">
        <f t="shared" si="413"/>
        <v>4362.3</v>
      </c>
      <c r="HZ24" s="64">
        <f t="shared" si="414"/>
        <v>-4262.3</v>
      </c>
      <c r="IA24" s="62"/>
      <c r="IB24" s="63"/>
      <c r="IC24" s="64">
        <f t="shared" si="415"/>
        <v>0</v>
      </c>
      <c r="ID24" s="65"/>
      <c r="IE24" s="63"/>
      <c r="IF24" s="64">
        <f t="shared" si="416"/>
        <v>0</v>
      </c>
      <c r="IG24" s="65"/>
      <c r="IH24" s="63"/>
      <c r="II24" s="64">
        <f t="shared" si="417"/>
        <v>0</v>
      </c>
      <c r="IJ24" s="65">
        <v>100</v>
      </c>
      <c r="IK24" s="63"/>
      <c r="IL24" s="64">
        <f t="shared" si="418"/>
        <v>100</v>
      </c>
      <c r="IM24" s="66">
        <f t="shared" si="98"/>
        <v>100</v>
      </c>
      <c r="IN24" s="67">
        <f t="shared" si="419"/>
        <v>0</v>
      </c>
      <c r="IO24" s="64">
        <f t="shared" si="420"/>
        <v>100</v>
      </c>
      <c r="IP24" s="62">
        <v>5000</v>
      </c>
      <c r="IQ24" s="63">
        <v>5000</v>
      </c>
      <c r="IR24" s="64">
        <f t="shared" si="421"/>
        <v>0</v>
      </c>
      <c r="IS24" s="65"/>
      <c r="IT24" s="63"/>
      <c r="IU24" s="64">
        <f t="shared" si="422"/>
        <v>0</v>
      </c>
      <c r="IV24" s="65"/>
      <c r="IW24" s="63"/>
      <c r="IX24" s="64">
        <f t="shared" si="423"/>
        <v>0</v>
      </c>
      <c r="IY24" s="65"/>
      <c r="IZ24" s="63"/>
      <c r="JA24" s="64">
        <f t="shared" si="424"/>
        <v>0</v>
      </c>
      <c r="JB24" s="66">
        <f t="shared" si="105"/>
        <v>5000</v>
      </c>
      <c r="JC24" s="67">
        <f t="shared" si="425"/>
        <v>5000</v>
      </c>
      <c r="JD24" s="64">
        <f t="shared" si="426"/>
        <v>0</v>
      </c>
      <c r="JE24" s="62">
        <v>22000</v>
      </c>
      <c r="JF24" s="63">
        <v>22000</v>
      </c>
      <c r="JG24" s="64">
        <f t="shared" si="427"/>
        <v>0</v>
      </c>
      <c r="JH24" s="65">
        <v>442.35</v>
      </c>
      <c r="JI24" s="65">
        <v>442.35</v>
      </c>
      <c r="JJ24" s="64">
        <f t="shared" si="428"/>
        <v>0</v>
      </c>
      <c r="JK24" s="65"/>
      <c r="JL24" s="63"/>
      <c r="JM24" s="64">
        <f t="shared" si="429"/>
        <v>0</v>
      </c>
      <c r="JN24" s="65">
        <v>100</v>
      </c>
      <c r="JO24" s="63"/>
      <c r="JP24" s="64">
        <f t="shared" si="430"/>
        <v>100</v>
      </c>
      <c r="JQ24" s="66">
        <f t="shared" si="112"/>
        <v>22542.35</v>
      </c>
      <c r="JR24" s="67">
        <f t="shared" si="431"/>
        <v>22442.35</v>
      </c>
      <c r="JS24" s="64">
        <f t="shared" si="432"/>
        <v>100</v>
      </c>
      <c r="JT24" s="62">
        <v>5553.7</v>
      </c>
      <c r="JU24" s="63">
        <v>5553.7</v>
      </c>
      <c r="JV24" s="64">
        <f t="shared" si="433"/>
        <v>0</v>
      </c>
      <c r="JW24" s="65"/>
      <c r="JX24" s="63"/>
      <c r="JY24" s="64">
        <f t="shared" si="434"/>
        <v>0</v>
      </c>
      <c r="JZ24" s="65"/>
      <c r="KA24" s="63"/>
      <c r="KB24" s="64">
        <f t="shared" si="435"/>
        <v>0</v>
      </c>
      <c r="KC24" s="65">
        <v>100</v>
      </c>
      <c r="KD24" s="63"/>
      <c r="KE24" s="64">
        <f t="shared" si="436"/>
        <v>100</v>
      </c>
      <c r="KF24" s="66">
        <f t="shared" si="119"/>
        <v>5653.7</v>
      </c>
      <c r="KG24" s="67">
        <f t="shared" si="437"/>
        <v>5553.7</v>
      </c>
      <c r="KH24" s="64">
        <f t="shared" si="438"/>
        <v>100</v>
      </c>
      <c r="KI24" s="62">
        <v>50000</v>
      </c>
      <c r="KJ24" s="63">
        <v>50000</v>
      </c>
      <c r="KK24" s="64">
        <f t="shared" ref="KK24:KK29" si="599">KI24-KJ24</f>
        <v>0</v>
      </c>
      <c r="KL24" s="65"/>
      <c r="KM24" s="63"/>
      <c r="KN24" s="64">
        <f t="shared" ref="KN24:KN29" si="600">KL24-KM24</f>
        <v>0</v>
      </c>
      <c r="KO24" s="65"/>
      <c r="KP24" s="63"/>
      <c r="KQ24" s="64">
        <f t="shared" ref="KQ24:KQ29" si="601">KO24-KP24</f>
        <v>0</v>
      </c>
      <c r="KR24" s="65"/>
      <c r="KS24" s="63"/>
      <c r="KT24" s="64">
        <f t="shared" si="439"/>
        <v>0</v>
      </c>
      <c r="KU24" s="66">
        <f t="shared" si="1"/>
        <v>50000</v>
      </c>
      <c r="KV24" s="67">
        <f t="shared" si="440"/>
        <v>50000</v>
      </c>
      <c r="KW24" s="64">
        <f t="shared" si="441"/>
        <v>0</v>
      </c>
      <c r="KX24" s="72"/>
      <c r="KY24" s="73"/>
      <c r="KZ24" s="74"/>
      <c r="LA24" s="75"/>
      <c r="LB24" s="73"/>
      <c r="LC24" s="74"/>
      <c r="LD24" s="75"/>
      <c r="LE24" s="73"/>
      <c r="LF24" s="74"/>
      <c r="LG24" s="75"/>
      <c r="LH24" s="73"/>
      <c r="LI24" s="74"/>
      <c r="LJ24" s="76"/>
      <c r="LK24" s="77"/>
      <c r="LL24" s="74"/>
      <c r="LM24" s="62">
        <v>10000</v>
      </c>
      <c r="LN24" s="63">
        <v>10000</v>
      </c>
      <c r="LO24" s="64">
        <f t="shared" ref="LO24:LO29" si="602">LM24-LN24</f>
        <v>0</v>
      </c>
      <c r="LP24" s="65"/>
      <c r="LQ24" s="63"/>
      <c r="LR24" s="64">
        <f t="shared" ref="LR24:LR29" si="603">LP24-LQ24</f>
        <v>0</v>
      </c>
      <c r="LS24" s="65"/>
      <c r="LT24" s="63"/>
      <c r="LU24" s="64">
        <f t="shared" ref="LU24:LU29" si="604">LS24-LT24</f>
        <v>0</v>
      </c>
      <c r="LV24" s="65">
        <v>100</v>
      </c>
      <c r="LW24" s="63">
        <v>76.33</v>
      </c>
      <c r="LX24" s="64">
        <f t="shared" si="442"/>
        <v>23.67</v>
      </c>
      <c r="LY24" s="66">
        <f t="shared" si="124"/>
        <v>10100</v>
      </c>
      <c r="LZ24" s="67">
        <f t="shared" si="443"/>
        <v>10076.33</v>
      </c>
      <c r="MA24" s="64">
        <f t="shared" si="444"/>
        <v>23.670000000000073</v>
      </c>
      <c r="MB24" s="62">
        <v>650</v>
      </c>
      <c r="MC24" s="63">
        <v>650</v>
      </c>
      <c r="MD24" s="64">
        <f t="shared" si="445"/>
        <v>0</v>
      </c>
      <c r="ME24" s="65">
        <v>1050.2</v>
      </c>
      <c r="MF24" s="63">
        <v>1050.2</v>
      </c>
      <c r="MG24" s="64">
        <f>ME24-MF24</f>
        <v>0</v>
      </c>
      <c r="MH24" s="65"/>
      <c r="MI24" s="63"/>
      <c r="MJ24" s="64">
        <f t="shared" si="447"/>
        <v>0</v>
      </c>
      <c r="MK24" s="65">
        <v>100</v>
      </c>
      <c r="ML24" s="63"/>
      <c r="MM24" s="64">
        <f t="shared" si="448"/>
        <v>100</v>
      </c>
      <c r="MN24" s="66">
        <f>MB24+ME24+MH24+MK24</f>
        <v>1800.2</v>
      </c>
      <c r="MO24" s="67">
        <f t="shared" si="449"/>
        <v>1700.2</v>
      </c>
      <c r="MP24" s="64">
        <f t="shared" si="450"/>
        <v>100</v>
      </c>
      <c r="MQ24" s="62">
        <v>8600</v>
      </c>
      <c r="MR24" s="63">
        <v>8600</v>
      </c>
      <c r="MS24" s="64">
        <f t="shared" si="451"/>
        <v>0</v>
      </c>
      <c r="MT24" s="65"/>
      <c r="MU24" s="63"/>
      <c r="MV24" s="64">
        <f t="shared" si="452"/>
        <v>0</v>
      </c>
      <c r="MW24" s="65"/>
      <c r="MX24" s="63"/>
      <c r="MY24" s="64">
        <f t="shared" si="453"/>
        <v>0</v>
      </c>
      <c r="MZ24" s="65"/>
      <c r="NA24" s="63"/>
      <c r="NB24" s="64">
        <f t="shared" si="454"/>
        <v>0</v>
      </c>
      <c r="NC24" s="66">
        <f t="shared" si="138"/>
        <v>8600</v>
      </c>
      <c r="ND24" s="67">
        <f t="shared" si="455"/>
        <v>8600</v>
      </c>
      <c r="NE24" s="64">
        <f t="shared" si="456"/>
        <v>0</v>
      </c>
      <c r="NF24" s="62">
        <v>1000</v>
      </c>
      <c r="NG24" s="63">
        <v>1000</v>
      </c>
      <c r="NH24" s="64">
        <f t="shared" si="457"/>
        <v>0</v>
      </c>
      <c r="NI24" s="65">
        <v>886.87</v>
      </c>
      <c r="NJ24" s="63">
        <v>886.87</v>
      </c>
      <c r="NK24" s="64">
        <f t="shared" si="458"/>
        <v>0</v>
      </c>
      <c r="NL24" s="65"/>
      <c r="NM24" s="63"/>
      <c r="NN24" s="64">
        <f t="shared" si="459"/>
        <v>0</v>
      </c>
      <c r="NO24" s="65">
        <v>100</v>
      </c>
      <c r="NP24" s="63"/>
      <c r="NQ24" s="64">
        <f t="shared" si="460"/>
        <v>100</v>
      </c>
      <c r="NR24" s="66">
        <f t="shared" si="145"/>
        <v>1986.87</v>
      </c>
      <c r="NS24" s="67">
        <f t="shared" si="461"/>
        <v>1886.87</v>
      </c>
      <c r="NT24" s="64">
        <f t="shared" si="462"/>
        <v>100</v>
      </c>
      <c r="NU24" s="62">
        <v>864</v>
      </c>
      <c r="NV24" s="63">
        <v>864</v>
      </c>
      <c r="NW24" s="64">
        <f t="shared" si="463"/>
        <v>0</v>
      </c>
      <c r="NX24" s="65">
        <v>1004.52</v>
      </c>
      <c r="NY24" s="63">
        <v>1004.52</v>
      </c>
      <c r="NZ24" s="64">
        <f t="shared" si="464"/>
        <v>0</v>
      </c>
      <c r="OA24" s="65"/>
      <c r="OB24" s="63"/>
      <c r="OC24" s="64">
        <f t="shared" si="465"/>
        <v>0</v>
      </c>
      <c r="OD24" s="65">
        <v>100</v>
      </c>
      <c r="OE24" s="63"/>
      <c r="OF24" s="64">
        <f t="shared" si="466"/>
        <v>100</v>
      </c>
      <c r="OG24" s="66">
        <f t="shared" si="152"/>
        <v>1968.52</v>
      </c>
      <c r="OH24" s="67">
        <f t="shared" si="467"/>
        <v>1868.52</v>
      </c>
      <c r="OI24" s="64">
        <f t="shared" si="468"/>
        <v>100</v>
      </c>
      <c r="OJ24" s="62"/>
      <c r="OK24" s="63"/>
      <c r="OL24" s="64">
        <f t="shared" si="469"/>
        <v>0</v>
      </c>
      <c r="OM24" s="65"/>
      <c r="ON24" s="63"/>
      <c r="OO24" s="64">
        <f t="shared" si="470"/>
        <v>0</v>
      </c>
      <c r="OP24" s="65"/>
      <c r="OQ24" s="63"/>
      <c r="OR24" s="64">
        <f t="shared" si="471"/>
        <v>0</v>
      </c>
      <c r="OS24" s="65">
        <v>100</v>
      </c>
      <c r="OT24" s="63"/>
      <c r="OU24" s="64">
        <f t="shared" si="472"/>
        <v>100</v>
      </c>
      <c r="OV24" s="66">
        <f t="shared" si="159"/>
        <v>100</v>
      </c>
      <c r="OW24" s="67">
        <f t="shared" si="473"/>
        <v>0</v>
      </c>
      <c r="OX24" s="64">
        <f t="shared" si="474"/>
        <v>100</v>
      </c>
      <c r="OY24" s="62">
        <v>15800</v>
      </c>
      <c r="OZ24" s="63">
        <v>15800</v>
      </c>
      <c r="PA24" s="64">
        <f t="shared" si="475"/>
        <v>0</v>
      </c>
      <c r="PB24" s="65"/>
      <c r="PC24" s="63"/>
      <c r="PD24" s="64">
        <f t="shared" si="476"/>
        <v>0</v>
      </c>
      <c r="PE24" s="65"/>
      <c r="PF24" s="63"/>
      <c r="PG24" s="64">
        <f t="shared" si="477"/>
        <v>0</v>
      </c>
      <c r="PH24" s="65">
        <v>100</v>
      </c>
      <c r="PI24" s="63"/>
      <c r="PJ24" s="64">
        <f t="shared" si="478"/>
        <v>100</v>
      </c>
      <c r="PK24" s="66">
        <f t="shared" si="166"/>
        <v>15900</v>
      </c>
      <c r="PL24" s="67">
        <f t="shared" si="479"/>
        <v>15800</v>
      </c>
      <c r="PM24" s="64">
        <f t="shared" si="480"/>
        <v>100</v>
      </c>
      <c r="PN24" s="62">
        <v>1400</v>
      </c>
      <c r="PO24" s="63">
        <v>1400</v>
      </c>
      <c r="PP24" s="64">
        <f t="shared" si="481"/>
        <v>0</v>
      </c>
      <c r="PQ24" s="65"/>
      <c r="PR24" s="63"/>
      <c r="PS24" s="64">
        <f t="shared" si="482"/>
        <v>0</v>
      </c>
      <c r="PT24" s="65"/>
      <c r="PU24" s="63"/>
      <c r="PV24" s="64">
        <f t="shared" si="483"/>
        <v>0</v>
      </c>
      <c r="PW24" s="65">
        <v>100</v>
      </c>
      <c r="PX24" s="63">
        <v>269.63</v>
      </c>
      <c r="PY24" s="64">
        <f t="shared" si="484"/>
        <v>-169.63</v>
      </c>
      <c r="PZ24" s="66">
        <f t="shared" si="173"/>
        <v>1500</v>
      </c>
      <c r="QA24" s="67">
        <f t="shared" si="485"/>
        <v>1669.63</v>
      </c>
      <c r="QB24" s="64">
        <f t="shared" si="486"/>
        <v>-169.63000000000011</v>
      </c>
      <c r="QC24" s="62">
        <v>7500</v>
      </c>
      <c r="QD24" s="63">
        <v>7500</v>
      </c>
      <c r="QE24" s="64">
        <f t="shared" si="487"/>
        <v>0</v>
      </c>
      <c r="QF24" s="65"/>
      <c r="QG24" s="63"/>
      <c r="QH24" s="64">
        <f t="shared" si="488"/>
        <v>0</v>
      </c>
      <c r="QI24" s="65"/>
      <c r="QJ24" s="63"/>
      <c r="QK24" s="64">
        <f t="shared" si="489"/>
        <v>0</v>
      </c>
      <c r="QL24" s="65">
        <v>100</v>
      </c>
      <c r="QM24" s="63"/>
      <c r="QN24" s="64">
        <f t="shared" si="490"/>
        <v>100</v>
      </c>
      <c r="QO24" s="66">
        <f t="shared" si="180"/>
        <v>7600</v>
      </c>
      <c r="QP24" s="67">
        <f t="shared" si="491"/>
        <v>7500</v>
      </c>
      <c r="QQ24" s="64">
        <f t="shared" si="492"/>
        <v>100</v>
      </c>
      <c r="QR24" s="62">
        <v>15500</v>
      </c>
      <c r="QS24" s="63">
        <v>15500</v>
      </c>
      <c r="QT24" s="64">
        <f t="shared" si="493"/>
        <v>0</v>
      </c>
      <c r="QU24" s="65"/>
      <c r="QV24" s="63"/>
      <c r="QW24" s="64">
        <f t="shared" si="494"/>
        <v>0</v>
      </c>
      <c r="QX24" s="65"/>
      <c r="QY24" s="63"/>
      <c r="QZ24" s="64">
        <f t="shared" si="495"/>
        <v>0</v>
      </c>
      <c r="RA24" s="65"/>
      <c r="RB24" s="63"/>
      <c r="RC24" s="64">
        <f t="shared" si="496"/>
        <v>0</v>
      </c>
      <c r="RD24" s="66">
        <f t="shared" si="187"/>
        <v>15500</v>
      </c>
      <c r="RE24" s="67">
        <f t="shared" si="497"/>
        <v>15500</v>
      </c>
      <c r="RF24" s="64">
        <f t="shared" si="498"/>
        <v>0</v>
      </c>
      <c r="RG24" s="62">
        <v>15500</v>
      </c>
      <c r="RH24" s="63">
        <v>15500</v>
      </c>
      <c r="RI24" s="64">
        <f t="shared" si="499"/>
        <v>0</v>
      </c>
      <c r="RJ24" s="65"/>
      <c r="RK24" s="63"/>
      <c r="RL24" s="64">
        <f t="shared" si="500"/>
        <v>0</v>
      </c>
      <c r="RM24" s="65"/>
      <c r="RN24" s="63"/>
      <c r="RO24" s="64">
        <f t="shared" si="501"/>
        <v>0</v>
      </c>
      <c r="RP24" s="65"/>
      <c r="RQ24" s="63"/>
      <c r="RR24" s="64">
        <f t="shared" si="502"/>
        <v>0</v>
      </c>
      <c r="RS24" s="66">
        <f t="shared" si="194"/>
        <v>15500</v>
      </c>
      <c r="RT24" s="67">
        <f t="shared" si="503"/>
        <v>15500</v>
      </c>
      <c r="RU24" s="64">
        <f t="shared" si="504"/>
        <v>0</v>
      </c>
      <c r="RV24" s="62">
        <v>16500</v>
      </c>
      <c r="RW24" s="63">
        <v>16500</v>
      </c>
      <c r="RX24" s="64">
        <f t="shared" si="505"/>
        <v>0</v>
      </c>
      <c r="RY24" s="65"/>
      <c r="RZ24" s="63"/>
      <c r="SA24" s="64">
        <f t="shared" si="506"/>
        <v>0</v>
      </c>
      <c r="SB24" s="65"/>
      <c r="SC24" s="63"/>
      <c r="SD24" s="64">
        <f t="shared" si="507"/>
        <v>0</v>
      </c>
      <c r="SE24" s="65">
        <v>100</v>
      </c>
      <c r="SF24" s="63">
        <v>79.2</v>
      </c>
      <c r="SG24" s="64">
        <f t="shared" si="508"/>
        <v>20.799999999999997</v>
      </c>
      <c r="SH24" s="66">
        <f t="shared" si="201"/>
        <v>16600</v>
      </c>
      <c r="SI24" s="67">
        <f t="shared" si="509"/>
        <v>16579.2</v>
      </c>
      <c r="SJ24" s="64">
        <f t="shared" si="510"/>
        <v>20.799999999999272</v>
      </c>
      <c r="SK24" s="62"/>
      <c r="SL24" s="63"/>
      <c r="SM24" s="64">
        <f t="shared" si="511"/>
        <v>0</v>
      </c>
      <c r="SN24" s="65"/>
      <c r="SO24" s="63"/>
      <c r="SP24" s="64">
        <f t="shared" si="512"/>
        <v>0</v>
      </c>
      <c r="SQ24" s="65"/>
      <c r="SR24" s="63"/>
      <c r="SS24" s="64">
        <f t="shared" si="513"/>
        <v>0</v>
      </c>
      <c r="ST24" s="65">
        <v>100</v>
      </c>
      <c r="SU24" s="63"/>
      <c r="SV24" s="64">
        <f t="shared" si="514"/>
        <v>100</v>
      </c>
      <c r="SW24" s="66">
        <f t="shared" si="208"/>
        <v>100</v>
      </c>
      <c r="SX24" s="67">
        <f t="shared" si="515"/>
        <v>0</v>
      </c>
      <c r="SY24" s="64">
        <f t="shared" si="516"/>
        <v>100</v>
      </c>
      <c r="SZ24" s="62">
        <v>985.33</v>
      </c>
      <c r="TA24" s="63">
        <v>985.33</v>
      </c>
      <c r="TB24" s="64">
        <f t="shared" si="517"/>
        <v>0</v>
      </c>
      <c r="TC24" s="65">
        <v>700.9</v>
      </c>
      <c r="TD24" s="63">
        <v>700.9</v>
      </c>
      <c r="TE24" s="64">
        <f t="shared" si="518"/>
        <v>0</v>
      </c>
      <c r="TF24" s="65"/>
      <c r="TG24" s="63"/>
      <c r="TH24" s="64">
        <f t="shared" si="519"/>
        <v>0</v>
      </c>
      <c r="TI24" s="65">
        <v>100</v>
      </c>
      <c r="TJ24" s="63"/>
      <c r="TK24" s="64">
        <f t="shared" si="520"/>
        <v>100</v>
      </c>
      <c r="TL24" s="66">
        <f t="shared" si="215"/>
        <v>1786.23</v>
      </c>
      <c r="TM24" s="67">
        <f t="shared" si="521"/>
        <v>1686.23</v>
      </c>
      <c r="TN24" s="64">
        <f t="shared" si="522"/>
        <v>100</v>
      </c>
      <c r="TO24" s="62">
        <v>14000</v>
      </c>
      <c r="TP24" s="63">
        <v>14000</v>
      </c>
      <c r="TQ24" s="64">
        <f t="shared" si="523"/>
        <v>0</v>
      </c>
      <c r="TR24" s="65"/>
      <c r="TS24" s="63"/>
      <c r="TT24" s="64">
        <f t="shared" si="524"/>
        <v>0</v>
      </c>
      <c r="TU24" s="65"/>
      <c r="TV24" s="63"/>
      <c r="TW24" s="64">
        <f t="shared" si="525"/>
        <v>0</v>
      </c>
      <c r="TX24" s="65">
        <v>100</v>
      </c>
      <c r="TY24" s="63"/>
      <c r="TZ24" s="64">
        <f t="shared" si="526"/>
        <v>100</v>
      </c>
      <c r="UA24" s="66">
        <f t="shared" si="222"/>
        <v>14100</v>
      </c>
      <c r="UB24" s="67">
        <f t="shared" si="527"/>
        <v>14000</v>
      </c>
      <c r="UC24" s="64">
        <f t="shared" si="528"/>
        <v>100</v>
      </c>
      <c r="UD24" s="62">
        <v>6750</v>
      </c>
      <c r="UE24" s="63">
        <v>6750</v>
      </c>
      <c r="UF24" s="64">
        <f t="shared" si="529"/>
        <v>0</v>
      </c>
      <c r="UG24" s="65">
        <v>497.04</v>
      </c>
      <c r="UH24" s="63">
        <v>497.04</v>
      </c>
      <c r="UI24" s="64">
        <f t="shared" si="530"/>
        <v>0</v>
      </c>
      <c r="UJ24" s="65"/>
      <c r="UK24" s="63"/>
      <c r="UL24" s="64">
        <f t="shared" si="531"/>
        <v>0</v>
      </c>
      <c r="UM24" s="65">
        <v>100</v>
      </c>
      <c r="UN24" s="63"/>
      <c r="UO24" s="64">
        <f t="shared" si="532"/>
        <v>100</v>
      </c>
      <c r="UP24" s="66">
        <f t="shared" si="226"/>
        <v>7347.04</v>
      </c>
      <c r="UQ24" s="67">
        <f t="shared" si="533"/>
        <v>7247.04</v>
      </c>
      <c r="UR24" s="64">
        <f t="shared" si="534"/>
        <v>100</v>
      </c>
      <c r="US24" s="62"/>
      <c r="UT24" s="63"/>
      <c r="UU24" s="64">
        <f t="shared" si="535"/>
        <v>0</v>
      </c>
      <c r="UV24" s="65"/>
      <c r="UW24" s="63"/>
      <c r="UX24" s="64">
        <f t="shared" si="536"/>
        <v>0</v>
      </c>
      <c r="UY24" s="65"/>
      <c r="UZ24" s="63"/>
      <c r="VA24" s="64">
        <f t="shared" si="537"/>
        <v>0</v>
      </c>
      <c r="VB24" s="65">
        <v>100</v>
      </c>
      <c r="VC24" s="63"/>
      <c r="VD24" s="64">
        <f t="shared" si="538"/>
        <v>100</v>
      </c>
      <c r="VE24" s="66">
        <f t="shared" si="233"/>
        <v>100</v>
      </c>
      <c r="VF24" s="67">
        <f t="shared" si="539"/>
        <v>0</v>
      </c>
      <c r="VG24" s="64">
        <f t="shared" si="540"/>
        <v>100</v>
      </c>
      <c r="VH24" s="62">
        <v>15600</v>
      </c>
      <c r="VI24" s="63">
        <v>15600</v>
      </c>
      <c r="VJ24" s="64">
        <f t="shared" si="541"/>
        <v>0</v>
      </c>
      <c r="VK24" s="65"/>
      <c r="VL24" s="63"/>
      <c r="VM24" s="64">
        <f t="shared" si="542"/>
        <v>0</v>
      </c>
      <c r="VN24" s="65"/>
      <c r="VO24" s="63"/>
      <c r="VP24" s="64">
        <f t="shared" si="543"/>
        <v>0</v>
      </c>
      <c r="VQ24" s="65">
        <v>100</v>
      </c>
      <c r="VR24" s="63"/>
      <c r="VS24" s="64">
        <f t="shared" si="544"/>
        <v>100</v>
      </c>
      <c r="VT24" s="66">
        <f t="shared" si="240"/>
        <v>15700</v>
      </c>
      <c r="VU24" s="67">
        <f t="shared" si="545"/>
        <v>15600</v>
      </c>
      <c r="VV24" s="64">
        <f t="shared" si="546"/>
        <v>100</v>
      </c>
      <c r="VW24" s="62">
        <v>7818</v>
      </c>
      <c r="VX24" s="63">
        <v>7818</v>
      </c>
      <c r="VY24" s="64">
        <f t="shared" si="547"/>
        <v>0</v>
      </c>
      <c r="VZ24" s="65"/>
      <c r="WA24" s="63"/>
      <c r="WB24" s="64">
        <f t="shared" si="548"/>
        <v>0</v>
      </c>
      <c r="WC24" s="65"/>
      <c r="WD24" s="63"/>
      <c r="WE24" s="64">
        <f t="shared" si="549"/>
        <v>0</v>
      </c>
      <c r="WF24" s="65"/>
      <c r="WG24" s="63"/>
      <c r="WH24" s="64">
        <f t="shared" si="550"/>
        <v>0</v>
      </c>
      <c r="WI24" s="66">
        <f t="shared" si="247"/>
        <v>7818</v>
      </c>
      <c r="WJ24" s="67">
        <f t="shared" si="551"/>
        <v>7818</v>
      </c>
      <c r="WK24" s="64">
        <f t="shared" si="552"/>
        <v>0</v>
      </c>
      <c r="WL24" s="62">
        <v>1376.01</v>
      </c>
      <c r="WM24" s="63">
        <v>1376.01</v>
      </c>
      <c r="WN24" s="64">
        <f t="shared" si="553"/>
        <v>0</v>
      </c>
      <c r="WO24" s="65">
        <v>418.56</v>
      </c>
      <c r="WP24" s="63">
        <v>418.56</v>
      </c>
      <c r="WQ24" s="64">
        <f t="shared" si="554"/>
        <v>0</v>
      </c>
      <c r="WR24" s="65"/>
      <c r="WS24" s="63"/>
      <c r="WT24" s="64">
        <f t="shared" si="555"/>
        <v>0</v>
      </c>
      <c r="WU24" s="65">
        <v>100</v>
      </c>
      <c r="WV24" s="63"/>
      <c r="WW24" s="64">
        <f t="shared" si="556"/>
        <v>100</v>
      </c>
      <c r="WX24" s="66">
        <f t="shared" si="254"/>
        <v>1894.57</v>
      </c>
      <c r="WY24" s="67">
        <f t="shared" si="557"/>
        <v>1794.57</v>
      </c>
      <c r="WZ24" s="64">
        <f t="shared" si="558"/>
        <v>100</v>
      </c>
      <c r="XA24" s="62"/>
      <c r="XB24" s="63"/>
      <c r="XC24" s="64">
        <f t="shared" si="559"/>
        <v>0</v>
      </c>
      <c r="XD24" s="65"/>
      <c r="XE24" s="63"/>
      <c r="XF24" s="64">
        <f t="shared" si="560"/>
        <v>0</v>
      </c>
      <c r="XG24" s="65"/>
      <c r="XH24" s="63"/>
      <c r="XI24" s="64">
        <f t="shared" si="561"/>
        <v>0</v>
      </c>
      <c r="XJ24" s="65">
        <v>100</v>
      </c>
      <c r="XK24" s="63"/>
      <c r="XL24" s="64">
        <f t="shared" si="562"/>
        <v>100</v>
      </c>
      <c r="XM24" s="66">
        <f t="shared" si="261"/>
        <v>100</v>
      </c>
      <c r="XN24" s="67">
        <f t="shared" si="563"/>
        <v>0</v>
      </c>
      <c r="XO24" s="64">
        <f t="shared" si="564"/>
        <v>100</v>
      </c>
      <c r="XP24" s="62">
        <v>917</v>
      </c>
      <c r="XQ24" s="63">
        <v>917</v>
      </c>
      <c r="XR24" s="64">
        <f t="shared" si="565"/>
        <v>0</v>
      </c>
      <c r="XS24" s="65">
        <v>591.29999999999995</v>
      </c>
      <c r="XT24" s="63">
        <v>591.29999999999995</v>
      </c>
      <c r="XU24" s="64">
        <f t="shared" si="566"/>
        <v>0</v>
      </c>
      <c r="XV24" s="65"/>
      <c r="XW24" s="63"/>
      <c r="XX24" s="64">
        <f t="shared" si="567"/>
        <v>0</v>
      </c>
      <c r="XY24" s="65">
        <v>100</v>
      </c>
      <c r="XZ24" s="63"/>
      <c r="YA24" s="64">
        <f t="shared" si="568"/>
        <v>100</v>
      </c>
      <c r="YB24" s="66">
        <f t="shared" si="268"/>
        <v>1608.3</v>
      </c>
      <c r="YC24" s="67">
        <f t="shared" si="569"/>
        <v>1508.3</v>
      </c>
      <c r="YD24" s="64">
        <f t="shared" si="570"/>
        <v>100</v>
      </c>
      <c r="YE24" s="62">
        <v>890</v>
      </c>
      <c r="YF24" s="63">
        <v>890</v>
      </c>
      <c r="YG24" s="64">
        <f t="shared" si="571"/>
        <v>0</v>
      </c>
      <c r="YH24" s="65">
        <v>725.15</v>
      </c>
      <c r="YI24" s="63">
        <v>725.15</v>
      </c>
      <c r="YJ24" s="64">
        <f t="shared" si="572"/>
        <v>0</v>
      </c>
      <c r="YK24" s="65"/>
      <c r="YL24" s="63"/>
      <c r="YM24" s="64">
        <f t="shared" si="573"/>
        <v>0</v>
      </c>
      <c r="YN24" s="65">
        <v>100</v>
      </c>
      <c r="YO24" s="63"/>
      <c r="YP24" s="64">
        <f t="shared" si="574"/>
        <v>100</v>
      </c>
      <c r="YQ24" s="66">
        <f t="shared" si="275"/>
        <v>1715.15</v>
      </c>
      <c r="YR24" s="67">
        <f t="shared" si="575"/>
        <v>1615.15</v>
      </c>
      <c r="YS24" s="64">
        <f t="shared" si="576"/>
        <v>100</v>
      </c>
      <c r="YT24" s="62">
        <v>932</v>
      </c>
      <c r="YU24" s="63">
        <v>932</v>
      </c>
      <c r="YV24" s="64">
        <f t="shared" si="577"/>
        <v>0</v>
      </c>
      <c r="YW24" s="65">
        <v>513.28</v>
      </c>
      <c r="YX24" s="63">
        <v>513.28</v>
      </c>
      <c r="YY24" s="64">
        <f t="shared" si="578"/>
        <v>0</v>
      </c>
      <c r="YZ24" s="65"/>
      <c r="ZA24" s="63"/>
      <c r="ZB24" s="64">
        <f t="shared" si="579"/>
        <v>0</v>
      </c>
      <c r="ZC24" s="65">
        <v>100</v>
      </c>
      <c r="ZD24" s="63"/>
      <c r="ZE24" s="64">
        <f t="shared" si="580"/>
        <v>100</v>
      </c>
      <c r="ZF24" s="66">
        <f t="shared" si="282"/>
        <v>1545.28</v>
      </c>
      <c r="ZG24" s="67">
        <f t="shared" si="581"/>
        <v>1445.28</v>
      </c>
      <c r="ZH24" s="64">
        <f t="shared" si="582"/>
        <v>100</v>
      </c>
      <c r="ZI24" s="62">
        <v>1250</v>
      </c>
      <c r="ZJ24" s="63">
        <v>1250</v>
      </c>
      <c r="ZK24" s="64">
        <f t="shared" si="583"/>
        <v>0</v>
      </c>
      <c r="ZL24" s="65"/>
      <c r="ZM24" s="63"/>
      <c r="ZN24" s="64">
        <f t="shared" si="584"/>
        <v>0</v>
      </c>
      <c r="ZO24" s="65"/>
      <c r="ZP24" s="63"/>
      <c r="ZQ24" s="64">
        <f t="shared" si="585"/>
        <v>0</v>
      </c>
      <c r="ZR24" s="65">
        <v>100</v>
      </c>
      <c r="ZS24" s="63"/>
      <c r="ZT24" s="64">
        <f t="shared" si="586"/>
        <v>100</v>
      </c>
      <c r="ZU24" s="66">
        <f t="shared" si="289"/>
        <v>1350</v>
      </c>
      <c r="ZV24" s="67">
        <f t="shared" si="587"/>
        <v>1250</v>
      </c>
      <c r="ZW24" s="64">
        <f t="shared" si="588"/>
        <v>100</v>
      </c>
      <c r="ZX24" s="62">
        <v>24.71</v>
      </c>
      <c r="ZY24" s="63">
        <v>24.71</v>
      </c>
      <c r="ZZ24" s="64">
        <f t="shared" si="589"/>
        <v>0</v>
      </c>
      <c r="AAA24" s="66">
        <f t="shared" si="293"/>
        <v>24.71</v>
      </c>
      <c r="AAB24" s="67">
        <f t="shared" si="293"/>
        <v>24.71</v>
      </c>
      <c r="AAC24" s="64">
        <f t="shared" si="590"/>
        <v>0</v>
      </c>
      <c r="AAD24" s="85">
        <f t="shared" si="295"/>
        <v>697125.23</v>
      </c>
      <c r="AAE24" s="86">
        <f t="shared" si="295"/>
        <v>704635.56</v>
      </c>
      <c r="AAF24" s="87">
        <f t="shared" si="3"/>
        <v>1.0107732867450516</v>
      </c>
      <c r="AAG24" s="88">
        <f t="shared" si="591"/>
        <v>7510.3300000000745</v>
      </c>
      <c r="AAH24" s="89">
        <f>W30+AL30+BA30+BP30+CE30+CT30+DI30+DX30+EM30+FB30+FQ30+GF30+GU30+HJ30+HY30+IN30+JC30+JR30+KG30+KV30+LZ30+MO30+ND30+NS30+OH30+OW30+PL30+QA30+QP30+RE30+RT30+SI30+TM30+UB30+UQ30+VF30+VU30+WJ30+WY30+XN30+YC30+YR30+ZG30+ZV30+AAB30</f>
        <v>1541903.7399999993</v>
      </c>
      <c r="AAI24" s="92"/>
      <c r="AAJ24" s="92"/>
      <c r="AAK24" s="60"/>
    </row>
    <row r="25" spans="1:713" s="83" customFormat="1" ht="20" customHeight="1" x14ac:dyDescent="0.2">
      <c r="A25" s="57" t="s">
        <v>161</v>
      </c>
      <c r="B25" s="93"/>
      <c r="C25" s="90"/>
      <c r="D25" s="90"/>
      <c r="E25" s="60"/>
      <c r="F25" s="61">
        <v>45139</v>
      </c>
      <c r="G25" s="62"/>
      <c r="H25" s="63">
        <v>0</v>
      </c>
      <c r="I25" s="64">
        <f t="shared" si="340"/>
        <v>0</v>
      </c>
      <c r="J25" s="65">
        <v>3000</v>
      </c>
      <c r="K25" s="63">
        <v>2157.52</v>
      </c>
      <c r="L25" s="64">
        <f t="shared" si="341"/>
        <v>842.48</v>
      </c>
      <c r="M25" s="65">
        <v>2000</v>
      </c>
      <c r="N25" s="63">
        <v>335.6</v>
      </c>
      <c r="O25" s="64">
        <f t="shared" si="342"/>
        <v>1664.4</v>
      </c>
      <c r="P25" s="65">
        <v>1500</v>
      </c>
      <c r="Q25" s="63">
        <v>1521.43</v>
      </c>
      <c r="R25" s="64">
        <f t="shared" si="343"/>
        <v>-21.430000000000064</v>
      </c>
      <c r="S25" s="65">
        <v>991.44</v>
      </c>
      <c r="T25" s="63">
        <v>227.23</v>
      </c>
      <c r="U25" s="64">
        <f t="shared" si="344"/>
        <v>764.21</v>
      </c>
      <c r="V25" s="66">
        <f t="shared" si="345"/>
        <v>7491.4400000000005</v>
      </c>
      <c r="W25" s="67">
        <f t="shared" si="345"/>
        <v>4241.78</v>
      </c>
      <c r="X25" s="64">
        <f t="shared" si="346"/>
        <v>3249.6600000000008</v>
      </c>
      <c r="Y25" s="62">
        <v>1100</v>
      </c>
      <c r="Z25" s="63">
        <v>1100</v>
      </c>
      <c r="AA25" s="64">
        <f t="shared" si="347"/>
        <v>0</v>
      </c>
      <c r="AB25" s="65"/>
      <c r="AC25" s="63"/>
      <c r="AD25" s="64">
        <f t="shared" si="348"/>
        <v>0</v>
      </c>
      <c r="AE25" s="65"/>
      <c r="AF25" s="63"/>
      <c r="AG25" s="64">
        <f t="shared" si="349"/>
        <v>0</v>
      </c>
      <c r="AH25" s="65"/>
      <c r="AI25" s="63"/>
      <c r="AJ25" s="64">
        <f t="shared" si="350"/>
        <v>0</v>
      </c>
      <c r="AK25" s="66">
        <f t="shared" si="16"/>
        <v>1100</v>
      </c>
      <c r="AL25" s="67">
        <f t="shared" si="17"/>
        <v>1100</v>
      </c>
      <c r="AM25" s="64">
        <f t="shared" si="351"/>
        <v>0</v>
      </c>
      <c r="AN25" s="62">
        <v>6250</v>
      </c>
      <c r="AO25" s="63">
        <v>6250</v>
      </c>
      <c r="AP25" s="64">
        <f t="shared" si="592"/>
        <v>0</v>
      </c>
      <c r="AQ25" s="65"/>
      <c r="AR25" s="63"/>
      <c r="AS25" s="64">
        <f t="shared" si="593"/>
        <v>0</v>
      </c>
      <c r="AT25" s="65">
        <v>2745.49</v>
      </c>
      <c r="AU25" s="63"/>
      <c r="AV25" s="64">
        <f t="shared" si="594"/>
        <v>2745.49</v>
      </c>
      <c r="AW25" s="65"/>
      <c r="AX25" s="63"/>
      <c r="AY25" s="64">
        <f t="shared" si="352"/>
        <v>0</v>
      </c>
      <c r="AZ25" s="66">
        <f t="shared" si="23"/>
        <v>8995.49</v>
      </c>
      <c r="BA25" s="67">
        <f t="shared" si="353"/>
        <v>6250</v>
      </c>
      <c r="BB25" s="64">
        <f t="shared" si="354"/>
        <v>2745.49</v>
      </c>
      <c r="BC25" s="62">
        <v>7900.8</v>
      </c>
      <c r="BD25" s="63">
        <v>7900.8</v>
      </c>
      <c r="BE25" s="64">
        <f t="shared" si="355"/>
        <v>0</v>
      </c>
      <c r="BF25" s="65"/>
      <c r="BG25" s="63"/>
      <c r="BH25" s="64">
        <f t="shared" si="356"/>
        <v>0</v>
      </c>
      <c r="BI25" s="65"/>
      <c r="BJ25" s="63"/>
      <c r="BK25" s="64">
        <f t="shared" si="357"/>
        <v>0</v>
      </c>
      <c r="BL25" s="65">
        <v>100</v>
      </c>
      <c r="BM25" s="63">
        <v>138.19999999999999</v>
      </c>
      <c r="BN25" s="64">
        <f t="shared" si="358"/>
        <v>-38.199999999999989</v>
      </c>
      <c r="BO25" s="66">
        <f t="shared" si="30"/>
        <v>8000.8</v>
      </c>
      <c r="BP25" s="67">
        <f t="shared" si="359"/>
        <v>8039</v>
      </c>
      <c r="BQ25" s="64">
        <f t="shared" si="360"/>
        <v>-38.199999999999818</v>
      </c>
      <c r="BR25" s="62">
        <v>3416.66</v>
      </c>
      <c r="BS25" s="63">
        <v>3416.66</v>
      </c>
      <c r="BT25" s="64">
        <f t="shared" si="361"/>
        <v>0</v>
      </c>
      <c r="BU25" s="65"/>
      <c r="BV25" s="63"/>
      <c r="BW25" s="64">
        <f t="shared" si="362"/>
        <v>0</v>
      </c>
      <c r="BX25" s="65"/>
      <c r="BY25" s="63"/>
      <c r="BZ25" s="64">
        <f t="shared" si="363"/>
        <v>0</v>
      </c>
      <c r="CA25" s="65"/>
      <c r="CB25" s="63"/>
      <c r="CC25" s="64">
        <f t="shared" si="364"/>
        <v>0</v>
      </c>
      <c r="CD25" s="66">
        <f t="shared" si="33"/>
        <v>3416.66</v>
      </c>
      <c r="CE25" s="67">
        <f t="shared" si="365"/>
        <v>3416.66</v>
      </c>
      <c r="CF25" s="64">
        <f t="shared" si="366"/>
        <v>0</v>
      </c>
      <c r="CG25" s="62">
        <v>5000</v>
      </c>
      <c r="CH25" s="63">
        <v>5000</v>
      </c>
      <c r="CI25" s="64">
        <f t="shared" si="367"/>
        <v>0</v>
      </c>
      <c r="CJ25" s="65"/>
      <c r="CK25" s="63"/>
      <c r="CL25" s="64">
        <f t="shared" si="368"/>
        <v>0</v>
      </c>
      <c r="CM25" s="65">
        <f>2739.5</f>
        <v>2739.5</v>
      </c>
      <c r="CN25" s="63"/>
      <c r="CO25" s="64">
        <f t="shared" si="369"/>
        <v>2739.5</v>
      </c>
      <c r="CP25" s="65"/>
      <c r="CQ25" s="63"/>
      <c r="CR25" s="64">
        <f t="shared" si="370"/>
        <v>0</v>
      </c>
      <c r="CS25" s="66">
        <f t="shared" si="40"/>
        <v>7739.5</v>
      </c>
      <c r="CT25" s="67">
        <f t="shared" si="371"/>
        <v>5000</v>
      </c>
      <c r="CU25" s="64">
        <f t="shared" si="372"/>
        <v>2739.5</v>
      </c>
      <c r="CV25" s="68"/>
      <c r="CW25" s="69"/>
      <c r="CX25" s="70"/>
      <c r="CY25" s="71"/>
      <c r="CZ25" s="69"/>
      <c r="DA25" s="70"/>
      <c r="DB25" s="71"/>
      <c r="DC25" s="69"/>
      <c r="DD25" s="70"/>
      <c r="DE25" s="71"/>
      <c r="DF25" s="69"/>
      <c r="DG25" s="70"/>
      <c r="DH25" s="66">
        <f t="shared" si="43"/>
        <v>0</v>
      </c>
      <c r="DI25" s="67">
        <f t="shared" si="373"/>
        <v>0</v>
      </c>
      <c r="DJ25" s="64">
        <f t="shared" si="374"/>
        <v>0</v>
      </c>
      <c r="DK25" s="68"/>
      <c r="DL25" s="69"/>
      <c r="DM25" s="70"/>
      <c r="DN25" s="71"/>
      <c r="DO25" s="69"/>
      <c r="DP25" s="70"/>
      <c r="DQ25" s="71"/>
      <c r="DR25" s="69"/>
      <c r="DS25" s="70"/>
      <c r="DT25" s="71"/>
      <c r="DU25" s="69"/>
      <c r="DV25" s="70"/>
      <c r="DW25" s="66">
        <f t="shared" si="46"/>
        <v>0</v>
      </c>
      <c r="DX25" s="67">
        <f t="shared" si="375"/>
        <v>0</v>
      </c>
      <c r="DY25" s="64">
        <f t="shared" si="376"/>
        <v>0</v>
      </c>
      <c r="DZ25" s="62">
        <v>12000</v>
      </c>
      <c r="EA25" s="63">
        <v>12000</v>
      </c>
      <c r="EB25" s="64">
        <f t="shared" si="377"/>
        <v>0</v>
      </c>
      <c r="EC25" s="65"/>
      <c r="ED25" s="63"/>
      <c r="EE25" s="64">
        <f t="shared" si="378"/>
        <v>0</v>
      </c>
      <c r="EF25" s="65"/>
      <c r="EG25" s="63"/>
      <c r="EH25" s="64">
        <f t="shared" si="379"/>
        <v>0</v>
      </c>
      <c r="EI25" s="65">
        <v>100</v>
      </c>
      <c r="EJ25" s="63"/>
      <c r="EK25" s="64">
        <f t="shared" si="380"/>
        <v>100</v>
      </c>
      <c r="EL25" s="66">
        <f t="shared" si="53"/>
        <v>12100</v>
      </c>
      <c r="EM25" s="67">
        <f t="shared" si="381"/>
        <v>12000</v>
      </c>
      <c r="EN25" s="64">
        <f t="shared" si="382"/>
        <v>100</v>
      </c>
      <c r="EO25" s="62"/>
      <c r="EP25" s="63"/>
      <c r="EQ25" s="64">
        <f t="shared" si="383"/>
        <v>0</v>
      </c>
      <c r="ER25" s="65"/>
      <c r="ES25" s="63"/>
      <c r="ET25" s="64">
        <f t="shared" si="384"/>
        <v>0</v>
      </c>
      <c r="EU25" s="65"/>
      <c r="EV25" s="63"/>
      <c r="EW25" s="64">
        <f t="shared" si="385"/>
        <v>0</v>
      </c>
      <c r="EX25" s="65">
        <v>100</v>
      </c>
      <c r="EY25" s="63"/>
      <c r="EZ25" s="64">
        <f t="shared" si="386"/>
        <v>100</v>
      </c>
      <c r="FA25" s="66">
        <f t="shared" si="60"/>
        <v>100</v>
      </c>
      <c r="FB25" s="67">
        <f t="shared" si="387"/>
        <v>0</v>
      </c>
      <c r="FC25" s="64">
        <f t="shared" si="388"/>
        <v>100</v>
      </c>
      <c r="FD25" s="62"/>
      <c r="FE25" s="63"/>
      <c r="FF25" s="64">
        <f t="shared" si="389"/>
        <v>0</v>
      </c>
      <c r="FG25" s="65"/>
      <c r="FH25" s="63"/>
      <c r="FI25" s="64">
        <f t="shared" si="390"/>
        <v>0</v>
      </c>
      <c r="FJ25" s="65"/>
      <c r="FK25" s="63"/>
      <c r="FL25" s="64">
        <f t="shared" si="391"/>
        <v>0</v>
      </c>
      <c r="FM25" s="65">
        <v>100</v>
      </c>
      <c r="FN25" s="63"/>
      <c r="FO25" s="64">
        <f t="shared" si="392"/>
        <v>100</v>
      </c>
      <c r="FP25" s="66">
        <f t="shared" si="67"/>
        <v>100</v>
      </c>
      <c r="FQ25" s="67">
        <f t="shared" si="393"/>
        <v>0</v>
      </c>
      <c r="FR25" s="64">
        <f t="shared" si="394"/>
        <v>100</v>
      </c>
      <c r="FS25" s="62"/>
      <c r="FT25" s="63"/>
      <c r="FU25" s="64">
        <f t="shared" si="395"/>
        <v>0</v>
      </c>
      <c r="FV25" s="65"/>
      <c r="FW25" s="63"/>
      <c r="FX25" s="64">
        <f t="shared" si="396"/>
        <v>0</v>
      </c>
      <c r="FY25" s="65"/>
      <c r="FZ25" s="63"/>
      <c r="GA25" s="64">
        <f t="shared" si="397"/>
        <v>0</v>
      </c>
      <c r="GB25" s="65"/>
      <c r="GC25" s="63"/>
      <c r="GD25" s="64">
        <f t="shared" si="398"/>
        <v>0</v>
      </c>
      <c r="GE25" s="66">
        <f t="shared" si="74"/>
        <v>0</v>
      </c>
      <c r="GF25" s="67">
        <f t="shared" si="399"/>
        <v>0</v>
      </c>
      <c r="GG25" s="64">
        <f t="shared" si="400"/>
        <v>0</v>
      </c>
      <c r="GH25" s="62"/>
      <c r="GI25" s="63"/>
      <c r="GJ25" s="64">
        <f t="shared" si="401"/>
        <v>0</v>
      </c>
      <c r="GK25" s="65"/>
      <c r="GL25" s="63"/>
      <c r="GM25" s="64">
        <f t="shared" si="402"/>
        <v>0</v>
      </c>
      <c r="GN25" s="65"/>
      <c r="GO25" s="63"/>
      <c r="GP25" s="64">
        <f t="shared" si="403"/>
        <v>0</v>
      </c>
      <c r="GQ25" s="65"/>
      <c r="GR25" s="63"/>
      <c r="GS25" s="64">
        <f t="shared" si="404"/>
        <v>0</v>
      </c>
      <c r="GT25" s="66">
        <f t="shared" si="81"/>
        <v>0</v>
      </c>
      <c r="GU25" s="67">
        <f t="shared" si="405"/>
        <v>0</v>
      </c>
      <c r="GV25" s="64">
        <f t="shared" si="406"/>
        <v>0</v>
      </c>
      <c r="GW25" s="62">
        <v>16578.939999999999</v>
      </c>
      <c r="GX25" s="63">
        <v>16578.939999999999</v>
      </c>
      <c r="GY25" s="64">
        <f t="shared" si="595"/>
        <v>0</v>
      </c>
      <c r="GZ25" s="65"/>
      <c r="HA25" s="63"/>
      <c r="HB25" s="64">
        <f t="shared" si="596"/>
        <v>0</v>
      </c>
      <c r="HC25" s="65"/>
      <c r="HD25" s="63"/>
      <c r="HE25" s="64">
        <f t="shared" si="597"/>
        <v>0</v>
      </c>
      <c r="HF25" s="65">
        <v>100</v>
      </c>
      <c r="HG25" s="63">
        <v>133.61000000000001</v>
      </c>
      <c r="HH25" s="64">
        <f t="shared" si="598"/>
        <v>-33.610000000000014</v>
      </c>
      <c r="HI25" s="66">
        <f t="shared" si="84"/>
        <v>16678.939999999999</v>
      </c>
      <c r="HJ25" s="67">
        <f t="shared" si="407"/>
        <v>16712.55</v>
      </c>
      <c r="HK25" s="64">
        <f t="shared" si="408"/>
        <v>-33.610000000000582</v>
      </c>
      <c r="HL25" s="62">
        <v>7900.8</v>
      </c>
      <c r="HM25" s="63">
        <v>7900.8</v>
      </c>
      <c r="HN25" s="64">
        <f t="shared" si="409"/>
        <v>0</v>
      </c>
      <c r="HO25" s="65"/>
      <c r="HP25" s="63"/>
      <c r="HQ25" s="64">
        <f t="shared" si="410"/>
        <v>0</v>
      </c>
      <c r="HR25" s="65"/>
      <c r="HS25" s="63"/>
      <c r="HT25" s="64">
        <f t="shared" si="411"/>
        <v>0</v>
      </c>
      <c r="HU25" s="65">
        <v>100</v>
      </c>
      <c r="HV25" s="63"/>
      <c r="HW25" s="64">
        <f t="shared" si="412"/>
        <v>100</v>
      </c>
      <c r="HX25" s="66">
        <f t="shared" si="91"/>
        <v>8000.8</v>
      </c>
      <c r="HY25" s="67">
        <f t="shared" si="413"/>
        <v>7900.8</v>
      </c>
      <c r="HZ25" s="64">
        <f t="shared" si="414"/>
        <v>100</v>
      </c>
      <c r="IA25" s="62"/>
      <c r="IB25" s="63"/>
      <c r="IC25" s="64">
        <f t="shared" si="415"/>
        <v>0</v>
      </c>
      <c r="ID25" s="65"/>
      <c r="IE25" s="63"/>
      <c r="IF25" s="64">
        <f t="shared" si="416"/>
        <v>0</v>
      </c>
      <c r="IG25" s="65"/>
      <c r="IH25" s="63"/>
      <c r="II25" s="64">
        <f t="shared" si="417"/>
        <v>0</v>
      </c>
      <c r="IJ25" s="65">
        <v>100</v>
      </c>
      <c r="IK25" s="63"/>
      <c r="IL25" s="64">
        <f t="shared" si="418"/>
        <v>100</v>
      </c>
      <c r="IM25" s="66">
        <f t="shared" si="98"/>
        <v>100</v>
      </c>
      <c r="IN25" s="67">
        <f t="shared" si="419"/>
        <v>0</v>
      </c>
      <c r="IO25" s="64">
        <f t="shared" si="420"/>
        <v>100</v>
      </c>
      <c r="IP25" s="62">
        <v>5000</v>
      </c>
      <c r="IQ25" s="63">
        <v>5000</v>
      </c>
      <c r="IR25" s="64">
        <f t="shared" si="421"/>
        <v>0</v>
      </c>
      <c r="IS25" s="65"/>
      <c r="IT25" s="63"/>
      <c r="IU25" s="64">
        <f t="shared" si="422"/>
        <v>0</v>
      </c>
      <c r="IV25" s="65"/>
      <c r="IW25" s="63"/>
      <c r="IX25" s="64">
        <f t="shared" si="423"/>
        <v>0</v>
      </c>
      <c r="IY25" s="65"/>
      <c r="IZ25" s="63"/>
      <c r="JA25" s="64">
        <f t="shared" si="424"/>
        <v>0</v>
      </c>
      <c r="JB25" s="66">
        <f t="shared" si="105"/>
        <v>5000</v>
      </c>
      <c r="JC25" s="67">
        <f t="shared" si="425"/>
        <v>5000</v>
      </c>
      <c r="JD25" s="64">
        <f t="shared" si="426"/>
        <v>0</v>
      </c>
      <c r="JE25" s="62"/>
      <c r="JF25" s="63"/>
      <c r="JG25" s="64">
        <f t="shared" si="427"/>
        <v>0</v>
      </c>
      <c r="JH25" s="65">
        <v>442.35</v>
      </c>
      <c r="JI25" s="65">
        <v>442.35</v>
      </c>
      <c r="JJ25" s="64">
        <f t="shared" si="428"/>
        <v>0</v>
      </c>
      <c r="JK25" s="65"/>
      <c r="JL25" s="63"/>
      <c r="JM25" s="64">
        <f t="shared" si="429"/>
        <v>0</v>
      </c>
      <c r="JN25" s="65">
        <v>100</v>
      </c>
      <c r="JO25" s="63">
        <v>229.32</v>
      </c>
      <c r="JP25" s="64">
        <f t="shared" si="430"/>
        <v>-129.32</v>
      </c>
      <c r="JQ25" s="66">
        <f t="shared" si="112"/>
        <v>542.35</v>
      </c>
      <c r="JR25" s="67">
        <f t="shared" si="431"/>
        <v>671.67000000000007</v>
      </c>
      <c r="JS25" s="64">
        <f t="shared" si="432"/>
        <v>-129.32000000000005</v>
      </c>
      <c r="JT25" s="62">
        <v>5615.92</v>
      </c>
      <c r="JU25" s="63">
        <v>5615.92</v>
      </c>
      <c r="JV25" s="64">
        <f t="shared" si="433"/>
        <v>0</v>
      </c>
      <c r="JW25" s="65"/>
      <c r="JX25" s="63"/>
      <c r="JY25" s="64">
        <f t="shared" si="434"/>
        <v>0</v>
      </c>
      <c r="JZ25" s="65"/>
      <c r="KA25" s="63"/>
      <c r="KB25" s="64">
        <f t="shared" si="435"/>
        <v>0</v>
      </c>
      <c r="KC25" s="65">
        <v>100</v>
      </c>
      <c r="KD25" s="63">
        <v>158.46</v>
      </c>
      <c r="KE25" s="64">
        <f t="shared" si="436"/>
        <v>-58.460000000000008</v>
      </c>
      <c r="KF25" s="66">
        <f t="shared" si="119"/>
        <v>5715.92</v>
      </c>
      <c r="KG25" s="67">
        <f t="shared" si="437"/>
        <v>5774.38</v>
      </c>
      <c r="KH25" s="64">
        <f t="shared" si="438"/>
        <v>-58.460000000000036</v>
      </c>
      <c r="KI25" s="62"/>
      <c r="KJ25" s="63"/>
      <c r="KK25" s="64">
        <f t="shared" si="599"/>
        <v>0</v>
      </c>
      <c r="KL25" s="65"/>
      <c r="KM25" s="63"/>
      <c r="KN25" s="64">
        <f t="shared" si="600"/>
        <v>0</v>
      </c>
      <c r="KO25" s="65"/>
      <c r="KP25" s="63"/>
      <c r="KQ25" s="64">
        <f t="shared" si="601"/>
        <v>0</v>
      </c>
      <c r="KR25" s="65"/>
      <c r="KS25" s="63"/>
      <c r="KT25" s="64">
        <f t="shared" si="439"/>
        <v>0</v>
      </c>
      <c r="KU25" s="66">
        <f t="shared" si="1"/>
        <v>0</v>
      </c>
      <c r="KV25" s="67">
        <f t="shared" si="440"/>
        <v>0</v>
      </c>
      <c r="KW25" s="64">
        <f t="shared" si="441"/>
        <v>0</v>
      </c>
      <c r="KX25" s="72"/>
      <c r="KY25" s="73"/>
      <c r="KZ25" s="74"/>
      <c r="LA25" s="75"/>
      <c r="LB25" s="73"/>
      <c r="LC25" s="74"/>
      <c r="LD25" s="75"/>
      <c r="LE25" s="73"/>
      <c r="LF25" s="74"/>
      <c r="LG25" s="75"/>
      <c r="LH25" s="73"/>
      <c r="LI25" s="74"/>
      <c r="LJ25" s="76"/>
      <c r="LK25" s="77"/>
      <c r="LL25" s="74"/>
      <c r="LM25" s="62">
        <v>10000</v>
      </c>
      <c r="LN25" s="63">
        <v>10000</v>
      </c>
      <c r="LO25" s="64">
        <f t="shared" si="602"/>
        <v>0</v>
      </c>
      <c r="LP25" s="65"/>
      <c r="LQ25" s="63"/>
      <c r="LR25" s="64">
        <f t="shared" si="603"/>
        <v>0</v>
      </c>
      <c r="LS25" s="65"/>
      <c r="LT25" s="63"/>
      <c r="LU25" s="64">
        <f t="shared" si="604"/>
        <v>0</v>
      </c>
      <c r="LV25" s="65">
        <v>100</v>
      </c>
      <c r="LW25" s="63"/>
      <c r="LX25" s="64">
        <f t="shared" si="442"/>
        <v>100</v>
      </c>
      <c r="LY25" s="66">
        <f t="shared" si="124"/>
        <v>10100</v>
      </c>
      <c r="LZ25" s="67">
        <f t="shared" si="443"/>
        <v>10000</v>
      </c>
      <c r="MA25" s="64">
        <f t="shared" si="444"/>
        <v>100</v>
      </c>
      <c r="MB25" s="62">
        <v>650</v>
      </c>
      <c r="MC25" s="63">
        <v>650</v>
      </c>
      <c r="MD25" s="64">
        <f t="shared" si="445"/>
        <v>0</v>
      </c>
      <c r="ME25" s="65">
        <v>1050.2</v>
      </c>
      <c r="MF25" s="63">
        <v>1050.2</v>
      </c>
      <c r="MG25" s="64">
        <f>ME25-MF25</f>
        <v>0</v>
      </c>
      <c r="MH25" s="65"/>
      <c r="MI25" s="63"/>
      <c r="MJ25" s="64">
        <f t="shared" si="447"/>
        <v>0</v>
      </c>
      <c r="MK25" s="65">
        <v>100</v>
      </c>
      <c r="ML25" s="63">
        <v>327.19</v>
      </c>
      <c r="MM25" s="64">
        <f t="shared" si="448"/>
        <v>-227.19</v>
      </c>
      <c r="MN25" s="66">
        <f>MB25+ME25+MH25+MK25</f>
        <v>1800.2</v>
      </c>
      <c r="MO25" s="67">
        <f t="shared" si="449"/>
        <v>2027.39</v>
      </c>
      <c r="MP25" s="64">
        <f t="shared" si="450"/>
        <v>-227.19000000000005</v>
      </c>
      <c r="MQ25" s="62">
        <v>8600</v>
      </c>
      <c r="MR25" s="63">
        <v>8600</v>
      </c>
      <c r="MS25" s="64">
        <f t="shared" si="451"/>
        <v>0</v>
      </c>
      <c r="MT25" s="65"/>
      <c r="MU25" s="63"/>
      <c r="MV25" s="64">
        <f t="shared" si="452"/>
        <v>0</v>
      </c>
      <c r="MW25" s="65"/>
      <c r="MX25" s="63"/>
      <c r="MY25" s="64">
        <f t="shared" si="453"/>
        <v>0</v>
      </c>
      <c r="MZ25" s="65"/>
      <c r="NA25" s="63"/>
      <c r="NB25" s="64">
        <f t="shared" si="454"/>
        <v>0</v>
      </c>
      <c r="NC25" s="66">
        <f t="shared" si="138"/>
        <v>8600</v>
      </c>
      <c r="ND25" s="67">
        <f t="shared" si="455"/>
        <v>8600</v>
      </c>
      <c r="NE25" s="64">
        <f t="shared" si="456"/>
        <v>0</v>
      </c>
      <c r="NF25" s="62">
        <v>1000</v>
      </c>
      <c r="NG25" s="63">
        <v>1000</v>
      </c>
      <c r="NH25" s="64">
        <f t="shared" si="457"/>
        <v>0</v>
      </c>
      <c r="NI25" s="65">
        <v>886.87</v>
      </c>
      <c r="NJ25" s="63">
        <v>886.87</v>
      </c>
      <c r="NK25" s="64">
        <f t="shared" si="458"/>
        <v>0</v>
      </c>
      <c r="NL25" s="65"/>
      <c r="NM25" s="63"/>
      <c r="NN25" s="64">
        <f t="shared" si="459"/>
        <v>0</v>
      </c>
      <c r="NO25" s="65">
        <v>100</v>
      </c>
      <c r="NP25" s="63">
        <v>232.9</v>
      </c>
      <c r="NQ25" s="64">
        <f t="shared" si="460"/>
        <v>-132.9</v>
      </c>
      <c r="NR25" s="66">
        <f t="shared" si="145"/>
        <v>1986.87</v>
      </c>
      <c r="NS25" s="67">
        <f t="shared" si="461"/>
        <v>2119.77</v>
      </c>
      <c r="NT25" s="64">
        <f t="shared" si="462"/>
        <v>-132.90000000000009</v>
      </c>
      <c r="NU25" s="62">
        <v>864</v>
      </c>
      <c r="NV25" s="63">
        <v>864</v>
      </c>
      <c r="NW25" s="64">
        <f t="shared" si="463"/>
        <v>0</v>
      </c>
      <c r="NX25" s="65">
        <v>1004.52</v>
      </c>
      <c r="NY25" s="63">
        <v>1004.52</v>
      </c>
      <c r="NZ25" s="64">
        <f t="shared" si="464"/>
        <v>0</v>
      </c>
      <c r="OA25" s="65"/>
      <c r="OB25" s="63"/>
      <c r="OC25" s="64">
        <f t="shared" si="465"/>
        <v>0</v>
      </c>
      <c r="OD25" s="65">
        <v>100</v>
      </c>
      <c r="OE25" s="63">
        <v>192.38</v>
      </c>
      <c r="OF25" s="64">
        <f t="shared" si="466"/>
        <v>-92.38</v>
      </c>
      <c r="OG25" s="66">
        <f t="shared" si="152"/>
        <v>1968.52</v>
      </c>
      <c r="OH25" s="67">
        <f t="shared" si="467"/>
        <v>2060.9</v>
      </c>
      <c r="OI25" s="64">
        <f t="shared" si="468"/>
        <v>-92.380000000000109</v>
      </c>
      <c r="OJ25" s="62"/>
      <c r="OK25" s="63"/>
      <c r="OL25" s="64">
        <f t="shared" si="469"/>
        <v>0</v>
      </c>
      <c r="OM25" s="65"/>
      <c r="ON25" s="63"/>
      <c r="OO25" s="64">
        <f t="shared" si="470"/>
        <v>0</v>
      </c>
      <c r="OP25" s="65"/>
      <c r="OQ25" s="63"/>
      <c r="OR25" s="64">
        <f t="shared" si="471"/>
        <v>0</v>
      </c>
      <c r="OS25" s="65">
        <v>100</v>
      </c>
      <c r="OT25" s="63">
        <v>145.05000000000001</v>
      </c>
      <c r="OU25" s="64">
        <f t="shared" si="472"/>
        <v>-45.050000000000011</v>
      </c>
      <c r="OV25" s="66">
        <f t="shared" si="159"/>
        <v>100</v>
      </c>
      <c r="OW25" s="67">
        <f t="shared" si="473"/>
        <v>145.05000000000001</v>
      </c>
      <c r="OX25" s="64">
        <f t="shared" si="474"/>
        <v>-45.050000000000011</v>
      </c>
      <c r="OY25" s="62"/>
      <c r="OZ25" s="63"/>
      <c r="PA25" s="64">
        <f t="shared" si="475"/>
        <v>0</v>
      </c>
      <c r="PB25" s="65"/>
      <c r="PC25" s="63"/>
      <c r="PD25" s="64">
        <f t="shared" si="476"/>
        <v>0</v>
      </c>
      <c r="PE25" s="65"/>
      <c r="PF25" s="63"/>
      <c r="PG25" s="64">
        <f t="shared" si="477"/>
        <v>0</v>
      </c>
      <c r="PH25" s="65">
        <v>100</v>
      </c>
      <c r="PI25" s="63"/>
      <c r="PJ25" s="64">
        <f t="shared" si="478"/>
        <v>100</v>
      </c>
      <c r="PK25" s="66">
        <f t="shared" si="166"/>
        <v>100</v>
      </c>
      <c r="PL25" s="67">
        <f t="shared" si="479"/>
        <v>0</v>
      </c>
      <c r="PM25" s="64">
        <f t="shared" si="480"/>
        <v>100</v>
      </c>
      <c r="PN25" s="62">
        <v>1400</v>
      </c>
      <c r="PO25" s="63">
        <v>1400</v>
      </c>
      <c r="PP25" s="64">
        <f t="shared" si="481"/>
        <v>0</v>
      </c>
      <c r="PQ25" s="65"/>
      <c r="PR25" s="63"/>
      <c r="PS25" s="64">
        <f t="shared" si="482"/>
        <v>0</v>
      </c>
      <c r="PT25" s="65"/>
      <c r="PU25" s="63"/>
      <c r="PV25" s="64">
        <f t="shared" si="483"/>
        <v>0</v>
      </c>
      <c r="PW25" s="65">
        <v>100</v>
      </c>
      <c r="PX25" s="63"/>
      <c r="PY25" s="64">
        <f t="shared" si="484"/>
        <v>100</v>
      </c>
      <c r="PZ25" s="66">
        <f t="shared" si="173"/>
        <v>1500</v>
      </c>
      <c r="QA25" s="67">
        <f t="shared" si="485"/>
        <v>1400</v>
      </c>
      <c r="QB25" s="64">
        <f t="shared" si="486"/>
        <v>100</v>
      </c>
      <c r="QC25" s="62">
        <v>7500</v>
      </c>
      <c r="QD25" s="63">
        <v>7500</v>
      </c>
      <c r="QE25" s="64">
        <f t="shared" si="487"/>
        <v>0</v>
      </c>
      <c r="QF25" s="65"/>
      <c r="QG25" s="63"/>
      <c r="QH25" s="64">
        <f t="shared" si="488"/>
        <v>0</v>
      </c>
      <c r="QI25" s="65"/>
      <c r="QJ25" s="63"/>
      <c r="QK25" s="64">
        <f t="shared" si="489"/>
        <v>0</v>
      </c>
      <c r="QL25" s="65">
        <v>100</v>
      </c>
      <c r="QM25" s="63"/>
      <c r="QN25" s="64">
        <f t="shared" si="490"/>
        <v>100</v>
      </c>
      <c r="QO25" s="66">
        <f t="shared" si="180"/>
        <v>7600</v>
      </c>
      <c r="QP25" s="67">
        <f t="shared" si="491"/>
        <v>7500</v>
      </c>
      <c r="QQ25" s="64">
        <f t="shared" si="492"/>
        <v>100</v>
      </c>
      <c r="QR25" s="62"/>
      <c r="QS25" s="63"/>
      <c r="QT25" s="64">
        <f t="shared" si="493"/>
        <v>0</v>
      </c>
      <c r="QU25" s="65"/>
      <c r="QV25" s="63"/>
      <c r="QW25" s="64">
        <f t="shared" si="494"/>
        <v>0</v>
      </c>
      <c r="QX25" s="65"/>
      <c r="QY25" s="63"/>
      <c r="QZ25" s="64">
        <f t="shared" si="495"/>
        <v>0</v>
      </c>
      <c r="RA25" s="65"/>
      <c r="RB25" s="63"/>
      <c r="RC25" s="64">
        <f t="shared" si="496"/>
        <v>0</v>
      </c>
      <c r="RD25" s="66">
        <f t="shared" si="187"/>
        <v>0</v>
      </c>
      <c r="RE25" s="67">
        <f t="shared" si="497"/>
        <v>0</v>
      </c>
      <c r="RF25" s="64">
        <f t="shared" si="498"/>
        <v>0</v>
      </c>
      <c r="RG25" s="62"/>
      <c r="RH25" s="63"/>
      <c r="RI25" s="64">
        <f t="shared" si="499"/>
        <v>0</v>
      </c>
      <c r="RJ25" s="65"/>
      <c r="RK25" s="63"/>
      <c r="RL25" s="64">
        <f t="shared" si="500"/>
        <v>0</v>
      </c>
      <c r="RM25" s="65"/>
      <c r="RN25" s="63"/>
      <c r="RO25" s="64">
        <f t="shared" si="501"/>
        <v>0</v>
      </c>
      <c r="RP25" s="65"/>
      <c r="RQ25" s="63"/>
      <c r="RR25" s="64">
        <f t="shared" si="502"/>
        <v>0</v>
      </c>
      <c r="RS25" s="66">
        <f t="shared" si="194"/>
        <v>0</v>
      </c>
      <c r="RT25" s="67">
        <f t="shared" si="503"/>
        <v>0</v>
      </c>
      <c r="RU25" s="64">
        <f t="shared" si="504"/>
        <v>0</v>
      </c>
      <c r="RV25" s="62"/>
      <c r="RW25" s="63"/>
      <c r="RX25" s="64">
        <f t="shared" si="505"/>
        <v>0</v>
      </c>
      <c r="RY25" s="65"/>
      <c r="RZ25" s="63"/>
      <c r="SA25" s="64">
        <f t="shared" si="506"/>
        <v>0</v>
      </c>
      <c r="SB25" s="65"/>
      <c r="SC25" s="63"/>
      <c r="SD25" s="64">
        <f t="shared" si="507"/>
        <v>0</v>
      </c>
      <c r="SE25" s="65">
        <v>100</v>
      </c>
      <c r="SF25" s="63"/>
      <c r="SG25" s="64">
        <f t="shared" si="508"/>
        <v>100</v>
      </c>
      <c r="SH25" s="66">
        <f t="shared" si="201"/>
        <v>100</v>
      </c>
      <c r="SI25" s="67">
        <f t="shared" si="509"/>
        <v>0</v>
      </c>
      <c r="SJ25" s="64">
        <f t="shared" si="510"/>
        <v>100</v>
      </c>
      <c r="SK25" s="62">
        <v>17000</v>
      </c>
      <c r="SL25" s="63">
        <v>17000</v>
      </c>
      <c r="SM25" s="64">
        <f t="shared" si="511"/>
        <v>0</v>
      </c>
      <c r="SN25" s="65"/>
      <c r="SO25" s="63"/>
      <c r="SP25" s="64">
        <f t="shared" si="512"/>
        <v>0</v>
      </c>
      <c r="SQ25" s="65"/>
      <c r="SR25" s="63"/>
      <c r="SS25" s="64">
        <f t="shared" si="513"/>
        <v>0</v>
      </c>
      <c r="ST25" s="65">
        <v>100</v>
      </c>
      <c r="SU25" s="63">
        <v>179.44</v>
      </c>
      <c r="SV25" s="64">
        <f t="shared" si="514"/>
        <v>-79.44</v>
      </c>
      <c r="SW25" s="66">
        <f t="shared" si="208"/>
        <v>17100</v>
      </c>
      <c r="SX25" s="67">
        <f t="shared" si="515"/>
        <v>17179.439999999999</v>
      </c>
      <c r="SY25" s="64">
        <f t="shared" si="516"/>
        <v>-79.43999999999869</v>
      </c>
      <c r="SZ25" s="62">
        <v>985.33</v>
      </c>
      <c r="TA25" s="63">
        <v>985.33</v>
      </c>
      <c r="TB25" s="64">
        <f t="shared" si="517"/>
        <v>0</v>
      </c>
      <c r="TC25" s="65">
        <v>700.9</v>
      </c>
      <c r="TD25" s="63">
        <v>700.9</v>
      </c>
      <c r="TE25" s="64">
        <f t="shared" si="518"/>
        <v>0</v>
      </c>
      <c r="TF25" s="65"/>
      <c r="TG25" s="63"/>
      <c r="TH25" s="64">
        <f t="shared" si="519"/>
        <v>0</v>
      </c>
      <c r="TI25" s="65">
        <v>100</v>
      </c>
      <c r="TJ25" s="63"/>
      <c r="TK25" s="64">
        <f t="shared" si="520"/>
        <v>100</v>
      </c>
      <c r="TL25" s="66">
        <f t="shared" si="215"/>
        <v>1786.23</v>
      </c>
      <c r="TM25" s="67">
        <f t="shared" si="521"/>
        <v>1686.23</v>
      </c>
      <c r="TN25" s="64">
        <f t="shared" si="522"/>
        <v>100</v>
      </c>
      <c r="TO25" s="62"/>
      <c r="TP25" s="63"/>
      <c r="TQ25" s="64">
        <f t="shared" si="523"/>
        <v>0</v>
      </c>
      <c r="TR25" s="65"/>
      <c r="TS25" s="63"/>
      <c r="TT25" s="64">
        <f t="shared" si="524"/>
        <v>0</v>
      </c>
      <c r="TU25" s="65"/>
      <c r="TV25" s="63"/>
      <c r="TW25" s="64">
        <f t="shared" si="525"/>
        <v>0</v>
      </c>
      <c r="TX25" s="65">
        <v>100</v>
      </c>
      <c r="TY25" s="63">
        <v>160.38</v>
      </c>
      <c r="TZ25" s="64">
        <f t="shared" si="526"/>
        <v>-60.379999999999995</v>
      </c>
      <c r="UA25" s="66">
        <f t="shared" si="222"/>
        <v>100</v>
      </c>
      <c r="UB25" s="67">
        <f t="shared" si="527"/>
        <v>160.38</v>
      </c>
      <c r="UC25" s="64">
        <f t="shared" si="528"/>
        <v>-60.379999999999995</v>
      </c>
      <c r="UD25" s="62"/>
      <c r="UE25" s="63"/>
      <c r="UF25" s="64">
        <f t="shared" si="529"/>
        <v>0</v>
      </c>
      <c r="UG25" s="65">
        <v>497.04</v>
      </c>
      <c r="UH25" s="63">
        <v>497.04</v>
      </c>
      <c r="UI25" s="64">
        <f t="shared" si="530"/>
        <v>0</v>
      </c>
      <c r="UJ25" s="65"/>
      <c r="UK25" s="63"/>
      <c r="UL25" s="64">
        <f t="shared" si="531"/>
        <v>0</v>
      </c>
      <c r="UM25" s="65">
        <v>100</v>
      </c>
      <c r="UN25" s="63"/>
      <c r="UO25" s="64">
        <f t="shared" si="532"/>
        <v>100</v>
      </c>
      <c r="UP25" s="66">
        <f t="shared" si="226"/>
        <v>597.04</v>
      </c>
      <c r="UQ25" s="67">
        <f t="shared" si="533"/>
        <v>497.04</v>
      </c>
      <c r="UR25" s="64">
        <f t="shared" si="534"/>
        <v>99.999999999999943</v>
      </c>
      <c r="US25" s="62"/>
      <c r="UT25" s="63"/>
      <c r="UU25" s="64">
        <f t="shared" si="535"/>
        <v>0</v>
      </c>
      <c r="UV25" s="65"/>
      <c r="UW25" s="63"/>
      <c r="UX25" s="64">
        <f t="shared" si="536"/>
        <v>0</v>
      </c>
      <c r="UY25" s="65"/>
      <c r="UZ25" s="63"/>
      <c r="VA25" s="64">
        <f t="shared" si="537"/>
        <v>0</v>
      </c>
      <c r="VB25" s="65">
        <v>100</v>
      </c>
      <c r="VC25" s="63">
        <v>187.19</v>
      </c>
      <c r="VD25" s="64">
        <f t="shared" si="538"/>
        <v>-87.19</v>
      </c>
      <c r="VE25" s="66">
        <f t="shared" si="233"/>
        <v>100</v>
      </c>
      <c r="VF25" s="67">
        <f t="shared" si="539"/>
        <v>187.19</v>
      </c>
      <c r="VG25" s="64">
        <f t="shared" si="540"/>
        <v>-87.19</v>
      </c>
      <c r="VH25" s="62"/>
      <c r="VI25" s="63"/>
      <c r="VJ25" s="64">
        <f t="shared" si="541"/>
        <v>0</v>
      </c>
      <c r="VK25" s="65"/>
      <c r="VL25" s="63"/>
      <c r="VM25" s="64">
        <f t="shared" si="542"/>
        <v>0</v>
      </c>
      <c r="VN25" s="65"/>
      <c r="VO25" s="63"/>
      <c r="VP25" s="64">
        <f t="shared" si="543"/>
        <v>0</v>
      </c>
      <c r="VQ25" s="65">
        <v>100</v>
      </c>
      <c r="VR25" s="63">
        <v>113.66</v>
      </c>
      <c r="VS25" s="64">
        <f t="shared" si="544"/>
        <v>-13.659999999999997</v>
      </c>
      <c r="VT25" s="66">
        <f t="shared" si="240"/>
        <v>100</v>
      </c>
      <c r="VU25" s="67">
        <f t="shared" si="545"/>
        <v>113.66</v>
      </c>
      <c r="VV25" s="64">
        <f t="shared" si="546"/>
        <v>-13.659999999999997</v>
      </c>
      <c r="VW25" s="62"/>
      <c r="VX25" s="63"/>
      <c r="VY25" s="64">
        <f t="shared" si="547"/>
        <v>0</v>
      </c>
      <c r="VZ25" s="65"/>
      <c r="WA25" s="63"/>
      <c r="WB25" s="64">
        <f t="shared" si="548"/>
        <v>0</v>
      </c>
      <c r="WC25" s="65"/>
      <c r="WD25" s="63"/>
      <c r="WE25" s="64">
        <f t="shared" si="549"/>
        <v>0</v>
      </c>
      <c r="WF25" s="65"/>
      <c r="WG25" s="63"/>
      <c r="WH25" s="64">
        <f t="shared" si="550"/>
        <v>0</v>
      </c>
      <c r="WI25" s="66">
        <f t="shared" si="247"/>
        <v>0</v>
      </c>
      <c r="WJ25" s="67">
        <f t="shared" si="551"/>
        <v>0</v>
      </c>
      <c r="WK25" s="64">
        <f t="shared" si="552"/>
        <v>0</v>
      </c>
      <c r="WL25" s="62">
        <v>1376.01</v>
      </c>
      <c r="WM25" s="63">
        <v>1376.01</v>
      </c>
      <c r="WN25" s="64">
        <f t="shared" si="553"/>
        <v>0</v>
      </c>
      <c r="WO25" s="65"/>
      <c r="WP25" s="63"/>
      <c r="WQ25" s="64">
        <f t="shared" si="554"/>
        <v>0</v>
      </c>
      <c r="WR25" s="65"/>
      <c r="WS25" s="63"/>
      <c r="WT25" s="64">
        <f t="shared" si="555"/>
        <v>0</v>
      </c>
      <c r="WU25" s="65">
        <v>100</v>
      </c>
      <c r="WV25" s="63">
        <v>147.53</v>
      </c>
      <c r="WW25" s="64">
        <f t="shared" si="556"/>
        <v>-47.53</v>
      </c>
      <c r="WX25" s="66">
        <f t="shared" si="254"/>
        <v>1476.01</v>
      </c>
      <c r="WY25" s="67">
        <f t="shared" si="557"/>
        <v>1523.54</v>
      </c>
      <c r="WZ25" s="64">
        <f t="shared" si="558"/>
        <v>-47.529999999999973</v>
      </c>
      <c r="XA25" s="62"/>
      <c r="XB25" s="63"/>
      <c r="XC25" s="64">
        <f t="shared" si="559"/>
        <v>0</v>
      </c>
      <c r="XD25" s="65"/>
      <c r="XE25" s="63"/>
      <c r="XF25" s="64">
        <f t="shared" si="560"/>
        <v>0</v>
      </c>
      <c r="XG25" s="65"/>
      <c r="XH25" s="63"/>
      <c r="XI25" s="64">
        <f t="shared" si="561"/>
        <v>0</v>
      </c>
      <c r="XJ25" s="65">
        <v>100</v>
      </c>
      <c r="XK25" s="63">
        <v>115.61</v>
      </c>
      <c r="XL25" s="64">
        <f t="shared" si="562"/>
        <v>-15.61</v>
      </c>
      <c r="XM25" s="66">
        <f t="shared" si="261"/>
        <v>100</v>
      </c>
      <c r="XN25" s="67">
        <f t="shared" si="563"/>
        <v>115.61</v>
      </c>
      <c r="XO25" s="64">
        <f t="shared" si="564"/>
        <v>-15.61</v>
      </c>
      <c r="XP25" s="62">
        <v>917</v>
      </c>
      <c r="XQ25" s="63">
        <v>917</v>
      </c>
      <c r="XR25" s="64">
        <f t="shared" si="565"/>
        <v>0</v>
      </c>
      <c r="XS25" s="65">
        <v>591.29999999999995</v>
      </c>
      <c r="XT25" s="63">
        <v>591.29999999999995</v>
      </c>
      <c r="XU25" s="64">
        <f t="shared" si="566"/>
        <v>0</v>
      </c>
      <c r="XV25" s="65"/>
      <c r="XW25" s="63"/>
      <c r="XX25" s="64">
        <f t="shared" si="567"/>
        <v>0</v>
      </c>
      <c r="XY25" s="65">
        <v>100</v>
      </c>
      <c r="XZ25" s="63">
        <v>101.38</v>
      </c>
      <c r="YA25" s="64">
        <f t="shared" si="568"/>
        <v>-1.3799999999999955</v>
      </c>
      <c r="YB25" s="66">
        <f t="shared" si="268"/>
        <v>1608.3</v>
      </c>
      <c r="YC25" s="67">
        <f t="shared" si="569"/>
        <v>1609.6799999999998</v>
      </c>
      <c r="YD25" s="64">
        <f t="shared" si="570"/>
        <v>-1.3799999999998818</v>
      </c>
      <c r="YE25" s="62">
        <v>890</v>
      </c>
      <c r="YF25" s="63">
        <v>890</v>
      </c>
      <c r="YG25" s="64">
        <f t="shared" si="571"/>
        <v>0</v>
      </c>
      <c r="YH25" s="65">
        <v>725.15</v>
      </c>
      <c r="YI25" s="63">
        <v>725.15</v>
      </c>
      <c r="YJ25" s="64">
        <f t="shared" si="572"/>
        <v>0</v>
      </c>
      <c r="YK25" s="65"/>
      <c r="YL25" s="63"/>
      <c r="YM25" s="64">
        <f t="shared" si="573"/>
        <v>0</v>
      </c>
      <c r="YN25" s="65">
        <v>100</v>
      </c>
      <c r="YO25" s="63">
        <v>78.22</v>
      </c>
      <c r="YP25" s="64">
        <f t="shared" si="574"/>
        <v>21.78</v>
      </c>
      <c r="YQ25" s="66">
        <f t="shared" si="275"/>
        <v>1715.15</v>
      </c>
      <c r="YR25" s="67">
        <f t="shared" si="575"/>
        <v>1693.3700000000001</v>
      </c>
      <c r="YS25" s="64">
        <f t="shared" si="576"/>
        <v>21.779999999999973</v>
      </c>
      <c r="YT25" s="62">
        <v>932</v>
      </c>
      <c r="YU25" s="63">
        <v>932</v>
      </c>
      <c r="YV25" s="64">
        <f t="shared" si="577"/>
        <v>0</v>
      </c>
      <c r="YW25" s="65">
        <v>513.28</v>
      </c>
      <c r="YX25" s="63">
        <v>513.28</v>
      </c>
      <c r="YY25" s="64">
        <f t="shared" si="578"/>
        <v>0</v>
      </c>
      <c r="YZ25" s="65"/>
      <c r="ZA25" s="63"/>
      <c r="ZB25" s="64">
        <f t="shared" si="579"/>
        <v>0</v>
      </c>
      <c r="ZC25" s="65">
        <v>100</v>
      </c>
      <c r="ZD25" s="63">
        <v>76.569999999999993</v>
      </c>
      <c r="ZE25" s="64">
        <f t="shared" si="580"/>
        <v>23.430000000000007</v>
      </c>
      <c r="ZF25" s="66">
        <f t="shared" si="282"/>
        <v>1545.28</v>
      </c>
      <c r="ZG25" s="67">
        <f t="shared" si="581"/>
        <v>1521.85</v>
      </c>
      <c r="ZH25" s="64">
        <f t="shared" si="582"/>
        <v>23.430000000000064</v>
      </c>
      <c r="ZI25" s="62">
        <v>1250</v>
      </c>
      <c r="ZJ25" s="63">
        <v>1250</v>
      </c>
      <c r="ZK25" s="64">
        <f t="shared" si="583"/>
        <v>0</v>
      </c>
      <c r="ZL25" s="65"/>
      <c r="ZM25" s="63"/>
      <c r="ZN25" s="64">
        <f t="shared" si="584"/>
        <v>0</v>
      </c>
      <c r="ZO25" s="65"/>
      <c r="ZP25" s="63"/>
      <c r="ZQ25" s="64">
        <f t="shared" si="585"/>
        <v>0</v>
      </c>
      <c r="ZR25" s="65">
        <v>100</v>
      </c>
      <c r="ZS25" s="63"/>
      <c r="ZT25" s="64">
        <f t="shared" si="586"/>
        <v>100</v>
      </c>
      <c r="ZU25" s="66">
        <f t="shared" si="289"/>
        <v>1350</v>
      </c>
      <c r="ZV25" s="67">
        <f t="shared" si="587"/>
        <v>1250</v>
      </c>
      <c r="ZW25" s="64">
        <f t="shared" si="588"/>
        <v>100</v>
      </c>
      <c r="ZX25" s="62">
        <v>24.71</v>
      </c>
      <c r="ZY25" s="63">
        <v>24.71</v>
      </c>
      <c r="ZZ25" s="64">
        <f t="shared" si="589"/>
        <v>0</v>
      </c>
      <c r="AAA25" s="66">
        <f t="shared" si="293"/>
        <v>24.71</v>
      </c>
      <c r="AAB25" s="67">
        <f t="shared" si="293"/>
        <v>24.71</v>
      </c>
      <c r="AAC25" s="64">
        <f t="shared" si="590"/>
        <v>0</v>
      </c>
      <c r="AAD25" s="85">
        <f t="shared" si="295"/>
        <v>146515.50000000003</v>
      </c>
      <c r="AAE25" s="86">
        <f t="shared" si="295"/>
        <v>137497.94</v>
      </c>
      <c r="AAF25" s="87">
        <f t="shared" si="3"/>
        <v>0.93845320119714282</v>
      </c>
      <c r="AAG25" s="88">
        <f t="shared" si="591"/>
        <v>-9017.5600000000268</v>
      </c>
      <c r="AAH25" s="89"/>
      <c r="AAI25" s="92"/>
      <c r="AAJ25" s="92"/>
      <c r="AAK25" s="60"/>
    </row>
    <row r="26" spans="1:713" s="83" customFormat="1" ht="20" customHeight="1" x14ac:dyDescent="0.2">
      <c r="A26" s="84" t="s">
        <v>23</v>
      </c>
      <c r="B26" s="94">
        <f>B24/B20</f>
        <v>1.0281639899648927</v>
      </c>
      <c r="C26" s="95"/>
      <c r="D26" s="95"/>
      <c r="E26" s="60"/>
      <c r="F26" s="61">
        <v>45170</v>
      </c>
      <c r="G26" s="62"/>
      <c r="H26" s="63">
        <v>0</v>
      </c>
      <c r="I26" s="64">
        <f t="shared" si="340"/>
        <v>0</v>
      </c>
      <c r="J26" s="65">
        <v>2000</v>
      </c>
      <c r="K26" s="63">
        <v>2154.35</v>
      </c>
      <c r="L26" s="64">
        <f t="shared" si="341"/>
        <v>-154.34999999999991</v>
      </c>
      <c r="M26" s="65">
        <v>1500</v>
      </c>
      <c r="N26" s="63">
        <v>5441.18</v>
      </c>
      <c r="O26" s="64">
        <f t="shared" si="342"/>
        <v>-3941.1800000000003</v>
      </c>
      <c r="P26" s="65">
        <v>2200</v>
      </c>
      <c r="Q26" s="63">
        <v>1324.38</v>
      </c>
      <c r="R26" s="64">
        <f t="shared" si="343"/>
        <v>875.61999999999989</v>
      </c>
      <c r="S26" s="65">
        <v>660.96</v>
      </c>
      <c r="T26" s="63">
        <v>0</v>
      </c>
      <c r="U26" s="64">
        <f t="shared" si="344"/>
        <v>660.96</v>
      </c>
      <c r="V26" s="66">
        <f t="shared" si="345"/>
        <v>6360.96</v>
      </c>
      <c r="W26" s="67">
        <f t="shared" si="345"/>
        <v>8919.91</v>
      </c>
      <c r="X26" s="64">
        <f t="shared" si="346"/>
        <v>-2558.9499999999998</v>
      </c>
      <c r="Y26" s="62">
        <v>1100</v>
      </c>
      <c r="Z26" s="63">
        <v>1100</v>
      </c>
      <c r="AA26" s="64">
        <f t="shared" si="347"/>
        <v>0</v>
      </c>
      <c r="AB26" s="65"/>
      <c r="AC26" s="63"/>
      <c r="AD26" s="64">
        <f t="shared" si="348"/>
        <v>0</v>
      </c>
      <c r="AE26" s="65"/>
      <c r="AF26" s="63"/>
      <c r="AG26" s="64">
        <f t="shared" si="349"/>
        <v>0</v>
      </c>
      <c r="AH26" s="65"/>
      <c r="AI26" s="63"/>
      <c r="AJ26" s="64">
        <f t="shared" si="350"/>
        <v>0</v>
      </c>
      <c r="AK26" s="66">
        <f t="shared" si="16"/>
        <v>1100</v>
      </c>
      <c r="AL26" s="67">
        <f t="shared" si="17"/>
        <v>1100</v>
      </c>
      <c r="AM26" s="64">
        <f t="shared" si="351"/>
        <v>0</v>
      </c>
      <c r="AN26" s="62">
        <v>6250</v>
      </c>
      <c r="AO26" s="63">
        <v>6250</v>
      </c>
      <c r="AP26" s="64">
        <f t="shared" si="592"/>
        <v>0</v>
      </c>
      <c r="AQ26" s="65"/>
      <c r="AR26" s="63"/>
      <c r="AS26" s="64">
        <f t="shared" si="593"/>
        <v>0</v>
      </c>
      <c r="AT26" s="65"/>
      <c r="AU26" s="63"/>
      <c r="AV26" s="64">
        <f t="shared" si="594"/>
        <v>0</v>
      </c>
      <c r="AW26" s="65"/>
      <c r="AX26" s="63"/>
      <c r="AY26" s="64">
        <f t="shared" si="352"/>
        <v>0</v>
      </c>
      <c r="AZ26" s="66">
        <f t="shared" si="23"/>
        <v>6250</v>
      </c>
      <c r="BA26" s="67">
        <f t="shared" si="353"/>
        <v>6250</v>
      </c>
      <c r="BB26" s="64">
        <f t="shared" si="354"/>
        <v>0</v>
      </c>
      <c r="BC26" s="62"/>
      <c r="BD26" s="63"/>
      <c r="BE26" s="64">
        <f t="shared" si="355"/>
        <v>0</v>
      </c>
      <c r="BF26" s="65"/>
      <c r="BG26" s="63"/>
      <c r="BH26" s="64">
        <f t="shared" si="356"/>
        <v>0</v>
      </c>
      <c r="BI26" s="65"/>
      <c r="BJ26" s="63"/>
      <c r="BK26" s="64">
        <f t="shared" si="357"/>
        <v>0</v>
      </c>
      <c r="BL26" s="65">
        <v>100</v>
      </c>
      <c r="BM26" s="63">
        <f>631.32+281.55</f>
        <v>912.87000000000012</v>
      </c>
      <c r="BN26" s="64">
        <f t="shared" si="358"/>
        <v>-812.87000000000012</v>
      </c>
      <c r="BO26" s="66">
        <f t="shared" si="30"/>
        <v>100</v>
      </c>
      <c r="BP26" s="67">
        <f t="shared" si="359"/>
        <v>912.87000000000012</v>
      </c>
      <c r="BQ26" s="64">
        <f t="shared" si="360"/>
        <v>-812.87000000000012</v>
      </c>
      <c r="BR26" s="62">
        <v>3416.66</v>
      </c>
      <c r="BS26" s="63">
        <v>3416.66</v>
      </c>
      <c r="BT26" s="64">
        <f t="shared" si="361"/>
        <v>0</v>
      </c>
      <c r="BU26" s="65"/>
      <c r="BV26" s="63"/>
      <c r="BW26" s="64">
        <f t="shared" si="362"/>
        <v>0</v>
      </c>
      <c r="BX26" s="65"/>
      <c r="BY26" s="63"/>
      <c r="BZ26" s="64">
        <f t="shared" si="363"/>
        <v>0</v>
      </c>
      <c r="CA26" s="65"/>
      <c r="CB26" s="63"/>
      <c r="CC26" s="64">
        <f t="shared" si="364"/>
        <v>0</v>
      </c>
      <c r="CD26" s="66">
        <f t="shared" si="33"/>
        <v>3416.66</v>
      </c>
      <c r="CE26" s="67">
        <f t="shared" si="365"/>
        <v>3416.66</v>
      </c>
      <c r="CF26" s="64">
        <f t="shared" si="366"/>
        <v>0</v>
      </c>
      <c r="CG26" s="62">
        <v>5000</v>
      </c>
      <c r="CH26" s="63">
        <v>5000</v>
      </c>
      <c r="CI26" s="64">
        <f t="shared" si="367"/>
        <v>0</v>
      </c>
      <c r="CJ26" s="65"/>
      <c r="CK26" s="63"/>
      <c r="CL26" s="64">
        <f t="shared" si="368"/>
        <v>0</v>
      </c>
      <c r="CM26" s="65"/>
      <c r="CN26" s="63"/>
      <c r="CO26" s="64">
        <f t="shared" si="369"/>
        <v>0</v>
      </c>
      <c r="CP26" s="65"/>
      <c r="CQ26" s="63"/>
      <c r="CR26" s="64">
        <f t="shared" si="370"/>
        <v>0</v>
      </c>
      <c r="CS26" s="66">
        <f t="shared" si="40"/>
        <v>5000</v>
      </c>
      <c r="CT26" s="67">
        <f t="shared" si="371"/>
        <v>5000</v>
      </c>
      <c r="CU26" s="64">
        <f t="shared" si="372"/>
        <v>0</v>
      </c>
      <c r="CV26" s="62">
        <v>2916.7</v>
      </c>
      <c r="CW26" s="63">
        <v>2916.7</v>
      </c>
      <c r="CX26" s="64">
        <f>CV26-CW26</f>
        <v>0</v>
      </c>
      <c r="CY26" s="65"/>
      <c r="CZ26" s="63"/>
      <c r="DA26" s="64">
        <f>CY26-CZ26</f>
        <v>0</v>
      </c>
      <c r="DB26" s="65"/>
      <c r="DC26" s="63"/>
      <c r="DD26" s="64">
        <f>DB26-DC26</f>
        <v>0</v>
      </c>
      <c r="DE26" s="65">
        <v>100</v>
      </c>
      <c r="DF26" s="63"/>
      <c r="DG26" s="64">
        <f>DE26-DF26</f>
        <v>100</v>
      </c>
      <c r="DH26" s="66">
        <f t="shared" si="43"/>
        <v>3016.7</v>
      </c>
      <c r="DI26" s="67">
        <f t="shared" si="373"/>
        <v>2916.7</v>
      </c>
      <c r="DJ26" s="64">
        <f t="shared" si="374"/>
        <v>100</v>
      </c>
      <c r="DK26" s="62">
        <v>2400</v>
      </c>
      <c r="DL26" s="63">
        <v>2400</v>
      </c>
      <c r="DM26" s="64">
        <f>DK26-DL26</f>
        <v>0</v>
      </c>
      <c r="DN26" s="65">
        <v>580</v>
      </c>
      <c r="DO26" s="63">
        <v>580</v>
      </c>
      <c r="DP26" s="64">
        <f>DN26-DO26</f>
        <v>0</v>
      </c>
      <c r="DQ26" s="65"/>
      <c r="DR26" s="63"/>
      <c r="DS26" s="64">
        <f>DQ26-DR26</f>
        <v>0</v>
      </c>
      <c r="DT26" s="65">
        <v>100</v>
      </c>
      <c r="DU26" s="63"/>
      <c r="DV26" s="64">
        <f>DT26-DU26</f>
        <v>100</v>
      </c>
      <c r="DW26" s="66">
        <f t="shared" si="46"/>
        <v>3080</v>
      </c>
      <c r="DX26" s="67">
        <f t="shared" si="375"/>
        <v>2980</v>
      </c>
      <c r="DY26" s="64">
        <f t="shared" si="376"/>
        <v>100</v>
      </c>
      <c r="DZ26" s="62"/>
      <c r="EA26" s="63"/>
      <c r="EB26" s="64">
        <f t="shared" si="377"/>
        <v>0</v>
      </c>
      <c r="EC26" s="65"/>
      <c r="ED26" s="63"/>
      <c r="EE26" s="64">
        <f t="shared" si="378"/>
        <v>0</v>
      </c>
      <c r="EF26" s="65"/>
      <c r="EG26" s="63"/>
      <c r="EH26" s="64">
        <f t="shared" si="379"/>
        <v>0</v>
      </c>
      <c r="EI26" s="65">
        <v>100</v>
      </c>
      <c r="EJ26" s="63">
        <v>162.54</v>
      </c>
      <c r="EK26" s="64">
        <f t="shared" si="380"/>
        <v>-62.539999999999992</v>
      </c>
      <c r="EL26" s="66">
        <f t="shared" si="53"/>
        <v>100</v>
      </c>
      <c r="EM26" s="67">
        <f t="shared" si="381"/>
        <v>162.54</v>
      </c>
      <c r="EN26" s="64">
        <f t="shared" si="382"/>
        <v>-62.539999999999992</v>
      </c>
      <c r="EO26" s="62">
        <v>7442.79</v>
      </c>
      <c r="EP26" s="63">
        <v>7442.79</v>
      </c>
      <c r="EQ26" s="64">
        <f t="shared" si="383"/>
        <v>0</v>
      </c>
      <c r="ER26" s="65"/>
      <c r="ES26" s="63"/>
      <c r="ET26" s="64">
        <f t="shared" si="384"/>
        <v>0</v>
      </c>
      <c r="EU26" s="65"/>
      <c r="EV26" s="63"/>
      <c r="EW26" s="64">
        <f t="shared" si="385"/>
        <v>0</v>
      </c>
      <c r="EX26" s="65">
        <v>100</v>
      </c>
      <c r="EY26" s="63"/>
      <c r="EZ26" s="64">
        <f t="shared" si="386"/>
        <v>100</v>
      </c>
      <c r="FA26" s="66">
        <f t="shared" si="60"/>
        <v>7542.79</v>
      </c>
      <c r="FB26" s="67">
        <f t="shared" si="387"/>
        <v>7442.79</v>
      </c>
      <c r="FC26" s="64">
        <f t="shared" si="388"/>
        <v>100</v>
      </c>
      <c r="FD26" s="62">
        <v>7442.79</v>
      </c>
      <c r="FE26" s="63">
        <v>7442.79</v>
      </c>
      <c r="FF26" s="64">
        <f t="shared" si="389"/>
        <v>0</v>
      </c>
      <c r="FG26" s="65"/>
      <c r="FH26" s="63"/>
      <c r="FI26" s="64">
        <f t="shared" si="390"/>
        <v>0</v>
      </c>
      <c r="FJ26" s="65"/>
      <c r="FK26" s="63"/>
      <c r="FL26" s="64">
        <f t="shared" si="391"/>
        <v>0</v>
      </c>
      <c r="FM26" s="65">
        <v>100</v>
      </c>
      <c r="FN26" s="63"/>
      <c r="FO26" s="64">
        <f t="shared" si="392"/>
        <v>100</v>
      </c>
      <c r="FP26" s="66">
        <f t="shared" si="67"/>
        <v>7542.79</v>
      </c>
      <c r="FQ26" s="67">
        <f t="shared" si="393"/>
        <v>7442.79</v>
      </c>
      <c r="FR26" s="64">
        <f t="shared" si="394"/>
        <v>100</v>
      </c>
      <c r="FS26" s="62"/>
      <c r="FT26" s="63"/>
      <c r="FU26" s="64">
        <f t="shared" si="395"/>
        <v>0</v>
      </c>
      <c r="FV26" s="65"/>
      <c r="FW26" s="63"/>
      <c r="FX26" s="64">
        <f t="shared" si="396"/>
        <v>0</v>
      </c>
      <c r="FY26" s="65"/>
      <c r="FZ26" s="63"/>
      <c r="GA26" s="64">
        <f t="shared" si="397"/>
        <v>0</v>
      </c>
      <c r="GB26" s="65"/>
      <c r="GC26" s="63"/>
      <c r="GD26" s="64">
        <f t="shared" si="398"/>
        <v>0</v>
      </c>
      <c r="GE26" s="66">
        <f t="shared" si="74"/>
        <v>0</v>
      </c>
      <c r="GF26" s="67">
        <f t="shared" si="399"/>
        <v>0</v>
      </c>
      <c r="GG26" s="64">
        <f t="shared" si="400"/>
        <v>0</v>
      </c>
      <c r="GH26" s="62"/>
      <c r="GI26" s="63"/>
      <c r="GJ26" s="64">
        <f t="shared" si="401"/>
        <v>0</v>
      </c>
      <c r="GK26" s="65"/>
      <c r="GL26" s="63"/>
      <c r="GM26" s="64">
        <f t="shared" si="402"/>
        <v>0</v>
      </c>
      <c r="GN26" s="65"/>
      <c r="GO26" s="63"/>
      <c r="GP26" s="64">
        <f t="shared" si="403"/>
        <v>0</v>
      </c>
      <c r="GQ26" s="65"/>
      <c r="GR26" s="63"/>
      <c r="GS26" s="64">
        <f t="shared" si="404"/>
        <v>0</v>
      </c>
      <c r="GT26" s="66">
        <f t="shared" si="81"/>
        <v>0</v>
      </c>
      <c r="GU26" s="67">
        <f t="shared" si="405"/>
        <v>0</v>
      </c>
      <c r="GV26" s="64">
        <f t="shared" si="406"/>
        <v>0</v>
      </c>
      <c r="GW26" s="62"/>
      <c r="GX26" s="63"/>
      <c r="GY26" s="64">
        <f t="shared" si="595"/>
        <v>0</v>
      </c>
      <c r="GZ26" s="65"/>
      <c r="HA26" s="63"/>
      <c r="HB26" s="64">
        <f t="shared" si="596"/>
        <v>0</v>
      </c>
      <c r="HC26" s="65"/>
      <c r="HD26" s="63"/>
      <c r="HE26" s="64">
        <f t="shared" si="597"/>
        <v>0</v>
      </c>
      <c r="HF26" s="65">
        <v>100</v>
      </c>
      <c r="HG26" s="63"/>
      <c r="HH26" s="64">
        <f t="shared" si="598"/>
        <v>100</v>
      </c>
      <c r="HI26" s="66">
        <f t="shared" si="84"/>
        <v>100</v>
      </c>
      <c r="HJ26" s="67">
        <f t="shared" si="407"/>
        <v>0</v>
      </c>
      <c r="HK26" s="64">
        <f t="shared" si="408"/>
        <v>100</v>
      </c>
      <c r="HL26" s="62"/>
      <c r="HM26" s="63"/>
      <c r="HN26" s="64">
        <f t="shared" si="409"/>
        <v>0</v>
      </c>
      <c r="HO26" s="65"/>
      <c r="HP26" s="63"/>
      <c r="HQ26" s="64">
        <f t="shared" si="410"/>
        <v>0</v>
      </c>
      <c r="HR26" s="65"/>
      <c r="HS26" s="63"/>
      <c r="HT26" s="64">
        <f t="shared" si="411"/>
        <v>0</v>
      </c>
      <c r="HU26" s="65">
        <v>100</v>
      </c>
      <c r="HV26" s="63"/>
      <c r="HW26" s="64">
        <f t="shared" si="412"/>
        <v>100</v>
      </c>
      <c r="HX26" s="66">
        <f t="shared" si="91"/>
        <v>100</v>
      </c>
      <c r="HY26" s="67">
        <f t="shared" si="413"/>
        <v>0</v>
      </c>
      <c r="HZ26" s="64">
        <f t="shared" si="414"/>
        <v>100</v>
      </c>
      <c r="IA26" s="62"/>
      <c r="IB26" s="63"/>
      <c r="IC26" s="64">
        <f t="shared" si="415"/>
        <v>0</v>
      </c>
      <c r="ID26" s="65"/>
      <c r="IE26" s="63"/>
      <c r="IF26" s="64">
        <f t="shared" si="416"/>
        <v>0</v>
      </c>
      <c r="IG26" s="65"/>
      <c r="IH26" s="63"/>
      <c r="II26" s="64">
        <f t="shared" si="417"/>
        <v>0</v>
      </c>
      <c r="IJ26" s="65">
        <v>100</v>
      </c>
      <c r="IK26" s="63"/>
      <c r="IL26" s="64">
        <f t="shared" si="418"/>
        <v>100</v>
      </c>
      <c r="IM26" s="66">
        <f t="shared" si="98"/>
        <v>100</v>
      </c>
      <c r="IN26" s="67">
        <f t="shared" si="419"/>
        <v>0</v>
      </c>
      <c r="IO26" s="64">
        <f t="shared" si="420"/>
        <v>100</v>
      </c>
      <c r="IP26" s="62">
        <v>5000</v>
      </c>
      <c r="IQ26" s="63">
        <v>5000</v>
      </c>
      <c r="IR26" s="64">
        <f t="shared" si="421"/>
        <v>0</v>
      </c>
      <c r="IS26" s="65"/>
      <c r="IT26" s="63"/>
      <c r="IU26" s="64">
        <f t="shared" si="422"/>
        <v>0</v>
      </c>
      <c r="IV26" s="65"/>
      <c r="IW26" s="63"/>
      <c r="IX26" s="64">
        <f t="shared" si="423"/>
        <v>0</v>
      </c>
      <c r="IY26" s="65"/>
      <c r="IZ26" s="63"/>
      <c r="JA26" s="64">
        <f t="shared" si="424"/>
        <v>0</v>
      </c>
      <c r="JB26" s="66">
        <f t="shared" si="105"/>
        <v>5000</v>
      </c>
      <c r="JC26" s="67">
        <f t="shared" si="425"/>
        <v>5000</v>
      </c>
      <c r="JD26" s="64">
        <f t="shared" si="426"/>
        <v>0</v>
      </c>
      <c r="JE26" s="62"/>
      <c r="JF26" s="63"/>
      <c r="JG26" s="64">
        <f t="shared" si="427"/>
        <v>0</v>
      </c>
      <c r="JH26" s="65">
        <v>442.35</v>
      </c>
      <c r="JI26" s="65">
        <v>442.35</v>
      </c>
      <c r="JJ26" s="64">
        <f t="shared" si="428"/>
        <v>0</v>
      </c>
      <c r="JK26" s="65"/>
      <c r="JL26" s="63"/>
      <c r="JM26" s="64">
        <f t="shared" si="429"/>
        <v>0</v>
      </c>
      <c r="JN26" s="65">
        <v>100</v>
      </c>
      <c r="JO26" s="63"/>
      <c r="JP26" s="64">
        <f t="shared" si="430"/>
        <v>100</v>
      </c>
      <c r="JQ26" s="66">
        <f t="shared" si="112"/>
        <v>542.35</v>
      </c>
      <c r="JR26" s="67">
        <f t="shared" si="431"/>
        <v>442.35</v>
      </c>
      <c r="JS26" s="64">
        <f t="shared" si="432"/>
        <v>100</v>
      </c>
      <c r="JT26" s="62">
        <v>5615.92</v>
      </c>
      <c r="JU26" s="63">
        <v>5615.92</v>
      </c>
      <c r="JV26" s="64">
        <f t="shared" si="433"/>
        <v>0</v>
      </c>
      <c r="JW26" s="65"/>
      <c r="JX26" s="63"/>
      <c r="JY26" s="64">
        <f t="shared" si="434"/>
        <v>0</v>
      </c>
      <c r="JZ26" s="65"/>
      <c r="KA26" s="63"/>
      <c r="KB26" s="64">
        <f t="shared" si="435"/>
        <v>0</v>
      </c>
      <c r="KC26" s="65">
        <v>100</v>
      </c>
      <c r="KD26" s="63"/>
      <c r="KE26" s="64">
        <f t="shared" si="436"/>
        <v>100</v>
      </c>
      <c r="KF26" s="66">
        <f t="shared" si="119"/>
        <v>5715.92</v>
      </c>
      <c r="KG26" s="67">
        <f t="shared" si="437"/>
        <v>5615.92</v>
      </c>
      <c r="KH26" s="64">
        <f t="shared" si="438"/>
        <v>100</v>
      </c>
      <c r="KI26" s="62"/>
      <c r="KJ26" s="63"/>
      <c r="KK26" s="64">
        <f t="shared" si="599"/>
        <v>0</v>
      </c>
      <c r="KL26" s="65"/>
      <c r="KM26" s="63">
        <v>908.83</v>
      </c>
      <c r="KN26" s="64">
        <f t="shared" si="600"/>
        <v>-908.83</v>
      </c>
      <c r="KO26" s="65"/>
      <c r="KP26" s="63"/>
      <c r="KQ26" s="64">
        <f t="shared" si="601"/>
        <v>0</v>
      </c>
      <c r="KR26" s="65"/>
      <c r="KS26" s="63"/>
      <c r="KT26" s="64">
        <f t="shared" si="439"/>
        <v>0</v>
      </c>
      <c r="KU26" s="66">
        <f t="shared" si="1"/>
        <v>0</v>
      </c>
      <c r="KV26" s="67">
        <f t="shared" si="440"/>
        <v>908.83</v>
      </c>
      <c r="KW26" s="64">
        <f t="shared" si="441"/>
        <v>-908.83</v>
      </c>
      <c r="KX26" s="72"/>
      <c r="KY26" s="73"/>
      <c r="KZ26" s="74"/>
      <c r="LA26" s="75"/>
      <c r="LB26" s="73"/>
      <c r="LC26" s="74"/>
      <c r="LD26" s="75"/>
      <c r="LE26" s="73"/>
      <c r="LF26" s="74"/>
      <c r="LG26" s="75"/>
      <c r="LH26" s="73"/>
      <c r="LI26" s="74"/>
      <c r="LJ26" s="76"/>
      <c r="LK26" s="77"/>
      <c r="LL26" s="74"/>
      <c r="LM26" s="62"/>
      <c r="LN26" s="63"/>
      <c r="LO26" s="64">
        <f t="shared" si="602"/>
        <v>0</v>
      </c>
      <c r="LP26" s="65"/>
      <c r="LQ26" s="63"/>
      <c r="LR26" s="64">
        <f t="shared" si="603"/>
        <v>0</v>
      </c>
      <c r="LS26" s="65"/>
      <c r="LT26" s="63"/>
      <c r="LU26" s="64">
        <f t="shared" si="604"/>
        <v>0</v>
      </c>
      <c r="LV26" s="65">
        <v>100</v>
      </c>
      <c r="LW26" s="63"/>
      <c r="LX26" s="64">
        <f t="shared" si="442"/>
        <v>100</v>
      </c>
      <c r="LY26" s="66">
        <f t="shared" si="124"/>
        <v>100</v>
      </c>
      <c r="LZ26" s="67">
        <f t="shared" si="443"/>
        <v>0</v>
      </c>
      <c r="MA26" s="64">
        <f t="shared" si="444"/>
        <v>100</v>
      </c>
      <c r="MB26" s="62">
        <v>650</v>
      </c>
      <c r="MC26" s="63">
        <v>650</v>
      </c>
      <c r="MD26" s="64">
        <f t="shared" si="445"/>
        <v>0</v>
      </c>
      <c r="ME26" s="65">
        <v>1057.42</v>
      </c>
      <c r="MF26" s="63">
        <v>1057.42</v>
      </c>
      <c r="MG26" s="64">
        <f>ME26-MF26</f>
        <v>0</v>
      </c>
      <c r="MH26" s="65"/>
      <c r="MI26" s="63"/>
      <c r="MJ26" s="64">
        <f t="shared" si="447"/>
        <v>0</v>
      </c>
      <c r="MK26" s="65">
        <v>100</v>
      </c>
      <c r="ML26" s="63"/>
      <c r="MM26" s="64">
        <f t="shared" si="448"/>
        <v>100</v>
      </c>
      <c r="MN26" s="66">
        <f>MB26+ME26+MH26+MK26</f>
        <v>1807.42</v>
      </c>
      <c r="MO26" s="67">
        <f t="shared" si="449"/>
        <v>1707.42</v>
      </c>
      <c r="MP26" s="64">
        <f t="shared" si="450"/>
        <v>100</v>
      </c>
      <c r="MQ26" s="62"/>
      <c r="MR26" s="63"/>
      <c r="MS26" s="64">
        <f t="shared" si="451"/>
        <v>0</v>
      </c>
      <c r="MT26" s="65"/>
      <c r="MU26" s="63"/>
      <c r="MV26" s="64">
        <f t="shared" si="452"/>
        <v>0</v>
      </c>
      <c r="MW26" s="65"/>
      <c r="MX26" s="63"/>
      <c r="MY26" s="64">
        <f t="shared" si="453"/>
        <v>0</v>
      </c>
      <c r="MZ26" s="65"/>
      <c r="NA26" s="63"/>
      <c r="NB26" s="64">
        <f t="shared" si="454"/>
        <v>0</v>
      </c>
      <c r="NC26" s="66">
        <f t="shared" si="138"/>
        <v>0</v>
      </c>
      <c r="ND26" s="67">
        <f t="shared" si="455"/>
        <v>0</v>
      </c>
      <c r="NE26" s="64">
        <f t="shared" si="456"/>
        <v>0</v>
      </c>
      <c r="NF26" s="62">
        <v>1000</v>
      </c>
      <c r="NG26" s="63">
        <v>1000</v>
      </c>
      <c r="NH26" s="64">
        <f t="shared" si="457"/>
        <v>0</v>
      </c>
      <c r="NI26" s="65">
        <v>886.87</v>
      </c>
      <c r="NJ26" s="63">
        <v>886.87</v>
      </c>
      <c r="NK26" s="64">
        <f t="shared" si="458"/>
        <v>0</v>
      </c>
      <c r="NL26" s="65"/>
      <c r="NM26" s="63"/>
      <c r="NN26" s="64">
        <f t="shared" si="459"/>
        <v>0</v>
      </c>
      <c r="NO26" s="65">
        <v>100</v>
      </c>
      <c r="NP26" s="63"/>
      <c r="NQ26" s="64">
        <f t="shared" si="460"/>
        <v>100</v>
      </c>
      <c r="NR26" s="66">
        <f t="shared" si="145"/>
        <v>1986.87</v>
      </c>
      <c r="NS26" s="67">
        <f t="shared" si="461"/>
        <v>1886.87</v>
      </c>
      <c r="NT26" s="64">
        <f t="shared" si="462"/>
        <v>100</v>
      </c>
      <c r="NU26" s="62">
        <v>864</v>
      </c>
      <c r="NV26" s="63">
        <v>864</v>
      </c>
      <c r="NW26" s="64">
        <f t="shared" si="463"/>
        <v>0</v>
      </c>
      <c r="NX26" s="65">
        <v>1004.52</v>
      </c>
      <c r="NY26" s="63">
        <v>1004.52</v>
      </c>
      <c r="NZ26" s="64">
        <f t="shared" si="464"/>
        <v>0</v>
      </c>
      <c r="OA26" s="65"/>
      <c r="OB26" s="63"/>
      <c r="OC26" s="64">
        <f t="shared" si="465"/>
        <v>0</v>
      </c>
      <c r="OD26" s="65">
        <v>100</v>
      </c>
      <c r="OE26" s="63">
        <v>123.5</v>
      </c>
      <c r="OF26" s="64">
        <f t="shared" si="466"/>
        <v>-23.5</v>
      </c>
      <c r="OG26" s="66">
        <f t="shared" si="152"/>
        <v>1968.52</v>
      </c>
      <c r="OH26" s="67">
        <f t="shared" si="467"/>
        <v>1992.02</v>
      </c>
      <c r="OI26" s="64">
        <f t="shared" si="468"/>
        <v>-23.5</v>
      </c>
      <c r="OJ26" s="62"/>
      <c r="OK26" s="63"/>
      <c r="OL26" s="64">
        <f t="shared" si="469"/>
        <v>0</v>
      </c>
      <c r="OM26" s="65"/>
      <c r="ON26" s="63"/>
      <c r="OO26" s="64">
        <f t="shared" si="470"/>
        <v>0</v>
      </c>
      <c r="OP26" s="65"/>
      <c r="OQ26" s="63"/>
      <c r="OR26" s="64">
        <f t="shared" si="471"/>
        <v>0</v>
      </c>
      <c r="OS26" s="65">
        <v>100</v>
      </c>
      <c r="OT26" s="63"/>
      <c r="OU26" s="64">
        <f t="shared" si="472"/>
        <v>100</v>
      </c>
      <c r="OV26" s="66">
        <f t="shared" si="159"/>
        <v>100</v>
      </c>
      <c r="OW26" s="67">
        <f t="shared" si="473"/>
        <v>0</v>
      </c>
      <c r="OX26" s="64">
        <f t="shared" si="474"/>
        <v>100</v>
      </c>
      <c r="OY26" s="62"/>
      <c r="OZ26" s="63"/>
      <c r="PA26" s="64">
        <f t="shared" si="475"/>
        <v>0</v>
      </c>
      <c r="PB26" s="65"/>
      <c r="PC26" s="63"/>
      <c r="PD26" s="64">
        <f t="shared" si="476"/>
        <v>0</v>
      </c>
      <c r="PE26" s="65"/>
      <c r="PF26" s="63"/>
      <c r="PG26" s="64">
        <f t="shared" si="477"/>
        <v>0</v>
      </c>
      <c r="PH26" s="65">
        <v>100</v>
      </c>
      <c r="PI26" s="63">
        <v>94.83</v>
      </c>
      <c r="PJ26" s="64">
        <f t="shared" si="478"/>
        <v>5.1700000000000017</v>
      </c>
      <c r="PK26" s="66">
        <f t="shared" si="166"/>
        <v>100</v>
      </c>
      <c r="PL26" s="67">
        <f t="shared" si="479"/>
        <v>94.83</v>
      </c>
      <c r="PM26" s="64">
        <f t="shared" si="480"/>
        <v>5.1700000000000017</v>
      </c>
      <c r="PN26" s="62">
        <v>1400</v>
      </c>
      <c r="PO26" s="63">
        <v>1400</v>
      </c>
      <c r="PP26" s="64">
        <f t="shared" si="481"/>
        <v>0</v>
      </c>
      <c r="PQ26" s="65"/>
      <c r="PR26" s="63"/>
      <c r="PS26" s="64">
        <f t="shared" si="482"/>
        <v>0</v>
      </c>
      <c r="PT26" s="65"/>
      <c r="PU26" s="63"/>
      <c r="PV26" s="64">
        <f t="shared" si="483"/>
        <v>0</v>
      </c>
      <c r="PW26" s="65">
        <v>100</v>
      </c>
      <c r="PX26" s="63"/>
      <c r="PY26" s="64">
        <f t="shared" si="484"/>
        <v>100</v>
      </c>
      <c r="PZ26" s="66">
        <f t="shared" si="173"/>
        <v>1500</v>
      </c>
      <c r="QA26" s="67">
        <f t="shared" si="485"/>
        <v>1400</v>
      </c>
      <c r="QB26" s="64">
        <f t="shared" si="486"/>
        <v>100</v>
      </c>
      <c r="QC26" s="62"/>
      <c r="QD26" s="63"/>
      <c r="QE26" s="64">
        <f t="shared" si="487"/>
        <v>0</v>
      </c>
      <c r="QF26" s="65"/>
      <c r="QG26" s="63"/>
      <c r="QH26" s="64">
        <f t="shared" si="488"/>
        <v>0</v>
      </c>
      <c r="QI26" s="65"/>
      <c r="QJ26" s="63"/>
      <c r="QK26" s="64">
        <f t="shared" si="489"/>
        <v>0</v>
      </c>
      <c r="QL26" s="65">
        <v>100</v>
      </c>
      <c r="QM26" s="63">
        <v>175.8</v>
      </c>
      <c r="QN26" s="64">
        <f t="shared" si="490"/>
        <v>-75.800000000000011</v>
      </c>
      <c r="QO26" s="66">
        <f t="shared" si="180"/>
        <v>100</v>
      </c>
      <c r="QP26" s="67">
        <f t="shared" si="491"/>
        <v>175.8</v>
      </c>
      <c r="QQ26" s="64">
        <f t="shared" si="492"/>
        <v>-75.800000000000011</v>
      </c>
      <c r="QR26" s="62"/>
      <c r="QS26" s="63"/>
      <c r="QT26" s="64">
        <f t="shared" si="493"/>
        <v>0</v>
      </c>
      <c r="QU26" s="65"/>
      <c r="QV26" s="63"/>
      <c r="QW26" s="64">
        <f t="shared" si="494"/>
        <v>0</v>
      </c>
      <c r="QX26" s="65"/>
      <c r="QY26" s="63"/>
      <c r="QZ26" s="64">
        <f t="shared" si="495"/>
        <v>0</v>
      </c>
      <c r="RA26" s="65"/>
      <c r="RB26" s="63"/>
      <c r="RC26" s="64">
        <f t="shared" si="496"/>
        <v>0</v>
      </c>
      <c r="RD26" s="66">
        <f t="shared" si="187"/>
        <v>0</v>
      </c>
      <c r="RE26" s="67">
        <f t="shared" si="497"/>
        <v>0</v>
      </c>
      <c r="RF26" s="64">
        <f t="shared" si="498"/>
        <v>0</v>
      </c>
      <c r="RG26" s="62"/>
      <c r="RH26" s="63"/>
      <c r="RI26" s="64">
        <f t="shared" si="499"/>
        <v>0</v>
      </c>
      <c r="RJ26" s="65"/>
      <c r="RK26" s="63"/>
      <c r="RL26" s="64">
        <f t="shared" si="500"/>
        <v>0</v>
      </c>
      <c r="RM26" s="65"/>
      <c r="RN26" s="63"/>
      <c r="RO26" s="64">
        <f t="shared" si="501"/>
        <v>0</v>
      </c>
      <c r="RP26" s="65"/>
      <c r="RQ26" s="63"/>
      <c r="RR26" s="64">
        <f t="shared" si="502"/>
        <v>0</v>
      </c>
      <c r="RS26" s="66">
        <f t="shared" si="194"/>
        <v>0</v>
      </c>
      <c r="RT26" s="67">
        <f t="shared" si="503"/>
        <v>0</v>
      </c>
      <c r="RU26" s="64">
        <f t="shared" si="504"/>
        <v>0</v>
      </c>
      <c r="RV26" s="62"/>
      <c r="RW26" s="63"/>
      <c r="RX26" s="64">
        <f t="shared" si="505"/>
        <v>0</v>
      </c>
      <c r="RY26" s="65"/>
      <c r="RZ26" s="63"/>
      <c r="SA26" s="64">
        <f t="shared" si="506"/>
        <v>0</v>
      </c>
      <c r="SB26" s="65"/>
      <c r="SC26" s="63"/>
      <c r="SD26" s="64">
        <f t="shared" si="507"/>
        <v>0</v>
      </c>
      <c r="SE26" s="65">
        <v>100</v>
      </c>
      <c r="SF26" s="63">
        <v>57.71</v>
      </c>
      <c r="SG26" s="64">
        <f t="shared" si="508"/>
        <v>42.29</v>
      </c>
      <c r="SH26" s="66">
        <f t="shared" si="201"/>
        <v>100</v>
      </c>
      <c r="SI26" s="67">
        <f t="shared" si="509"/>
        <v>57.71</v>
      </c>
      <c r="SJ26" s="64">
        <f t="shared" si="510"/>
        <v>42.29</v>
      </c>
      <c r="SK26" s="62"/>
      <c r="SL26" s="63"/>
      <c r="SM26" s="64">
        <f t="shared" si="511"/>
        <v>0</v>
      </c>
      <c r="SN26" s="65"/>
      <c r="SO26" s="63"/>
      <c r="SP26" s="64">
        <f t="shared" si="512"/>
        <v>0</v>
      </c>
      <c r="SQ26" s="65"/>
      <c r="SR26" s="63"/>
      <c r="SS26" s="64">
        <f t="shared" si="513"/>
        <v>0</v>
      </c>
      <c r="ST26" s="65">
        <v>100</v>
      </c>
      <c r="SU26" s="63"/>
      <c r="SV26" s="64">
        <f t="shared" si="514"/>
        <v>100</v>
      </c>
      <c r="SW26" s="66">
        <f t="shared" si="208"/>
        <v>100</v>
      </c>
      <c r="SX26" s="67">
        <f t="shared" si="515"/>
        <v>0</v>
      </c>
      <c r="SY26" s="64">
        <f t="shared" si="516"/>
        <v>100</v>
      </c>
      <c r="SZ26" s="62">
        <v>985.33</v>
      </c>
      <c r="TA26" s="63">
        <v>985.33</v>
      </c>
      <c r="TB26" s="64">
        <f t="shared" si="517"/>
        <v>0</v>
      </c>
      <c r="TC26" s="65">
        <v>700.9</v>
      </c>
      <c r="TD26" s="63">
        <v>700</v>
      </c>
      <c r="TE26" s="64">
        <f t="shared" si="518"/>
        <v>0.89999999999997726</v>
      </c>
      <c r="TF26" s="65"/>
      <c r="TG26" s="63"/>
      <c r="TH26" s="64">
        <f t="shared" si="519"/>
        <v>0</v>
      </c>
      <c r="TI26" s="65">
        <v>100</v>
      </c>
      <c r="TJ26" s="63">
        <v>189.71</v>
      </c>
      <c r="TK26" s="64">
        <f t="shared" si="520"/>
        <v>-89.710000000000008</v>
      </c>
      <c r="TL26" s="66">
        <f t="shared" si="215"/>
        <v>1786.23</v>
      </c>
      <c r="TM26" s="67">
        <f t="shared" si="521"/>
        <v>1875.04</v>
      </c>
      <c r="TN26" s="64">
        <f t="shared" si="522"/>
        <v>-88.809999999999945</v>
      </c>
      <c r="TO26" s="62"/>
      <c r="TP26" s="63"/>
      <c r="TQ26" s="64">
        <f t="shared" si="523"/>
        <v>0</v>
      </c>
      <c r="TR26" s="65"/>
      <c r="TS26" s="63"/>
      <c r="TT26" s="64">
        <f t="shared" si="524"/>
        <v>0</v>
      </c>
      <c r="TU26" s="65"/>
      <c r="TV26" s="63"/>
      <c r="TW26" s="64">
        <f t="shared" si="525"/>
        <v>0</v>
      </c>
      <c r="TX26" s="65">
        <v>100</v>
      </c>
      <c r="TY26" s="63">
        <v>105.48</v>
      </c>
      <c r="TZ26" s="64">
        <f t="shared" si="526"/>
        <v>-5.480000000000004</v>
      </c>
      <c r="UA26" s="66">
        <f t="shared" si="222"/>
        <v>100</v>
      </c>
      <c r="UB26" s="67">
        <f t="shared" si="527"/>
        <v>105.48</v>
      </c>
      <c r="UC26" s="64">
        <f t="shared" si="528"/>
        <v>-5.480000000000004</v>
      </c>
      <c r="UD26" s="62"/>
      <c r="UE26" s="63"/>
      <c r="UF26" s="64">
        <f t="shared" si="529"/>
        <v>0</v>
      </c>
      <c r="UG26" s="65">
        <v>497.04</v>
      </c>
      <c r="UH26" s="63">
        <v>497.04</v>
      </c>
      <c r="UI26" s="64">
        <f t="shared" si="530"/>
        <v>0</v>
      </c>
      <c r="UJ26" s="65"/>
      <c r="UK26" s="63"/>
      <c r="UL26" s="64">
        <f t="shared" si="531"/>
        <v>0</v>
      </c>
      <c r="UM26" s="65">
        <v>100</v>
      </c>
      <c r="UN26" s="63">
        <v>163.9</v>
      </c>
      <c r="UO26" s="64">
        <f t="shared" si="532"/>
        <v>-63.900000000000006</v>
      </c>
      <c r="UP26" s="66">
        <f t="shared" si="226"/>
        <v>597.04</v>
      </c>
      <c r="UQ26" s="67">
        <f t="shared" si="533"/>
        <v>660.94</v>
      </c>
      <c r="UR26" s="64">
        <f t="shared" si="534"/>
        <v>-63.900000000000091</v>
      </c>
      <c r="US26" s="62"/>
      <c r="UT26" s="63"/>
      <c r="UU26" s="64">
        <f t="shared" si="535"/>
        <v>0</v>
      </c>
      <c r="UV26" s="65"/>
      <c r="UW26" s="63"/>
      <c r="UX26" s="64">
        <f t="shared" si="536"/>
        <v>0</v>
      </c>
      <c r="UY26" s="65"/>
      <c r="UZ26" s="63"/>
      <c r="VA26" s="64">
        <f t="shared" si="537"/>
        <v>0</v>
      </c>
      <c r="VB26" s="65">
        <v>100</v>
      </c>
      <c r="VC26" s="63"/>
      <c r="VD26" s="64">
        <f t="shared" si="538"/>
        <v>100</v>
      </c>
      <c r="VE26" s="66">
        <f t="shared" si="233"/>
        <v>100</v>
      </c>
      <c r="VF26" s="67">
        <f t="shared" si="539"/>
        <v>0</v>
      </c>
      <c r="VG26" s="64">
        <f t="shared" si="540"/>
        <v>100</v>
      </c>
      <c r="VH26" s="62"/>
      <c r="VI26" s="63"/>
      <c r="VJ26" s="64">
        <f t="shared" si="541"/>
        <v>0</v>
      </c>
      <c r="VK26" s="65"/>
      <c r="VL26" s="63"/>
      <c r="VM26" s="64">
        <f t="shared" si="542"/>
        <v>0</v>
      </c>
      <c r="VN26" s="65"/>
      <c r="VO26" s="63"/>
      <c r="VP26" s="64">
        <f t="shared" si="543"/>
        <v>0</v>
      </c>
      <c r="VQ26" s="65">
        <v>100</v>
      </c>
      <c r="VR26" s="63">
        <v>108.04</v>
      </c>
      <c r="VS26" s="64">
        <f t="shared" si="544"/>
        <v>-8.0400000000000063</v>
      </c>
      <c r="VT26" s="66">
        <f t="shared" si="240"/>
        <v>100</v>
      </c>
      <c r="VU26" s="67">
        <f t="shared" si="545"/>
        <v>108.04</v>
      </c>
      <c r="VV26" s="64">
        <f t="shared" si="546"/>
        <v>-8.0400000000000063</v>
      </c>
      <c r="VW26" s="62"/>
      <c r="VX26" s="63"/>
      <c r="VY26" s="64">
        <f t="shared" si="547"/>
        <v>0</v>
      </c>
      <c r="VZ26" s="65"/>
      <c r="WA26" s="63"/>
      <c r="WB26" s="64">
        <f t="shared" si="548"/>
        <v>0</v>
      </c>
      <c r="WC26" s="65"/>
      <c r="WD26" s="63"/>
      <c r="WE26" s="64">
        <f t="shared" si="549"/>
        <v>0</v>
      </c>
      <c r="WF26" s="65"/>
      <c r="WG26" s="63"/>
      <c r="WH26" s="64">
        <f t="shared" si="550"/>
        <v>0</v>
      </c>
      <c r="WI26" s="66">
        <f t="shared" si="247"/>
        <v>0</v>
      </c>
      <c r="WJ26" s="67">
        <f t="shared" si="551"/>
        <v>0</v>
      </c>
      <c r="WK26" s="64">
        <f t="shared" si="552"/>
        <v>0</v>
      </c>
      <c r="WL26" s="62">
        <v>1376.01</v>
      </c>
      <c r="WM26" s="63">
        <v>1376.01</v>
      </c>
      <c r="WN26" s="64">
        <f t="shared" si="553"/>
        <v>0</v>
      </c>
      <c r="WO26" s="65"/>
      <c r="WP26" s="63"/>
      <c r="WQ26" s="64">
        <f t="shared" si="554"/>
        <v>0</v>
      </c>
      <c r="WR26" s="65"/>
      <c r="WS26" s="63"/>
      <c r="WT26" s="64">
        <f t="shared" si="555"/>
        <v>0</v>
      </c>
      <c r="WU26" s="65">
        <v>100</v>
      </c>
      <c r="WV26" s="63"/>
      <c r="WW26" s="64">
        <f t="shared" si="556"/>
        <v>100</v>
      </c>
      <c r="WX26" s="66">
        <f t="shared" si="254"/>
        <v>1476.01</v>
      </c>
      <c r="WY26" s="67">
        <f t="shared" si="557"/>
        <v>1376.01</v>
      </c>
      <c r="WZ26" s="64">
        <f t="shared" si="558"/>
        <v>100</v>
      </c>
      <c r="XA26" s="62"/>
      <c r="XB26" s="63"/>
      <c r="XC26" s="64">
        <f t="shared" si="559"/>
        <v>0</v>
      </c>
      <c r="XD26" s="65"/>
      <c r="XE26" s="63"/>
      <c r="XF26" s="64">
        <f t="shared" si="560"/>
        <v>0</v>
      </c>
      <c r="XG26" s="65"/>
      <c r="XH26" s="63"/>
      <c r="XI26" s="64">
        <f t="shared" si="561"/>
        <v>0</v>
      </c>
      <c r="XJ26" s="65">
        <v>100</v>
      </c>
      <c r="XK26" s="63">
        <v>94.93</v>
      </c>
      <c r="XL26" s="64">
        <f t="shared" si="562"/>
        <v>5.0699999999999932</v>
      </c>
      <c r="XM26" s="66">
        <f t="shared" si="261"/>
        <v>100</v>
      </c>
      <c r="XN26" s="67">
        <f t="shared" si="563"/>
        <v>94.93</v>
      </c>
      <c r="XO26" s="64">
        <f t="shared" si="564"/>
        <v>5.0699999999999932</v>
      </c>
      <c r="XP26" s="62">
        <v>917</v>
      </c>
      <c r="XQ26" s="63">
        <v>917</v>
      </c>
      <c r="XR26" s="64">
        <f t="shared" si="565"/>
        <v>0</v>
      </c>
      <c r="XS26" s="65">
        <v>591.29999999999995</v>
      </c>
      <c r="XT26" s="63">
        <v>591.29999999999995</v>
      </c>
      <c r="XU26" s="64">
        <f t="shared" si="566"/>
        <v>0</v>
      </c>
      <c r="XV26" s="65"/>
      <c r="XW26" s="63"/>
      <c r="XX26" s="64">
        <f t="shared" si="567"/>
        <v>0</v>
      </c>
      <c r="XY26" s="65">
        <v>100</v>
      </c>
      <c r="XZ26" s="63">
        <v>52.35</v>
      </c>
      <c r="YA26" s="64">
        <f t="shared" si="568"/>
        <v>47.65</v>
      </c>
      <c r="YB26" s="66">
        <f t="shared" si="268"/>
        <v>1608.3</v>
      </c>
      <c r="YC26" s="67">
        <f t="shared" si="569"/>
        <v>1560.6499999999999</v>
      </c>
      <c r="YD26" s="64">
        <f t="shared" si="570"/>
        <v>47.650000000000091</v>
      </c>
      <c r="YE26" s="62">
        <v>890</v>
      </c>
      <c r="YF26" s="63">
        <v>890</v>
      </c>
      <c r="YG26" s="64">
        <f t="shared" si="571"/>
        <v>0</v>
      </c>
      <c r="YH26" s="65">
        <v>725.15</v>
      </c>
      <c r="YI26" s="63">
        <v>725.15</v>
      </c>
      <c r="YJ26" s="64">
        <f t="shared" si="572"/>
        <v>0</v>
      </c>
      <c r="YK26" s="65"/>
      <c r="YL26" s="63"/>
      <c r="YM26" s="64">
        <f t="shared" si="573"/>
        <v>0</v>
      </c>
      <c r="YN26" s="65">
        <v>100</v>
      </c>
      <c r="YO26" s="63">
        <v>68.040000000000006</v>
      </c>
      <c r="YP26" s="64">
        <f t="shared" si="574"/>
        <v>31.959999999999994</v>
      </c>
      <c r="YQ26" s="66">
        <f t="shared" si="275"/>
        <v>1715.15</v>
      </c>
      <c r="YR26" s="67">
        <f t="shared" si="575"/>
        <v>1683.19</v>
      </c>
      <c r="YS26" s="64">
        <f t="shared" si="576"/>
        <v>31.960000000000036</v>
      </c>
      <c r="YT26" s="62">
        <v>932</v>
      </c>
      <c r="YU26" s="63">
        <v>932</v>
      </c>
      <c r="YV26" s="64">
        <f t="shared" si="577"/>
        <v>0</v>
      </c>
      <c r="YW26" s="65">
        <v>513.28</v>
      </c>
      <c r="YX26" s="63">
        <v>513.28</v>
      </c>
      <c r="YY26" s="64">
        <f t="shared" si="578"/>
        <v>0</v>
      </c>
      <c r="YZ26" s="65"/>
      <c r="ZA26" s="63"/>
      <c r="ZB26" s="64">
        <f t="shared" si="579"/>
        <v>0</v>
      </c>
      <c r="ZC26" s="65">
        <v>100</v>
      </c>
      <c r="ZD26" s="63">
        <v>60.61</v>
      </c>
      <c r="ZE26" s="64">
        <f t="shared" si="580"/>
        <v>39.39</v>
      </c>
      <c r="ZF26" s="66">
        <f t="shared" si="282"/>
        <v>1545.28</v>
      </c>
      <c r="ZG26" s="67">
        <f t="shared" si="581"/>
        <v>1505.8899999999999</v>
      </c>
      <c r="ZH26" s="64">
        <f t="shared" si="582"/>
        <v>39.3900000000001</v>
      </c>
      <c r="ZI26" s="62">
        <v>1250</v>
      </c>
      <c r="ZJ26" s="63">
        <v>1250</v>
      </c>
      <c r="ZK26" s="64">
        <f t="shared" si="583"/>
        <v>0</v>
      </c>
      <c r="ZL26" s="65"/>
      <c r="ZM26" s="63"/>
      <c r="ZN26" s="64">
        <f t="shared" si="584"/>
        <v>0</v>
      </c>
      <c r="ZO26" s="65"/>
      <c r="ZP26" s="63"/>
      <c r="ZQ26" s="64">
        <f t="shared" si="585"/>
        <v>0</v>
      </c>
      <c r="ZR26" s="65">
        <v>100</v>
      </c>
      <c r="ZS26" s="63">
        <v>709.17</v>
      </c>
      <c r="ZT26" s="64">
        <f t="shared" si="586"/>
        <v>-609.16999999999996</v>
      </c>
      <c r="ZU26" s="66">
        <f t="shared" si="289"/>
        <v>1350</v>
      </c>
      <c r="ZV26" s="67">
        <f t="shared" si="587"/>
        <v>1959.17</v>
      </c>
      <c r="ZW26" s="64">
        <f t="shared" si="588"/>
        <v>-609.17000000000007</v>
      </c>
      <c r="ZX26" s="62">
        <v>24.71</v>
      </c>
      <c r="ZY26" s="63">
        <v>24.71</v>
      </c>
      <c r="ZZ26" s="64">
        <f t="shared" si="589"/>
        <v>0</v>
      </c>
      <c r="AAA26" s="66">
        <f t="shared" si="293"/>
        <v>24.71</v>
      </c>
      <c r="AAB26" s="67">
        <f t="shared" si="293"/>
        <v>24.71</v>
      </c>
      <c r="AAC26" s="64">
        <f t="shared" si="590"/>
        <v>0</v>
      </c>
      <c r="AAD26" s="85">
        <f t="shared" si="295"/>
        <v>73408.990000000005</v>
      </c>
      <c r="AAE26" s="86">
        <f t="shared" si="295"/>
        <v>76755.350000000006</v>
      </c>
      <c r="AAF26" s="87">
        <f t="shared" si="3"/>
        <v>1.0455851524452251</v>
      </c>
      <c r="AAG26" s="88">
        <f t="shared" si="591"/>
        <v>3346.3600000000006</v>
      </c>
      <c r="AAH26" s="94">
        <f>AAH24/AAH20</f>
        <v>1.0281639899648927</v>
      </c>
      <c r="AAI26" s="95"/>
      <c r="AAJ26" s="95"/>
      <c r="AAK26" s="60"/>
    </row>
    <row r="27" spans="1:713" s="83" customFormat="1" ht="20" customHeight="1" x14ac:dyDescent="0.2">
      <c r="A27" s="57" t="s">
        <v>24</v>
      </c>
      <c r="B27" s="94"/>
      <c r="C27" s="95"/>
      <c r="D27" s="95"/>
      <c r="E27" s="60"/>
      <c r="F27" s="61">
        <v>45200</v>
      </c>
      <c r="G27" s="62"/>
      <c r="H27" s="63">
        <v>0</v>
      </c>
      <c r="I27" s="64">
        <f t="shared" si="340"/>
        <v>0</v>
      </c>
      <c r="J27" s="65">
        <v>3000</v>
      </c>
      <c r="K27" s="63">
        <v>1991.8</v>
      </c>
      <c r="L27" s="64">
        <f t="shared" si="341"/>
        <v>1008.2</v>
      </c>
      <c r="M27" s="65">
        <v>1500</v>
      </c>
      <c r="N27" s="63">
        <v>0</v>
      </c>
      <c r="O27" s="64">
        <f t="shared" si="342"/>
        <v>1500</v>
      </c>
      <c r="P27" s="65">
        <v>1800</v>
      </c>
      <c r="Q27" s="63">
        <v>909.03</v>
      </c>
      <c r="R27" s="64">
        <f t="shared" si="343"/>
        <v>890.97</v>
      </c>
      <c r="S27" s="65">
        <v>165.24</v>
      </c>
      <c r="T27" s="63">
        <v>181</v>
      </c>
      <c r="U27" s="64">
        <f t="shared" si="344"/>
        <v>-15.759999999999991</v>
      </c>
      <c r="V27" s="66">
        <f t="shared" si="345"/>
        <v>6465.24</v>
      </c>
      <c r="W27" s="67">
        <f t="shared" si="345"/>
        <v>3081.83</v>
      </c>
      <c r="X27" s="64">
        <f t="shared" si="346"/>
        <v>3383.41</v>
      </c>
      <c r="Y27" s="62">
        <v>1100</v>
      </c>
      <c r="Z27" s="63">
        <v>1100</v>
      </c>
      <c r="AA27" s="64">
        <f t="shared" si="347"/>
        <v>0</v>
      </c>
      <c r="AB27" s="65"/>
      <c r="AC27" s="63"/>
      <c r="AD27" s="64">
        <f t="shared" si="348"/>
        <v>0</v>
      </c>
      <c r="AE27" s="65"/>
      <c r="AF27" s="63"/>
      <c r="AG27" s="64">
        <f t="shared" si="349"/>
        <v>0</v>
      </c>
      <c r="AH27" s="65"/>
      <c r="AI27" s="63"/>
      <c r="AJ27" s="64">
        <f t="shared" si="350"/>
        <v>0</v>
      </c>
      <c r="AK27" s="66">
        <f t="shared" si="16"/>
        <v>1100</v>
      </c>
      <c r="AL27" s="67">
        <f t="shared" si="17"/>
        <v>1100</v>
      </c>
      <c r="AM27" s="64">
        <f t="shared" si="351"/>
        <v>0</v>
      </c>
      <c r="AN27" s="62"/>
      <c r="AO27" s="63"/>
      <c r="AP27" s="64">
        <f t="shared" si="592"/>
        <v>0</v>
      </c>
      <c r="AQ27" s="65"/>
      <c r="AR27" s="63"/>
      <c r="AS27" s="64">
        <f t="shared" si="593"/>
        <v>0</v>
      </c>
      <c r="AT27" s="65"/>
      <c r="AU27" s="63"/>
      <c r="AV27" s="64">
        <f t="shared" si="594"/>
        <v>0</v>
      </c>
      <c r="AW27" s="65"/>
      <c r="AX27" s="63"/>
      <c r="AY27" s="64">
        <f t="shared" si="352"/>
        <v>0</v>
      </c>
      <c r="AZ27" s="66">
        <f t="shared" si="23"/>
        <v>0</v>
      </c>
      <c r="BA27" s="67">
        <f t="shared" si="353"/>
        <v>0</v>
      </c>
      <c r="BB27" s="64">
        <f t="shared" si="354"/>
        <v>0</v>
      </c>
      <c r="BC27" s="62"/>
      <c r="BD27" s="63"/>
      <c r="BE27" s="64">
        <f t="shared" si="355"/>
        <v>0</v>
      </c>
      <c r="BF27" s="65"/>
      <c r="BG27" s="63"/>
      <c r="BH27" s="64">
        <f t="shared" si="356"/>
        <v>0</v>
      </c>
      <c r="BI27" s="65"/>
      <c r="BJ27" s="63"/>
      <c r="BK27" s="64">
        <f t="shared" si="357"/>
        <v>0</v>
      </c>
      <c r="BL27" s="65">
        <v>100</v>
      </c>
      <c r="BM27" s="63"/>
      <c r="BN27" s="64">
        <f t="shared" si="358"/>
        <v>100</v>
      </c>
      <c r="BO27" s="66">
        <f t="shared" si="30"/>
        <v>100</v>
      </c>
      <c r="BP27" s="67">
        <f t="shared" si="359"/>
        <v>0</v>
      </c>
      <c r="BQ27" s="64">
        <f t="shared" si="360"/>
        <v>100</v>
      </c>
      <c r="BR27" s="62">
        <v>3416.66</v>
      </c>
      <c r="BS27" s="63">
        <v>3416.66</v>
      </c>
      <c r="BT27" s="64">
        <f t="shared" si="361"/>
        <v>0</v>
      </c>
      <c r="BU27" s="65"/>
      <c r="BV27" s="63"/>
      <c r="BW27" s="64">
        <f t="shared" si="362"/>
        <v>0</v>
      </c>
      <c r="BX27" s="65"/>
      <c r="BY27" s="63"/>
      <c r="BZ27" s="64">
        <f t="shared" si="363"/>
        <v>0</v>
      </c>
      <c r="CA27" s="65"/>
      <c r="CB27" s="63"/>
      <c r="CC27" s="64">
        <f t="shared" si="364"/>
        <v>0</v>
      </c>
      <c r="CD27" s="66">
        <f t="shared" si="33"/>
        <v>3416.66</v>
      </c>
      <c r="CE27" s="67">
        <f t="shared" si="365"/>
        <v>3416.66</v>
      </c>
      <c r="CF27" s="64">
        <f t="shared" si="366"/>
        <v>0</v>
      </c>
      <c r="CG27" s="62"/>
      <c r="CH27" s="63"/>
      <c r="CI27" s="64">
        <f t="shared" si="367"/>
        <v>0</v>
      </c>
      <c r="CJ27" s="65"/>
      <c r="CK27" s="63"/>
      <c r="CL27" s="64">
        <f t="shared" si="368"/>
        <v>0</v>
      </c>
      <c r="CM27" s="65"/>
      <c r="CN27" s="63"/>
      <c r="CO27" s="64">
        <f t="shared" si="369"/>
        <v>0</v>
      </c>
      <c r="CP27" s="65"/>
      <c r="CQ27" s="63"/>
      <c r="CR27" s="64">
        <f t="shared" si="370"/>
        <v>0</v>
      </c>
      <c r="CS27" s="66">
        <f t="shared" si="40"/>
        <v>0</v>
      </c>
      <c r="CT27" s="67">
        <f t="shared" si="371"/>
        <v>0</v>
      </c>
      <c r="CU27" s="64">
        <f t="shared" si="372"/>
        <v>0</v>
      </c>
      <c r="CV27" s="62">
        <v>2916.7</v>
      </c>
      <c r="CW27" s="63">
        <v>2916.7</v>
      </c>
      <c r="CX27" s="64">
        <f>CV27-CW27</f>
        <v>0</v>
      </c>
      <c r="CY27" s="65"/>
      <c r="CZ27" s="63"/>
      <c r="DA27" s="64">
        <f>CY27-CZ27</f>
        <v>0</v>
      </c>
      <c r="DB27" s="65"/>
      <c r="DC27" s="63"/>
      <c r="DD27" s="64">
        <f>DB27-DC27</f>
        <v>0</v>
      </c>
      <c r="DE27" s="65">
        <v>100</v>
      </c>
      <c r="DF27" s="63"/>
      <c r="DG27" s="64">
        <f>DE27-DF27</f>
        <v>100</v>
      </c>
      <c r="DH27" s="66">
        <f t="shared" si="43"/>
        <v>3016.7</v>
      </c>
      <c r="DI27" s="67">
        <f t="shared" si="373"/>
        <v>2916.7</v>
      </c>
      <c r="DJ27" s="64">
        <f t="shared" si="374"/>
        <v>100</v>
      </c>
      <c r="DK27" s="62">
        <v>2400</v>
      </c>
      <c r="DL27" s="63">
        <v>2400</v>
      </c>
      <c r="DM27" s="64">
        <f>DK27-DL27</f>
        <v>0</v>
      </c>
      <c r="DN27" s="65">
        <v>580</v>
      </c>
      <c r="DO27" s="63">
        <v>580</v>
      </c>
      <c r="DP27" s="64">
        <f>DN27-DO27</f>
        <v>0</v>
      </c>
      <c r="DQ27" s="65"/>
      <c r="DR27" s="63"/>
      <c r="DS27" s="64">
        <f>DQ27-DR27</f>
        <v>0</v>
      </c>
      <c r="DT27" s="65">
        <v>100</v>
      </c>
      <c r="DU27" s="63"/>
      <c r="DV27" s="64">
        <f>DT27-DU27</f>
        <v>100</v>
      </c>
      <c r="DW27" s="66">
        <f t="shared" si="46"/>
        <v>3080</v>
      </c>
      <c r="DX27" s="67">
        <f t="shared" si="375"/>
        <v>2980</v>
      </c>
      <c r="DY27" s="64">
        <f t="shared" si="376"/>
        <v>100</v>
      </c>
      <c r="DZ27" s="62"/>
      <c r="EA27" s="63"/>
      <c r="EB27" s="64">
        <f t="shared" si="377"/>
        <v>0</v>
      </c>
      <c r="EC27" s="65"/>
      <c r="ED27" s="63"/>
      <c r="EE27" s="64">
        <f t="shared" si="378"/>
        <v>0</v>
      </c>
      <c r="EF27" s="65"/>
      <c r="EG27" s="63"/>
      <c r="EH27" s="64">
        <f t="shared" si="379"/>
        <v>0</v>
      </c>
      <c r="EI27" s="65">
        <v>100</v>
      </c>
      <c r="EJ27" s="63">
        <v>141.38</v>
      </c>
      <c r="EK27" s="64">
        <f t="shared" si="380"/>
        <v>-41.379999999999995</v>
      </c>
      <c r="EL27" s="66">
        <f t="shared" si="53"/>
        <v>100</v>
      </c>
      <c r="EM27" s="67">
        <f t="shared" si="381"/>
        <v>141.38</v>
      </c>
      <c r="EN27" s="64">
        <f t="shared" si="382"/>
        <v>-41.379999999999995</v>
      </c>
      <c r="EO27" s="62"/>
      <c r="EP27" s="63"/>
      <c r="EQ27" s="64">
        <f t="shared" si="383"/>
        <v>0</v>
      </c>
      <c r="ER27" s="65"/>
      <c r="ES27" s="63"/>
      <c r="ET27" s="64">
        <f t="shared" si="384"/>
        <v>0</v>
      </c>
      <c r="EU27" s="65"/>
      <c r="EV27" s="63"/>
      <c r="EW27" s="64">
        <f t="shared" si="385"/>
        <v>0</v>
      </c>
      <c r="EX27" s="65">
        <v>100</v>
      </c>
      <c r="EY27" s="63"/>
      <c r="EZ27" s="64">
        <f t="shared" si="386"/>
        <v>100</v>
      </c>
      <c r="FA27" s="66">
        <f t="shared" si="60"/>
        <v>100</v>
      </c>
      <c r="FB27" s="67">
        <f t="shared" si="387"/>
        <v>0</v>
      </c>
      <c r="FC27" s="64">
        <f t="shared" si="388"/>
        <v>100</v>
      </c>
      <c r="FD27" s="62"/>
      <c r="FE27" s="63"/>
      <c r="FF27" s="64">
        <f t="shared" si="389"/>
        <v>0</v>
      </c>
      <c r="FG27" s="65"/>
      <c r="FH27" s="63"/>
      <c r="FI27" s="64">
        <f t="shared" si="390"/>
        <v>0</v>
      </c>
      <c r="FJ27" s="65"/>
      <c r="FK27" s="63"/>
      <c r="FL27" s="64">
        <f t="shared" si="391"/>
        <v>0</v>
      </c>
      <c r="FM27" s="65">
        <v>100</v>
      </c>
      <c r="FN27" s="63"/>
      <c r="FO27" s="64">
        <f t="shared" si="392"/>
        <v>100</v>
      </c>
      <c r="FP27" s="66">
        <f t="shared" si="67"/>
        <v>100</v>
      </c>
      <c r="FQ27" s="67">
        <f t="shared" si="393"/>
        <v>0</v>
      </c>
      <c r="FR27" s="64">
        <f t="shared" si="394"/>
        <v>100</v>
      </c>
      <c r="FS27" s="62"/>
      <c r="FT27" s="63"/>
      <c r="FU27" s="64">
        <f t="shared" si="395"/>
        <v>0</v>
      </c>
      <c r="FV27" s="65"/>
      <c r="FW27" s="63"/>
      <c r="FX27" s="64">
        <f t="shared" si="396"/>
        <v>0</v>
      </c>
      <c r="FY27" s="65"/>
      <c r="FZ27" s="63"/>
      <c r="GA27" s="64">
        <f t="shared" si="397"/>
        <v>0</v>
      </c>
      <c r="GB27" s="65"/>
      <c r="GC27" s="63"/>
      <c r="GD27" s="64">
        <f t="shared" si="398"/>
        <v>0</v>
      </c>
      <c r="GE27" s="66">
        <f t="shared" si="74"/>
        <v>0</v>
      </c>
      <c r="GF27" s="67">
        <f t="shared" si="399"/>
        <v>0</v>
      </c>
      <c r="GG27" s="64">
        <f t="shared" si="400"/>
        <v>0</v>
      </c>
      <c r="GH27" s="62"/>
      <c r="GI27" s="63"/>
      <c r="GJ27" s="64">
        <f t="shared" si="401"/>
        <v>0</v>
      </c>
      <c r="GK27" s="65"/>
      <c r="GL27" s="63"/>
      <c r="GM27" s="64">
        <f t="shared" si="402"/>
        <v>0</v>
      </c>
      <c r="GN27" s="65"/>
      <c r="GO27" s="63"/>
      <c r="GP27" s="64">
        <f t="shared" si="403"/>
        <v>0</v>
      </c>
      <c r="GQ27" s="65"/>
      <c r="GR27" s="63"/>
      <c r="GS27" s="64">
        <f t="shared" si="404"/>
        <v>0</v>
      </c>
      <c r="GT27" s="66">
        <f t="shared" si="81"/>
        <v>0</v>
      </c>
      <c r="GU27" s="67">
        <f t="shared" si="405"/>
        <v>0</v>
      </c>
      <c r="GV27" s="64">
        <f t="shared" si="406"/>
        <v>0</v>
      </c>
      <c r="GW27" s="62"/>
      <c r="GX27" s="63"/>
      <c r="GY27" s="64">
        <f t="shared" si="595"/>
        <v>0</v>
      </c>
      <c r="GZ27" s="65"/>
      <c r="HA27" s="63"/>
      <c r="HB27" s="64">
        <f t="shared" si="596"/>
        <v>0</v>
      </c>
      <c r="HC27" s="65"/>
      <c r="HD27" s="63"/>
      <c r="HE27" s="64">
        <f t="shared" si="597"/>
        <v>0</v>
      </c>
      <c r="HF27" s="65">
        <v>100</v>
      </c>
      <c r="HG27" s="63">
        <v>118.62</v>
      </c>
      <c r="HH27" s="64">
        <f t="shared" si="598"/>
        <v>-18.620000000000005</v>
      </c>
      <c r="HI27" s="66">
        <f t="shared" si="84"/>
        <v>100</v>
      </c>
      <c r="HJ27" s="67">
        <f t="shared" si="407"/>
        <v>118.62</v>
      </c>
      <c r="HK27" s="64">
        <f t="shared" si="408"/>
        <v>-18.620000000000005</v>
      </c>
      <c r="HL27" s="62"/>
      <c r="HM27" s="63"/>
      <c r="HN27" s="64">
        <f t="shared" si="409"/>
        <v>0</v>
      </c>
      <c r="HO27" s="65"/>
      <c r="HP27" s="63"/>
      <c r="HQ27" s="64">
        <f t="shared" si="410"/>
        <v>0</v>
      </c>
      <c r="HR27" s="65"/>
      <c r="HS27" s="63"/>
      <c r="HT27" s="64">
        <f t="shared" si="411"/>
        <v>0</v>
      </c>
      <c r="HU27" s="65">
        <v>100</v>
      </c>
      <c r="HV27" s="63"/>
      <c r="HW27" s="64">
        <f t="shared" si="412"/>
        <v>100</v>
      </c>
      <c r="HX27" s="66">
        <f t="shared" si="91"/>
        <v>100</v>
      </c>
      <c r="HY27" s="67">
        <f t="shared" si="413"/>
        <v>0</v>
      </c>
      <c r="HZ27" s="64">
        <f t="shared" si="414"/>
        <v>100</v>
      </c>
      <c r="IA27" s="62"/>
      <c r="IB27" s="63"/>
      <c r="IC27" s="64">
        <f t="shared" si="415"/>
        <v>0</v>
      </c>
      <c r="ID27" s="65"/>
      <c r="IE27" s="63"/>
      <c r="IF27" s="64">
        <f t="shared" si="416"/>
        <v>0</v>
      </c>
      <c r="IG27" s="65"/>
      <c r="IH27" s="63"/>
      <c r="II27" s="64">
        <f t="shared" si="417"/>
        <v>0</v>
      </c>
      <c r="IJ27" s="65">
        <v>100</v>
      </c>
      <c r="IK27" s="63"/>
      <c r="IL27" s="64">
        <f t="shared" si="418"/>
        <v>100</v>
      </c>
      <c r="IM27" s="66">
        <f t="shared" si="98"/>
        <v>100</v>
      </c>
      <c r="IN27" s="67">
        <f t="shared" si="419"/>
        <v>0</v>
      </c>
      <c r="IO27" s="64">
        <f t="shared" si="420"/>
        <v>100</v>
      </c>
      <c r="IP27" s="62"/>
      <c r="IQ27" s="63"/>
      <c r="IR27" s="64">
        <f t="shared" si="421"/>
        <v>0</v>
      </c>
      <c r="IS27" s="65"/>
      <c r="IT27" s="63"/>
      <c r="IU27" s="64">
        <f t="shared" si="422"/>
        <v>0</v>
      </c>
      <c r="IV27" s="65"/>
      <c r="IW27" s="63"/>
      <c r="IX27" s="64">
        <f t="shared" si="423"/>
        <v>0</v>
      </c>
      <c r="IY27" s="65"/>
      <c r="IZ27" s="63"/>
      <c r="JA27" s="64">
        <f t="shared" si="424"/>
        <v>0</v>
      </c>
      <c r="JB27" s="66">
        <f t="shared" si="105"/>
        <v>0</v>
      </c>
      <c r="JC27" s="67">
        <f t="shared" si="425"/>
        <v>0</v>
      </c>
      <c r="JD27" s="64">
        <f t="shared" si="426"/>
        <v>0</v>
      </c>
      <c r="JE27" s="62"/>
      <c r="JF27" s="63"/>
      <c r="JG27" s="64">
        <f t="shared" si="427"/>
        <v>0</v>
      </c>
      <c r="JH27" s="65">
        <v>442.35</v>
      </c>
      <c r="JI27" s="65">
        <v>442.35</v>
      </c>
      <c r="JJ27" s="64">
        <f t="shared" si="428"/>
        <v>0</v>
      </c>
      <c r="JK27" s="65"/>
      <c r="JL27" s="63"/>
      <c r="JM27" s="64">
        <f t="shared" si="429"/>
        <v>0</v>
      </c>
      <c r="JN27" s="65">
        <v>100</v>
      </c>
      <c r="JO27" s="63">
        <v>287.14</v>
      </c>
      <c r="JP27" s="64">
        <f t="shared" si="430"/>
        <v>-187.14</v>
      </c>
      <c r="JQ27" s="66">
        <f t="shared" si="112"/>
        <v>542.35</v>
      </c>
      <c r="JR27" s="67">
        <f t="shared" si="431"/>
        <v>729.49</v>
      </c>
      <c r="JS27" s="64">
        <f t="shared" si="432"/>
        <v>-187.14</v>
      </c>
      <c r="JT27" s="62">
        <v>5615.92</v>
      </c>
      <c r="JU27" s="63">
        <v>5615.92</v>
      </c>
      <c r="JV27" s="64">
        <f t="shared" si="433"/>
        <v>0</v>
      </c>
      <c r="JW27" s="65"/>
      <c r="JX27" s="63"/>
      <c r="JY27" s="64">
        <f t="shared" si="434"/>
        <v>0</v>
      </c>
      <c r="JZ27" s="65"/>
      <c r="KA27" s="63"/>
      <c r="KB27" s="64">
        <f t="shared" si="435"/>
        <v>0</v>
      </c>
      <c r="KC27" s="65">
        <v>100</v>
      </c>
      <c r="KD27" s="63">
        <v>202.29</v>
      </c>
      <c r="KE27" s="64">
        <f t="shared" si="436"/>
        <v>-102.28999999999999</v>
      </c>
      <c r="KF27" s="66">
        <f t="shared" si="119"/>
        <v>5715.92</v>
      </c>
      <c r="KG27" s="67">
        <f t="shared" si="437"/>
        <v>5818.21</v>
      </c>
      <c r="KH27" s="64">
        <f t="shared" si="438"/>
        <v>-102.28999999999996</v>
      </c>
      <c r="KI27" s="62"/>
      <c r="KJ27" s="63"/>
      <c r="KK27" s="64">
        <f t="shared" si="599"/>
        <v>0</v>
      </c>
      <c r="KL27" s="65"/>
      <c r="KM27" s="63">
        <v>115.38</v>
      </c>
      <c r="KN27" s="64">
        <f t="shared" si="600"/>
        <v>-115.38</v>
      </c>
      <c r="KO27" s="65"/>
      <c r="KP27" s="63"/>
      <c r="KQ27" s="64">
        <f t="shared" si="601"/>
        <v>0</v>
      </c>
      <c r="KR27" s="65"/>
      <c r="KS27" s="63"/>
      <c r="KT27" s="64">
        <f t="shared" si="439"/>
        <v>0</v>
      </c>
      <c r="KU27" s="66">
        <f t="shared" si="1"/>
        <v>0</v>
      </c>
      <c r="KV27" s="67">
        <f t="shared" si="440"/>
        <v>115.38</v>
      </c>
      <c r="KW27" s="64">
        <f t="shared" si="441"/>
        <v>-115.38</v>
      </c>
      <c r="KX27" s="72"/>
      <c r="KY27" s="73"/>
      <c r="KZ27" s="74"/>
      <c r="LA27" s="75"/>
      <c r="LB27" s="73"/>
      <c r="LC27" s="74"/>
      <c r="LD27" s="75"/>
      <c r="LE27" s="73"/>
      <c r="LF27" s="74"/>
      <c r="LG27" s="75"/>
      <c r="LH27" s="73"/>
      <c r="LI27" s="74"/>
      <c r="LJ27" s="76"/>
      <c r="LK27" s="77"/>
      <c r="LL27" s="74"/>
      <c r="LM27" s="62"/>
      <c r="LN27" s="63"/>
      <c r="LO27" s="64">
        <f t="shared" si="602"/>
        <v>0</v>
      </c>
      <c r="LP27" s="65"/>
      <c r="LQ27" s="63"/>
      <c r="LR27" s="64">
        <f t="shared" si="603"/>
        <v>0</v>
      </c>
      <c r="LS27" s="65"/>
      <c r="LT27" s="63"/>
      <c r="LU27" s="64">
        <f t="shared" si="604"/>
        <v>0</v>
      </c>
      <c r="LV27" s="65">
        <v>100</v>
      </c>
      <c r="LW27" s="63">
        <v>230.15</v>
      </c>
      <c r="LX27" s="64">
        <f t="shared" si="442"/>
        <v>-130.15</v>
      </c>
      <c r="LY27" s="66">
        <f t="shared" si="124"/>
        <v>100</v>
      </c>
      <c r="LZ27" s="67">
        <f t="shared" si="443"/>
        <v>230.15</v>
      </c>
      <c r="MA27" s="64">
        <f t="shared" si="444"/>
        <v>-130.15</v>
      </c>
      <c r="MB27" s="62">
        <v>650</v>
      </c>
      <c r="MC27" s="63">
        <v>650</v>
      </c>
      <c r="MD27" s="64">
        <f t="shared" si="445"/>
        <v>0</v>
      </c>
      <c r="ME27" s="65">
        <v>1057.42</v>
      </c>
      <c r="MF27" s="63">
        <v>1057.42</v>
      </c>
      <c r="MG27" s="64">
        <f t="shared" si="446"/>
        <v>0</v>
      </c>
      <c r="MH27" s="65"/>
      <c r="MI27" s="63"/>
      <c r="MJ27" s="64">
        <f t="shared" si="447"/>
        <v>0</v>
      </c>
      <c r="MK27" s="65">
        <v>100</v>
      </c>
      <c r="ML27" s="63">
        <v>335.89</v>
      </c>
      <c r="MM27" s="64">
        <f t="shared" si="448"/>
        <v>-235.89</v>
      </c>
      <c r="MN27" s="66">
        <f t="shared" si="131"/>
        <v>1807.42</v>
      </c>
      <c r="MO27" s="67">
        <f t="shared" si="449"/>
        <v>2043.31</v>
      </c>
      <c r="MP27" s="64">
        <f t="shared" si="450"/>
        <v>-235.88999999999987</v>
      </c>
      <c r="MQ27" s="62"/>
      <c r="MR27" s="63"/>
      <c r="MS27" s="64">
        <f t="shared" si="451"/>
        <v>0</v>
      </c>
      <c r="MT27" s="65"/>
      <c r="MU27" s="63"/>
      <c r="MV27" s="64">
        <f t="shared" si="452"/>
        <v>0</v>
      </c>
      <c r="MW27" s="65"/>
      <c r="MX27" s="63"/>
      <c r="MY27" s="64">
        <f t="shared" si="453"/>
        <v>0</v>
      </c>
      <c r="MZ27" s="65"/>
      <c r="NA27" s="63"/>
      <c r="NB27" s="64">
        <f t="shared" si="454"/>
        <v>0</v>
      </c>
      <c r="NC27" s="66">
        <f t="shared" si="138"/>
        <v>0</v>
      </c>
      <c r="ND27" s="67">
        <f t="shared" si="455"/>
        <v>0</v>
      </c>
      <c r="NE27" s="64">
        <f t="shared" si="456"/>
        <v>0</v>
      </c>
      <c r="NF27" s="62">
        <v>1000</v>
      </c>
      <c r="NG27" s="63">
        <v>1000</v>
      </c>
      <c r="NH27" s="64">
        <f t="shared" si="457"/>
        <v>0</v>
      </c>
      <c r="NI27" s="65">
        <v>886.87</v>
      </c>
      <c r="NJ27" s="63">
        <v>886.87</v>
      </c>
      <c r="NK27" s="64">
        <f t="shared" si="458"/>
        <v>0</v>
      </c>
      <c r="NL27" s="65"/>
      <c r="NM27" s="63"/>
      <c r="NN27" s="64">
        <f t="shared" si="459"/>
        <v>0</v>
      </c>
      <c r="NO27" s="65">
        <v>100</v>
      </c>
      <c r="NP27" s="63"/>
      <c r="NQ27" s="64">
        <f t="shared" si="460"/>
        <v>100</v>
      </c>
      <c r="NR27" s="66">
        <f t="shared" si="145"/>
        <v>1986.87</v>
      </c>
      <c r="NS27" s="67">
        <f t="shared" si="461"/>
        <v>1886.87</v>
      </c>
      <c r="NT27" s="64">
        <f t="shared" si="462"/>
        <v>100</v>
      </c>
      <c r="NU27" s="62">
        <v>864</v>
      </c>
      <c r="NV27" s="63">
        <v>864</v>
      </c>
      <c r="NW27" s="64">
        <f t="shared" si="463"/>
        <v>0</v>
      </c>
      <c r="NX27" s="65">
        <v>1004.52</v>
      </c>
      <c r="NY27" s="63">
        <v>1004.52</v>
      </c>
      <c r="NZ27" s="64">
        <f t="shared" si="464"/>
        <v>0</v>
      </c>
      <c r="OA27" s="65"/>
      <c r="OB27" s="63"/>
      <c r="OC27" s="64">
        <f t="shared" si="465"/>
        <v>0</v>
      </c>
      <c r="OD27" s="65">
        <v>100</v>
      </c>
      <c r="OE27" s="63">
        <v>83.8</v>
      </c>
      <c r="OF27" s="64">
        <f t="shared" si="466"/>
        <v>16.200000000000003</v>
      </c>
      <c r="OG27" s="66">
        <f t="shared" si="152"/>
        <v>1968.52</v>
      </c>
      <c r="OH27" s="67">
        <f t="shared" si="467"/>
        <v>1952.32</v>
      </c>
      <c r="OI27" s="64">
        <f t="shared" si="468"/>
        <v>16.200000000000045</v>
      </c>
      <c r="OJ27" s="62"/>
      <c r="OK27" s="63"/>
      <c r="OL27" s="64">
        <f t="shared" si="469"/>
        <v>0</v>
      </c>
      <c r="OM27" s="65"/>
      <c r="ON27" s="63"/>
      <c r="OO27" s="64">
        <f t="shared" si="470"/>
        <v>0</v>
      </c>
      <c r="OP27" s="65"/>
      <c r="OQ27" s="63"/>
      <c r="OR27" s="64">
        <f t="shared" si="471"/>
        <v>0</v>
      </c>
      <c r="OS27" s="65">
        <v>100</v>
      </c>
      <c r="OT27" s="63">
        <v>191.44</v>
      </c>
      <c r="OU27" s="64">
        <f t="shared" si="472"/>
        <v>-91.44</v>
      </c>
      <c r="OV27" s="66">
        <f t="shared" si="159"/>
        <v>100</v>
      </c>
      <c r="OW27" s="67">
        <f t="shared" si="473"/>
        <v>191.44</v>
      </c>
      <c r="OX27" s="64">
        <f t="shared" si="474"/>
        <v>-91.44</v>
      </c>
      <c r="OY27" s="62"/>
      <c r="OZ27" s="63"/>
      <c r="PA27" s="64">
        <f t="shared" si="475"/>
        <v>0</v>
      </c>
      <c r="PB27" s="65"/>
      <c r="PC27" s="63"/>
      <c r="PD27" s="64">
        <f t="shared" si="476"/>
        <v>0</v>
      </c>
      <c r="PE27" s="65"/>
      <c r="PF27" s="63"/>
      <c r="PG27" s="64">
        <f t="shared" si="477"/>
        <v>0</v>
      </c>
      <c r="PH27" s="65">
        <v>100</v>
      </c>
      <c r="PI27" s="63"/>
      <c r="PJ27" s="64">
        <f t="shared" si="478"/>
        <v>100</v>
      </c>
      <c r="PK27" s="66">
        <f t="shared" si="166"/>
        <v>100</v>
      </c>
      <c r="PL27" s="67">
        <f t="shared" si="479"/>
        <v>0</v>
      </c>
      <c r="PM27" s="64">
        <f t="shared" si="480"/>
        <v>100</v>
      </c>
      <c r="PN27" s="62">
        <v>1400</v>
      </c>
      <c r="PO27" s="63">
        <v>1400</v>
      </c>
      <c r="PP27" s="64">
        <f t="shared" si="481"/>
        <v>0</v>
      </c>
      <c r="PQ27" s="65"/>
      <c r="PR27" s="63"/>
      <c r="PS27" s="64">
        <f t="shared" si="482"/>
        <v>0</v>
      </c>
      <c r="PT27" s="65"/>
      <c r="PU27" s="63"/>
      <c r="PV27" s="64">
        <f t="shared" si="483"/>
        <v>0</v>
      </c>
      <c r="PW27" s="65">
        <v>100</v>
      </c>
      <c r="PX27" s="63">
        <v>314.47000000000003</v>
      </c>
      <c r="PY27" s="64">
        <f t="shared" si="484"/>
        <v>-214.47000000000003</v>
      </c>
      <c r="PZ27" s="66">
        <f t="shared" si="173"/>
        <v>1500</v>
      </c>
      <c r="QA27" s="67">
        <f t="shared" si="485"/>
        <v>1714.47</v>
      </c>
      <c r="QB27" s="64">
        <f t="shared" si="486"/>
        <v>-214.47000000000003</v>
      </c>
      <c r="QC27" s="62"/>
      <c r="QD27" s="63"/>
      <c r="QE27" s="64">
        <f t="shared" si="487"/>
        <v>0</v>
      </c>
      <c r="QF27" s="65"/>
      <c r="QG27" s="63"/>
      <c r="QH27" s="64">
        <f t="shared" si="488"/>
        <v>0</v>
      </c>
      <c r="QI27" s="65"/>
      <c r="QJ27" s="63"/>
      <c r="QK27" s="64">
        <f t="shared" si="489"/>
        <v>0</v>
      </c>
      <c r="QL27" s="65">
        <v>100</v>
      </c>
      <c r="QM27" s="63"/>
      <c r="QN27" s="64">
        <f t="shared" si="490"/>
        <v>100</v>
      </c>
      <c r="QO27" s="66">
        <f t="shared" si="180"/>
        <v>100</v>
      </c>
      <c r="QP27" s="67">
        <f t="shared" si="491"/>
        <v>0</v>
      </c>
      <c r="QQ27" s="64">
        <f t="shared" si="492"/>
        <v>100</v>
      </c>
      <c r="QR27" s="62"/>
      <c r="QS27" s="63"/>
      <c r="QT27" s="64">
        <f t="shared" si="493"/>
        <v>0</v>
      </c>
      <c r="QU27" s="65"/>
      <c r="QV27" s="63"/>
      <c r="QW27" s="64">
        <f t="shared" si="494"/>
        <v>0</v>
      </c>
      <c r="QX27" s="65"/>
      <c r="QY27" s="63"/>
      <c r="QZ27" s="64">
        <f t="shared" si="495"/>
        <v>0</v>
      </c>
      <c r="RA27" s="65"/>
      <c r="RB27" s="63"/>
      <c r="RC27" s="64">
        <f t="shared" si="496"/>
        <v>0</v>
      </c>
      <c r="RD27" s="66">
        <f t="shared" si="187"/>
        <v>0</v>
      </c>
      <c r="RE27" s="67">
        <f t="shared" si="497"/>
        <v>0</v>
      </c>
      <c r="RF27" s="64">
        <f t="shared" si="498"/>
        <v>0</v>
      </c>
      <c r="RG27" s="62"/>
      <c r="RH27" s="63"/>
      <c r="RI27" s="64">
        <f t="shared" si="499"/>
        <v>0</v>
      </c>
      <c r="RJ27" s="65"/>
      <c r="RK27" s="63"/>
      <c r="RL27" s="64">
        <f t="shared" si="500"/>
        <v>0</v>
      </c>
      <c r="RM27" s="65"/>
      <c r="RN27" s="63"/>
      <c r="RO27" s="64">
        <f t="shared" si="501"/>
        <v>0</v>
      </c>
      <c r="RP27" s="65"/>
      <c r="RQ27" s="63"/>
      <c r="RR27" s="64">
        <f t="shared" si="502"/>
        <v>0</v>
      </c>
      <c r="RS27" s="66">
        <f t="shared" si="194"/>
        <v>0</v>
      </c>
      <c r="RT27" s="67">
        <f t="shared" si="503"/>
        <v>0</v>
      </c>
      <c r="RU27" s="64">
        <f t="shared" si="504"/>
        <v>0</v>
      </c>
      <c r="RV27" s="62"/>
      <c r="RW27" s="63"/>
      <c r="RX27" s="64">
        <f t="shared" si="505"/>
        <v>0</v>
      </c>
      <c r="RY27" s="65"/>
      <c r="RZ27" s="63"/>
      <c r="SA27" s="64">
        <f t="shared" si="506"/>
        <v>0</v>
      </c>
      <c r="SB27" s="65"/>
      <c r="SC27" s="63"/>
      <c r="SD27" s="64">
        <f t="shared" si="507"/>
        <v>0</v>
      </c>
      <c r="SE27" s="65">
        <v>100</v>
      </c>
      <c r="SF27" s="63">
        <v>63.5</v>
      </c>
      <c r="SG27" s="64">
        <f t="shared" si="508"/>
        <v>36.5</v>
      </c>
      <c r="SH27" s="66">
        <f t="shared" si="201"/>
        <v>100</v>
      </c>
      <c r="SI27" s="67">
        <f t="shared" si="509"/>
        <v>63.5</v>
      </c>
      <c r="SJ27" s="64">
        <f t="shared" si="510"/>
        <v>36.5</v>
      </c>
      <c r="SK27" s="62"/>
      <c r="SL27" s="63"/>
      <c r="SM27" s="64">
        <f t="shared" si="511"/>
        <v>0</v>
      </c>
      <c r="SN27" s="65"/>
      <c r="SO27" s="63"/>
      <c r="SP27" s="64">
        <f t="shared" si="512"/>
        <v>0</v>
      </c>
      <c r="SQ27" s="65"/>
      <c r="SR27" s="63"/>
      <c r="SS27" s="64">
        <f t="shared" si="513"/>
        <v>0</v>
      </c>
      <c r="ST27" s="65">
        <v>100</v>
      </c>
      <c r="SU27" s="63">
        <v>191.55</v>
      </c>
      <c r="SV27" s="64">
        <f t="shared" si="514"/>
        <v>-91.550000000000011</v>
      </c>
      <c r="SW27" s="66">
        <f t="shared" si="208"/>
        <v>100</v>
      </c>
      <c r="SX27" s="67">
        <f t="shared" si="515"/>
        <v>191.55</v>
      </c>
      <c r="SY27" s="64">
        <f t="shared" si="516"/>
        <v>-91.550000000000011</v>
      </c>
      <c r="SZ27" s="62">
        <v>985.33</v>
      </c>
      <c r="TA27" s="63">
        <v>985.33</v>
      </c>
      <c r="TB27" s="64">
        <f t="shared" si="517"/>
        <v>0</v>
      </c>
      <c r="TC27" s="65">
        <v>700.9</v>
      </c>
      <c r="TD27" s="63">
        <v>700.9</v>
      </c>
      <c r="TE27" s="64">
        <f t="shared" si="518"/>
        <v>0</v>
      </c>
      <c r="TF27" s="65"/>
      <c r="TG27" s="63"/>
      <c r="TH27" s="64">
        <f t="shared" si="519"/>
        <v>0</v>
      </c>
      <c r="TI27" s="65">
        <v>100</v>
      </c>
      <c r="TJ27" s="63"/>
      <c r="TK27" s="64">
        <f t="shared" si="520"/>
        <v>100</v>
      </c>
      <c r="TL27" s="66">
        <f t="shared" si="215"/>
        <v>1786.23</v>
      </c>
      <c r="TM27" s="67">
        <f t="shared" si="521"/>
        <v>1686.23</v>
      </c>
      <c r="TN27" s="64">
        <f t="shared" si="522"/>
        <v>100</v>
      </c>
      <c r="TO27" s="62"/>
      <c r="TP27" s="63"/>
      <c r="TQ27" s="64">
        <f t="shared" si="523"/>
        <v>0</v>
      </c>
      <c r="TR27" s="65"/>
      <c r="TS27" s="63"/>
      <c r="TT27" s="64">
        <f t="shared" si="524"/>
        <v>0</v>
      </c>
      <c r="TU27" s="65"/>
      <c r="TV27" s="63"/>
      <c r="TW27" s="64">
        <f t="shared" si="525"/>
        <v>0</v>
      </c>
      <c r="TX27" s="65">
        <v>100</v>
      </c>
      <c r="TY27" s="63">
        <v>98.63</v>
      </c>
      <c r="TZ27" s="64">
        <f t="shared" si="526"/>
        <v>1.3700000000000045</v>
      </c>
      <c r="UA27" s="66">
        <f t="shared" si="222"/>
        <v>100</v>
      </c>
      <c r="UB27" s="67">
        <f t="shared" si="527"/>
        <v>98.63</v>
      </c>
      <c r="UC27" s="64">
        <f t="shared" si="528"/>
        <v>1.3700000000000045</v>
      </c>
      <c r="UD27" s="62"/>
      <c r="UE27" s="63"/>
      <c r="UF27" s="64">
        <f t="shared" si="529"/>
        <v>0</v>
      </c>
      <c r="UG27" s="65">
        <v>497.04</v>
      </c>
      <c r="UH27" s="63">
        <v>497.04</v>
      </c>
      <c r="UI27" s="64">
        <f t="shared" si="530"/>
        <v>0</v>
      </c>
      <c r="UJ27" s="65"/>
      <c r="UK27" s="63"/>
      <c r="UL27" s="64">
        <f t="shared" si="531"/>
        <v>0</v>
      </c>
      <c r="UM27" s="65">
        <v>100</v>
      </c>
      <c r="UN27" s="63"/>
      <c r="UO27" s="64">
        <f t="shared" si="532"/>
        <v>100</v>
      </c>
      <c r="UP27" s="66">
        <f t="shared" si="226"/>
        <v>597.04</v>
      </c>
      <c r="UQ27" s="67">
        <f t="shared" si="533"/>
        <v>497.04</v>
      </c>
      <c r="UR27" s="64">
        <f t="shared" si="534"/>
        <v>99.999999999999943</v>
      </c>
      <c r="US27" s="62"/>
      <c r="UT27" s="63"/>
      <c r="UU27" s="64">
        <f t="shared" si="535"/>
        <v>0</v>
      </c>
      <c r="UV27" s="65"/>
      <c r="UW27" s="63"/>
      <c r="UX27" s="64">
        <f t="shared" si="536"/>
        <v>0</v>
      </c>
      <c r="UY27" s="65"/>
      <c r="UZ27" s="63"/>
      <c r="VA27" s="64">
        <f t="shared" si="537"/>
        <v>0</v>
      </c>
      <c r="VB27" s="65">
        <v>100</v>
      </c>
      <c r="VC27" s="63">
        <v>160.29</v>
      </c>
      <c r="VD27" s="64">
        <f t="shared" si="538"/>
        <v>-60.289999999999992</v>
      </c>
      <c r="VE27" s="66">
        <f t="shared" si="233"/>
        <v>100</v>
      </c>
      <c r="VF27" s="67">
        <f t="shared" si="539"/>
        <v>160.29</v>
      </c>
      <c r="VG27" s="64">
        <f t="shared" si="540"/>
        <v>-60.289999999999992</v>
      </c>
      <c r="VH27" s="62"/>
      <c r="VI27" s="63"/>
      <c r="VJ27" s="64">
        <f t="shared" si="541"/>
        <v>0</v>
      </c>
      <c r="VK27" s="65"/>
      <c r="VL27" s="63"/>
      <c r="VM27" s="64">
        <f t="shared" si="542"/>
        <v>0</v>
      </c>
      <c r="VN27" s="65"/>
      <c r="VO27" s="63"/>
      <c r="VP27" s="64">
        <f t="shared" si="543"/>
        <v>0</v>
      </c>
      <c r="VQ27" s="65">
        <v>100</v>
      </c>
      <c r="VR27" s="63">
        <v>28.75</v>
      </c>
      <c r="VS27" s="64">
        <f t="shared" si="544"/>
        <v>71.25</v>
      </c>
      <c r="VT27" s="66">
        <f t="shared" si="240"/>
        <v>100</v>
      </c>
      <c r="VU27" s="67">
        <f t="shared" si="545"/>
        <v>28.75</v>
      </c>
      <c r="VV27" s="64">
        <f t="shared" si="546"/>
        <v>71.25</v>
      </c>
      <c r="VW27" s="62"/>
      <c r="VX27" s="63"/>
      <c r="VY27" s="64">
        <f t="shared" si="547"/>
        <v>0</v>
      </c>
      <c r="VZ27" s="65"/>
      <c r="WA27" s="63"/>
      <c r="WB27" s="64">
        <f t="shared" si="548"/>
        <v>0</v>
      </c>
      <c r="WC27" s="65"/>
      <c r="WD27" s="63"/>
      <c r="WE27" s="64">
        <f t="shared" si="549"/>
        <v>0</v>
      </c>
      <c r="WF27" s="65"/>
      <c r="WG27" s="63"/>
      <c r="WH27" s="64">
        <f t="shared" si="550"/>
        <v>0</v>
      </c>
      <c r="WI27" s="66">
        <f t="shared" si="247"/>
        <v>0</v>
      </c>
      <c r="WJ27" s="67">
        <f t="shared" si="551"/>
        <v>0</v>
      </c>
      <c r="WK27" s="64">
        <f t="shared" si="552"/>
        <v>0</v>
      </c>
      <c r="WL27" s="62">
        <v>1376.01</v>
      </c>
      <c r="WM27" s="63">
        <v>1376.01</v>
      </c>
      <c r="WN27" s="64">
        <f t="shared" si="553"/>
        <v>0</v>
      </c>
      <c r="WO27" s="65">
        <v>418.56</v>
      </c>
      <c r="WP27" s="63"/>
      <c r="WQ27" s="64">
        <f t="shared" si="554"/>
        <v>418.56</v>
      </c>
      <c r="WR27" s="65"/>
      <c r="WS27" s="63"/>
      <c r="WT27" s="64">
        <f t="shared" si="555"/>
        <v>0</v>
      </c>
      <c r="WU27" s="65">
        <v>100</v>
      </c>
      <c r="WV27" s="63">
        <v>138.86000000000001</v>
      </c>
      <c r="WW27" s="64">
        <f t="shared" si="556"/>
        <v>-38.860000000000014</v>
      </c>
      <c r="WX27" s="66">
        <f t="shared" si="254"/>
        <v>1894.57</v>
      </c>
      <c r="WY27" s="67">
        <f t="shared" si="557"/>
        <v>1514.87</v>
      </c>
      <c r="WZ27" s="64">
        <f t="shared" si="558"/>
        <v>379.70000000000005</v>
      </c>
      <c r="XA27" s="62"/>
      <c r="XB27" s="63"/>
      <c r="XC27" s="64">
        <f t="shared" si="559"/>
        <v>0</v>
      </c>
      <c r="XD27" s="65"/>
      <c r="XE27" s="63"/>
      <c r="XF27" s="64">
        <f t="shared" si="560"/>
        <v>0</v>
      </c>
      <c r="XG27" s="65"/>
      <c r="XH27" s="63"/>
      <c r="XI27" s="64">
        <f t="shared" si="561"/>
        <v>0</v>
      </c>
      <c r="XJ27" s="65">
        <v>100</v>
      </c>
      <c r="XK27" s="63">
        <v>74.260000000000005</v>
      </c>
      <c r="XL27" s="64">
        <f t="shared" si="562"/>
        <v>25.739999999999995</v>
      </c>
      <c r="XM27" s="66">
        <f t="shared" si="261"/>
        <v>100</v>
      </c>
      <c r="XN27" s="67">
        <f t="shared" si="563"/>
        <v>74.260000000000005</v>
      </c>
      <c r="XO27" s="64">
        <f t="shared" si="564"/>
        <v>25.739999999999995</v>
      </c>
      <c r="XP27" s="62">
        <v>917</v>
      </c>
      <c r="XQ27" s="63">
        <v>917</v>
      </c>
      <c r="XR27" s="64">
        <f t="shared" si="565"/>
        <v>0</v>
      </c>
      <c r="XS27" s="65">
        <v>591.29999999999995</v>
      </c>
      <c r="XT27" s="63">
        <v>591.29999999999995</v>
      </c>
      <c r="XU27" s="64">
        <f t="shared" si="566"/>
        <v>0</v>
      </c>
      <c r="XV27" s="65"/>
      <c r="XW27" s="63"/>
      <c r="XX27" s="64">
        <f t="shared" si="567"/>
        <v>0</v>
      </c>
      <c r="XY27" s="65">
        <v>100</v>
      </c>
      <c r="XZ27" s="63">
        <v>81.290000000000006</v>
      </c>
      <c r="YA27" s="64">
        <f t="shared" si="568"/>
        <v>18.709999999999994</v>
      </c>
      <c r="YB27" s="66">
        <f t="shared" si="268"/>
        <v>1608.3</v>
      </c>
      <c r="YC27" s="67">
        <f t="shared" si="569"/>
        <v>1589.59</v>
      </c>
      <c r="YD27" s="64">
        <f t="shared" si="570"/>
        <v>18.710000000000036</v>
      </c>
      <c r="YE27" s="62">
        <v>890</v>
      </c>
      <c r="YF27" s="63">
        <v>890</v>
      </c>
      <c r="YG27" s="64">
        <f t="shared" si="571"/>
        <v>0</v>
      </c>
      <c r="YH27" s="65">
        <v>725.15</v>
      </c>
      <c r="YI27" s="63">
        <v>725.15</v>
      </c>
      <c r="YJ27" s="64">
        <f t="shared" si="572"/>
        <v>0</v>
      </c>
      <c r="YK27" s="65"/>
      <c r="YL27" s="63"/>
      <c r="YM27" s="64">
        <f t="shared" si="573"/>
        <v>0</v>
      </c>
      <c r="YN27" s="65">
        <v>100</v>
      </c>
      <c r="YO27" s="63">
        <v>63.09</v>
      </c>
      <c r="YP27" s="64">
        <f t="shared" si="574"/>
        <v>36.909999999999997</v>
      </c>
      <c r="YQ27" s="66">
        <f t="shared" si="275"/>
        <v>1715.15</v>
      </c>
      <c r="YR27" s="67">
        <f t="shared" si="575"/>
        <v>1678.24</v>
      </c>
      <c r="YS27" s="64">
        <f t="shared" si="576"/>
        <v>36.910000000000082</v>
      </c>
      <c r="YT27" s="62">
        <v>932</v>
      </c>
      <c r="YU27" s="63">
        <v>932</v>
      </c>
      <c r="YV27" s="64">
        <f t="shared" si="577"/>
        <v>0</v>
      </c>
      <c r="YW27" s="65">
        <v>513.28</v>
      </c>
      <c r="YX27" s="63">
        <v>513.28</v>
      </c>
      <c r="YY27" s="64">
        <f t="shared" si="578"/>
        <v>0</v>
      </c>
      <c r="YZ27" s="65"/>
      <c r="ZA27" s="63"/>
      <c r="ZB27" s="64">
        <f t="shared" si="579"/>
        <v>0</v>
      </c>
      <c r="ZC27" s="65">
        <v>100</v>
      </c>
      <c r="ZD27" s="63">
        <v>3.7</v>
      </c>
      <c r="ZE27" s="64">
        <f t="shared" si="580"/>
        <v>96.3</v>
      </c>
      <c r="ZF27" s="66">
        <f t="shared" si="282"/>
        <v>1545.28</v>
      </c>
      <c r="ZG27" s="67">
        <f t="shared" si="581"/>
        <v>1448.98</v>
      </c>
      <c r="ZH27" s="64">
        <f t="shared" si="582"/>
        <v>96.299999999999955</v>
      </c>
      <c r="ZI27" s="62">
        <v>1250</v>
      </c>
      <c r="ZJ27" s="63">
        <v>1250</v>
      </c>
      <c r="ZK27" s="64">
        <f t="shared" si="583"/>
        <v>0</v>
      </c>
      <c r="ZL27" s="65"/>
      <c r="ZM27" s="63"/>
      <c r="ZN27" s="64">
        <f t="shared" si="584"/>
        <v>0</v>
      </c>
      <c r="ZO27" s="65"/>
      <c r="ZP27" s="63"/>
      <c r="ZQ27" s="64">
        <f t="shared" si="585"/>
        <v>0</v>
      </c>
      <c r="ZR27" s="65">
        <v>100</v>
      </c>
      <c r="ZS27" s="63"/>
      <c r="ZT27" s="64">
        <f t="shared" si="586"/>
        <v>100</v>
      </c>
      <c r="ZU27" s="66">
        <f t="shared" si="289"/>
        <v>1350</v>
      </c>
      <c r="ZV27" s="67">
        <f t="shared" si="587"/>
        <v>1250</v>
      </c>
      <c r="ZW27" s="64">
        <f t="shared" si="588"/>
        <v>100</v>
      </c>
      <c r="ZX27" s="62">
        <v>24.71</v>
      </c>
      <c r="ZY27" s="63">
        <v>24.71</v>
      </c>
      <c r="ZZ27" s="64">
        <f t="shared" si="589"/>
        <v>0</v>
      </c>
      <c r="AAA27" s="66">
        <f t="shared" si="293"/>
        <v>24.71</v>
      </c>
      <c r="AAB27" s="67">
        <f t="shared" si="293"/>
        <v>24.71</v>
      </c>
      <c r="AAC27" s="64">
        <f t="shared" si="590"/>
        <v>0</v>
      </c>
      <c r="AAD27" s="85">
        <f t="shared" si="295"/>
        <v>42796.249999999993</v>
      </c>
      <c r="AAE27" s="86">
        <f t="shared" si="295"/>
        <v>38718.760000000009</v>
      </c>
      <c r="AAF27" s="87">
        <f t="shared" si="3"/>
        <v>0.90472319420510017</v>
      </c>
      <c r="AAG27" s="88">
        <f t="shared" si="591"/>
        <v>-4077.4899999999834</v>
      </c>
      <c r="AAH27" s="94"/>
      <c r="AAI27" s="95"/>
      <c r="AAJ27" s="95"/>
      <c r="AAK27" s="60"/>
    </row>
    <row r="28" spans="1:713" s="83" customFormat="1" ht="20" customHeight="1" x14ac:dyDescent="0.2">
      <c r="A28" s="84" t="s">
        <v>25</v>
      </c>
      <c r="B28" s="96">
        <f>B24-B20</f>
        <v>42236.609999999404</v>
      </c>
      <c r="C28" s="97"/>
      <c r="D28" s="97"/>
      <c r="E28" s="60"/>
      <c r="F28" s="61">
        <v>45231</v>
      </c>
      <c r="G28" s="62"/>
      <c r="H28" s="63">
        <v>0</v>
      </c>
      <c r="I28" s="64">
        <f t="shared" si="340"/>
        <v>0</v>
      </c>
      <c r="J28" s="65">
        <v>4200</v>
      </c>
      <c r="K28" s="63">
        <v>2613.14</v>
      </c>
      <c r="L28" s="64">
        <f t="shared" si="341"/>
        <v>1586.8600000000001</v>
      </c>
      <c r="M28" s="65">
        <v>1500</v>
      </c>
      <c r="N28" s="63">
        <v>5132.3599999999997</v>
      </c>
      <c r="O28" s="64">
        <f t="shared" si="342"/>
        <v>-3632.3599999999997</v>
      </c>
      <c r="P28" s="65">
        <v>1500</v>
      </c>
      <c r="Q28" s="63">
        <v>554.99</v>
      </c>
      <c r="R28" s="64">
        <f t="shared" si="343"/>
        <v>945.01</v>
      </c>
      <c r="S28" s="65">
        <v>165.24</v>
      </c>
      <c r="T28" s="63">
        <f>227.23</f>
        <v>227.23</v>
      </c>
      <c r="U28" s="64">
        <f t="shared" si="344"/>
        <v>-61.989999999999981</v>
      </c>
      <c r="V28" s="66">
        <f t="shared" si="345"/>
        <v>7365.24</v>
      </c>
      <c r="W28" s="67">
        <f t="shared" si="345"/>
        <v>8527.7199999999993</v>
      </c>
      <c r="X28" s="64">
        <f t="shared" si="346"/>
        <v>-1162.4799999999996</v>
      </c>
      <c r="Y28" s="62">
        <v>1100</v>
      </c>
      <c r="Z28" s="63">
        <v>1100</v>
      </c>
      <c r="AA28" s="64">
        <f t="shared" si="347"/>
        <v>0</v>
      </c>
      <c r="AB28" s="65"/>
      <c r="AC28" s="63"/>
      <c r="AD28" s="64">
        <f t="shared" si="348"/>
        <v>0</v>
      </c>
      <c r="AE28" s="65"/>
      <c r="AF28" s="63"/>
      <c r="AG28" s="64">
        <f t="shared" si="349"/>
        <v>0</v>
      </c>
      <c r="AH28" s="65"/>
      <c r="AI28" s="63"/>
      <c r="AJ28" s="64">
        <f t="shared" si="350"/>
        <v>0</v>
      </c>
      <c r="AK28" s="66">
        <f t="shared" si="16"/>
        <v>1100</v>
      </c>
      <c r="AL28" s="67">
        <f t="shared" si="17"/>
        <v>1100</v>
      </c>
      <c r="AM28" s="64">
        <f t="shared" si="351"/>
        <v>0</v>
      </c>
      <c r="AN28" s="62"/>
      <c r="AO28" s="63"/>
      <c r="AP28" s="64">
        <f t="shared" si="592"/>
        <v>0</v>
      </c>
      <c r="AQ28" s="65"/>
      <c r="AR28" s="63"/>
      <c r="AS28" s="64">
        <f t="shared" si="593"/>
        <v>0</v>
      </c>
      <c r="AT28" s="65"/>
      <c r="AU28" s="63"/>
      <c r="AV28" s="64">
        <f t="shared" si="594"/>
        <v>0</v>
      </c>
      <c r="AW28" s="65"/>
      <c r="AX28" s="63"/>
      <c r="AY28" s="64">
        <f t="shared" si="352"/>
        <v>0</v>
      </c>
      <c r="AZ28" s="66">
        <f t="shared" si="23"/>
        <v>0</v>
      </c>
      <c r="BA28" s="67">
        <f t="shared" si="353"/>
        <v>0</v>
      </c>
      <c r="BB28" s="64">
        <f t="shared" si="354"/>
        <v>0</v>
      </c>
      <c r="BC28" s="62">
        <v>7900.8</v>
      </c>
      <c r="BD28" s="63">
        <v>7900.8</v>
      </c>
      <c r="BE28" s="64">
        <f t="shared" si="355"/>
        <v>0</v>
      </c>
      <c r="BF28" s="65"/>
      <c r="BG28" s="63"/>
      <c r="BH28" s="64">
        <f t="shared" si="356"/>
        <v>0</v>
      </c>
      <c r="BI28" s="65"/>
      <c r="BJ28" s="63"/>
      <c r="BK28" s="64">
        <f t="shared" si="357"/>
        <v>0</v>
      </c>
      <c r="BL28" s="65">
        <v>100</v>
      </c>
      <c r="BM28" s="63"/>
      <c r="BN28" s="64">
        <f t="shared" si="358"/>
        <v>100</v>
      </c>
      <c r="BO28" s="66">
        <f t="shared" si="30"/>
        <v>8000.8</v>
      </c>
      <c r="BP28" s="67">
        <f t="shared" si="359"/>
        <v>7900.8</v>
      </c>
      <c r="BQ28" s="64">
        <f t="shared" si="360"/>
        <v>100</v>
      </c>
      <c r="BR28" s="62">
        <v>3416.66</v>
      </c>
      <c r="BS28" s="63">
        <v>3416.66</v>
      </c>
      <c r="BT28" s="64">
        <f t="shared" si="361"/>
        <v>0</v>
      </c>
      <c r="BU28" s="65"/>
      <c r="BV28" s="63"/>
      <c r="BW28" s="64">
        <f t="shared" si="362"/>
        <v>0</v>
      </c>
      <c r="BX28" s="65"/>
      <c r="BY28" s="63"/>
      <c r="BZ28" s="64">
        <f t="shared" si="363"/>
        <v>0</v>
      </c>
      <c r="CA28" s="65"/>
      <c r="CB28" s="63"/>
      <c r="CC28" s="64">
        <f t="shared" si="364"/>
        <v>0</v>
      </c>
      <c r="CD28" s="66">
        <f t="shared" si="33"/>
        <v>3416.66</v>
      </c>
      <c r="CE28" s="67">
        <f t="shared" si="365"/>
        <v>3416.66</v>
      </c>
      <c r="CF28" s="64">
        <f t="shared" si="366"/>
        <v>0</v>
      </c>
      <c r="CG28" s="62"/>
      <c r="CH28" s="63"/>
      <c r="CI28" s="64">
        <f t="shared" si="367"/>
        <v>0</v>
      </c>
      <c r="CJ28" s="65"/>
      <c r="CK28" s="63"/>
      <c r="CL28" s="64">
        <f t="shared" si="368"/>
        <v>0</v>
      </c>
      <c r="CM28" s="65"/>
      <c r="CN28" s="63"/>
      <c r="CO28" s="64">
        <f t="shared" si="369"/>
        <v>0</v>
      </c>
      <c r="CP28" s="65"/>
      <c r="CQ28" s="63"/>
      <c r="CR28" s="64">
        <f t="shared" si="370"/>
        <v>0</v>
      </c>
      <c r="CS28" s="66">
        <f t="shared" si="40"/>
        <v>0</v>
      </c>
      <c r="CT28" s="67">
        <f t="shared" si="371"/>
        <v>0</v>
      </c>
      <c r="CU28" s="64">
        <f t="shared" si="372"/>
        <v>0</v>
      </c>
      <c r="CV28" s="62">
        <v>2916.7</v>
      </c>
      <c r="CW28" s="63">
        <v>2916.7</v>
      </c>
      <c r="CX28" s="64">
        <f>CV28-CW28</f>
        <v>0</v>
      </c>
      <c r="CY28" s="65"/>
      <c r="CZ28" s="63"/>
      <c r="DA28" s="64">
        <f>CY28-CZ28</f>
        <v>0</v>
      </c>
      <c r="DB28" s="65"/>
      <c r="DC28" s="63"/>
      <c r="DD28" s="64">
        <f>DB28-DC28</f>
        <v>0</v>
      </c>
      <c r="DE28" s="65">
        <v>100</v>
      </c>
      <c r="DF28" s="63">
        <v>216.98</v>
      </c>
      <c r="DG28" s="64">
        <f>DE28-DF28</f>
        <v>-116.97999999999999</v>
      </c>
      <c r="DH28" s="66">
        <f t="shared" si="43"/>
        <v>3016.7</v>
      </c>
      <c r="DI28" s="67">
        <f t="shared" si="373"/>
        <v>3133.68</v>
      </c>
      <c r="DJ28" s="64">
        <f t="shared" si="374"/>
        <v>-116.98000000000002</v>
      </c>
      <c r="DK28" s="62">
        <v>2400</v>
      </c>
      <c r="DL28" s="63">
        <v>2400</v>
      </c>
      <c r="DM28" s="64">
        <f>DK28-DL28</f>
        <v>0</v>
      </c>
      <c r="DN28" s="65">
        <v>580</v>
      </c>
      <c r="DO28" s="63">
        <v>580</v>
      </c>
      <c r="DP28" s="64">
        <f>DN28-DO28</f>
        <v>0</v>
      </c>
      <c r="DQ28" s="65"/>
      <c r="DR28" s="63"/>
      <c r="DS28" s="64">
        <f>DQ28-DR28</f>
        <v>0</v>
      </c>
      <c r="DT28" s="65">
        <v>100</v>
      </c>
      <c r="DU28" s="63"/>
      <c r="DV28" s="64">
        <f>DT28-DU28</f>
        <v>100</v>
      </c>
      <c r="DW28" s="66">
        <f t="shared" si="46"/>
        <v>3080</v>
      </c>
      <c r="DX28" s="67">
        <f t="shared" si="375"/>
        <v>2980</v>
      </c>
      <c r="DY28" s="64">
        <f t="shared" si="376"/>
        <v>100</v>
      </c>
      <c r="DZ28" s="62"/>
      <c r="EA28" s="63"/>
      <c r="EB28" s="64">
        <f t="shared" si="377"/>
        <v>0</v>
      </c>
      <c r="EC28" s="65"/>
      <c r="ED28" s="63"/>
      <c r="EE28" s="64">
        <f t="shared" si="378"/>
        <v>0</v>
      </c>
      <c r="EF28" s="65"/>
      <c r="EG28" s="63"/>
      <c r="EH28" s="64">
        <f t="shared" si="379"/>
        <v>0</v>
      </c>
      <c r="EI28" s="65">
        <v>100</v>
      </c>
      <c r="EJ28" s="63"/>
      <c r="EK28" s="64">
        <f t="shared" si="380"/>
        <v>100</v>
      </c>
      <c r="EL28" s="66">
        <f t="shared" si="53"/>
        <v>100</v>
      </c>
      <c r="EM28" s="67">
        <f t="shared" si="381"/>
        <v>0</v>
      </c>
      <c r="EN28" s="64">
        <f t="shared" si="382"/>
        <v>100</v>
      </c>
      <c r="EO28" s="62"/>
      <c r="EP28" s="63"/>
      <c r="EQ28" s="64">
        <f t="shared" si="383"/>
        <v>0</v>
      </c>
      <c r="ER28" s="65"/>
      <c r="ES28" s="63"/>
      <c r="ET28" s="64">
        <f t="shared" si="384"/>
        <v>0</v>
      </c>
      <c r="EU28" s="65"/>
      <c r="EV28" s="63"/>
      <c r="EW28" s="64">
        <f t="shared" si="385"/>
        <v>0</v>
      </c>
      <c r="EX28" s="65">
        <v>100</v>
      </c>
      <c r="EY28" s="63">
        <v>187.99</v>
      </c>
      <c r="EZ28" s="64">
        <f t="shared" si="386"/>
        <v>-87.990000000000009</v>
      </c>
      <c r="FA28" s="66">
        <f t="shared" si="60"/>
        <v>100</v>
      </c>
      <c r="FB28" s="67">
        <f t="shared" si="387"/>
        <v>187.99</v>
      </c>
      <c r="FC28" s="64">
        <f t="shared" si="388"/>
        <v>-87.990000000000009</v>
      </c>
      <c r="FD28" s="62"/>
      <c r="FE28" s="63"/>
      <c r="FF28" s="64">
        <f t="shared" si="389"/>
        <v>0</v>
      </c>
      <c r="FG28" s="65"/>
      <c r="FH28" s="63"/>
      <c r="FI28" s="64">
        <f t="shared" si="390"/>
        <v>0</v>
      </c>
      <c r="FJ28" s="65"/>
      <c r="FK28" s="63"/>
      <c r="FL28" s="64">
        <f t="shared" si="391"/>
        <v>0</v>
      </c>
      <c r="FM28" s="65">
        <v>100</v>
      </c>
      <c r="FN28" s="63">
        <v>184.91</v>
      </c>
      <c r="FO28" s="64">
        <f t="shared" si="392"/>
        <v>-84.91</v>
      </c>
      <c r="FP28" s="66">
        <f t="shared" si="67"/>
        <v>100</v>
      </c>
      <c r="FQ28" s="67">
        <f t="shared" si="393"/>
        <v>184.91</v>
      </c>
      <c r="FR28" s="64">
        <f t="shared" si="394"/>
        <v>-84.91</v>
      </c>
      <c r="FS28" s="62"/>
      <c r="FT28" s="63"/>
      <c r="FU28" s="64">
        <f t="shared" si="395"/>
        <v>0</v>
      </c>
      <c r="FV28" s="65"/>
      <c r="FW28" s="63"/>
      <c r="FX28" s="64">
        <f t="shared" si="396"/>
        <v>0</v>
      </c>
      <c r="FY28" s="65"/>
      <c r="FZ28" s="63"/>
      <c r="GA28" s="64">
        <f t="shared" si="397"/>
        <v>0</v>
      </c>
      <c r="GB28" s="65"/>
      <c r="GC28" s="63"/>
      <c r="GD28" s="64">
        <f t="shared" si="398"/>
        <v>0</v>
      </c>
      <c r="GE28" s="66">
        <f t="shared" si="74"/>
        <v>0</v>
      </c>
      <c r="GF28" s="67">
        <f t="shared" si="399"/>
        <v>0</v>
      </c>
      <c r="GG28" s="64">
        <f t="shared" si="400"/>
        <v>0</v>
      </c>
      <c r="GH28" s="62"/>
      <c r="GI28" s="63"/>
      <c r="GJ28" s="64">
        <f t="shared" si="401"/>
        <v>0</v>
      </c>
      <c r="GK28" s="65"/>
      <c r="GL28" s="63"/>
      <c r="GM28" s="64">
        <f t="shared" si="402"/>
        <v>0</v>
      </c>
      <c r="GN28" s="65"/>
      <c r="GO28" s="63"/>
      <c r="GP28" s="64">
        <f t="shared" si="403"/>
        <v>0</v>
      </c>
      <c r="GQ28" s="65"/>
      <c r="GR28" s="63"/>
      <c r="GS28" s="64">
        <f t="shared" si="404"/>
        <v>0</v>
      </c>
      <c r="GT28" s="66">
        <f t="shared" si="81"/>
        <v>0</v>
      </c>
      <c r="GU28" s="67">
        <f t="shared" si="405"/>
        <v>0</v>
      </c>
      <c r="GV28" s="64">
        <f t="shared" si="406"/>
        <v>0</v>
      </c>
      <c r="GW28" s="62"/>
      <c r="GX28" s="63"/>
      <c r="GY28" s="64">
        <f t="shared" si="595"/>
        <v>0</v>
      </c>
      <c r="GZ28" s="65"/>
      <c r="HA28" s="63"/>
      <c r="HB28" s="64">
        <f t="shared" si="596"/>
        <v>0</v>
      </c>
      <c r="HC28" s="65"/>
      <c r="HD28" s="63"/>
      <c r="HE28" s="64">
        <f t="shared" si="597"/>
        <v>0</v>
      </c>
      <c r="HF28" s="65">
        <v>100</v>
      </c>
      <c r="HG28" s="63"/>
      <c r="HH28" s="64">
        <f t="shared" si="598"/>
        <v>100</v>
      </c>
      <c r="HI28" s="66">
        <f t="shared" si="84"/>
        <v>100</v>
      </c>
      <c r="HJ28" s="67">
        <f t="shared" si="407"/>
        <v>0</v>
      </c>
      <c r="HK28" s="64">
        <f t="shared" si="408"/>
        <v>100</v>
      </c>
      <c r="HL28" s="62">
        <v>7900.8</v>
      </c>
      <c r="HM28" s="63">
        <v>7900.8</v>
      </c>
      <c r="HN28" s="64">
        <f t="shared" si="409"/>
        <v>0</v>
      </c>
      <c r="HO28" s="65"/>
      <c r="HP28" s="63"/>
      <c r="HQ28" s="64">
        <f t="shared" si="410"/>
        <v>0</v>
      </c>
      <c r="HR28" s="65"/>
      <c r="HS28" s="63"/>
      <c r="HT28" s="64">
        <f t="shared" si="411"/>
        <v>0</v>
      </c>
      <c r="HU28" s="65">
        <v>100</v>
      </c>
      <c r="HV28" s="63">
        <v>252.87</v>
      </c>
      <c r="HW28" s="64">
        <f t="shared" si="412"/>
        <v>-152.87</v>
      </c>
      <c r="HX28" s="66">
        <f t="shared" si="91"/>
        <v>8000.8</v>
      </c>
      <c r="HY28" s="67">
        <f t="shared" si="413"/>
        <v>8153.67</v>
      </c>
      <c r="HZ28" s="64">
        <f t="shared" si="414"/>
        <v>-152.86999999999989</v>
      </c>
      <c r="IA28" s="62"/>
      <c r="IB28" s="63"/>
      <c r="IC28" s="64">
        <f t="shared" si="415"/>
        <v>0</v>
      </c>
      <c r="ID28" s="65"/>
      <c r="IE28" s="63"/>
      <c r="IF28" s="64">
        <f t="shared" si="416"/>
        <v>0</v>
      </c>
      <c r="IG28" s="65"/>
      <c r="IH28" s="63"/>
      <c r="II28" s="64">
        <f t="shared" si="417"/>
        <v>0</v>
      </c>
      <c r="IJ28" s="65">
        <v>100</v>
      </c>
      <c r="IK28" s="63"/>
      <c r="IL28" s="64">
        <f t="shared" si="418"/>
        <v>100</v>
      </c>
      <c r="IM28" s="66">
        <f t="shared" si="98"/>
        <v>100</v>
      </c>
      <c r="IN28" s="67">
        <f t="shared" si="419"/>
        <v>0</v>
      </c>
      <c r="IO28" s="64">
        <f t="shared" si="420"/>
        <v>100</v>
      </c>
      <c r="IP28" s="62"/>
      <c r="IQ28" s="63"/>
      <c r="IR28" s="64">
        <f t="shared" si="421"/>
        <v>0</v>
      </c>
      <c r="IS28" s="65"/>
      <c r="IT28" s="63"/>
      <c r="IU28" s="64">
        <f t="shared" si="422"/>
        <v>0</v>
      </c>
      <c r="IV28" s="65"/>
      <c r="IW28" s="63"/>
      <c r="IX28" s="64">
        <f t="shared" si="423"/>
        <v>0</v>
      </c>
      <c r="IY28" s="65"/>
      <c r="IZ28" s="63"/>
      <c r="JA28" s="64">
        <f t="shared" si="424"/>
        <v>0</v>
      </c>
      <c r="JB28" s="66">
        <f t="shared" si="105"/>
        <v>0</v>
      </c>
      <c r="JC28" s="67">
        <f t="shared" si="425"/>
        <v>0</v>
      </c>
      <c r="JD28" s="64">
        <f t="shared" si="426"/>
        <v>0</v>
      </c>
      <c r="JE28" s="62"/>
      <c r="JF28" s="63"/>
      <c r="JG28" s="64">
        <f t="shared" si="427"/>
        <v>0</v>
      </c>
      <c r="JH28" s="65">
        <v>442.35</v>
      </c>
      <c r="JI28" s="65">
        <v>442.35</v>
      </c>
      <c r="JJ28" s="64">
        <f t="shared" si="428"/>
        <v>0</v>
      </c>
      <c r="JK28" s="65"/>
      <c r="JL28" s="63"/>
      <c r="JM28" s="64">
        <f t="shared" si="429"/>
        <v>0</v>
      </c>
      <c r="JN28" s="65">
        <v>100</v>
      </c>
      <c r="JO28" s="63"/>
      <c r="JP28" s="64">
        <f t="shared" si="430"/>
        <v>100</v>
      </c>
      <c r="JQ28" s="66">
        <f t="shared" si="112"/>
        <v>542.35</v>
      </c>
      <c r="JR28" s="67">
        <f t="shared" si="431"/>
        <v>442.35</v>
      </c>
      <c r="JS28" s="64">
        <f t="shared" si="432"/>
        <v>100</v>
      </c>
      <c r="JT28" s="62">
        <v>5615.92</v>
      </c>
      <c r="JU28" s="63">
        <v>5615.92</v>
      </c>
      <c r="JV28" s="64">
        <f t="shared" si="433"/>
        <v>0</v>
      </c>
      <c r="JW28" s="65"/>
      <c r="JX28" s="63"/>
      <c r="JY28" s="64">
        <f t="shared" si="434"/>
        <v>0</v>
      </c>
      <c r="JZ28" s="65"/>
      <c r="KA28" s="63"/>
      <c r="KB28" s="64">
        <f t="shared" si="435"/>
        <v>0</v>
      </c>
      <c r="KC28" s="65">
        <v>100</v>
      </c>
      <c r="KD28" s="63"/>
      <c r="KE28" s="64">
        <f t="shared" si="436"/>
        <v>100</v>
      </c>
      <c r="KF28" s="66">
        <f t="shared" si="119"/>
        <v>5715.92</v>
      </c>
      <c r="KG28" s="67">
        <f t="shared" si="437"/>
        <v>5615.92</v>
      </c>
      <c r="KH28" s="64">
        <f t="shared" si="438"/>
        <v>100</v>
      </c>
      <c r="KI28" s="62"/>
      <c r="KJ28" s="63"/>
      <c r="KK28" s="64">
        <f t="shared" si="599"/>
        <v>0</v>
      </c>
      <c r="KL28" s="65"/>
      <c r="KM28" s="63"/>
      <c r="KN28" s="64">
        <f t="shared" si="600"/>
        <v>0</v>
      </c>
      <c r="KO28" s="65"/>
      <c r="KP28" s="63"/>
      <c r="KQ28" s="64">
        <f t="shared" si="601"/>
        <v>0</v>
      </c>
      <c r="KR28" s="65"/>
      <c r="KS28" s="63"/>
      <c r="KT28" s="64">
        <f t="shared" si="439"/>
        <v>0</v>
      </c>
      <c r="KU28" s="66">
        <f t="shared" si="1"/>
        <v>0</v>
      </c>
      <c r="KV28" s="67">
        <f t="shared" si="440"/>
        <v>0</v>
      </c>
      <c r="KW28" s="64">
        <f t="shared" si="441"/>
        <v>0</v>
      </c>
      <c r="KX28" s="72"/>
      <c r="KY28" s="73"/>
      <c r="KZ28" s="74"/>
      <c r="LA28" s="75"/>
      <c r="LB28" s="73"/>
      <c r="LC28" s="74"/>
      <c r="LD28" s="75"/>
      <c r="LE28" s="73"/>
      <c r="LF28" s="74"/>
      <c r="LG28" s="75"/>
      <c r="LH28" s="73"/>
      <c r="LI28" s="74"/>
      <c r="LJ28" s="76"/>
      <c r="LK28" s="77"/>
      <c r="LL28" s="74"/>
      <c r="LM28" s="62"/>
      <c r="LN28" s="63"/>
      <c r="LO28" s="64">
        <f t="shared" si="602"/>
        <v>0</v>
      </c>
      <c r="LP28" s="65"/>
      <c r="LQ28" s="63"/>
      <c r="LR28" s="64">
        <f t="shared" si="603"/>
        <v>0</v>
      </c>
      <c r="LS28" s="65"/>
      <c r="LT28" s="63"/>
      <c r="LU28" s="64">
        <f t="shared" si="604"/>
        <v>0</v>
      </c>
      <c r="LV28" s="65">
        <v>100</v>
      </c>
      <c r="LW28" s="63"/>
      <c r="LX28" s="64">
        <f t="shared" si="442"/>
        <v>100</v>
      </c>
      <c r="LY28" s="66">
        <f t="shared" si="124"/>
        <v>100</v>
      </c>
      <c r="LZ28" s="67">
        <f t="shared" si="443"/>
        <v>0</v>
      </c>
      <c r="MA28" s="64">
        <f t="shared" si="444"/>
        <v>100</v>
      </c>
      <c r="MB28" s="62">
        <v>650</v>
      </c>
      <c r="MC28" s="63">
        <v>650</v>
      </c>
      <c r="MD28" s="64">
        <f t="shared" si="445"/>
        <v>0</v>
      </c>
      <c r="ME28" s="65">
        <v>1057.42</v>
      </c>
      <c r="MF28" s="63">
        <v>1057.42</v>
      </c>
      <c r="MG28" s="64">
        <f t="shared" si="446"/>
        <v>0</v>
      </c>
      <c r="MH28" s="65"/>
      <c r="MI28" s="63"/>
      <c r="MJ28" s="64">
        <f t="shared" si="447"/>
        <v>0</v>
      </c>
      <c r="MK28" s="65">
        <v>100</v>
      </c>
      <c r="ML28" s="63"/>
      <c r="MM28" s="64">
        <f t="shared" si="448"/>
        <v>100</v>
      </c>
      <c r="MN28" s="66">
        <f t="shared" si="131"/>
        <v>1807.42</v>
      </c>
      <c r="MO28" s="67">
        <f t="shared" si="449"/>
        <v>1707.42</v>
      </c>
      <c r="MP28" s="64">
        <f t="shared" si="450"/>
        <v>100</v>
      </c>
      <c r="MQ28" s="62"/>
      <c r="MR28" s="63"/>
      <c r="MS28" s="64">
        <f t="shared" si="451"/>
        <v>0</v>
      </c>
      <c r="MT28" s="65"/>
      <c r="MU28" s="63"/>
      <c r="MV28" s="64">
        <f t="shared" si="452"/>
        <v>0</v>
      </c>
      <c r="MW28" s="65"/>
      <c r="MX28" s="63"/>
      <c r="MY28" s="64">
        <f t="shared" si="453"/>
        <v>0</v>
      </c>
      <c r="MZ28" s="65"/>
      <c r="NA28" s="63"/>
      <c r="NB28" s="64">
        <f t="shared" si="454"/>
        <v>0</v>
      </c>
      <c r="NC28" s="66">
        <f t="shared" si="138"/>
        <v>0</v>
      </c>
      <c r="ND28" s="67">
        <f t="shared" si="455"/>
        <v>0</v>
      </c>
      <c r="NE28" s="64">
        <f t="shared" si="456"/>
        <v>0</v>
      </c>
      <c r="NF28" s="62">
        <v>1000</v>
      </c>
      <c r="NG28" s="63">
        <v>1000</v>
      </c>
      <c r="NH28" s="64">
        <f t="shared" si="457"/>
        <v>0</v>
      </c>
      <c r="NI28" s="65">
        <v>886.87</v>
      </c>
      <c r="NJ28" s="63">
        <v>886.87</v>
      </c>
      <c r="NK28" s="64">
        <f t="shared" si="458"/>
        <v>0</v>
      </c>
      <c r="NL28" s="65"/>
      <c r="NM28" s="63"/>
      <c r="NN28" s="64">
        <f t="shared" si="459"/>
        <v>0</v>
      </c>
      <c r="NO28" s="65">
        <v>100</v>
      </c>
      <c r="NP28" s="63"/>
      <c r="NQ28" s="64">
        <f t="shared" si="460"/>
        <v>100</v>
      </c>
      <c r="NR28" s="66">
        <f t="shared" si="145"/>
        <v>1986.87</v>
      </c>
      <c r="NS28" s="67">
        <f t="shared" si="461"/>
        <v>1886.87</v>
      </c>
      <c r="NT28" s="64">
        <f t="shared" si="462"/>
        <v>100</v>
      </c>
      <c r="NU28" s="62">
        <v>864</v>
      </c>
      <c r="NV28" s="63"/>
      <c r="NW28" s="64">
        <f t="shared" si="463"/>
        <v>864</v>
      </c>
      <c r="NX28" s="65">
        <v>1004.52</v>
      </c>
      <c r="NY28" s="63">
        <v>1004.52</v>
      </c>
      <c r="NZ28" s="64">
        <f t="shared" si="464"/>
        <v>0</v>
      </c>
      <c r="OA28" s="65"/>
      <c r="OB28" s="63"/>
      <c r="OC28" s="64">
        <f t="shared" si="465"/>
        <v>0</v>
      </c>
      <c r="OD28" s="65">
        <v>100</v>
      </c>
      <c r="OE28" s="63">
        <v>138.62</v>
      </c>
      <c r="OF28" s="64">
        <f t="shared" si="466"/>
        <v>-38.620000000000005</v>
      </c>
      <c r="OG28" s="66">
        <f t="shared" si="152"/>
        <v>1968.52</v>
      </c>
      <c r="OH28" s="67">
        <f t="shared" si="467"/>
        <v>1143.1399999999999</v>
      </c>
      <c r="OI28" s="64">
        <f t="shared" si="468"/>
        <v>825.38000000000011</v>
      </c>
      <c r="OJ28" s="62">
        <v>16000</v>
      </c>
      <c r="OK28" s="63">
        <v>16000</v>
      </c>
      <c r="OL28" s="64">
        <f t="shared" si="469"/>
        <v>0</v>
      </c>
      <c r="OM28" s="65"/>
      <c r="ON28" s="63"/>
      <c r="OO28" s="64">
        <f t="shared" si="470"/>
        <v>0</v>
      </c>
      <c r="OP28" s="65"/>
      <c r="OQ28" s="63">
        <v>3709.3</v>
      </c>
      <c r="OR28" s="64">
        <f t="shared" si="471"/>
        <v>-3709.3</v>
      </c>
      <c r="OS28" s="65">
        <v>100</v>
      </c>
      <c r="OT28" s="63"/>
      <c r="OU28" s="64">
        <f t="shared" si="472"/>
        <v>100</v>
      </c>
      <c r="OV28" s="66">
        <f t="shared" si="159"/>
        <v>16100</v>
      </c>
      <c r="OW28" s="67">
        <f t="shared" si="473"/>
        <v>19709.3</v>
      </c>
      <c r="OX28" s="64">
        <f t="shared" si="474"/>
        <v>-3609.2999999999993</v>
      </c>
      <c r="OY28" s="62"/>
      <c r="OZ28" s="63"/>
      <c r="PA28" s="64">
        <f t="shared" si="475"/>
        <v>0</v>
      </c>
      <c r="PB28" s="65"/>
      <c r="PC28" s="63"/>
      <c r="PD28" s="64">
        <f t="shared" si="476"/>
        <v>0</v>
      </c>
      <c r="PE28" s="65"/>
      <c r="PF28" s="63"/>
      <c r="PG28" s="64">
        <f t="shared" si="477"/>
        <v>0</v>
      </c>
      <c r="PH28" s="65">
        <v>100</v>
      </c>
      <c r="PI28" s="63"/>
      <c r="PJ28" s="64">
        <f t="shared" si="478"/>
        <v>100</v>
      </c>
      <c r="PK28" s="66">
        <f t="shared" si="166"/>
        <v>100</v>
      </c>
      <c r="PL28" s="67">
        <f t="shared" si="479"/>
        <v>0</v>
      </c>
      <c r="PM28" s="64">
        <f t="shared" si="480"/>
        <v>100</v>
      </c>
      <c r="PN28" s="62">
        <v>1400</v>
      </c>
      <c r="PO28" s="63">
        <v>1400</v>
      </c>
      <c r="PP28" s="64">
        <f t="shared" si="481"/>
        <v>0</v>
      </c>
      <c r="PQ28" s="65"/>
      <c r="PR28" s="63"/>
      <c r="PS28" s="64">
        <f t="shared" si="482"/>
        <v>0</v>
      </c>
      <c r="PT28" s="65"/>
      <c r="PU28" s="63"/>
      <c r="PV28" s="64">
        <f t="shared" si="483"/>
        <v>0</v>
      </c>
      <c r="PW28" s="65">
        <v>100</v>
      </c>
      <c r="PX28" s="63"/>
      <c r="PY28" s="64">
        <f t="shared" si="484"/>
        <v>100</v>
      </c>
      <c r="PZ28" s="66">
        <f t="shared" si="173"/>
        <v>1500</v>
      </c>
      <c r="QA28" s="67">
        <f t="shared" si="485"/>
        <v>1400</v>
      </c>
      <c r="QB28" s="64">
        <f t="shared" si="486"/>
        <v>100</v>
      </c>
      <c r="QC28" s="62"/>
      <c r="QD28" s="63"/>
      <c r="QE28" s="64">
        <f t="shared" si="487"/>
        <v>0</v>
      </c>
      <c r="QF28" s="65"/>
      <c r="QG28" s="63"/>
      <c r="QH28" s="64">
        <f t="shared" si="488"/>
        <v>0</v>
      </c>
      <c r="QI28" s="65"/>
      <c r="QJ28" s="63"/>
      <c r="QK28" s="64">
        <f t="shared" si="489"/>
        <v>0</v>
      </c>
      <c r="QL28" s="65">
        <v>100</v>
      </c>
      <c r="QM28" s="63">
        <v>152.63999999999999</v>
      </c>
      <c r="QN28" s="64">
        <f t="shared" si="490"/>
        <v>-52.639999999999986</v>
      </c>
      <c r="QO28" s="66">
        <f t="shared" si="180"/>
        <v>100</v>
      </c>
      <c r="QP28" s="67">
        <f t="shared" si="491"/>
        <v>152.63999999999999</v>
      </c>
      <c r="QQ28" s="64">
        <f t="shared" si="492"/>
        <v>-52.639999999999986</v>
      </c>
      <c r="QR28" s="62"/>
      <c r="QS28" s="63"/>
      <c r="QT28" s="64">
        <f t="shared" si="493"/>
        <v>0</v>
      </c>
      <c r="QU28" s="65"/>
      <c r="QV28" s="63"/>
      <c r="QW28" s="64">
        <f t="shared" si="494"/>
        <v>0</v>
      </c>
      <c r="QX28" s="65"/>
      <c r="QY28" s="63"/>
      <c r="QZ28" s="64">
        <f t="shared" si="495"/>
        <v>0</v>
      </c>
      <c r="RA28" s="65"/>
      <c r="RB28" s="63"/>
      <c r="RC28" s="64">
        <f t="shared" si="496"/>
        <v>0</v>
      </c>
      <c r="RD28" s="66">
        <f t="shared" si="187"/>
        <v>0</v>
      </c>
      <c r="RE28" s="67">
        <f t="shared" si="497"/>
        <v>0</v>
      </c>
      <c r="RF28" s="64">
        <f t="shared" si="498"/>
        <v>0</v>
      </c>
      <c r="RG28" s="62"/>
      <c r="RH28" s="63"/>
      <c r="RI28" s="64">
        <f t="shared" si="499"/>
        <v>0</v>
      </c>
      <c r="RJ28" s="65"/>
      <c r="RK28" s="63"/>
      <c r="RL28" s="64">
        <f t="shared" si="500"/>
        <v>0</v>
      </c>
      <c r="RM28" s="65"/>
      <c r="RN28" s="63"/>
      <c r="RO28" s="64">
        <f t="shared" si="501"/>
        <v>0</v>
      </c>
      <c r="RP28" s="65"/>
      <c r="RQ28" s="63"/>
      <c r="RR28" s="64">
        <f t="shared" si="502"/>
        <v>0</v>
      </c>
      <c r="RS28" s="66">
        <f t="shared" si="194"/>
        <v>0</v>
      </c>
      <c r="RT28" s="67">
        <f t="shared" si="503"/>
        <v>0</v>
      </c>
      <c r="RU28" s="64">
        <f t="shared" si="504"/>
        <v>0</v>
      </c>
      <c r="RV28" s="62"/>
      <c r="RW28" s="63"/>
      <c r="RX28" s="64">
        <f t="shared" si="505"/>
        <v>0</v>
      </c>
      <c r="RY28" s="65"/>
      <c r="RZ28" s="63"/>
      <c r="SA28" s="64">
        <f t="shared" si="506"/>
        <v>0</v>
      </c>
      <c r="SB28" s="65"/>
      <c r="SC28" s="63"/>
      <c r="SD28" s="64">
        <f t="shared" si="507"/>
        <v>0</v>
      </c>
      <c r="SE28" s="65">
        <v>100</v>
      </c>
      <c r="SF28" s="63"/>
      <c r="SG28" s="64">
        <f t="shared" si="508"/>
        <v>100</v>
      </c>
      <c r="SH28" s="66">
        <f t="shared" si="201"/>
        <v>100</v>
      </c>
      <c r="SI28" s="67">
        <f t="shared" si="509"/>
        <v>0</v>
      </c>
      <c r="SJ28" s="64">
        <f t="shared" si="510"/>
        <v>100</v>
      </c>
      <c r="SK28" s="62"/>
      <c r="SL28" s="63"/>
      <c r="SM28" s="64">
        <f t="shared" si="511"/>
        <v>0</v>
      </c>
      <c r="SN28" s="65"/>
      <c r="SO28" s="63"/>
      <c r="SP28" s="64">
        <f t="shared" si="512"/>
        <v>0</v>
      </c>
      <c r="SQ28" s="65"/>
      <c r="SR28" s="63"/>
      <c r="SS28" s="64">
        <f t="shared" si="513"/>
        <v>0</v>
      </c>
      <c r="ST28" s="65">
        <v>100</v>
      </c>
      <c r="SU28" s="63"/>
      <c r="SV28" s="64">
        <f t="shared" si="514"/>
        <v>100</v>
      </c>
      <c r="SW28" s="66">
        <f t="shared" si="208"/>
        <v>100</v>
      </c>
      <c r="SX28" s="67">
        <f t="shared" si="515"/>
        <v>0</v>
      </c>
      <c r="SY28" s="64">
        <f t="shared" si="516"/>
        <v>100</v>
      </c>
      <c r="SZ28" s="62">
        <v>985.33</v>
      </c>
      <c r="TA28" s="63">
        <v>985.33</v>
      </c>
      <c r="TB28" s="64">
        <f t="shared" si="517"/>
        <v>0</v>
      </c>
      <c r="TC28" s="65">
        <v>700.9</v>
      </c>
      <c r="TD28" s="63">
        <v>700.9</v>
      </c>
      <c r="TE28" s="64">
        <f t="shared" si="518"/>
        <v>0</v>
      </c>
      <c r="TF28" s="65"/>
      <c r="TG28" s="63"/>
      <c r="TH28" s="64">
        <f t="shared" si="519"/>
        <v>0</v>
      </c>
      <c r="TI28" s="65">
        <v>100</v>
      </c>
      <c r="TJ28" s="63">
        <f>66.89+195.51</f>
        <v>262.39999999999998</v>
      </c>
      <c r="TK28" s="64">
        <f t="shared" si="520"/>
        <v>-162.39999999999998</v>
      </c>
      <c r="TL28" s="66">
        <f t="shared" si="215"/>
        <v>1786.23</v>
      </c>
      <c r="TM28" s="67">
        <f t="shared" si="521"/>
        <v>1948.63</v>
      </c>
      <c r="TN28" s="64">
        <f t="shared" si="522"/>
        <v>-162.40000000000009</v>
      </c>
      <c r="TO28" s="62"/>
      <c r="TP28" s="63"/>
      <c r="TQ28" s="64">
        <f t="shared" si="523"/>
        <v>0</v>
      </c>
      <c r="TR28" s="65"/>
      <c r="TS28" s="63"/>
      <c r="TT28" s="64">
        <f t="shared" si="524"/>
        <v>0</v>
      </c>
      <c r="TU28" s="65"/>
      <c r="TV28" s="63"/>
      <c r="TW28" s="64">
        <f t="shared" si="525"/>
        <v>0</v>
      </c>
      <c r="TX28" s="65">
        <v>100</v>
      </c>
      <c r="TY28" s="63">
        <v>66.89</v>
      </c>
      <c r="TZ28" s="64">
        <f t="shared" si="526"/>
        <v>33.11</v>
      </c>
      <c r="UA28" s="66">
        <f t="shared" si="222"/>
        <v>100</v>
      </c>
      <c r="UB28" s="67">
        <f t="shared" si="527"/>
        <v>66.89</v>
      </c>
      <c r="UC28" s="64">
        <f t="shared" si="528"/>
        <v>33.11</v>
      </c>
      <c r="UD28" s="62"/>
      <c r="UE28" s="63"/>
      <c r="UF28" s="64">
        <f t="shared" si="529"/>
        <v>0</v>
      </c>
      <c r="UG28" s="65">
        <v>497.04</v>
      </c>
      <c r="UH28" s="63">
        <v>497.04</v>
      </c>
      <c r="UI28" s="64">
        <f t="shared" si="530"/>
        <v>0</v>
      </c>
      <c r="UJ28" s="65"/>
      <c r="UK28" s="63"/>
      <c r="UL28" s="64">
        <f t="shared" si="531"/>
        <v>0</v>
      </c>
      <c r="UM28" s="65">
        <v>100</v>
      </c>
      <c r="UN28" s="63"/>
      <c r="UO28" s="64">
        <f t="shared" si="532"/>
        <v>100</v>
      </c>
      <c r="UP28" s="66">
        <f t="shared" si="226"/>
        <v>597.04</v>
      </c>
      <c r="UQ28" s="67">
        <f t="shared" si="533"/>
        <v>497.04</v>
      </c>
      <c r="UR28" s="64">
        <f t="shared" si="534"/>
        <v>99.999999999999943</v>
      </c>
      <c r="US28" s="62"/>
      <c r="UT28" s="63"/>
      <c r="UU28" s="64">
        <f t="shared" si="535"/>
        <v>0</v>
      </c>
      <c r="UV28" s="65"/>
      <c r="UW28" s="63"/>
      <c r="UX28" s="64">
        <f t="shared" si="536"/>
        <v>0</v>
      </c>
      <c r="UY28" s="65"/>
      <c r="UZ28" s="63"/>
      <c r="VA28" s="64">
        <f t="shared" si="537"/>
        <v>0</v>
      </c>
      <c r="VB28" s="65">
        <v>100</v>
      </c>
      <c r="VC28" s="63"/>
      <c r="VD28" s="64">
        <f t="shared" si="538"/>
        <v>100</v>
      </c>
      <c r="VE28" s="66">
        <f t="shared" si="233"/>
        <v>100</v>
      </c>
      <c r="VF28" s="67">
        <f t="shared" si="539"/>
        <v>0</v>
      </c>
      <c r="VG28" s="64">
        <f t="shared" si="540"/>
        <v>100</v>
      </c>
      <c r="VH28" s="62"/>
      <c r="VI28" s="63"/>
      <c r="VJ28" s="64">
        <f t="shared" si="541"/>
        <v>0</v>
      </c>
      <c r="VK28" s="65"/>
      <c r="VL28" s="63"/>
      <c r="VM28" s="64">
        <f t="shared" si="542"/>
        <v>0</v>
      </c>
      <c r="VN28" s="65"/>
      <c r="VO28" s="63"/>
      <c r="VP28" s="64">
        <f t="shared" si="543"/>
        <v>0</v>
      </c>
      <c r="VQ28" s="65">
        <v>100</v>
      </c>
      <c r="VR28" s="63">
        <v>28.09</v>
      </c>
      <c r="VS28" s="64">
        <f t="shared" si="544"/>
        <v>71.91</v>
      </c>
      <c r="VT28" s="66">
        <f t="shared" si="240"/>
        <v>100</v>
      </c>
      <c r="VU28" s="67">
        <f t="shared" si="545"/>
        <v>28.09</v>
      </c>
      <c r="VV28" s="64">
        <f t="shared" si="546"/>
        <v>71.91</v>
      </c>
      <c r="VW28" s="62"/>
      <c r="VX28" s="63"/>
      <c r="VY28" s="64">
        <f t="shared" si="547"/>
        <v>0</v>
      </c>
      <c r="VZ28" s="65"/>
      <c r="WA28" s="63"/>
      <c r="WB28" s="64">
        <f t="shared" si="548"/>
        <v>0</v>
      </c>
      <c r="WC28" s="65"/>
      <c r="WD28" s="63"/>
      <c r="WE28" s="64">
        <f t="shared" si="549"/>
        <v>0</v>
      </c>
      <c r="WF28" s="65"/>
      <c r="WG28" s="63"/>
      <c r="WH28" s="64">
        <f t="shared" si="550"/>
        <v>0</v>
      </c>
      <c r="WI28" s="66">
        <f t="shared" si="247"/>
        <v>0</v>
      </c>
      <c r="WJ28" s="67">
        <f t="shared" si="551"/>
        <v>0</v>
      </c>
      <c r="WK28" s="64">
        <f t="shared" si="552"/>
        <v>0</v>
      </c>
      <c r="WL28" s="62">
        <v>1376.01</v>
      </c>
      <c r="WM28" s="63">
        <v>1376.01</v>
      </c>
      <c r="WN28" s="64">
        <f t="shared" si="553"/>
        <v>0</v>
      </c>
      <c r="WO28" s="65"/>
      <c r="WP28" s="63"/>
      <c r="WQ28" s="64">
        <f t="shared" si="554"/>
        <v>0</v>
      </c>
      <c r="WR28" s="65"/>
      <c r="WS28" s="63"/>
      <c r="WT28" s="64">
        <f t="shared" si="555"/>
        <v>0</v>
      </c>
      <c r="WU28" s="65">
        <v>100</v>
      </c>
      <c r="WV28" s="63"/>
      <c r="WW28" s="64">
        <f t="shared" si="556"/>
        <v>100</v>
      </c>
      <c r="WX28" s="66">
        <f t="shared" si="254"/>
        <v>1476.01</v>
      </c>
      <c r="WY28" s="67">
        <f t="shared" si="557"/>
        <v>1376.01</v>
      </c>
      <c r="WZ28" s="64">
        <f t="shared" si="558"/>
        <v>100</v>
      </c>
      <c r="XA28" s="62"/>
      <c r="XB28" s="63"/>
      <c r="XC28" s="64">
        <f t="shared" si="559"/>
        <v>0</v>
      </c>
      <c r="XD28" s="65"/>
      <c r="XE28" s="63"/>
      <c r="XF28" s="64">
        <f t="shared" si="560"/>
        <v>0</v>
      </c>
      <c r="XG28" s="65"/>
      <c r="XH28" s="63"/>
      <c r="XI28" s="64">
        <f t="shared" si="561"/>
        <v>0</v>
      </c>
      <c r="XJ28" s="65">
        <v>100</v>
      </c>
      <c r="XK28" s="63"/>
      <c r="XL28" s="64">
        <f t="shared" si="562"/>
        <v>100</v>
      </c>
      <c r="XM28" s="66">
        <f t="shared" si="261"/>
        <v>100</v>
      </c>
      <c r="XN28" s="67">
        <f t="shared" si="563"/>
        <v>0</v>
      </c>
      <c r="XO28" s="64">
        <f t="shared" si="564"/>
        <v>100</v>
      </c>
      <c r="XP28" s="62">
        <v>917</v>
      </c>
      <c r="XQ28" s="63"/>
      <c r="XR28" s="64">
        <f t="shared" si="565"/>
        <v>917</v>
      </c>
      <c r="XS28" s="65">
        <v>591.29999999999995</v>
      </c>
      <c r="XT28" s="63">
        <v>591.29999999999995</v>
      </c>
      <c r="XU28" s="64">
        <f t="shared" si="566"/>
        <v>0</v>
      </c>
      <c r="XV28" s="65"/>
      <c r="XW28" s="63"/>
      <c r="XX28" s="64">
        <f t="shared" si="567"/>
        <v>0</v>
      </c>
      <c r="XY28" s="65">
        <v>100</v>
      </c>
      <c r="XZ28" s="63">
        <v>31.66</v>
      </c>
      <c r="YA28" s="64">
        <f t="shared" si="568"/>
        <v>68.34</v>
      </c>
      <c r="YB28" s="66">
        <f t="shared" si="268"/>
        <v>1608.3</v>
      </c>
      <c r="YC28" s="67">
        <f t="shared" si="569"/>
        <v>622.95999999999992</v>
      </c>
      <c r="YD28" s="64">
        <f t="shared" si="570"/>
        <v>985.34</v>
      </c>
      <c r="YE28" s="62">
        <v>890</v>
      </c>
      <c r="YF28" s="63"/>
      <c r="YG28" s="64">
        <f t="shared" si="571"/>
        <v>890</v>
      </c>
      <c r="YH28" s="65">
        <v>725.15</v>
      </c>
      <c r="YI28" s="63">
        <v>725.15</v>
      </c>
      <c r="YJ28" s="64">
        <f t="shared" si="572"/>
        <v>0</v>
      </c>
      <c r="YK28" s="65"/>
      <c r="YL28" s="63"/>
      <c r="YM28" s="64">
        <f t="shared" si="573"/>
        <v>0</v>
      </c>
      <c r="YN28" s="65">
        <v>100</v>
      </c>
      <c r="YO28" s="63">
        <v>33.32</v>
      </c>
      <c r="YP28" s="64">
        <f t="shared" si="574"/>
        <v>66.680000000000007</v>
      </c>
      <c r="YQ28" s="66">
        <f t="shared" si="275"/>
        <v>1715.15</v>
      </c>
      <c r="YR28" s="67">
        <f t="shared" si="575"/>
        <v>758.47</v>
      </c>
      <c r="YS28" s="64">
        <f t="shared" si="576"/>
        <v>956.68000000000006</v>
      </c>
      <c r="YT28" s="62">
        <v>932</v>
      </c>
      <c r="YU28" s="63"/>
      <c r="YV28" s="64">
        <f t="shared" si="577"/>
        <v>932</v>
      </c>
      <c r="YW28" s="65">
        <v>513.28</v>
      </c>
      <c r="YX28" s="63">
        <v>513.28</v>
      </c>
      <c r="YY28" s="64">
        <f t="shared" si="578"/>
        <v>0</v>
      </c>
      <c r="YZ28" s="65"/>
      <c r="ZA28" s="63"/>
      <c r="ZB28" s="64">
        <f t="shared" si="579"/>
        <v>0</v>
      </c>
      <c r="ZC28" s="65">
        <v>100</v>
      </c>
      <c r="ZD28" s="63">
        <v>108.62</v>
      </c>
      <c r="ZE28" s="64">
        <f t="shared" si="580"/>
        <v>-8.6200000000000045</v>
      </c>
      <c r="ZF28" s="66">
        <f t="shared" si="282"/>
        <v>1545.28</v>
      </c>
      <c r="ZG28" s="67">
        <f t="shared" si="581"/>
        <v>621.9</v>
      </c>
      <c r="ZH28" s="64">
        <f t="shared" si="582"/>
        <v>923.38</v>
      </c>
      <c r="ZI28" s="62">
        <v>1250</v>
      </c>
      <c r="ZJ28" s="63">
        <v>1250</v>
      </c>
      <c r="ZK28" s="64">
        <f t="shared" si="583"/>
        <v>0</v>
      </c>
      <c r="ZL28" s="65"/>
      <c r="ZM28" s="63"/>
      <c r="ZN28" s="64">
        <f t="shared" si="584"/>
        <v>0</v>
      </c>
      <c r="ZO28" s="65"/>
      <c r="ZP28" s="63"/>
      <c r="ZQ28" s="64">
        <f t="shared" si="585"/>
        <v>0</v>
      </c>
      <c r="ZR28" s="65">
        <v>100</v>
      </c>
      <c r="ZS28" s="63">
        <v>1088</v>
      </c>
      <c r="ZT28" s="64">
        <f t="shared" si="586"/>
        <v>-988</v>
      </c>
      <c r="ZU28" s="66">
        <f t="shared" si="289"/>
        <v>1350</v>
      </c>
      <c r="ZV28" s="67">
        <f t="shared" si="587"/>
        <v>2338</v>
      </c>
      <c r="ZW28" s="64">
        <f t="shared" si="588"/>
        <v>-988</v>
      </c>
      <c r="ZX28" s="62">
        <v>24.71</v>
      </c>
      <c r="ZY28" s="63">
        <v>24.71</v>
      </c>
      <c r="ZZ28" s="64">
        <f t="shared" si="589"/>
        <v>0</v>
      </c>
      <c r="AAA28" s="66">
        <f t="shared" si="293"/>
        <v>24.71</v>
      </c>
      <c r="AAB28" s="67">
        <f t="shared" si="293"/>
        <v>24.71</v>
      </c>
      <c r="AAC28" s="64">
        <f t="shared" si="590"/>
        <v>0</v>
      </c>
      <c r="AAD28" s="85">
        <f t="shared" si="295"/>
        <v>75079.290000000008</v>
      </c>
      <c r="AAE28" s="86">
        <f t="shared" si="295"/>
        <v>75901.06</v>
      </c>
      <c r="AAF28" s="87">
        <f t="shared" si="3"/>
        <v>1.0109453618967359</v>
      </c>
      <c r="AAG28" s="88">
        <f t="shared" si="591"/>
        <v>821.76999999998952</v>
      </c>
      <c r="AAH28" s="96">
        <f>AAH24-AAH20</f>
        <v>42236.609999999404</v>
      </c>
      <c r="AAI28" s="97"/>
      <c r="AAJ28" s="97"/>
      <c r="AAK28" s="60"/>
    </row>
    <row r="29" spans="1:713" s="83" customFormat="1" ht="20" customHeight="1" thickBot="1" x14ac:dyDescent="0.25">
      <c r="A29" s="57" t="s">
        <v>26</v>
      </c>
      <c r="B29" s="96"/>
      <c r="C29" s="97"/>
      <c r="D29" s="97"/>
      <c r="E29" s="60"/>
      <c r="F29" s="61">
        <v>45261</v>
      </c>
      <c r="G29" s="62"/>
      <c r="H29" s="63">
        <v>0</v>
      </c>
      <c r="I29" s="64">
        <f t="shared" si="340"/>
        <v>0</v>
      </c>
      <c r="J29" s="65">
        <v>3486.88</v>
      </c>
      <c r="K29" s="63">
        <v>3486.88</v>
      </c>
      <c r="L29" s="64">
        <f t="shared" si="341"/>
        <v>0</v>
      </c>
      <c r="M29" s="65">
        <v>1500</v>
      </c>
      <c r="N29" s="63"/>
      <c r="O29" s="64">
        <f t="shared" si="342"/>
        <v>1500</v>
      </c>
      <c r="P29" s="65">
        <v>1200</v>
      </c>
      <c r="Q29" s="63">
        <v>315.77</v>
      </c>
      <c r="R29" s="64">
        <f t="shared" si="343"/>
        <v>884.23</v>
      </c>
      <c r="S29" s="65">
        <v>165.24</v>
      </c>
      <c r="T29" s="63">
        <v>181.79</v>
      </c>
      <c r="U29" s="64">
        <f t="shared" si="344"/>
        <v>-16.549999999999983</v>
      </c>
      <c r="V29" s="66">
        <f t="shared" si="345"/>
        <v>6352.12</v>
      </c>
      <c r="W29" s="67">
        <f t="shared" si="345"/>
        <v>3984.44</v>
      </c>
      <c r="X29" s="64">
        <f t="shared" si="346"/>
        <v>2367.6799999999998</v>
      </c>
      <c r="Y29" s="62">
        <v>1100</v>
      </c>
      <c r="Z29" s="63">
        <v>1100</v>
      </c>
      <c r="AA29" s="64">
        <f t="shared" si="347"/>
        <v>0</v>
      </c>
      <c r="AB29" s="65"/>
      <c r="AC29" s="63"/>
      <c r="AD29" s="64">
        <f t="shared" si="348"/>
        <v>0</v>
      </c>
      <c r="AE29" s="65"/>
      <c r="AF29" s="63"/>
      <c r="AG29" s="64">
        <f t="shared" si="349"/>
        <v>0</v>
      </c>
      <c r="AH29" s="65"/>
      <c r="AI29" s="63"/>
      <c r="AJ29" s="64">
        <f t="shared" si="350"/>
        <v>0</v>
      </c>
      <c r="AK29" s="66">
        <f t="shared" si="16"/>
        <v>1100</v>
      </c>
      <c r="AL29" s="67">
        <f t="shared" si="17"/>
        <v>1100</v>
      </c>
      <c r="AM29" s="64">
        <f t="shared" si="351"/>
        <v>0</v>
      </c>
      <c r="AN29" s="62"/>
      <c r="AO29" s="63"/>
      <c r="AP29" s="64">
        <f t="shared" si="592"/>
        <v>0</v>
      </c>
      <c r="AQ29" s="65"/>
      <c r="AR29" s="63"/>
      <c r="AS29" s="64">
        <f t="shared" si="593"/>
        <v>0</v>
      </c>
      <c r="AT29" s="65"/>
      <c r="AU29" s="63"/>
      <c r="AV29" s="64">
        <f t="shared" si="594"/>
        <v>0</v>
      </c>
      <c r="AW29" s="65"/>
      <c r="AX29" s="63"/>
      <c r="AY29" s="64">
        <f t="shared" si="352"/>
        <v>0</v>
      </c>
      <c r="AZ29" s="66">
        <f t="shared" si="23"/>
        <v>0</v>
      </c>
      <c r="BA29" s="67">
        <f t="shared" si="353"/>
        <v>0</v>
      </c>
      <c r="BB29" s="64">
        <f t="shared" si="354"/>
        <v>0</v>
      </c>
      <c r="BC29" s="62"/>
      <c r="BD29" s="63"/>
      <c r="BE29" s="64">
        <f t="shared" si="355"/>
        <v>0</v>
      </c>
      <c r="BF29" s="65">
        <v>5383.32</v>
      </c>
      <c r="BG29" s="63">
        <v>5383.32</v>
      </c>
      <c r="BH29" s="64">
        <f t="shared" si="356"/>
        <v>0</v>
      </c>
      <c r="BI29" s="65"/>
      <c r="BJ29" s="63"/>
      <c r="BK29" s="64">
        <f t="shared" si="357"/>
        <v>0</v>
      </c>
      <c r="BL29" s="65">
        <v>100</v>
      </c>
      <c r="BM29" s="63"/>
      <c r="BN29" s="64">
        <f t="shared" si="358"/>
        <v>100</v>
      </c>
      <c r="BO29" s="66">
        <f t="shared" si="30"/>
        <v>5483.32</v>
      </c>
      <c r="BP29" s="67">
        <f t="shared" si="359"/>
        <v>5383.32</v>
      </c>
      <c r="BQ29" s="64">
        <f t="shared" si="360"/>
        <v>100</v>
      </c>
      <c r="BR29" s="62">
        <v>3416.66</v>
      </c>
      <c r="BS29" s="63">
        <f>3416.66</f>
        <v>3416.66</v>
      </c>
      <c r="BT29" s="64">
        <f t="shared" si="361"/>
        <v>0</v>
      </c>
      <c r="BU29" s="65"/>
      <c r="BV29" s="63"/>
      <c r="BW29" s="64">
        <f t="shared" si="362"/>
        <v>0</v>
      </c>
      <c r="BX29" s="65"/>
      <c r="BY29" s="63"/>
      <c r="BZ29" s="64">
        <f t="shared" si="363"/>
        <v>0</v>
      </c>
      <c r="CA29" s="65"/>
      <c r="CB29" s="63"/>
      <c r="CC29" s="64">
        <f t="shared" si="364"/>
        <v>0</v>
      </c>
      <c r="CD29" s="66">
        <f t="shared" si="33"/>
        <v>3416.66</v>
      </c>
      <c r="CE29" s="67">
        <f t="shared" si="365"/>
        <v>3416.66</v>
      </c>
      <c r="CF29" s="64">
        <f t="shared" si="366"/>
        <v>0</v>
      </c>
      <c r="CG29" s="62"/>
      <c r="CH29" s="63"/>
      <c r="CI29" s="64">
        <f t="shared" si="367"/>
        <v>0</v>
      </c>
      <c r="CJ29" s="65"/>
      <c r="CK29" s="63"/>
      <c r="CL29" s="64">
        <f t="shared" si="368"/>
        <v>0</v>
      </c>
      <c r="CM29" s="65"/>
      <c r="CN29" s="63"/>
      <c r="CO29" s="64">
        <f t="shared" si="369"/>
        <v>0</v>
      </c>
      <c r="CP29" s="65"/>
      <c r="CQ29" s="63"/>
      <c r="CR29" s="64">
        <f t="shared" si="370"/>
        <v>0</v>
      </c>
      <c r="CS29" s="66">
        <f t="shared" si="40"/>
        <v>0</v>
      </c>
      <c r="CT29" s="67">
        <f t="shared" si="371"/>
        <v>0</v>
      </c>
      <c r="CU29" s="64">
        <f t="shared" si="372"/>
        <v>0</v>
      </c>
      <c r="CV29" s="62">
        <v>2916.7</v>
      </c>
      <c r="CW29" s="63">
        <v>2916.7</v>
      </c>
      <c r="CX29" s="64">
        <f>CV29-CW29</f>
        <v>0</v>
      </c>
      <c r="CY29" s="65"/>
      <c r="CZ29" s="63"/>
      <c r="DA29" s="64">
        <f>CY29-CZ29</f>
        <v>0</v>
      </c>
      <c r="DB29" s="65"/>
      <c r="DC29" s="63"/>
      <c r="DD29" s="64">
        <f>DB29-DC29</f>
        <v>0</v>
      </c>
      <c r="DE29" s="65">
        <v>100</v>
      </c>
      <c r="DF29" s="63">
        <v>166.37</v>
      </c>
      <c r="DG29" s="64">
        <f>DE29-DF29</f>
        <v>-66.37</v>
      </c>
      <c r="DH29" s="66">
        <f t="shared" si="43"/>
        <v>3016.7</v>
      </c>
      <c r="DI29" s="67">
        <f t="shared" si="373"/>
        <v>3083.0699999999997</v>
      </c>
      <c r="DJ29" s="64">
        <f t="shared" si="374"/>
        <v>-66.369999999999891</v>
      </c>
      <c r="DK29" s="62">
        <v>2400</v>
      </c>
      <c r="DL29" s="63">
        <v>2400</v>
      </c>
      <c r="DM29" s="64">
        <f>DK29-DL29</f>
        <v>0</v>
      </c>
      <c r="DN29" s="65">
        <v>580</v>
      </c>
      <c r="DO29" s="63">
        <v>580</v>
      </c>
      <c r="DP29" s="64">
        <f>DN29-DO29</f>
        <v>0</v>
      </c>
      <c r="DQ29" s="65"/>
      <c r="DR29" s="63"/>
      <c r="DS29" s="64">
        <f>DQ29-DR29</f>
        <v>0</v>
      </c>
      <c r="DT29" s="65">
        <v>100</v>
      </c>
      <c r="DU29" s="63"/>
      <c r="DV29" s="64">
        <f>DT29-DU29</f>
        <v>100</v>
      </c>
      <c r="DW29" s="66">
        <f t="shared" si="46"/>
        <v>3080</v>
      </c>
      <c r="DX29" s="67">
        <f t="shared" si="375"/>
        <v>2980</v>
      </c>
      <c r="DY29" s="64">
        <f t="shared" si="376"/>
        <v>100</v>
      </c>
      <c r="DZ29" s="62"/>
      <c r="EA29" s="63"/>
      <c r="EB29" s="64">
        <f t="shared" si="377"/>
        <v>0</v>
      </c>
      <c r="EC29" s="65"/>
      <c r="ED29" s="63"/>
      <c r="EE29" s="64">
        <f t="shared" si="378"/>
        <v>0</v>
      </c>
      <c r="EF29" s="65"/>
      <c r="EG29" s="63"/>
      <c r="EH29" s="64">
        <f t="shared" si="379"/>
        <v>0</v>
      </c>
      <c r="EI29" s="65">
        <v>100</v>
      </c>
      <c r="EJ29" s="63"/>
      <c r="EK29" s="64">
        <f t="shared" si="380"/>
        <v>100</v>
      </c>
      <c r="EL29" s="66">
        <f t="shared" si="53"/>
        <v>100</v>
      </c>
      <c r="EM29" s="67">
        <f t="shared" si="381"/>
        <v>0</v>
      </c>
      <c r="EN29" s="64">
        <f t="shared" si="382"/>
        <v>100</v>
      </c>
      <c r="EO29" s="62">
        <v>7442.79</v>
      </c>
      <c r="EP29" s="63">
        <v>7442.79</v>
      </c>
      <c r="EQ29" s="64">
        <f t="shared" si="383"/>
        <v>0</v>
      </c>
      <c r="ER29" s="65">
        <v>3793.38</v>
      </c>
      <c r="ES29" s="63">
        <v>3793.38</v>
      </c>
      <c r="ET29" s="64">
        <f t="shared" si="384"/>
        <v>0</v>
      </c>
      <c r="EU29" s="65"/>
      <c r="EV29" s="63"/>
      <c r="EW29" s="64">
        <f t="shared" si="385"/>
        <v>0</v>
      </c>
      <c r="EX29" s="65">
        <v>100</v>
      </c>
      <c r="EY29" s="63">
        <v>191.93</v>
      </c>
      <c r="EZ29" s="64">
        <f t="shared" si="386"/>
        <v>-91.93</v>
      </c>
      <c r="FA29" s="66">
        <f t="shared" si="60"/>
        <v>11336.17</v>
      </c>
      <c r="FB29" s="67">
        <f t="shared" si="387"/>
        <v>11428.1</v>
      </c>
      <c r="FC29" s="64">
        <f t="shared" si="388"/>
        <v>-91.930000000000291</v>
      </c>
      <c r="FD29" s="62">
        <v>7442.79</v>
      </c>
      <c r="FE29" s="63">
        <v>7442.79</v>
      </c>
      <c r="FF29" s="64">
        <f t="shared" si="389"/>
        <v>0</v>
      </c>
      <c r="FG29" s="65">
        <v>3373.14</v>
      </c>
      <c r="FH29" s="63">
        <v>3373.14</v>
      </c>
      <c r="FI29" s="64">
        <f t="shared" si="390"/>
        <v>0</v>
      </c>
      <c r="FJ29" s="65"/>
      <c r="FK29" s="63"/>
      <c r="FL29" s="64">
        <f t="shared" si="391"/>
        <v>0</v>
      </c>
      <c r="FM29" s="65">
        <v>100</v>
      </c>
      <c r="FN29" s="63">
        <v>169.32</v>
      </c>
      <c r="FO29" s="64">
        <f t="shared" si="392"/>
        <v>-69.319999999999993</v>
      </c>
      <c r="FP29" s="66">
        <f t="shared" si="67"/>
        <v>10915.93</v>
      </c>
      <c r="FQ29" s="67">
        <f t="shared" si="393"/>
        <v>10985.25</v>
      </c>
      <c r="FR29" s="64">
        <f t="shared" si="394"/>
        <v>-69.319999999999709</v>
      </c>
      <c r="FS29" s="62"/>
      <c r="FT29" s="63"/>
      <c r="FU29" s="64">
        <f t="shared" si="395"/>
        <v>0</v>
      </c>
      <c r="FV29" s="65"/>
      <c r="FW29" s="63"/>
      <c r="FX29" s="64">
        <f t="shared" si="396"/>
        <v>0</v>
      </c>
      <c r="FY29" s="65"/>
      <c r="FZ29" s="63"/>
      <c r="GA29" s="64">
        <f t="shared" si="397"/>
        <v>0</v>
      </c>
      <c r="GB29" s="65"/>
      <c r="GC29" s="63"/>
      <c r="GD29" s="64">
        <f t="shared" si="398"/>
        <v>0</v>
      </c>
      <c r="GE29" s="66">
        <f t="shared" si="74"/>
        <v>0</v>
      </c>
      <c r="GF29" s="67">
        <f t="shared" si="399"/>
        <v>0</v>
      </c>
      <c r="GG29" s="64">
        <f t="shared" si="400"/>
        <v>0</v>
      </c>
      <c r="GH29" s="62"/>
      <c r="GI29" s="63"/>
      <c r="GJ29" s="64">
        <f t="shared" si="401"/>
        <v>0</v>
      </c>
      <c r="GK29" s="65"/>
      <c r="GL29" s="63"/>
      <c r="GM29" s="64">
        <f t="shared" si="402"/>
        <v>0</v>
      </c>
      <c r="GN29" s="65"/>
      <c r="GO29" s="63"/>
      <c r="GP29" s="64">
        <f t="shared" si="403"/>
        <v>0</v>
      </c>
      <c r="GQ29" s="65"/>
      <c r="GR29" s="63"/>
      <c r="GS29" s="64">
        <f t="shared" si="404"/>
        <v>0</v>
      </c>
      <c r="GT29" s="66">
        <f t="shared" si="81"/>
        <v>0</v>
      </c>
      <c r="GU29" s="67">
        <f t="shared" si="405"/>
        <v>0</v>
      </c>
      <c r="GV29" s="64">
        <f t="shared" si="406"/>
        <v>0</v>
      </c>
      <c r="GW29" s="62"/>
      <c r="GX29" s="63"/>
      <c r="GY29" s="64">
        <f t="shared" si="595"/>
        <v>0</v>
      </c>
      <c r="GZ29" s="65"/>
      <c r="HA29" s="63"/>
      <c r="HB29" s="64">
        <f t="shared" si="596"/>
        <v>0</v>
      </c>
      <c r="HC29" s="65"/>
      <c r="HD29" s="63"/>
      <c r="HE29" s="64">
        <f t="shared" si="597"/>
        <v>0</v>
      </c>
      <c r="HF29" s="65">
        <v>100</v>
      </c>
      <c r="HG29" s="63"/>
      <c r="HH29" s="64">
        <f t="shared" si="598"/>
        <v>100</v>
      </c>
      <c r="HI29" s="66">
        <f t="shared" si="84"/>
        <v>100</v>
      </c>
      <c r="HJ29" s="67">
        <f t="shared" si="407"/>
        <v>0</v>
      </c>
      <c r="HK29" s="64">
        <f t="shared" si="408"/>
        <v>100</v>
      </c>
      <c r="HL29" s="62"/>
      <c r="HM29" s="63"/>
      <c r="HN29" s="64">
        <f t="shared" si="409"/>
        <v>0</v>
      </c>
      <c r="HO29" s="65">
        <v>3341.28</v>
      </c>
      <c r="HP29" s="63">
        <v>3341.28</v>
      </c>
      <c r="HQ29" s="64">
        <f t="shared" si="410"/>
        <v>0</v>
      </c>
      <c r="HR29" s="65"/>
      <c r="HS29" s="63"/>
      <c r="HT29" s="64">
        <f t="shared" si="411"/>
        <v>0</v>
      </c>
      <c r="HU29" s="65">
        <v>100</v>
      </c>
      <c r="HV29" s="63"/>
      <c r="HW29" s="64">
        <f t="shared" si="412"/>
        <v>100</v>
      </c>
      <c r="HX29" s="66">
        <f t="shared" si="91"/>
        <v>3441.28</v>
      </c>
      <c r="HY29" s="67">
        <f t="shared" si="413"/>
        <v>3341.28</v>
      </c>
      <c r="HZ29" s="64">
        <f t="shared" si="414"/>
        <v>100</v>
      </c>
      <c r="IA29" s="62"/>
      <c r="IB29" s="63"/>
      <c r="IC29" s="64">
        <f t="shared" si="415"/>
        <v>0</v>
      </c>
      <c r="ID29" s="65"/>
      <c r="IE29" s="63"/>
      <c r="IF29" s="64">
        <f t="shared" si="416"/>
        <v>0</v>
      </c>
      <c r="IG29" s="65"/>
      <c r="IH29" s="63"/>
      <c r="II29" s="64">
        <f t="shared" si="417"/>
        <v>0</v>
      </c>
      <c r="IJ29" s="65">
        <v>100</v>
      </c>
      <c r="IK29" s="63"/>
      <c r="IL29" s="64">
        <f t="shared" si="418"/>
        <v>100</v>
      </c>
      <c r="IM29" s="66">
        <f t="shared" si="98"/>
        <v>100</v>
      </c>
      <c r="IN29" s="67">
        <f t="shared" si="419"/>
        <v>0</v>
      </c>
      <c r="IO29" s="64">
        <f t="shared" si="420"/>
        <v>100</v>
      </c>
      <c r="IP29" s="62"/>
      <c r="IQ29" s="63"/>
      <c r="IR29" s="64">
        <f t="shared" si="421"/>
        <v>0</v>
      </c>
      <c r="IS29" s="65"/>
      <c r="IT29" s="63"/>
      <c r="IU29" s="64">
        <f t="shared" si="422"/>
        <v>0</v>
      </c>
      <c r="IV29" s="65"/>
      <c r="IW29" s="63"/>
      <c r="IX29" s="64">
        <f t="shared" si="423"/>
        <v>0</v>
      </c>
      <c r="IY29" s="65"/>
      <c r="IZ29" s="63"/>
      <c r="JA29" s="64">
        <f t="shared" si="424"/>
        <v>0</v>
      </c>
      <c r="JB29" s="66">
        <f t="shared" si="105"/>
        <v>0</v>
      </c>
      <c r="JC29" s="67">
        <f t="shared" si="425"/>
        <v>0</v>
      </c>
      <c r="JD29" s="64">
        <f t="shared" si="426"/>
        <v>0</v>
      </c>
      <c r="JE29" s="62"/>
      <c r="JF29" s="63"/>
      <c r="JG29" s="64">
        <f t="shared" si="427"/>
        <v>0</v>
      </c>
      <c r="JH29" s="65">
        <v>442.35</v>
      </c>
      <c r="JI29" s="115">
        <v>442.35</v>
      </c>
      <c r="JJ29" s="64">
        <f t="shared" si="428"/>
        <v>0</v>
      </c>
      <c r="JK29" s="65"/>
      <c r="JL29" s="63"/>
      <c r="JM29" s="64">
        <f t="shared" si="429"/>
        <v>0</v>
      </c>
      <c r="JN29" s="65">
        <v>100</v>
      </c>
      <c r="JO29" s="63">
        <f>160+287.14+160.84</f>
        <v>607.98</v>
      </c>
      <c r="JP29" s="64">
        <f t="shared" si="430"/>
        <v>-507.98</v>
      </c>
      <c r="JQ29" s="66">
        <f t="shared" si="112"/>
        <v>542.35</v>
      </c>
      <c r="JR29" s="67">
        <f t="shared" si="431"/>
        <v>1050.33</v>
      </c>
      <c r="JS29" s="64">
        <f t="shared" si="432"/>
        <v>-507.9799999999999</v>
      </c>
      <c r="JT29" s="62">
        <v>5615.92</v>
      </c>
      <c r="JU29" s="63">
        <v>5615.92</v>
      </c>
      <c r="JV29" s="64">
        <f t="shared" si="433"/>
        <v>0</v>
      </c>
      <c r="JW29" s="65"/>
      <c r="JX29" s="63"/>
      <c r="JY29" s="64">
        <f t="shared" si="434"/>
        <v>0</v>
      </c>
      <c r="JZ29" s="65"/>
      <c r="KA29" s="63"/>
      <c r="KB29" s="64">
        <f t="shared" si="435"/>
        <v>0</v>
      </c>
      <c r="KC29" s="65">
        <v>100</v>
      </c>
      <c r="KD29" s="63">
        <f>138.6</f>
        <v>138.6</v>
      </c>
      <c r="KE29" s="64">
        <f t="shared" si="436"/>
        <v>-38.599999999999994</v>
      </c>
      <c r="KF29" s="66">
        <f t="shared" si="119"/>
        <v>5715.92</v>
      </c>
      <c r="KG29" s="67">
        <f t="shared" si="437"/>
        <v>5754.52</v>
      </c>
      <c r="KH29" s="64">
        <f t="shared" si="438"/>
        <v>-38.600000000000364</v>
      </c>
      <c r="KI29" s="62"/>
      <c r="KJ29" s="63"/>
      <c r="KK29" s="64">
        <f t="shared" si="599"/>
        <v>0</v>
      </c>
      <c r="KL29" s="65"/>
      <c r="KM29" s="63">
        <v>115.38</v>
      </c>
      <c r="KN29" s="64">
        <f t="shared" si="600"/>
        <v>-115.38</v>
      </c>
      <c r="KO29" s="65"/>
      <c r="KP29" s="63"/>
      <c r="KQ29" s="64">
        <f t="shared" si="601"/>
        <v>0</v>
      </c>
      <c r="KR29" s="65"/>
      <c r="KS29" s="63"/>
      <c r="KT29" s="64">
        <f t="shared" si="439"/>
        <v>0</v>
      </c>
      <c r="KU29" s="66">
        <f t="shared" si="1"/>
        <v>0</v>
      </c>
      <c r="KV29" s="67">
        <f t="shared" si="440"/>
        <v>115.38</v>
      </c>
      <c r="KW29" s="64">
        <f t="shared" si="441"/>
        <v>-115.38</v>
      </c>
      <c r="KX29" s="72"/>
      <c r="KY29" s="73"/>
      <c r="KZ29" s="74"/>
      <c r="LA29" s="75"/>
      <c r="LB29" s="73"/>
      <c r="LC29" s="74"/>
      <c r="LD29" s="75"/>
      <c r="LE29" s="73"/>
      <c r="LF29" s="74"/>
      <c r="LG29" s="75"/>
      <c r="LH29" s="73"/>
      <c r="LI29" s="74"/>
      <c r="LJ29" s="76"/>
      <c r="LK29" s="77"/>
      <c r="LL29" s="74"/>
      <c r="LM29" s="62"/>
      <c r="LN29" s="63"/>
      <c r="LO29" s="64">
        <f t="shared" si="602"/>
        <v>0</v>
      </c>
      <c r="LP29" s="65"/>
      <c r="LQ29" s="63"/>
      <c r="LR29" s="64">
        <f t="shared" si="603"/>
        <v>0</v>
      </c>
      <c r="LS29" s="65"/>
      <c r="LT29" s="63"/>
      <c r="LU29" s="64">
        <f t="shared" si="604"/>
        <v>0</v>
      </c>
      <c r="LV29" s="65">
        <v>100</v>
      </c>
      <c r="LW29" s="63"/>
      <c r="LX29" s="64">
        <f t="shared" si="442"/>
        <v>100</v>
      </c>
      <c r="LY29" s="66">
        <f t="shared" si="124"/>
        <v>100</v>
      </c>
      <c r="LZ29" s="67">
        <f t="shared" si="443"/>
        <v>0</v>
      </c>
      <c r="MA29" s="64">
        <f t="shared" si="444"/>
        <v>100</v>
      </c>
      <c r="MB29" s="62">
        <v>650</v>
      </c>
      <c r="MC29" s="63">
        <v>650</v>
      </c>
      <c r="MD29" s="64">
        <f t="shared" si="445"/>
        <v>0</v>
      </c>
      <c r="ME29" s="65">
        <v>1057.42</v>
      </c>
      <c r="MF29" s="63">
        <f>1057.42</f>
        <v>1057.42</v>
      </c>
      <c r="MG29" s="64">
        <f t="shared" si="446"/>
        <v>0</v>
      </c>
      <c r="MH29" s="65"/>
      <c r="MI29" s="63"/>
      <c r="MJ29" s="64">
        <f t="shared" si="447"/>
        <v>0</v>
      </c>
      <c r="MK29" s="65">
        <v>100</v>
      </c>
      <c r="ML29" s="63">
        <v>271.81</v>
      </c>
      <c r="MM29" s="64">
        <f t="shared" si="448"/>
        <v>-171.81</v>
      </c>
      <c r="MN29" s="66">
        <f t="shared" si="131"/>
        <v>1807.42</v>
      </c>
      <c r="MO29" s="67">
        <f t="shared" si="449"/>
        <v>1979.23</v>
      </c>
      <c r="MP29" s="64">
        <f t="shared" si="450"/>
        <v>-171.80999999999995</v>
      </c>
      <c r="MQ29" s="62"/>
      <c r="MR29" s="63"/>
      <c r="MS29" s="64">
        <f t="shared" si="451"/>
        <v>0</v>
      </c>
      <c r="MT29" s="65"/>
      <c r="MU29" s="63"/>
      <c r="MV29" s="64">
        <f t="shared" si="452"/>
        <v>0</v>
      </c>
      <c r="MW29" s="65"/>
      <c r="MX29" s="63"/>
      <c r="MY29" s="64">
        <f t="shared" si="453"/>
        <v>0</v>
      </c>
      <c r="MZ29" s="65"/>
      <c r="NA29" s="63"/>
      <c r="NB29" s="64">
        <f t="shared" si="454"/>
        <v>0</v>
      </c>
      <c r="NC29" s="66">
        <f t="shared" si="138"/>
        <v>0</v>
      </c>
      <c r="ND29" s="67">
        <f t="shared" si="455"/>
        <v>0</v>
      </c>
      <c r="NE29" s="64">
        <f t="shared" si="456"/>
        <v>0</v>
      </c>
      <c r="NF29" s="62">
        <v>1000</v>
      </c>
      <c r="NG29" s="63">
        <v>1000</v>
      </c>
      <c r="NH29" s="64">
        <f t="shared" si="457"/>
        <v>0</v>
      </c>
      <c r="NI29" s="65">
        <v>886.87</v>
      </c>
      <c r="NJ29" s="63">
        <v>886.87</v>
      </c>
      <c r="NK29" s="64">
        <f t="shared" si="458"/>
        <v>0</v>
      </c>
      <c r="NL29" s="65"/>
      <c r="NM29" s="63"/>
      <c r="NN29" s="64">
        <f t="shared" si="459"/>
        <v>0</v>
      </c>
      <c r="NO29" s="65">
        <v>100</v>
      </c>
      <c r="NP29" s="63"/>
      <c r="NQ29" s="64">
        <f t="shared" si="460"/>
        <v>100</v>
      </c>
      <c r="NR29" s="66">
        <f t="shared" si="145"/>
        <v>1986.87</v>
      </c>
      <c r="NS29" s="67">
        <f t="shared" si="461"/>
        <v>1886.87</v>
      </c>
      <c r="NT29" s="64">
        <f t="shared" si="462"/>
        <v>100</v>
      </c>
      <c r="NU29" s="62">
        <v>864</v>
      </c>
      <c r="NV29" s="63"/>
      <c r="NW29" s="64">
        <f t="shared" si="463"/>
        <v>864</v>
      </c>
      <c r="NX29" s="65">
        <v>1004.52</v>
      </c>
      <c r="NY29" s="63">
        <v>1004.52</v>
      </c>
      <c r="NZ29" s="64">
        <f t="shared" si="464"/>
        <v>0</v>
      </c>
      <c r="OA29" s="65"/>
      <c r="OB29" s="63"/>
      <c r="OC29" s="64">
        <f t="shared" si="465"/>
        <v>0</v>
      </c>
      <c r="OD29" s="65">
        <v>100</v>
      </c>
      <c r="OE29" s="63">
        <f>54.85</f>
        <v>54.85</v>
      </c>
      <c r="OF29" s="64">
        <f t="shared" si="466"/>
        <v>45.15</v>
      </c>
      <c r="OG29" s="66">
        <f t="shared" si="152"/>
        <v>1968.52</v>
      </c>
      <c r="OH29" s="67">
        <f t="shared" si="467"/>
        <v>1059.3699999999999</v>
      </c>
      <c r="OI29" s="64">
        <f t="shared" si="468"/>
        <v>909.15000000000009</v>
      </c>
      <c r="OJ29" s="62"/>
      <c r="OK29" s="63"/>
      <c r="OL29" s="64">
        <f t="shared" si="469"/>
        <v>0</v>
      </c>
      <c r="OM29" s="65"/>
      <c r="ON29" s="63"/>
      <c r="OO29" s="64">
        <f t="shared" si="470"/>
        <v>0</v>
      </c>
      <c r="OP29" s="65"/>
      <c r="OQ29" s="63"/>
      <c r="OR29" s="64">
        <f t="shared" si="471"/>
        <v>0</v>
      </c>
      <c r="OS29" s="65">
        <v>100</v>
      </c>
      <c r="OT29" s="63">
        <f>198.8</f>
        <v>198.8</v>
      </c>
      <c r="OU29" s="64">
        <f t="shared" si="472"/>
        <v>-98.800000000000011</v>
      </c>
      <c r="OV29" s="66">
        <f t="shared" si="159"/>
        <v>100</v>
      </c>
      <c r="OW29" s="67">
        <f t="shared" si="473"/>
        <v>198.8</v>
      </c>
      <c r="OX29" s="64">
        <f t="shared" si="474"/>
        <v>-98.800000000000011</v>
      </c>
      <c r="OY29" s="62"/>
      <c r="OZ29" s="63"/>
      <c r="PA29" s="64">
        <f t="shared" si="475"/>
        <v>0</v>
      </c>
      <c r="PB29" s="65"/>
      <c r="PC29" s="63"/>
      <c r="PD29" s="64">
        <f t="shared" si="476"/>
        <v>0</v>
      </c>
      <c r="PE29" s="65"/>
      <c r="PF29" s="63"/>
      <c r="PG29" s="64">
        <f t="shared" si="477"/>
        <v>0</v>
      </c>
      <c r="PH29" s="65">
        <v>100</v>
      </c>
      <c r="PI29" s="63">
        <v>136.22</v>
      </c>
      <c r="PJ29" s="64">
        <f t="shared" si="478"/>
        <v>-36.22</v>
      </c>
      <c r="PK29" s="66">
        <f t="shared" si="166"/>
        <v>100</v>
      </c>
      <c r="PL29" s="67">
        <f t="shared" si="479"/>
        <v>136.22</v>
      </c>
      <c r="PM29" s="64">
        <f t="shared" si="480"/>
        <v>-36.22</v>
      </c>
      <c r="PN29" s="62">
        <v>1400</v>
      </c>
      <c r="PO29" s="63">
        <v>1400</v>
      </c>
      <c r="PP29" s="64">
        <f t="shared" si="481"/>
        <v>0</v>
      </c>
      <c r="PQ29" s="65"/>
      <c r="PR29" s="63"/>
      <c r="PS29" s="64">
        <f t="shared" si="482"/>
        <v>0</v>
      </c>
      <c r="PT29" s="65"/>
      <c r="PU29" s="63"/>
      <c r="PV29" s="64">
        <f t="shared" si="483"/>
        <v>0</v>
      </c>
      <c r="PW29" s="65">
        <v>100</v>
      </c>
      <c r="PX29" s="63">
        <f>150.26</f>
        <v>150.26</v>
      </c>
      <c r="PY29" s="64">
        <f t="shared" si="484"/>
        <v>-50.259999999999991</v>
      </c>
      <c r="PZ29" s="66">
        <f t="shared" si="173"/>
        <v>1500</v>
      </c>
      <c r="QA29" s="67">
        <f t="shared" si="485"/>
        <v>1550.26</v>
      </c>
      <c r="QB29" s="64">
        <f t="shared" si="486"/>
        <v>-50.259999999999991</v>
      </c>
      <c r="QC29" s="62"/>
      <c r="QD29" s="63"/>
      <c r="QE29" s="64">
        <f t="shared" si="487"/>
        <v>0</v>
      </c>
      <c r="QF29" s="65"/>
      <c r="QG29" s="63"/>
      <c r="QH29" s="64">
        <f t="shared" si="488"/>
        <v>0</v>
      </c>
      <c r="QI29" s="65"/>
      <c r="QJ29" s="63"/>
      <c r="QK29" s="64">
        <f t="shared" si="489"/>
        <v>0</v>
      </c>
      <c r="QL29" s="65">
        <v>100</v>
      </c>
      <c r="QM29" s="63"/>
      <c r="QN29" s="64">
        <f t="shared" si="490"/>
        <v>100</v>
      </c>
      <c r="QO29" s="66">
        <f t="shared" si="180"/>
        <v>100</v>
      </c>
      <c r="QP29" s="67">
        <f t="shared" si="491"/>
        <v>0</v>
      </c>
      <c r="QQ29" s="64">
        <f t="shared" si="492"/>
        <v>100</v>
      </c>
      <c r="QR29" s="62"/>
      <c r="QS29" s="63"/>
      <c r="QT29" s="64">
        <f t="shared" si="493"/>
        <v>0</v>
      </c>
      <c r="QU29" s="65"/>
      <c r="QV29" s="63"/>
      <c r="QW29" s="64">
        <f t="shared" si="494"/>
        <v>0</v>
      </c>
      <c r="QX29" s="65"/>
      <c r="QY29" s="63"/>
      <c r="QZ29" s="64">
        <f t="shared" si="495"/>
        <v>0</v>
      </c>
      <c r="RA29" s="65"/>
      <c r="RB29" s="63"/>
      <c r="RC29" s="64">
        <f t="shared" si="496"/>
        <v>0</v>
      </c>
      <c r="RD29" s="66">
        <f t="shared" si="187"/>
        <v>0</v>
      </c>
      <c r="RE29" s="67">
        <f t="shared" si="497"/>
        <v>0</v>
      </c>
      <c r="RF29" s="64">
        <f t="shared" si="498"/>
        <v>0</v>
      </c>
      <c r="RG29" s="62"/>
      <c r="RH29" s="63"/>
      <c r="RI29" s="64">
        <f t="shared" si="499"/>
        <v>0</v>
      </c>
      <c r="RJ29" s="65"/>
      <c r="RK29" s="63"/>
      <c r="RL29" s="64">
        <f t="shared" si="500"/>
        <v>0</v>
      </c>
      <c r="RM29" s="65"/>
      <c r="RN29" s="63"/>
      <c r="RO29" s="64">
        <f t="shared" si="501"/>
        <v>0</v>
      </c>
      <c r="RP29" s="65"/>
      <c r="RQ29" s="63"/>
      <c r="RR29" s="64">
        <f t="shared" si="502"/>
        <v>0</v>
      </c>
      <c r="RS29" s="66">
        <f t="shared" si="194"/>
        <v>0</v>
      </c>
      <c r="RT29" s="67">
        <f t="shared" si="503"/>
        <v>0</v>
      </c>
      <c r="RU29" s="64">
        <f t="shared" si="504"/>
        <v>0</v>
      </c>
      <c r="RV29" s="62"/>
      <c r="RW29" s="63"/>
      <c r="RX29" s="64">
        <f t="shared" si="505"/>
        <v>0</v>
      </c>
      <c r="RY29" s="65"/>
      <c r="RZ29" s="63"/>
      <c r="SA29" s="64">
        <f t="shared" si="506"/>
        <v>0</v>
      </c>
      <c r="SB29" s="65"/>
      <c r="SC29" s="63"/>
      <c r="SD29" s="64">
        <f t="shared" si="507"/>
        <v>0</v>
      </c>
      <c r="SE29" s="65">
        <v>100</v>
      </c>
      <c r="SF29" s="63">
        <v>68.27</v>
      </c>
      <c r="SG29" s="64">
        <f t="shared" si="508"/>
        <v>31.730000000000004</v>
      </c>
      <c r="SH29" s="66">
        <f t="shared" si="201"/>
        <v>100</v>
      </c>
      <c r="SI29" s="67">
        <f t="shared" si="509"/>
        <v>68.27</v>
      </c>
      <c r="SJ29" s="64">
        <f t="shared" si="510"/>
        <v>31.730000000000004</v>
      </c>
      <c r="SK29" s="62"/>
      <c r="SL29" s="63"/>
      <c r="SM29" s="64">
        <f t="shared" si="511"/>
        <v>0</v>
      </c>
      <c r="SN29" s="65"/>
      <c r="SO29" s="63"/>
      <c r="SP29" s="64">
        <f t="shared" si="512"/>
        <v>0</v>
      </c>
      <c r="SQ29" s="65"/>
      <c r="SR29" s="63"/>
      <c r="SS29" s="64">
        <f t="shared" si="513"/>
        <v>0</v>
      </c>
      <c r="ST29" s="65">
        <v>100</v>
      </c>
      <c r="SU29" s="63">
        <v>114.02</v>
      </c>
      <c r="SV29" s="64">
        <f t="shared" si="514"/>
        <v>-14.019999999999996</v>
      </c>
      <c r="SW29" s="66">
        <f t="shared" si="208"/>
        <v>100</v>
      </c>
      <c r="SX29" s="67">
        <f t="shared" si="515"/>
        <v>114.02</v>
      </c>
      <c r="SY29" s="64">
        <f t="shared" si="516"/>
        <v>-14.019999999999996</v>
      </c>
      <c r="SZ29" s="62">
        <v>985.33</v>
      </c>
      <c r="TA29" s="63">
        <v>985.33</v>
      </c>
      <c r="TB29" s="64">
        <f t="shared" si="517"/>
        <v>0</v>
      </c>
      <c r="TC29" s="65">
        <v>700.9</v>
      </c>
      <c r="TD29" s="63">
        <v>700.9</v>
      </c>
      <c r="TE29" s="64">
        <f t="shared" si="518"/>
        <v>0</v>
      </c>
      <c r="TF29" s="65"/>
      <c r="TG29" s="63"/>
      <c r="TH29" s="64">
        <f t="shared" si="519"/>
        <v>0</v>
      </c>
      <c r="TI29" s="65">
        <v>100</v>
      </c>
      <c r="TJ29" s="63"/>
      <c r="TK29" s="64">
        <f t="shared" si="520"/>
        <v>100</v>
      </c>
      <c r="TL29" s="66">
        <f t="shared" si="215"/>
        <v>1786.23</v>
      </c>
      <c r="TM29" s="67">
        <f t="shared" si="521"/>
        <v>1686.23</v>
      </c>
      <c r="TN29" s="64">
        <f t="shared" si="522"/>
        <v>100</v>
      </c>
      <c r="TO29" s="62"/>
      <c r="TP29" s="63"/>
      <c r="TQ29" s="64">
        <f t="shared" si="523"/>
        <v>0</v>
      </c>
      <c r="TR29" s="65"/>
      <c r="TS29" s="63"/>
      <c r="TT29" s="64">
        <f t="shared" si="524"/>
        <v>0</v>
      </c>
      <c r="TU29" s="65"/>
      <c r="TV29" s="63"/>
      <c r="TW29" s="64">
        <f t="shared" si="525"/>
        <v>0</v>
      </c>
      <c r="TX29" s="65">
        <v>100</v>
      </c>
      <c r="TY29" s="63">
        <f>77.18</f>
        <v>77.180000000000007</v>
      </c>
      <c r="TZ29" s="64">
        <f t="shared" si="526"/>
        <v>22.819999999999993</v>
      </c>
      <c r="UA29" s="66">
        <f t="shared" si="222"/>
        <v>100</v>
      </c>
      <c r="UB29" s="67">
        <f t="shared" si="527"/>
        <v>77.180000000000007</v>
      </c>
      <c r="UC29" s="64">
        <f t="shared" si="528"/>
        <v>22.819999999999993</v>
      </c>
      <c r="UD29" s="62"/>
      <c r="UE29" s="63"/>
      <c r="UF29" s="64">
        <f t="shared" si="529"/>
        <v>0</v>
      </c>
      <c r="UG29" s="65">
        <v>497.04</v>
      </c>
      <c r="UH29" s="63">
        <v>497.04</v>
      </c>
      <c r="UI29" s="64">
        <f t="shared" si="530"/>
        <v>0</v>
      </c>
      <c r="UJ29" s="65"/>
      <c r="UK29" s="63"/>
      <c r="UL29" s="64">
        <f t="shared" si="531"/>
        <v>0</v>
      </c>
      <c r="UM29" s="65">
        <v>100</v>
      </c>
      <c r="UN29" s="63"/>
      <c r="UO29" s="64">
        <f t="shared" si="532"/>
        <v>100</v>
      </c>
      <c r="UP29" s="66">
        <f t="shared" si="226"/>
        <v>597.04</v>
      </c>
      <c r="UQ29" s="67">
        <f t="shared" si="533"/>
        <v>497.04</v>
      </c>
      <c r="UR29" s="64">
        <f t="shared" si="534"/>
        <v>99.999999999999943</v>
      </c>
      <c r="US29" s="62"/>
      <c r="UT29" s="63"/>
      <c r="UU29" s="64">
        <f t="shared" si="535"/>
        <v>0</v>
      </c>
      <c r="UV29" s="65"/>
      <c r="UW29" s="63"/>
      <c r="UX29" s="64">
        <f t="shared" si="536"/>
        <v>0</v>
      </c>
      <c r="UY29" s="65"/>
      <c r="UZ29" s="63"/>
      <c r="VA29" s="64">
        <f t="shared" si="537"/>
        <v>0</v>
      </c>
      <c r="VB29" s="65">
        <v>100</v>
      </c>
      <c r="VC29" s="63"/>
      <c r="VD29" s="64">
        <f t="shared" si="538"/>
        <v>100</v>
      </c>
      <c r="VE29" s="66">
        <f t="shared" si="233"/>
        <v>100</v>
      </c>
      <c r="VF29" s="67">
        <f t="shared" si="539"/>
        <v>0</v>
      </c>
      <c r="VG29" s="64">
        <f t="shared" si="540"/>
        <v>100</v>
      </c>
      <c r="VH29" s="62"/>
      <c r="VI29" s="63"/>
      <c r="VJ29" s="64">
        <f t="shared" si="541"/>
        <v>0</v>
      </c>
      <c r="VK29" s="65"/>
      <c r="VL29" s="63"/>
      <c r="VM29" s="64">
        <f t="shared" si="542"/>
        <v>0</v>
      </c>
      <c r="VN29" s="65"/>
      <c r="VO29" s="63"/>
      <c r="VP29" s="64">
        <f t="shared" si="543"/>
        <v>0</v>
      </c>
      <c r="VQ29" s="65">
        <v>100</v>
      </c>
      <c r="VR29" s="63">
        <v>48.39</v>
      </c>
      <c r="VS29" s="64">
        <f t="shared" si="544"/>
        <v>51.61</v>
      </c>
      <c r="VT29" s="66">
        <f t="shared" si="240"/>
        <v>100</v>
      </c>
      <c r="VU29" s="67">
        <f t="shared" si="545"/>
        <v>48.39</v>
      </c>
      <c r="VV29" s="64">
        <f t="shared" si="546"/>
        <v>51.61</v>
      </c>
      <c r="VW29" s="62"/>
      <c r="VX29" s="63">
        <f>10956.59</f>
        <v>10956.59</v>
      </c>
      <c r="VY29" s="64">
        <f t="shared" si="547"/>
        <v>-10956.59</v>
      </c>
      <c r="VZ29" s="65"/>
      <c r="WA29" s="63"/>
      <c r="WB29" s="64">
        <f t="shared" si="548"/>
        <v>0</v>
      </c>
      <c r="WC29" s="65"/>
      <c r="WD29" s="63"/>
      <c r="WE29" s="64">
        <f t="shared" si="549"/>
        <v>0</v>
      </c>
      <c r="WF29" s="65"/>
      <c r="WG29" s="63"/>
      <c r="WH29" s="64">
        <f t="shared" si="550"/>
        <v>0</v>
      </c>
      <c r="WI29" s="66">
        <f t="shared" si="247"/>
        <v>0</v>
      </c>
      <c r="WJ29" s="67">
        <f t="shared" si="551"/>
        <v>10956.59</v>
      </c>
      <c r="WK29" s="64">
        <f t="shared" si="552"/>
        <v>-10956.59</v>
      </c>
      <c r="WL29" s="62">
        <v>1376.01</v>
      </c>
      <c r="WM29" s="63">
        <v>1376.01</v>
      </c>
      <c r="WN29" s="64">
        <f t="shared" si="553"/>
        <v>0</v>
      </c>
      <c r="WO29" s="65"/>
      <c r="WP29" s="63"/>
      <c r="WQ29" s="64">
        <f t="shared" si="554"/>
        <v>0</v>
      </c>
      <c r="WR29" s="65"/>
      <c r="WS29" s="63"/>
      <c r="WT29" s="64">
        <f t="shared" si="555"/>
        <v>0</v>
      </c>
      <c r="WU29" s="65">
        <v>100</v>
      </c>
      <c r="WV29" s="63">
        <f>70.75</f>
        <v>70.75</v>
      </c>
      <c r="WW29" s="64">
        <f t="shared" si="556"/>
        <v>29.25</v>
      </c>
      <c r="WX29" s="66">
        <f t="shared" si="254"/>
        <v>1476.01</v>
      </c>
      <c r="WY29" s="67">
        <f t="shared" si="557"/>
        <v>1446.76</v>
      </c>
      <c r="WZ29" s="64">
        <f t="shared" si="558"/>
        <v>29.25</v>
      </c>
      <c r="XA29" s="62"/>
      <c r="XB29" s="63"/>
      <c r="XC29" s="64">
        <f t="shared" si="559"/>
        <v>0</v>
      </c>
      <c r="XD29" s="65"/>
      <c r="XE29" s="63"/>
      <c r="XF29" s="64">
        <f t="shared" si="560"/>
        <v>0</v>
      </c>
      <c r="XG29" s="65"/>
      <c r="XH29" s="63"/>
      <c r="XI29" s="64">
        <f t="shared" si="561"/>
        <v>0</v>
      </c>
      <c r="XJ29" s="65">
        <v>100</v>
      </c>
      <c r="XK29" s="63">
        <v>184.88</v>
      </c>
      <c r="XL29" s="64">
        <f t="shared" si="562"/>
        <v>-84.88</v>
      </c>
      <c r="XM29" s="66">
        <f t="shared" si="261"/>
        <v>100</v>
      </c>
      <c r="XN29" s="67">
        <f t="shared" si="563"/>
        <v>184.88</v>
      </c>
      <c r="XO29" s="64">
        <f t="shared" si="564"/>
        <v>-84.88</v>
      </c>
      <c r="XP29" s="62">
        <v>917</v>
      </c>
      <c r="XQ29" s="63"/>
      <c r="XR29" s="64">
        <f t="shared" si="565"/>
        <v>917</v>
      </c>
      <c r="XS29" s="65">
        <v>591.29999999999995</v>
      </c>
      <c r="XT29" s="63">
        <v>591.29999999999995</v>
      </c>
      <c r="XU29" s="64">
        <f t="shared" si="566"/>
        <v>0</v>
      </c>
      <c r="XV29" s="65"/>
      <c r="XW29" s="63"/>
      <c r="XX29" s="64">
        <f t="shared" si="567"/>
        <v>0</v>
      </c>
      <c r="XY29" s="65">
        <v>100</v>
      </c>
      <c r="XZ29" s="63">
        <f>38.28</f>
        <v>38.28</v>
      </c>
      <c r="YA29" s="64">
        <f t="shared" si="568"/>
        <v>61.72</v>
      </c>
      <c r="YB29" s="66">
        <f t="shared" si="268"/>
        <v>1608.3</v>
      </c>
      <c r="YC29" s="67">
        <f t="shared" si="569"/>
        <v>629.57999999999993</v>
      </c>
      <c r="YD29" s="64">
        <f t="shared" si="570"/>
        <v>978.72</v>
      </c>
      <c r="YE29" s="62">
        <v>890</v>
      </c>
      <c r="YF29" s="63"/>
      <c r="YG29" s="64">
        <f t="shared" si="571"/>
        <v>890</v>
      </c>
      <c r="YH29" s="65">
        <v>725.15</v>
      </c>
      <c r="YI29" s="63">
        <v>725.15</v>
      </c>
      <c r="YJ29" s="64">
        <f t="shared" si="572"/>
        <v>0</v>
      </c>
      <c r="YK29" s="65"/>
      <c r="YL29" s="63"/>
      <c r="YM29" s="64">
        <f t="shared" si="573"/>
        <v>0</v>
      </c>
      <c r="YN29" s="65">
        <v>100</v>
      </c>
      <c r="YO29" s="63"/>
      <c r="YP29" s="64">
        <f t="shared" si="574"/>
        <v>100</v>
      </c>
      <c r="YQ29" s="66">
        <f t="shared" si="275"/>
        <v>1715.15</v>
      </c>
      <c r="YR29" s="67">
        <f t="shared" si="575"/>
        <v>725.15</v>
      </c>
      <c r="YS29" s="64">
        <f t="shared" si="576"/>
        <v>990.00000000000011</v>
      </c>
      <c r="YT29" s="62">
        <v>932</v>
      </c>
      <c r="YU29" s="63"/>
      <c r="YV29" s="64">
        <f t="shared" si="577"/>
        <v>932</v>
      </c>
      <c r="YW29" s="65">
        <v>513.28</v>
      </c>
      <c r="YX29" s="63">
        <v>513.28</v>
      </c>
      <c r="YY29" s="64">
        <f t="shared" si="578"/>
        <v>0</v>
      </c>
      <c r="YZ29" s="65"/>
      <c r="ZA29" s="63"/>
      <c r="ZB29" s="64">
        <f t="shared" si="579"/>
        <v>0</v>
      </c>
      <c r="ZC29" s="65">
        <v>100</v>
      </c>
      <c r="ZD29" s="63">
        <f>57.91</f>
        <v>57.91</v>
      </c>
      <c r="ZE29" s="64">
        <f t="shared" si="580"/>
        <v>42.09</v>
      </c>
      <c r="ZF29" s="66">
        <f t="shared" si="282"/>
        <v>1545.28</v>
      </c>
      <c r="ZG29" s="67">
        <f t="shared" si="581"/>
        <v>571.18999999999994</v>
      </c>
      <c r="ZH29" s="64">
        <f t="shared" si="582"/>
        <v>974.09</v>
      </c>
      <c r="ZI29" s="62">
        <v>1250</v>
      </c>
      <c r="ZJ29" s="63">
        <v>1250</v>
      </c>
      <c r="ZK29" s="64">
        <f t="shared" si="583"/>
        <v>0</v>
      </c>
      <c r="ZL29" s="65"/>
      <c r="ZM29" s="63"/>
      <c r="ZN29" s="64">
        <f t="shared" si="584"/>
        <v>0</v>
      </c>
      <c r="ZO29" s="65"/>
      <c r="ZP29" s="63"/>
      <c r="ZQ29" s="64">
        <f t="shared" si="585"/>
        <v>0</v>
      </c>
      <c r="ZR29" s="65">
        <v>100</v>
      </c>
      <c r="ZS29" s="63"/>
      <c r="ZT29" s="64">
        <f t="shared" si="586"/>
        <v>100</v>
      </c>
      <c r="ZU29" s="66">
        <f t="shared" si="289"/>
        <v>1350</v>
      </c>
      <c r="ZV29" s="67">
        <f t="shared" si="587"/>
        <v>1250</v>
      </c>
      <c r="ZW29" s="64">
        <f t="shared" si="588"/>
        <v>100</v>
      </c>
      <c r="ZX29" s="62">
        <v>24.71</v>
      </c>
      <c r="ZY29" s="63">
        <v>24.71</v>
      </c>
      <c r="ZZ29" s="64">
        <f t="shared" si="589"/>
        <v>0</v>
      </c>
      <c r="AAA29" s="66">
        <f t="shared" si="293"/>
        <v>24.71</v>
      </c>
      <c r="AAB29" s="67">
        <f t="shared" si="293"/>
        <v>24.71</v>
      </c>
      <c r="AAC29" s="64">
        <f t="shared" si="590"/>
        <v>0</v>
      </c>
      <c r="AAD29" s="85">
        <f t="shared" si="295"/>
        <v>73041.26999999999</v>
      </c>
      <c r="AAE29" s="98">
        <f t="shared" si="295"/>
        <v>66731.789999999994</v>
      </c>
      <c r="AAF29" s="99">
        <f t="shared" si="3"/>
        <v>0.91361760276074067</v>
      </c>
      <c r="AAG29" s="100">
        <f t="shared" si="591"/>
        <v>-6309.4799999999959</v>
      </c>
      <c r="AAH29" s="96"/>
      <c r="AAI29" s="97"/>
      <c r="AAJ29" s="97"/>
      <c r="AAK29" s="60"/>
    </row>
    <row r="30" spans="1:713" s="83" customFormat="1" ht="20" customHeight="1" x14ac:dyDescent="0.2">
      <c r="A30" s="84" t="s">
        <v>27</v>
      </c>
      <c r="F30" s="116" t="s">
        <v>162</v>
      </c>
      <c r="G30" s="117">
        <f>SUM(G18:G29)</f>
        <v>371675.99</v>
      </c>
      <c r="H30" s="118">
        <f t="shared" ref="H30:AJ30" si="605">SUM(H18:H29)</f>
        <v>371675.99</v>
      </c>
      <c r="I30" s="119">
        <f t="shared" si="605"/>
        <v>0</v>
      </c>
      <c r="J30" s="118">
        <f t="shared" si="605"/>
        <v>40586.879999999997</v>
      </c>
      <c r="K30" s="120">
        <f>SUM(K18:K29)</f>
        <v>37095.769999999997</v>
      </c>
      <c r="L30" s="119">
        <f t="shared" si="605"/>
        <v>3491.1100000000006</v>
      </c>
      <c r="M30" s="118">
        <f t="shared" si="605"/>
        <v>24064.58</v>
      </c>
      <c r="N30" s="120">
        <f>SUM(N18:N29)</f>
        <v>25044.95</v>
      </c>
      <c r="O30" s="119">
        <f t="shared" si="605"/>
        <v>-980.36999999999944</v>
      </c>
      <c r="P30" s="118">
        <f t="shared" si="605"/>
        <v>13600</v>
      </c>
      <c r="Q30" s="120">
        <f>SUM(Q18:Q29)</f>
        <v>9422.17</v>
      </c>
      <c r="R30" s="119">
        <f t="shared" si="605"/>
        <v>4177.83</v>
      </c>
      <c r="S30" s="118">
        <f t="shared" si="605"/>
        <v>4957.1999999999989</v>
      </c>
      <c r="T30" s="120">
        <f>SUM(T18:T29)</f>
        <v>2105.94</v>
      </c>
      <c r="U30" s="119">
        <f t="shared" si="605"/>
        <v>2851.26</v>
      </c>
      <c r="V30" s="118">
        <f t="shared" si="605"/>
        <v>454884.65</v>
      </c>
      <c r="W30" s="121">
        <f t="shared" si="605"/>
        <v>445344.82</v>
      </c>
      <c r="X30" s="119">
        <f t="shared" si="605"/>
        <v>9539.8299999999945</v>
      </c>
      <c r="Y30" s="117">
        <f t="shared" si="605"/>
        <v>35000</v>
      </c>
      <c r="Z30" s="118">
        <f t="shared" si="605"/>
        <v>35000</v>
      </c>
      <c r="AA30" s="119">
        <f t="shared" si="605"/>
        <v>0</v>
      </c>
      <c r="AB30" s="118">
        <f t="shared" si="605"/>
        <v>0</v>
      </c>
      <c r="AC30" s="120">
        <f t="shared" si="605"/>
        <v>0</v>
      </c>
      <c r="AD30" s="119">
        <f t="shared" si="605"/>
        <v>0</v>
      </c>
      <c r="AE30" s="118">
        <f t="shared" si="605"/>
        <v>0</v>
      </c>
      <c r="AF30" s="120">
        <f t="shared" si="605"/>
        <v>0</v>
      </c>
      <c r="AG30" s="119">
        <f t="shared" si="605"/>
        <v>0</v>
      </c>
      <c r="AH30" s="118">
        <f t="shared" si="605"/>
        <v>0</v>
      </c>
      <c r="AI30" s="120">
        <f t="shared" si="605"/>
        <v>0</v>
      </c>
      <c r="AJ30" s="119">
        <f t="shared" si="605"/>
        <v>0</v>
      </c>
      <c r="AK30" s="118">
        <f t="shared" si="16"/>
        <v>35000</v>
      </c>
      <c r="AL30" s="121">
        <f t="shared" ref="AL30:AY30" si="606">SUM(AL18:AL29)</f>
        <v>35000</v>
      </c>
      <c r="AM30" s="119">
        <f t="shared" si="606"/>
        <v>0</v>
      </c>
      <c r="AN30" s="117">
        <f t="shared" si="606"/>
        <v>25000</v>
      </c>
      <c r="AO30" s="118">
        <f t="shared" si="606"/>
        <v>25000</v>
      </c>
      <c r="AP30" s="119">
        <f t="shared" si="606"/>
        <v>0</v>
      </c>
      <c r="AQ30" s="118">
        <f t="shared" si="606"/>
        <v>0</v>
      </c>
      <c r="AR30" s="120">
        <f t="shared" si="606"/>
        <v>0</v>
      </c>
      <c r="AS30" s="119">
        <f t="shared" si="606"/>
        <v>0</v>
      </c>
      <c r="AT30" s="118">
        <f t="shared" si="606"/>
        <v>2745.49</v>
      </c>
      <c r="AU30" s="120">
        <f t="shared" si="606"/>
        <v>0</v>
      </c>
      <c r="AV30" s="119">
        <f t="shared" si="606"/>
        <v>2745.49</v>
      </c>
      <c r="AW30" s="118">
        <f t="shared" si="606"/>
        <v>0</v>
      </c>
      <c r="AX30" s="120">
        <f t="shared" si="606"/>
        <v>0</v>
      </c>
      <c r="AY30" s="119">
        <f t="shared" si="606"/>
        <v>0</v>
      </c>
      <c r="AZ30" s="118">
        <f t="shared" si="23"/>
        <v>27745.489999999998</v>
      </c>
      <c r="BA30" s="121">
        <f>SUM(BA18:BA29)</f>
        <v>25000</v>
      </c>
      <c r="BB30" s="119">
        <f t="shared" ref="BB30:BN30" si="607">SUM(BB18:BB29)</f>
        <v>2745.49</v>
      </c>
      <c r="BC30" s="117">
        <f t="shared" si="607"/>
        <v>31603.200000000001</v>
      </c>
      <c r="BD30" s="118">
        <f t="shared" si="607"/>
        <v>31603.200000000001</v>
      </c>
      <c r="BE30" s="119">
        <f t="shared" si="607"/>
        <v>0</v>
      </c>
      <c r="BF30" s="118">
        <f t="shared" si="607"/>
        <v>5383.32</v>
      </c>
      <c r="BG30" s="120">
        <f t="shared" si="607"/>
        <v>9745.619999999999</v>
      </c>
      <c r="BH30" s="119">
        <f t="shared" si="607"/>
        <v>-4362.3</v>
      </c>
      <c r="BI30" s="118">
        <f t="shared" si="607"/>
        <v>3200.88</v>
      </c>
      <c r="BJ30" s="120">
        <f t="shared" si="607"/>
        <v>12000</v>
      </c>
      <c r="BK30" s="119">
        <f t="shared" si="607"/>
        <v>-8799.119999999999</v>
      </c>
      <c r="BL30" s="118">
        <f t="shared" si="607"/>
        <v>1200</v>
      </c>
      <c r="BM30" s="120">
        <f t="shared" si="607"/>
        <v>1051.0700000000002</v>
      </c>
      <c r="BN30" s="119">
        <f t="shared" si="607"/>
        <v>148.92999999999984</v>
      </c>
      <c r="BO30" s="118">
        <f t="shared" si="30"/>
        <v>41387.4</v>
      </c>
      <c r="BP30" s="121">
        <f>SUM(BP18:BP29)</f>
        <v>54399.89</v>
      </c>
      <c r="BQ30" s="119">
        <f t="shared" ref="BQ30:CC30" si="608">SUM(BQ18:BQ29)</f>
        <v>-13012.49</v>
      </c>
      <c r="BR30" s="117">
        <f t="shared" si="608"/>
        <v>40999.919999999998</v>
      </c>
      <c r="BS30" s="118">
        <f t="shared" si="608"/>
        <v>40999.919999999998</v>
      </c>
      <c r="BT30" s="119">
        <f t="shared" si="608"/>
        <v>0</v>
      </c>
      <c r="BU30" s="118">
        <f t="shared" si="608"/>
        <v>687.48</v>
      </c>
      <c r="BV30" s="120">
        <f t="shared" si="608"/>
        <v>687.48</v>
      </c>
      <c r="BW30" s="119">
        <f t="shared" si="608"/>
        <v>0</v>
      </c>
      <c r="BX30" s="118">
        <f t="shared" si="608"/>
        <v>0</v>
      </c>
      <c r="BY30" s="120">
        <f t="shared" si="608"/>
        <v>0</v>
      </c>
      <c r="BZ30" s="119">
        <f t="shared" si="608"/>
        <v>0</v>
      </c>
      <c r="CA30" s="118">
        <f t="shared" si="608"/>
        <v>0</v>
      </c>
      <c r="CB30" s="120">
        <f t="shared" si="608"/>
        <v>0</v>
      </c>
      <c r="CC30" s="119">
        <f t="shared" si="608"/>
        <v>0</v>
      </c>
      <c r="CD30" s="118">
        <f t="shared" si="33"/>
        <v>41687.4</v>
      </c>
      <c r="CE30" s="121">
        <f>SUM(CE18:CE29)</f>
        <v>41687.400000000009</v>
      </c>
      <c r="CF30" s="119">
        <f t="shared" ref="CF30:CR30" si="609">SUM(CF18:CF29)</f>
        <v>0</v>
      </c>
      <c r="CG30" s="117">
        <f t="shared" si="609"/>
        <v>20000</v>
      </c>
      <c r="CH30" s="118">
        <f t="shared" si="609"/>
        <v>20000</v>
      </c>
      <c r="CI30" s="119">
        <f t="shared" si="609"/>
        <v>0</v>
      </c>
      <c r="CJ30" s="118">
        <f t="shared" si="609"/>
        <v>0</v>
      </c>
      <c r="CK30" s="120">
        <f t="shared" si="609"/>
        <v>0</v>
      </c>
      <c r="CL30" s="119">
        <f t="shared" si="609"/>
        <v>0</v>
      </c>
      <c r="CM30" s="118">
        <f t="shared" si="609"/>
        <v>2739.5</v>
      </c>
      <c r="CN30" s="120">
        <f t="shared" si="609"/>
        <v>0</v>
      </c>
      <c r="CO30" s="119">
        <f t="shared" si="609"/>
        <v>2739.5</v>
      </c>
      <c r="CP30" s="118">
        <f t="shared" si="609"/>
        <v>0</v>
      </c>
      <c r="CQ30" s="120">
        <f t="shared" si="609"/>
        <v>0</v>
      </c>
      <c r="CR30" s="119">
        <f t="shared" si="609"/>
        <v>0</v>
      </c>
      <c r="CS30" s="118">
        <f t="shared" si="40"/>
        <v>22739.5</v>
      </c>
      <c r="CT30" s="121">
        <f>SUM(CT18:CT29)</f>
        <v>20000</v>
      </c>
      <c r="CU30" s="119">
        <f t="shared" ref="CU30:DG30" si="610">SUM(CU18:CU29)</f>
        <v>2739.5</v>
      </c>
      <c r="CV30" s="117">
        <f t="shared" si="610"/>
        <v>11666.8</v>
      </c>
      <c r="CW30" s="118">
        <f t="shared" si="610"/>
        <v>11666.8</v>
      </c>
      <c r="CX30" s="119">
        <f t="shared" si="610"/>
        <v>0</v>
      </c>
      <c r="CY30" s="118">
        <f t="shared" si="610"/>
        <v>0</v>
      </c>
      <c r="CZ30" s="120">
        <f t="shared" si="610"/>
        <v>0</v>
      </c>
      <c r="DA30" s="119">
        <f t="shared" si="610"/>
        <v>0</v>
      </c>
      <c r="DB30" s="118">
        <f t="shared" si="610"/>
        <v>0</v>
      </c>
      <c r="DC30" s="120">
        <f t="shared" si="610"/>
        <v>0</v>
      </c>
      <c r="DD30" s="119">
        <f t="shared" si="610"/>
        <v>0</v>
      </c>
      <c r="DE30" s="118">
        <f t="shared" si="610"/>
        <v>400</v>
      </c>
      <c r="DF30" s="120">
        <f t="shared" si="610"/>
        <v>383.35</v>
      </c>
      <c r="DG30" s="119">
        <f t="shared" si="610"/>
        <v>16.650000000000006</v>
      </c>
      <c r="DH30" s="118">
        <f t="shared" si="43"/>
        <v>12066.8</v>
      </c>
      <c r="DI30" s="121">
        <f>SUM(DI18:DI29)</f>
        <v>12050.15</v>
      </c>
      <c r="DJ30" s="119">
        <f t="shared" ref="DJ30:DV30" si="611">SUM(DJ18:DJ29)</f>
        <v>16.650000000000091</v>
      </c>
      <c r="DK30" s="117">
        <f t="shared" si="611"/>
        <v>9600</v>
      </c>
      <c r="DL30" s="118">
        <f t="shared" si="611"/>
        <v>9600</v>
      </c>
      <c r="DM30" s="119">
        <f t="shared" si="611"/>
        <v>0</v>
      </c>
      <c r="DN30" s="118">
        <f t="shared" si="611"/>
        <v>2320</v>
      </c>
      <c r="DO30" s="120">
        <f t="shared" si="611"/>
        <v>2320</v>
      </c>
      <c r="DP30" s="119">
        <f t="shared" si="611"/>
        <v>0</v>
      </c>
      <c r="DQ30" s="118">
        <f t="shared" si="611"/>
        <v>0</v>
      </c>
      <c r="DR30" s="120">
        <f t="shared" si="611"/>
        <v>0</v>
      </c>
      <c r="DS30" s="119">
        <f t="shared" si="611"/>
        <v>0</v>
      </c>
      <c r="DT30" s="118">
        <f t="shared" si="611"/>
        <v>400</v>
      </c>
      <c r="DU30" s="120">
        <f t="shared" si="611"/>
        <v>0</v>
      </c>
      <c r="DV30" s="119">
        <f t="shared" si="611"/>
        <v>400</v>
      </c>
      <c r="DW30" s="118">
        <f t="shared" si="46"/>
        <v>12320</v>
      </c>
      <c r="DX30" s="121">
        <f>SUM(DX18:DX29)</f>
        <v>11920</v>
      </c>
      <c r="DY30" s="119">
        <f t="shared" ref="DY30:EK30" si="612">SUM(DY18:DY29)</f>
        <v>400</v>
      </c>
      <c r="DZ30" s="117">
        <f t="shared" si="612"/>
        <v>24000</v>
      </c>
      <c r="EA30" s="118">
        <f t="shared" si="612"/>
        <v>24000</v>
      </c>
      <c r="EB30" s="119">
        <f t="shared" si="612"/>
        <v>0</v>
      </c>
      <c r="EC30" s="118">
        <f t="shared" si="612"/>
        <v>0</v>
      </c>
      <c r="ED30" s="120">
        <f t="shared" si="612"/>
        <v>0</v>
      </c>
      <c r="EE30" s="119">
        <f t="shared" si="612"/>
        <v>0</v>
      </c>
      <c r="EF30" s="118">
        <f t="shared" si="612"/>
        <v>0</v>
      </c>
      <c r="EG30" s="120">
        <f t="shared" si="612"/>
        <v>0</v>
      </c>
      <c r="EH30" s="119">
        <f t="shared" si="612"/>
        <v>0</v>
      </c>
      <c r="EI30" s="118">
        <f t="shared" si="612"/>
        <v>1200</v>
      </c>
      <c r="EJ30" s="120">
        <f t="shared" si="612"/>
        <v>601.6</v>
      </c>
      <c r="EK30" s="119">
        <f t="shared" si="612"/>
        <v>598.4</v>
      </c>
      <c r="EL30" s="118">
        <f t="shared" si="53"/>
        <v>25200</v>
      </c>
      <c r="EM30" s="121">
        <f>SUM(EM18:EM29)</f>
        <v>24601.600000000002</v>
      </c>
      <c r="EN30" s="119">
        <f t="shared" ref="EN30:EZ30" si="613">SUM(EN18:EN29)</f>
        <v>598.4</v>
      </c>
      <c r="EO30" s="117">
        <f t="shared" si="613"/>
        <v>29771.16</v>
      </c>
      <c r="EP30" s="118">
        <f t="shared" si="613"/>
        <v>30010.75</v>
      </c>
      <c r="EQ30" s="119">
        <f t="shared" si="613"/>
        <v>-239.59000000000015</v>
      </c>
      <c r="ER30" s="118">
        <f t="shared" si="613"/>
        <v>3793.38</v>
      </c>
      <c r="ES30" s="120">
        <f t="shared" si="613"/>
        <v>7211.21</v>
      </c>
      <c r="ET30" s="119">
        <f t="shared" si="613"/>
        <v>-3417.83</v>
      </c>
      <c r="EU30" s="118">
        <f t="shared" si="613"/>
        <v>2612.71</v>
      </c>
      <c r="EV30" s="120">
        <f t="shared" si="613"/>
        <v>4921.9799999999996</v>
      </c>
      <c r="EW30" s="119">
        <f t="shared" si="613"/>
        <v>-2309.2699999999995</v>
      </c>
      <c r="EX30" s="118">
        <f t="shared" si="613"/>
        <v>1200</v>
      </c>
      <c r="EY30" s="120">
        <f t="shared" si="613"/>
        <v>564.6400000000001</v>
      </c>
      <c r="EZ30" s="119">
        <f t="shared" si="613"/>
        <v>635.3599999999999</v>
      </c>
      <c r="FA30" s="118">
        <f t="shared" si="60"/>
        <v>37377.25</v>
      </c>
      <c r="FB30" s="121">
        <f>SUM(FB18:FB29)</f>
        <v>42708.58</v>
      </c>
      <c r="FC30" s="119">
        <f t="shared" ref="FC30:FO30" si="614">SUM(FC18:FC29)</f>
        <v>-5331.33</v>
      </c>
      <c r="FD30" s="117">
        <f t="shared" si="614"/>
        <v>29771.16</v>
      </c>
      <c r="FE30" s="118">
        <f t="shared" si="614"/>
        <v>30010.75</v>
      </c>
      <c r="FF30" s="119">
        <f t="shared" si="614"/>
        <v>-239.59000000000015</v>
      </c>
      <c r="FG30" s="118">
        <f t="shared" si="614"/>
        <v>6790.9699999999993</v>
      </c>
      <c r="FH30" s="120">
        <f t="shared" si="614"/>
        <v>3373.14</v>
      </c>
      <c r="FI30" s="119">
        <f t="shared" si="614"/>
        <v>3417.83</v>
      </c>
      <c r="FJ30" s="118">
        <f t="shared" si="614"/>
        <v>2612.71</v>
      </c>
      <c r="FK30" s="120">
        <f t="shared" si="614"/>
        <v>4921.9799999999996</v>
      </c>
      <c r="FL30" s="119">
        <f t="shared" si="614"/>
        <v>-2309.2699999999995</v>
      </c>
      <c r="FM30" s="118">
        <f t="shared" si="614"/>
        <v>1200</v>
      </c>
      <c r="FN30" s="120">
        <f t="shared" si="614"/>
        <v>671.7</v>
      </c>
      <c r="FO30" s="119">
        <f t="shared" si="614"/>
        <v>528.29999999999995</v>
      </c>
      <c r="FP30" s="118">
        <f t="shared" si="67"/>
        <v>40374.839999999997</v>
      </c>
      <c r="FQ30" s="121">
        <f>SUM(FQ18:FQ29)</f>
        <v>38977.57</v>
      </c>
      <c r="FR30" s="119">
        <f t="shared" ref="FR30:GD30" si="615">SUM(FR18:FR29)</f>
        <v>1397.2700000000002</v>
      </c>
      <c r="FS30" s="117">
        <f t="shared" si="615"/>
        <v>18000</v>
      </c>
      <c r="FT30" s="118">
        <f t="shared" si="615"/>
        <v>18000</v>
      </c>
      <c r="FU30" s="119">
        <f t="shared" si="615"/>
        <v>0</v>
      </c>
      <c r="FV30" s="118">
        <f t="shared" si="615"/>
        <v>0</v>
      </c>
      <c r="FW30" s="120">
        <f t="shared" si="615"/>
        <v>0</v>
      </c>
      <c r="FX30" s="119">
        <f t="shared" si="615"/>
        <v>0</v>
      </c>
      <c r="FY30" s="118">
        <f t="shared" si="615"/>
        <v>0</v>
      </c>
      <c r="FZ30" s="120">
        <f t="shared" si="615"/>
        <v>3636.94</v>
      </c>
      <c r="GA30" s="119">
        <f t="shared" si="615"/>
        <v>-3636.94</v>
      </c>
      <c r="GB30" s="118">
        <f t="shared" si="615"/>
        <v>0</v>
      </c>
      <c r="GC30" s="120">
        <f t="shared" si="615"/>
        <v>0</v>
      </c>
      <c r="GD30" s="119">
        <f t="shared" si="615"/>
        <v>0</v>
      </c>
      <c r="GE30" s="118">
        <f t="shared" si="74"/>
        <v>18000</v>
      </c>
      <c r="GF30" s="121">
        <f>SUM(GF18:GF29)</f>
        <v>21636.94</v>
      </c>
      <c r="GG30" s="119">
        <f t="shared" ref="GG30:GS30" si="616">SUM(GG18:GG29)</f>
        <v>-3636.94</v>
      </c>
      <c r="GH30" s="117">
        <f t="shared" si="616"/>
        <v>18000</v>
      </c>
      <c r="GI30" s="118">
        <f t="shared" si="616"/>
        <v>18000</v>
      </c>
      <c r="GJ30" s="119">
        <f t="shared" si="616"/>
        <v>0</v>
      </c>
      <c r="GK30" s="118">
        <f t="shared" si="616"/>
        <v>0</v>
      </c>
      <c r="GL30" s="120">
        <f t="shared" si="616"/>
        <v>0</v>
      </c>
      <c r="GM30" s="119">
        <f t="shared" si="616"/>
        <v>0</v>
      </c>
      <c r="GN30" s="118">
        <f t="shared" si="616"/>
        <v>0</v>
      </c>
      <c r="GO30" s="120">
        <f t="shared" si="616"/>
        <v>3517.4199999999996</v>
      </c>
      <c r="GP30" s="119">
        <f t="shared" si="616"/>
        <v>-3517.4199999999996</v>
      </c>
      <c r="GQ30" s="118">
        <f t="shared" si="616"/>
        <v>0</v>
      </c>
      <c r="GR30" s="120">
        <f t="shared" si="616"/>
        <v>0</v>
      </c>
      <c r="GS30" s="119">
        <f t="shared" si="616"/>
        <v>0</v>
      </c>
      <c r="GT30" s="118">
        <f t="shared" si="81"/>
        <v>18000</v>
      </c>
      <c r="GU30" s="121">
        <f>SUM(GU18:GU29)</f>
        <v>21517.42</v>
      </c>
      <c r="GV30" s="119">
        <f t="shared" ref="GV30:HH30" si="617">SUM(GV18:GV29)</f>
        <v>-3517.4199999999996</v>
      </c>
      <c r="GW30" s="117">
        <f t="shared" si="617"/>
        <v>30789.46</v>
      </c>
      <c r="GX30" s="118">
        <f t="shared" si="617"/>
        <v>30789.46</v>
      </c>
      <c r="GY30" s="119">
        <f t="shared" si="617"/>
        <v>0</v>
      </c>
      <c r="GZ30" s="118">
        <f t="shared" si="617"/>
        <v>0</v>
      </c>
      <c r="HA30" s="120">
        <f t="shared" si="617"/>
        <v>0</v>
      </c>
      <c r="HB30" s="119">
        <f t="shared" si="617"/>
        <v>0</v>
      </c>
      <c r="HC30" s="118">
        <f t="shared" si="617"/>
        <v>0</v>
      </c>
      <c r="HD30" s="120">
        <f t="shared" si="617"/>
        <v>0</v>
      </c>
      <c r="HE30" s="119">
        <f t="shared" si="617"/>
        <v>0</v>
      </c>
      <c r="HF30" s="118">
        <f t="shared" si="617"/>
        <v>600</v>
      </c>
      <c r="HG30" s="120">
        <f t="shared" si="617"/>
        <v>252.23000000000002</v>
      </c>
      <c r="HH30" s="119">
        <f t="shared" si="617"/>
        <v>347.77</v>
      </c>
      <c r="HI30" s="118">
        <f t="shared" si="84"/>
        <v>31389.46</v>
      </c>
      <c r="HJ30" s="121">
        <f>SUM(HJ18:HJ29)</f>
        <v>31041.69</v>
      </c>
      <c r="HK30" s="119">
        <f t="shared" ref="HK30:HW30" si="618">SUM(HK18:HK29)</f>
        <v>347.76999999999941</v>
      </c>
      <c r="HL30" s="117">
        <f t="shared" si="618"/>
        <v>31603.200000000001</v>
      </c>
      <c r="HM30" s="118">
        <f t="shared" si="618"/>
        <v>31603.200000000001</v>
      </c>
      <c r="HN30" s="119">
        <f t="shared" si="618"/>
        <v>0</v>
      </c>
      <c r="HO30" s="118">
        <f t="shared" si="618"/>
        <v>3341.28</v>
      </c>
      <c r="HP30" s="120">
        <f t="shared" si="618"/>
        <v>7703.58</v>
      </c>
      <c r="HQ30" s="119">
        <f t="shared" si="618"/>
        <v>-4362.3</v>
      </c>
      <c r="HR30" s="118">
        <f t="shared" si="618"/>
        <v>3200.88</v>
      </c>
      <c r="HS30" s="120">
        <f t="shared" si="618"/>
        <v>4742.7</v>
      </c>
      <c r="HT30" s="119">
        <f t="shared" si="618"/>
        <v>-1541.8199999999997</v>
      </c>
      <c r="HU30" s="118">
        <f t="shared" si="618"/>
        <v>1200</v>
      </c>
      <c r="HV30" s="120">
        <f t="shared" si="618"/>
        <v>252.87</v>
      </c>
      <c r="HW30" s="119">
        <f t="shared" si="618"/>
        <v>947.13</v>
      </c>
      <c r="HX30" s="118">
        <f t="shared" si="91"/>
        <v>39345.360000000001</v>
      </c>
      <c r="HY30" s="121">
        <f>SUM(HY18:HY29)</f>
        <v>44302.35</v>
      </c>
      <c r="HZ30" s="119">
        <f t="shared" ref="HZ30:IL30" si="619">SUM(HZ18:HZ29)</f>
        <v>-4956.99</v>
      </c>
      <c r="IA30" s="117">
        <f t="shared" si="619"/>
        <v>23556.959999999999</v>
      </c>
      <c r="IB30" s="118">
        <f t="shared" si="619"/>
        <v>23556.959999999999</v>
      </c>
      <c r="IC30" s="119">
        <f t="shared" si="619"/>
        <v>0</v>
      </c>
      <c r="ID30" s="118">
        <f t="shared" si="619"/>
        <v>0</v>
      </c>
      <c r="IE30" s="120">
        <f t="shared" si="619"/>
        <v>0</v>
      </c>
      <c r="IF30" s="119">
        <f t="shared" si="619"/>
        <v>0</v>
      </c>
      <c r="IG30" s="118">
        <f t="shared" si="619"/>
        <v>1622.8600000000001</v>
      </c>
      <c r="IH30" s="120">
        <f t="shared" si="619"/>
        <v>405.9</v>
      </c>
      <c r="II30" s="119">
        <f t="shared" si="619"/>
        <v>1216.96</v>
      </c>
      <c r="IJ30" s="118">
        <f t="shared" si="619"/>
        <v>1200</v>
      </c>
      <c r="IK30" s="120">
        <f t="shared" si="619"/>
        <v>523.26</v>
      </c>
      <c r="IL30" s="119">
        <f t="shared" si="619"/>
        <v>676.74</v>
      </c>
      <c r="IM30" s="118">
        <f t="shared" si="98"/>
        <v>26379.82</v>
      </c>
      <c r="IN30" s="121">
        <f>SUM(IN18:IN29)</f>
        <v>24486.120000000003</v>
      </c>
      <c r="IO30" s="119">
        <f t="shared" ref="IO30:JA30" si="620">SUM(IO18:IO29)</f>
        <v>1893.6999999999985</v>
      </c>
      <c r="IP30" s="117">
        <f t="shared" si="620"/>
        <v>20000</v>
      </c>
      <c r="IQ30" s="118">
        <f t="shared" si="620"/>
        <v>20000</v>
      </c>
      <c r="IR30" s="119">
        <f t="shared" si="620"/>
        <v>0</v>
      </c>
      <c r="IS30" s="118">
        <f t="shared" si="620"/>
        <v>0</v>
      </c>
      <c r="IT30" s="120">
        <f t="shared" si="620"/>
        <v>0</v>
      </c>
      <c r="IU30" s="119">
        <f t="shared" si="620"/>
        <v>0</v>
      </c>
      <c r="IV30" s="118">
        <f t="shared" si="620"/>
        <v>2745</v>
      </c>
      <c r="IW30" s="120">
        <f t="shared" si="620"/>
        <v>2909</v>
      </c>
      <c r="IX30" s="119">
        <f t="shared" si="620"/>
        <v>-164</v>
      </c>
      <c r="IY30" s="118">
        <f t="shared" si="620"/>
        <v>0</v>
      </c>
      <c r="IZ30" s="120">
        <f t="shared" si="620"/>
        <v>0</v>
      </c>
      <c r="JA30" s="119">
        <f t="shared" si="620"/>
        <v>0</v>
      </c>
      <c r="JB30" s="118">
        <f t="shared" si="105"/>
        <v>22745</v>
      </c>
      <c r="JC30" s="121">
        <f>SUM(JC18:JC29)</f>
        <v>22909</v>
      </c>
      <c r="JD30" s="119">
        <f t="shared" ref="JD30:JP30" si="621">SUM(JD18:JD29)</f>
        <v>-164</v>
      </c>
      <c r="JE30" s="117">
        <f t="shared" si="621"/>
        <v>22000</v>
      </c>
      <c r="JF30" s="118">
        <f t="shared" si="621"/>
        <v>22000</v>
      </c>
      <c r="JG30" s="119">
        <f t="shared" si="621"/>
        <v>0</v>
      </c>
      <c r="JH30" s="118">
        <f t="shared" si="621"/>
        <v>4865.8500000000004</v>
      </c>
      <c r="JI30" s="120">
        <f t="shared" si="621"/>
        <v>4865.8500000000004</v>
      </c>
      <c r="JJ30" s="119">
        <f t="shared" si="621"/>
        <v>0</v>
      </c>
      <c r="JK30" s="118">
        <f t="shared" si="621"/>
        <v>301.94</v>
      </c>
      <c r="JL30" s="120">
        <f t="shared" si="621"/>
        <v>2124.04</v>
      </c>
      <c r="JM30" s="119">
        <f t="shared" si="621"/>
        <v>-1822.1</v>
      </c>
      <c r="JN30" s="118">
        <f t="shared" si="621"/>
        <v>1200</v>
      </c>
      <c r="JO30" s="120">
        <f t="shared" si="621"/>
        <v>1602.23</v>
      </c>
      <c r="JP30" s="119">
        <f t="shared" si="621"/>
        <v>-402.23</v>
      </c>
      <c r="JQ30" s="118">
        <f t="shared" si="112"/>
        <v>28367.789999999997</v>
      </c>
      <c r="JR30" s="121">
        <f>SUM(JR18:JR29)</f>
        <v>30592.119999999995</v>
      </c>
      <c r="JS30" s="119">
        <f t="shared" ref="JS30:KE30" si="622">SUM(JS18:JS29)</f>
        <v>-2224.3300000000004</v>
      </c>
      <c r="JT30" s="117">
        <f t="shared" si="622"/>
        <v>66955.499999999985</v>
      </c>
      <c r="JU30" s="118">
        <f t="shared" si="622"/>
        <v>66955.499999999985</v>
      </c>
      <c r="JV30" s="119">
        <f t="shared" si="622"/>
        <v>0</v>
      </c>
      <c r="JW30" s="118">
        <f t="shared" si="622"/>
        <v>0</v>
      </c>
      <c r="JX30" s="120">
        <f t="shared" si="622"/>
        <v>0</v>
      </c>
      <c r="JY30" s="119">
        <f t="shared" si="622"/>
        <v>0</v>
      </c>
      <c r="JZ30" s="118">
        <f t="shared" si="622"/>
        <v>0</v>
      </c>
      <c r="KA30" s="120">
        <f t="shared" si="622"/>
        <v>0</v>
      </c>
      <c r="KB30" s="119">
        <f t="shared" si="622"/>
        <v>0</v>
      </c>
      <c r="KC30" s="118">
        <f t="shared" si="622"/>
        <v>1200</v>
      </c>
      <c r="KD30" s="120">
        <f t="shared" si="622"/>
        <v>856.78</v>
      </c>
      <c r="KE30" s="119">
        <f t="shared" si="622"/>
        <v>343.22</v>
      </c>
      <c r="KF30" s="118">
        <f t="shared" si="119"/>
        <v>68155.499999999985</v>
      </c>
      <c r="KG30" s="121">
        <f>SUM(KG18:KG29)</f>
        <v>67812.279999999984</v>
      </c>
      <c r="KH30" s="119">
        <f t="shared" ref="KH30:KT30" si="623">SUM(KH18:KH29)</f>
        <v>343.21999999999935</v>
      </c>
      <c r="KI30" s="117">
        <f t="shared" si="623"/>
        <v>50000</v>
      </c>
      <c r="KJ30" s="118">
        <f t="shared" si="623"/>
        <v>50000</v>
      </c>
      <c r="KK30" s="119">
        <f t="shared" si="623"/>
        <v>0</v>
      </c>
      <c r="KL30" s="118">
        <f t="shared" si="623"/>
        <v>0</v>
      </c>
      <c r="KM30" s="120">
        <f t="shared" si="623"/>
        <v>1139.5900000000001</v>
      </c>
      <c r="KN30" s="119">
        <f t="shared" si="623"/>
        <v>-1139.5900000000001</v>
      </c>
      <c r="KO30" s="118">
        <f t="shared" si="623"/>
        <v>0</v>
      </c>
      <c r="KP30" s="120">
        <f t="shared" si="623"/>
        <v>0</v>
      </c>
      <c r="KQ30" s="119">
        <f t="shared" si="623"/>
        <v>0</v>
      </c>
      <c r="KR30" s="118">
        <f t="shared" si="623"/>
        <v>0</v>
      </c>
      <c r="KS30" s="120">
        <f t="shared" si="623"/>
        <v>0</v>
      </c>
      <c r="KT30" s="119">
        <f t="shared" si="623"/>
        <v>0</v>
      </c>
      <c r="KU30" s="118">
        <f t="shared" si="1"/>
        <v>50000</v>
      </c>
      <c r="KV30" s="121">
        <f>SUM(KV18:KV29)</f>
        <v>51139.59</v>
      </c>
      <c r="KW30" s="119">
        <f>SUM(KW18:KW29)</f>
        <v>-1139.5900000000001</v>
      </c>
      <c r="KX30" s="122"/>
      <c r="KY30" s="123"/>
      <c r="KZ30" s="124"/>
      <c r="LA30" s="123"/>
      <c r="LB30" s="125"/>
      <c r="LC30" s="124"/>
      <c r="LD30" s="123"/>
      <c r="LE30" s="125"/>
      <c r="LF30" s="124"/>
      <c r="LG30" s="123"/>
      <c r="LH30" s="125"/>
      <c r="LI30" s="124"/>
      <c r="LJ30" s="123"/>
      <c r="LK30" s="126"/>
      <c r="LL30" s="124"/>
      <c r="LM30" s="117">
        <f t="shared" ref="LM30:LX30" si="624">SUM(LM18:LM29)</f>
        <v>20000</v>
      </c>
      <c r="LN30" s="118">
        <f t="shared" si="624"/>
        <v>20000</v>
      </c>
      <c r="LO30" s="119">
        <f t="shared" si="624"/>
        <v>0</v>
      </c>
      <c r="LP30" s="118">
        <f t="shared" si="624"/>
        <v>0</v>
      </c>
      <c r="LQ30" s="120">
        <f t="shared" si="624"/>
        <v>0</v>
      </c>
      <c r="LR30" s="119">
        <f t="shared" si="624"/>
        <v>0</v>
      </c>
      <c r="LS30" s="118">
        <f t="shared" si="624"/>
        <v>0</v>
      </c>
      <c r="LT30" s="120">
        <f t="shared" si="624"/>
        <v>0</v>
      </c>
      <c r="LU30" s="119">
        <f t="shared" si="624"/>
        <v>0</v>
      </c>
      <c r="LV30" s="118">
        <f t="shared" si="624"/>
        <v>600</v>
      </c>
      <c r="LW30" s="120">
        <f t="shared" si="624"/>
        <v>306.48</v>
      </c>
      <c r="LX30" s="119">
        <f t="shared" si="624"/>
        <v>293.52</v>
      </c>
      <c r="LY30" s="118">
        <f t="shared" si="124"/>
        <v>20600</v>
      </c>
      <c r="LZ30" s="121">
        <f>SUM(LZ18:LZ29)</f>
        <v>20306.480000000003</v>
      </c>
      <c r="MA30" s="119">
        <f t="shared" ref="MA30:MM30" si="625">SUM(MA18:MA29)</f>
        <v>293.5200000000001</v>
      </c>
      <c r="MB30" s="117">
        <f t="shared" si="625"/>
        <v>7800</v>
      </c>
      <c r="MC30" s="118">
        <f t="shared" si="625"/>
        <v>7800</v>
      </c>
      <c r="MD30" s="119">
        <f t="shared" si="625"/>
        <v>0</v>
      </c>
      <c r="ME30" s="118">
        <f t="shared" si="625"/>
        <v>12631.28</v>
      </c>
      <c r="MF30" s="120">
        <f t="shared" si="625"/>
        <v>12107.35</v>
      </c>
      <c r="MG30" s="119">
        <f t="shared" si="625"/>
        <v>523.93000000000006</v>
      </c>
      <c r="MH30" s="118">
        <f t="shared" si="625"/>
        <v>1118.01</v>
      </c>
      <c r="MI30" s="120">
        <f t="shared" si="625"/>
        <v>0</v>
      </c>
      <c r="MJ30" s="119">
        <f t="shared" si="625"/>
        <v>1118.01</v>
      </c>
      <c r="MK30" s="118">
        <f t="shared" si="625"/>
        <v>1200</v>
      </c>
      <c r="ML30" s="120">
        <f t="shared" si="625"/>
        <v>1445.2399999999998</v>
      </c>
      <c r="MM30" s="119">
        <f t="shared" si="625"/>
        <v>-245.24</v>
      </c>
      <c r="MN30" s="118">
        <f t="shared" si="131"/>
        <v>22749.289999999997</v>
      </c>
      <c r="MO30" s="121">
        <f>SUM(MO18:MO29)</f>
        <v>21352.59</v>
      </c>
      <c r="MP30" s="119">
        <f t="shared" ref="MP30:NB30" si="626">SUM(MP18:MP29)</f>
        <v>1396.7</v>
      </c>
      <c r="MQ30" s="117">
        <f t="shared" si="626"/>
        <v>17200</v>
      </c>
      <c r="MR30" s="118">
        <f t="shared" si="626"/>
        <v>17200</v>
      </c>
      <c r="MS30" s="119">
        <f t="shared" si="626"/>
        <v>0</v>
      </c>
      <c r="MT30" s="118">
        <f t="shared" si="626"/>
        <v>0</v>
      </c>
      <c r="MU30" s="120">
        <f t="shared" si="626"/>
        <v>0</v>
      </c>
      <c r="MV30" s="119">
        <f t="shared" si="626"/>
        <v>0</v>
      </c>
      <c r="MW30" s="118">
        <f t="shared" si="626"/>
        <v>0</v>
      </c>
      <c r="MX30" s="120">
        <f t="shared" si="626"/>
        <v>0</v>
      </c>
      <c r="MY30" s="119">
        <f t="shared" si="626"/>
        <v>0</v>
      </c>
      <c r="MZ30" s="118">
        <f t="shared" si="626"/>
        <v>0</v>
      </c>
      <c r="NA30" s="120">
        <f t="shared" si="626"/>
        <v>0</v>
      </c>
      <c r="NB30" s="119">
        <f t="shared" si="626"/>
        <v>0</v>
      </c>
      <c r="NC30" s="118">
        <f t="shared" si="138"/>
        <v>17200</v>
      </c>
      <c r="ND30" s="121">
        <f>SUM(ND18:ND29)</f>
        <v>17200</v>
      </c>
      <c r="NE30" s="119">
        <f t="shared" ref="NE30:NQ30" si="627">SUM(NE18:NE29)</f>
        <v>0</v>
      </c>
      <c r="NF30" s="117">
        <f t="shared" si="627"/>
        <v>12000</v>
      </c>
      <c r="NG30" s="118">
        <f t="shared" si="627"/>
        <v>12000</v>
      </c>
      <c r="NH30" s="119">
        <f t="shared" si="627"/>
        <v>0</v>
      </c>
      <c r="NI30" s="118">
        <f t="shared" si="627"/>
        <v>10642.440000000002</v>
      </c>
      <c r="NJ30" s="120">
        <f t="shared" si="627"/>
        <v>10474.550000000001</v>
      </c>
      <c r="NK30" s="119">
        <f t="shared" si="627"/>
        <v>167.89</v>
      </c>
      <c r="NL30" s="118">
        <f t="shared" si="627"/>
        <v>0</v>
      </c>
      <c r="NM30" s="120">
        <f t="shared" si="627"/>
        <v>0</v>
      </c>
      <c r="NN30" s="119">
        <f t="shared" si="627"/>
        <v>0</v>
      </c>
      <c r="NO30" s="118">
        <f t="shared" si="627"/>
        <v>1200</v>
      </c>
      <c r="NP30" s="120">
        <f t="shared" si="627"/>
        <v>595.63</v>
      </c>
      <c r="NQ30" s="119">
        <f t="shared" si="627"/>
        <v>604.37</v>
      </c>
      <c r="NR30" s="118">
        <f t="shared" si="145"/>
        <v>23842.440000000002</v>
      </c>
      <c r="NS30" s="121">
        <f>SUM(NS18:NS29)</f>
        <v>23070.179999999993</v>
      </c>
      <c r="NT30" s="119">
        <f t="shared" ref="NT30:OF30" si="628">SUM(NT18:NT29)</f>
        <v>772.26</v>
      </c>
      <c r="NU30" s="117">
        <f t="shared" si="628"/>
        <v>10368</v>
      </c>
      <c r="NV30" s="118">
        <f t="shared" si="628"/>
        <v>8640</v>
      </c>
      <c r="NW30" s="119">
        <f t="shared" si="628"/>
        <v>1728</v>
      </c>
      <c r="NX30" s="118">
        <f t="shared" si="628"/>
        <v>11736.360000000002</v>
      </c>
      <c r="NY30" s="120">
        <f t="shared" si="628"/>
        <v>11736.360000000002</v>
      </c>
      <c r="NZ30" s="119">
        <f t="shared" si="628"/>
        <v>0</v>
      </c>
      <c r="OA30" s="118">
        <f t="shared" si="628"/>
        <v>884.31</v>
      </c>
      <c r="OB30" s="120">
        <f t="shared" si="628"/>
        <v>1142.82</v>
      </c>
      <c r="OC30" s="119">
        <f t="shared" si="628"/>
        <v>-258.51</v>
      </c>
      <c r="OD30" s="118">
        <f t="shared" si="628"/>
        <v>1200</v>
      </c>
      <c r="OE30" s="120">
        <f t="shared" si="628"/>
        <v>1285.2199999999998</v>
      </c>
      <c r="OF30" s="119">
        <f t="shared" si="628"/>
        <v>-85.22</v>
      </c>
      <c r="OG30" s="118">
        <f t="shared" si="152"/>
        <v>24188.670000000002</v>
      </c>
      <c r="OH30" s="121">
        <f>SUM(OH18:OH29)</f>
        <v>22804.400000000001</v>
      </c>
      <c r="OI30" s="119">
        <f t="shared" ref="OI30:OU30" si="629">SUM(OI18:OI29)</f>
        <v>1384.27</v>
      </c>
      <c r="OJ30" s="117">
        <f t="shared" si="629"/>
        <v>16000</v>
      </c>
      <c r="OK30" s="118">
        <f t="shared" si="629"/>
        <v>16000</v>
      </c>
      <c r="OL30" s="119">
        <f t="shared" si="629"/>
        <v>0</v>
      </c>
      <c r="OM30" s="118">
        <f t="shared" si="629"/>
        <v>0</v>
      </c>
      <c r="ON30" s="120">
        <f t="shared" si="629"/>
        <v>0</v>
      </c>
      <c r="OO30" s="119">
        <f t="shared" si="629"/>
        <v>0</v>
      </c>
      <c r="OP30" s="118">
        <f t="shared" si="629"/>
        <v>0</v>
      </c>
      <c r="OQ30" s="120">
        <f t="shared" si="629"/>
        <v>3709.3</v>
      </c>
      <c r="OR30" s="119">
        <f t="shared" si="629"/>
        <v>-3709.3</v>
      </c>
      <c r="OS30" s="118">
        <f t="shared" si="629"/>
        <v>1200</v>
      </c>
      <c r="OT30" s="120">
        <f t="shared" si="629"/>
        <v>1045.9000000000001</v>
      </c>
      <c r="OU30" s="119">
        <f t="shared" si="629"/>
        <v>154.09999999999997</v>
      </c>
      <c r="OV30" s="118">
        <f t="shared" si="159"/>
        <v>17200</v>
      </c>
      <c r="OW30" s="121">
        <f>SUM(OW18:OW29)</f>
        <v>20755.199999999997</v>
      </c>
      <c r="OX30" s="119">
        <f t="shared" ref="OX30:PJ30" si="630">SUM(OX18:OX29)</f>
        <v>-3555.1999999999994</v>
      </c>
      <c r="OY30" s="117">
        <f t="shared" si="630"/>
        <v>15800</v>
      </c>
      <c r="OZ30" s="118">
        <f t="shared" si="630"/>
        <v>15800</v>
      </c>
      <c r="PA30" s="119">
        <f t="shared" si="630"/>
        <v>0</v>
      </c>
      <c r="PB30" s="118">
        <f t="shared" si="630"/>
        <v>0</v>
      </c>
      <c r="PC30" s="120">
        <f t="shared" si="630"/>
        <v>603.98</v>
      </c>
      <c r="PD30" s="119">
        <f t="shared" si="630"/>
        <v>-603.98</v>
      </c>
      <c r="PE30" s="118">
        <f t="shared" si="630"/>
        <v>0</v>
      </c>
      <c r="PF30" s="120">
        <f t="shared" si="630"/>
        <v>0</v>
      </c>
      <c r="PG30" s="119">
        <f t="shared" si="630"/>
        <v>0</v>
      </c>
      <c r="PH30" s="118">
        <f t="shared" si="630"/>
        <v>1200</v>
      </c>
      <c r="PI30" s="120">
        <f t="shared" si="630"/>
        <v>751.72000000000014</v>
      </c>
      <c r="PJ30" s="119">
        <f t="shared" si="630"/>
        <v>448.28</v>
      </c>
      <c r="PK30" s="118">
        <f t="shared" si="166"/>
        <v>17000</v>
      </c>
      <c r="PL30" s="121">
        <f>SUM(PL18:PL29)</f>
        <v>17155.700000000004</v>
      </c>
      <c r="PM30" s="119">
        <f t="shared" ref="PM30:PY30" si="631">SUM(PM18:PM29)</f>
        <v>-155.69999999999996</v>
      </c>
      <c r="PN30" s="117">
        <f t="shared" si="631"/>
        <v>16800</v>
      </c>
      <c r="PO30" s="118">
        <f t="shared" si="631"/>
        <v>16800</v>
      </c>
      <c r="PP30" s="119">
        <f t="shared" si="631"/>
        <v>0</v>
      </c>
      <c r="PQ30" s="118">
        <f t="shared" si="631"/>
        <v>0</v>
      </c>
      <c r="PR30" s="120">
        <f t="shared" si="631"/>
        <v>0</v>
      </c>
      <c r="PS30" s="119">
        <f t="shared" si="631"/>
        <v>0</v>
      </c>
      <c r="PT30" s="118">
        <f t="shared" si="631"/>
        <v>0</v>
      </c>
      <c r="PU30" s="120">
        <f t="shared" si="631"/>
        <v>0</v>
      </c>
      <c r="PV30" s="119">
        <f t="shared" si="631"/>
        <v>0</v>
      </c>
      <c r="PW30" s="118">
        <f t="shared" si="631"/>
        <v>1200</v>
      </c>
      <c r="PX30" s="120">
        <f t="shared" si="631"/>
        <v>1143.94</v>
      </c>
      <c r="PY30" s="119">
        <f t="shared" si="631"/>
        <v>56.059999999999974</v>
      </c>
      <c r="PZ30" s="118">
        <f t="shared" si="173"/>
        <v>18000</v>
      </c>
      <c r="QA30" s="121">
        <f>SUM(QA18:QA29)</f>
        <v>17943.939999999999</v>
      </c>
      <c r="QB30" s="119">
        <f t="shared" ref="QB30:QN30" si="632">SUM(QB18:QB29)</f>
        <v>56.059999999999945</v>
      </c>
      <c r="QC30" s="117">
        <f t="shared" si="632"/>
        <v>15000</v>
      </c>
      <c r="QD30" s="118">
        <f t="shared" si="632"/>
        <v>15000</v>
      </c>
      <c r="QE30" s="119">
        <f t="shared" si="632"/>
        <v>0</v>
      </c>
      <c r="QF30" s="118">
        <f t="shared" si="632"/>
        <v>0</v>
      </c>
      <c r="QG30" s="120">
        <f t="shared" si="632"/>
        <v>0</v>
      </c>
      <c r="QH30" s="119">
        <f t="shared" si="632"/>
        <v>0</v>
      </c>
      <c r="QI30" s="118">
        <f t="shared" si="632"/>
        <v>0</v>
      </c>
      <c r="QJ30" s="120">
        <f t="shared" si="632"/>
        <v>0</v>
      </c>
      <c r="QK30" s="119">
        <f t="shared" si="632"/>
        <v>0</v>
      </c>
      <c r="QL30" s="118">
        <f t="shared" si="632"/>
        <v>1200</v>
      </c>
      <c r="QM30" s="120">
        <f t="shared" si="632"/>
        <v>813.18999999999994</v>
      </c>
      <c r="QN30" s="119">
        <f t="shared" si="632"/>
        <v>386.81</v>
      </c>
      <c r="QO30" s="118">
        <f t="shared" si="180"/>
        <v>16200</v>
      </c>
      <c r="QP30" s="121">
        <f>SUM(QP18:QP29)</f>
        <v>15813.189999999999</v>
      </c>
      <c r="QQ30" s="119">
        <f t="shared" ref="QQ30:RC30" si="633">SUM(QQ18:QQ29)</f>
        <v>386.81</v>
      </c>
      <c r="QR30" s="117">
        <f t="shared" si="633"/>
        <v>15500</v>
      </c>
      <c r="QS30" s="118">
        <f t="shared" si="633"/>
        <v>15500</v>
      </c>
      <c r="QT30" s="119">
        <f t="shared" si="633"/>
        <v>0</v>
      </c>
      <c r="QU30" s="118">
        <f t="shared" si="633"/>
        <v>0</v>
      </c>
      <c r="QV30" s="120">
        <f t="shared" si="633"/>
        <v>0</v>
      </c>
      <c r="QW30" s="119">
        <f t="shared" si="633"/>
        <v>0</v>
      </c>
      <c r="QX30" s="118">
        <f t="shared" si="633"/>
        <v>0</v>
      </c>
      <c r="QY30" s="120">
        <f t="shared" si="633"/>
        <v>12517.14</v>
      </c>
      <c r="QZ30" s="119">
        <f t="shared" si="633"/>
        <v>-12517.14</v>
      </c>
      <c r="RA30" s="118">
        <f t="shared" si="633"/>
        <v>0</v>
      </c>
      <c r="RB30" s="120">
        <f t="shared" si="633"/>
        <v>0</v>
      </c>
      <c r="RC30" s="119">
        <f t="shared" si="633"/>
        <v>0</v>
      </c>
      <c r="RD30" s="118">
        <f t="shared" si="187"/>
        <v>15500</v>
      </c>
      <c r="RE30" s="121">
        <f>SUM(RE18:RE29)</f>
        <v>28017.14</v>
      </c>
      <c r="RF30" s="119">
        <f t="shared" ref="RF30:RR30" si="634">SUM(RF18:RF29)</f>
        <v>-12517.14</v>
      </c>
      <c r="RG30" s="117">
        <f t="shared" si="634"/>
        <v>15500</v>
      </c>
      <c r="RH30" s="118">
        <f t="shared" si="634"/>
        <v>15500</v>
      </c>
      <c r="RI30" s="119">
        <f t="shared" si="634"/>
        <v>0</v>
      </c>
      <c r="RJ30" s="118">
        <f t="shared" si="634"/>
        <v>0</v>
      </c>
      <c r="RK30" s="120">
        <f t="shared" si="634"/>
        <v>0</v>
      </c>
      <c r="RL30" s="119">
        <f t="shared" si="634"/>
        <v>0</v>
      </c>
      <c r="RM30" s="118">
        <f t="shared" si="634"/>
        <v>0</v>
      </c>
      <c r="RN30" s="120">
        <f t="shared" si="634"/>
        <v>7342.43</v>
      </c>
      <c r="RO30" s="119">
        <f t="shared" si="634"/>
        <v>-7342.43</v>
      </c>
      <c r="RP30" s="118">
        <f t="shared" si="634"/>
        <v>0</v>
      </c>
      <c r="RQ30" s="120">
        <f t="shared" si="634"/>
        <v>0</v>
      </c>
      <c r="RR30" s="119">
        <f t="shared" si="634"/>
        <v>0</v>
      </c>
      <c r="RS30" s="118">
        <f t="shared" si="194"/>
        <v>15500</v>
      </c>
      <c r="RT30" s="121">
        <f>SUM(RT18:RT29)</f>
        <v>22842.43</v>
      </c>
      <c r="RU30" s="119">
        <f t="shared" ref="RU30:SG30" si="635">SUM(RU18:RU29)</f>
        <v>-7342.43</v>
      </c>
      <c r="RV30" s="117">
        <f t="shared" si="635"/>
        <v>16500</v>
      </c>
      <c r="RW30" s="118">
        <f t="shared" si="635"/>
        <v>16500</v>
      </c>
      <c r="RX30" s="119">
        <f t="shared" si="635"/>
        <v>0</v>
      </c>
      <c r="RY30" s="118">
        <f t="shared" si="635"/>
        <v>0</v>
      </c>
      <c r="RZ30" s="120">
        <f t="shared" si="635"/>
        <v>0</v>
      </c>
      <c r="SA30" s="119">
        <f t="shared" si="635"/>
        <v>0</v>
      </c>
      <c r="SB30" s="118">
        <f t="shared" si="635"/>
        <v>0</v>
      </c>
      <c r="SC30" s="120">
        <f t="shared" si="635"/>
        <v>1375</v>
      </c>
      <c r="SD30" s="119">
        <f t="shared" si="635"/>
        <v>-1375</v>
      </c>
      <c r="SE30" s="118">
        <f t="shared" si="635"/>
        <v>1200</v>
      </c>
      <c r="SF30" s="120">
        <f t="shared" si="635"/>
        <v>822.58000000000015</v>
      </c>
      <c r="SG30" s="119">
        <f t="shared" si="635"/>
        <v>377.41999999999996</v>
      </c>
      <c r="SH30" s="118">
        <f t="shared" si="201"/>
        <v>17700</v>
      </c>
      <c r="SI30" s="121">
        <f>SUM(SI18:SI29)</f>
        <v>18697.580000000002</v>
      </c>
      <c r="SJ30" s="119">
        <f t="shared" ref="SJ30:SV30" si="636">SUM(SJ18:SJ29)</f>
        <v>-997.58000000000061</v>
      </c>
      <c r="SK30" s="117">
        <f t="shared" si="636"/>
        <v>17000</v>
      </c>
      <c r="SL30" s="118">
        <f t="shared" si="636"/>
        <v>17000</v>
      </c>
      <c r="SM30" s="119">
        <f t="shared" si="636"/>
        <v>0</v>
      </c>
      <c r="SN30" s="118">
        <f t="shared" si="636"/>
        <v>0</v>
      </c>
      <c r="SO30" s="120">
        <f t="shared" si="636"/>
        <v>0</v>
      </c>
      <c r="SP30" s="119">
        <f t="shared" si="636"/>
        <v>0</v>
      </c>
      <c r="SQ30" s="118">
        <f t="shared" si="636"/>
        <v>0</v>
      </c>
      <c r="SR30" s="120">
        <f t="shared" si="636"/>
        <v>0</v>
      </c>
      <c r="SS30" s="119">
        <f t="shared" si="636"/>
        <v>0</v>
      </c>
      <c r="ST30" s="118">
        <f t="shared" si="636"/>
        <v>1200</v>
      </c>
      <c r="SU30" s="120">
        <f t="shared" si="636"/>
        <v>969.3</v>
      </c>
      <c r="SV30" s="119">
        <f t="shared" si="636"/>
        <v>230.7</v>
      </c>
      <c r="SW30" s="118">
        <f t="shared" si="208"/>
        <v>18200</v>
      </c>
      <c r="SX30" s="121">
        <f>SUM(SX18:SX29)</f>
        <v>17969.3</v>
      </c>
      <c r="SY30" s="119">
        <f t="shared" ref="SY30:TK30" si="637">SUM(SY18:SY29)</f>
        <v>230.7000000000013</v>
      </c>
      <c r="SZ30" s="117">
        <f t="shared" si="637"/>
        <v>13167.28</v>
      </c>
      <c r="TA30" s="118">
        <f t="shared" si="637"/>
        <v>13674.19</v>
      </c>
      <c r="TB30" s="119">
        <f t="shared" si="637"/>
        <v>-506.91000000000008</v>
      </c>
      <c r="TC30" s="118">
        <f t="shared" si="637"/>
        <v>5598.9299999999994</v>
      </c>
      <c r="TD30" s="120">
        <f t="shared" si="637"/>
        <v>6341.079999999999</v>
      </c>
      <c r="TE30" s="119">
        <f t="shared" si="637"/>
        <v>-742.15000000000009</v>
      </c>
      <c r="TF30" s="118">
        <f t="shared" si="637"/>
        <v>0</v>
      </c>
      <c r="TG30" s="120">
        <f t="shared" si="637"/>
        <v>2616.84</v>
      </c>
      <c r="TH30" s="119">
        <f t="shared" si="637"/>
        <v>-2616.84</v>
      </c>
      <c r="TI30" s="118">
        <f t="shared" si="637"/>
        <v>1200</v>
      </c>
      <c r="TJ30" s="120">
        <f t="shared" si="637"/>
        <v>1248.53</v>
      </c>
      <c r="TK30" s="119">
        <f t="shared" si="637"/>
        <v>-48.529999999999944</v>
      </c>
      <c r="TL30" s="118">
        <f t="shared" si="215"/>
        <v>19966.21</v>
      </c>
      <c r="TM30" s="121">
        <f>SUM(TM18:TM29)</f>
        <v>23880.640000000003</v>
      </c>
      <c r="TN30" s="119">
        <f t="shared" ref="TN30:TZ30" si="638">SUM(TN18:TN29)</f>
        <v>-3914.4300000000007</v>
      </c>
      <c r="TO30" s="117">
        <f t="shared" si="638"/>
        <v>14000</v>
      </c>
      <c r="TP30" s="118">
        <f t="shared" si="638"/>
        <v>14000</v>
      </c>
      <c r="TQ30" s="119">
        <f t="shared" si="638"/>
        <v>0</v>
      </c>
      <c r="TR30" s="118">
        <f t="shared" si="638"/>
        <v>0</v>
      </c>
      <c r="TS30" s="120">
        <f t="shared" si="638"/>
        <v>0</v>
      </c>
      <c r="TT30" s="119">
        <f t="shared" si="638"/>
        <v>0</v>
      </c>
      <c r="TU30" s="118">
        <f t="shared" si="638"/>
        <v>0</v>
      </c>
      <c r="TV30" s="120">
        <f t="shared" si="638"/>
        <v>0</v>
      </c>
      <c r="TW30" s="119">
        <f t="shared" si="638"/>
        <v>0</v>
      </c>
      <c r="TX30" s="118">
        <f t="shared" si="638"/>
        <v>1200</v>
      </c>
      <c r="TY30" s="120">
        <f t="shared" si="638"/>
        <v>1100.1400000000001</v>
      </c>
      <c r="TZ30" s="119">
        <f t="shared" si="638"/>
        <v>99.859999999999985</v>
      </c>
      <c r="UA30" s="118">
        <f t="shared" si="222"/>
        <v>15200</v>
      </c>
      <c r="UB30" s="121">
        <f>SUM(UB18:UB29)</f>
        <v>15100.139999999998</v>
      </c>
      <c r="UC30" s="119">
        <f t="shared" ref="UC30:UO30" si="639">SUM(UC18:UC29)</f>
        <v>99.859999999999985</v>
      </c>
      <c r="UD30" s="117">
        <f t="shared" si="639"/>
        <v>13500</v>
      </c>
      <c r="UE30" s="118">
        <f t="shared" si="639"/>
        <v>13500</v>
      </c>
      <c r="UF30" s="119">
        <f t="shared" si="639"/>
        <v>0</v>
      </c>
      <c r="UG30" s="118">
        <f t="shared" si="639"/>
        <v>5925.3</v>
      </c>
      <c r="UH30" s="120">
        <f t="shared" si="639"/>
        <v>5925.3</v>
      </c>
      <c r="UI30" s="119">
        <f t="shared" si="639"/>
        <v>0</v>
      </c>
      <c r="UJ30" s="118">
        <f t="shared" si="639"/>
        <v>0</v>
      </c>
      <c r="UK30" s="120">
        <f t="shared" si="639"/>
        <v>0</v>
      </c>
      <c r="UL30" s="119">
        <f t="shared" si="639"/>
        <v>0</v>
      </c>
      <c r="UM30" s="118">
        <f t="shared" si="639"/>
        <v>1200</v>
      </c>
      <c r="UN30" s="120">
        <f t="shared" si="639"/>
        <v>208.84</v>
      </c>
      <c r="UO30" s="119">
        <f t="shared" si="639"/>
        <v>991.16</v>
      </c>
      <c r="UP30" s="118">
        <f t="shared" si="226"/>
        <v>20625.3</v>
      </c>
      <c r="UQ30" s="121">
        <f>SUM(UQ18:UQ29)</f>
        <v>19634.140000000003</v>
      </c>
      <c r="UR30" s="119">
        <f t="shared" ref="UR30:VD30" si="640">SUM(UR18:UR29)</f>
        <v>991.15999999999985</v>
      </c>
      <c r="US30" s="117">
        <f t="shared" si="640"/>
        <v>15000</v>
      </c>
      <c r="UT30" s="118">
        <f t="shared" si="640"/>
        <v>15000</v>
      </c>
      <c r="UU30" s="119">
        <f t="shared" si="640"/>
        <v>0</v>
      </c>
      <c r="UV30" s="118">
        <f t="shared" si="640"/>
        <v>0</v>
      </c>
      <c r="UW30" s="120">
        <f t="shared" si="640"/>
        <v>0</v>
      </c>
      <c r="UX30" s="119">
        <f t="shared" si="640"/>
        <v>0</v>
      </c>
      <c r="UY30" s="118">
        <f t="shared" si="640"/>
        <v>0</v>
      </c>
      <c r="UZ30" s="120">
        <f t="shared" si="640"/>
        <v>0</v>
      </c>
      <c r="VA30" s="119">
        <f t="shared" si="640"/>
        <v>0</v>
      </c>
      <c r="VB30" s="118">
        <f t="shared" si="640"/>
        <v>1200</v>
      </c>
      <c r="VC30" s="120">
        <f t="shared" si="640"/>
        <v>485.12</v>
      </c>
      <c r="VD30" s="119">
        <f t="shared" si="640"/>
        <v>714.88000000000011</v>
      </c>
      <c r="VE30" s="118">
        <f t="shared" si="233"/>
        <v>16200</v>
      </c>
      <c r="VF30" s="121">
        <f>SUM(VF18:VF29)</f>
        <v>15485.12</v>
      </c>
      <c r="VG30" s="119">
        <f t="shared" ref="VG30:VS30" si="641">SUM(VG18:VG29)</f>
        <v>714.88000000000011</v>
      </c>
      <c r="VH30" s="117">
        <f t="shared" si="641"/>
        <v>15600</v>
      </c>
      <c r="VI30" s="118">
        <f t="shared" si="641"/>
        <v>15600</v>
      </c>
      <c r="VJ30" s="119">
        <f t="shared" si="641"/>
        <v>0</v>
      </c>
      <c r="VK30" s="118">
        <f t="shared" si="641"/>
        <v>0</v>
      </c>
      <c r="VL30" s="120">
        <f t="shared" si="641"/>
        <v>0</v>
      </c>
      <c r="VM30" s="119">
        <f t="shared" si="641"/>
        <v>0</v>
      </c>
      <c r="VN30" s="118">
        <f t="shared" si="641"/>
        <v>0</v>
      </c>
      <c r="VO30" s="120">
        <f t="shared" si="641"/>
        <v>0</v>
      </c>
      <c r="VP30" s="119">
        <f t="shared" si="641"/>
        <v>0</v>
      </c>
      <c r="VQ30" s="118">
        <f t="shared" si="641"/>
        <v>1200</v>
      </c>
      <c r="VR30" s="120">
        <f t="shared" si="641"/>
        <v>808.02</v>
      </c>
      <c r="VS30" s="119">
        <f t="shared" si="641"/>
        <v>391.98</v>
      </c>
      <c r="VT30" s="118">
        <f t="shared" si="240"/>
        <v>16800</v>
      </c>
      <c r="VU30" s="121">
        <f>SUM(VU18:VU29)</f>
        <v>16408.02</v>
      </c>
      <c r="VV30" s="119">
        <f t="shared" ref="VV30:WH30" si="642">SUM(VV18:VV29)</f>
        <v>391.98</v>
      </c>
      <c r="VW30" s="117">
        <f t="shared" si="642"/>
        <v>15636</v>
      </c>
      <c r="VX30" s="118">
        <f t="shared" si="642"/>
        <v>26592.59</v>
      </c>
      <c r="VY30" s="119">
        <f t="shared" si="642"/>
        <v>-10956.59</v>
      </c>
      <c r="VZ30" s="118">
        <f t="shared" si="642"/>
        <v>0</v>
      </c>
      <c r="WA30" s="120">
        <f t="shared" si="642"/>
        <v>0</v>
      </c>
      <c r="WB30" s="119">
        <f t="shared" si="642"/>
        <v>0</v>
      </c>
      <c r="WC30" s="118">
        <f t="shared" si="642"/>
        <v>0</v>
      </c>
      <c r="WD30" s="120">
        <f t="shared" si="642"/>
        <v>0</v>
      </c>
      <c r="WE30" s="119">
        <f t="shared" si="642"/>
        <v>0</v>
      </c>
      <c r="WF30" s="118">
        <f t="shared" si="642"/>
        <v>0</v>
      </c>
      <c r="WG30" s="120">
        <f t="shared" si="642"/>
        <v>0</v>
      </c>
      <c r="WH30" s="119">
        <f t="shared" si="642"/>
        <v>0</v>
      </c>
      <c r="WI30" s="118">
        <f t="shared" si="247"/>
        <v>15636</v>
      </c>
      <c r="WJ30" s="121">
        <f>SUM(WJ18:WJ29)</f>
        <v>26592.59</v>
      </c>
      <c r="WK30" s="119">
        <f t="shared" ref="WK30:WW30" si="643">SUM(WK18:WK29)</f>
        <v>-10956.59</v>
      </c>
      <c r="WL30" s="117">
        <f t="shared" si="643"/>
        <v>16512.12</v>
      </c>
      <c r="WM30" s="118">
        <f t="shared" si="643"/>
        <v>16512.12</v>
      </c>
      <c r="WN30" s="119">
        <f t="shared" si="643"/>
        <v>0</v>
      </c>
      <c r="WO30" s="118">
        <f t="shared" si="643"/>
        <v>1674.24</v>
      </c>
      <c r="WP30" s="120">
        <f t="shared" si="643"/>
        <v>1255.68</v>
      </c>
      <c r="WQ30" s="119">
        <f t="shared" si="643"/>
        <v>418.56</v>
      </c>
      <c r="WR30" s="118">
        <f t="shared" si="643"/>
        <v>0</v>
      </c>
      <c r="WS30" s="120">
        <f t="shared" si="643"/>
        <v>0</v>
      </c>
      <c r="WT30" s="119">
        <f t="shared" si="643"/>
        <v>0</v>
      </c>
      <c r="WU30" s="118">
        <f t="shared" si="643"/>
        <v>1200</v>
      </c>
      <c r="WV30" s="120">
        <f t="shared" si="643"/>
        <v>692.44</v>
      </c>
      <c r="WW30" s="119">
        <f t="shared" si="643"/>
        <v>507.56000000000006</v>
      </c>
      <c r="WX30" s="118">
        <f t="shared" si="254"/>
        <v>19386.36</v>
      </c>
      <c r="WY30" s="121">
        <f>SUM(WY18:WY29)</f>
        <v>18460.239999999998</v>
      </c>
      <c r="WZ30" s="119">
        <f t="shared" ref="WZ30:XL30" si="644">SUM(WZ18:WZ29)</f>
        <v>926.12000000000012</v>
      </c>
      <c r="XA30" s="117">
        <f t="shared" si="644"/>
        <v>16500</v>
      </c>
      <c r="XB30" s="118">
        <f t="shared" si="644"/>
        <v>16500</v>
      </c>
      <c r="XC30" s="119">
        <f t="shared" si="644"/>
        <v>0</v>
      </c>
      <c r="XD30" s="118">
        <f t="shared" si="644"/>
        <v>0</v>
      </c>
      <c r="XE30" s="120">
        <f t="shared" si="644"/>
        <v>0</v>
      </c>
      <c r="XF30" s="119">
        <f t="shared" si="644"/>
        <v>0</v>
      </c>
      <c r="XG30" s="118">
        <f t="shared" si="644"/>
        <v>2170.4299999999998</v>
      </c>
      <c r="XH30" s="120">
        <f t="shared" si="644"/>
        <v>2548.11</v>
      </c>
      <c r="XI30" s="119">
        <f t="shared" si="644"/>
        <v>-377.68000000000029</v>
      </c>
      <c r="XJ30" s="118">
        <f t="shared" si="644"/>
        <v>1200</v>
      </c>
      <c r="XK30" s="120">
        <f t="shared" si="644"/>
        <v>1163.33</v>
      </c>
      <c r="XL30" s="119">
        <f t="shared" si="644"/>
        <v>36.669999999999987</v>
      </c>
      <c r="XM30" s="118">
        <f t="shared" si="261"/>
        <v>19870.43</v>
      </c>
      <c r="XN30" s="121">
        <f>SUM(XN18:XN29)</f>
        <v>20211.439999999999</v>
      </c>
      <c r="XO30" s="119">
        <f t="shared" ref="XO30:YA30" si="645">SUM(XO18:XO29)</f>
        <v>-341.00999999999959</v>
      </c>
      <c r="XP30" s="117">
        <f t="shared" si="645"/>
        <v>11004</v>
      </c>
      <c r="XQ30" s="118">
        <f t="shared" si="645"/>
        <v>9170</v>
      </c>
      <c r="XR30" s="119">
        <f t="shared" si="645"/>
        <v>1834</v>
      </c>
      <c r="XS30" s="118">
        <f t="shared" si="645"/>
        <v>7134.8400000000011</v>
      </c>
      <c r="XT30" s="120">
        <f t="shared" si="645"/>
        <v>7134.8400000000011</v>
      </c>
      <c r="XU30" s="119">
        <f t="shared" si="645"/>
        <v>0</v>
      </c>
      <c r="XV30" s="118">
        <f t="shared" si="645"/>
        <v>0</v>
      </c>
      <c r="XW30" s="120">
        <f t="shared" si="645"/>
        <v>289.61</v>
      </c>
      <c r="XX30" s="119">
        <f t="shared" si="645"/>
        <v>-289.61</v>
      </c>
      <c r="XY30" s="118">
        <f t="shared" si="645"/>
        <v>1200</v>
      </c>
      <c r="XZ30" s="120">
        <f t="shared" si="645"/>
        <v>922.05999999999983</v>
      </c>
      <c r="YA30" s="119">
        <f t="shared" si="645"/>
        <v>277.94000000000005</v>
      </c>
      <c r="YB30" s="118">
        <f t="shared" si="268"/>
        <v>19338.84</v>
      </c>
      <c r="YC30" s="121">
        <f>SUM(YC18:YC29)</f>
        <v>17516.510000000002</v>
      </c>
      <c r="YD30" s="119">
        <f t="shared" ref="YD30:YP30" si="646">SUM(YD18:YD29)</f>
        <v>1822.3300000000004</v>
      </c>
      <c r="YE30" s="117">
        <f t="shared" si="646"/>
        <v>10680</v>
      </c>
      <c r="YF30" s="118">
        <f t="shared" si="646"/>
        <v>8900</v>
      </c>
      <c r="YG30" s="119">
        <f t="shared" si="646"/>
        <v>1780</v>
      </c>
      <c r="YH30" s="118">
        <f t="shared" si="646"/>
        <v>8271.0899999999983</v>
      </c>
      <c r="YI30" s="120">
        <f t="shared" si="646"/>
        <v>8271.0899999999983</v>
      </c>
      <c r="YJ30" s="119">
        <f t="shared" si="646"/>
        <v>0</v>
      </c>
      <c r="YK30" s="118">
        <f t="shared" si="646"/>
        <v>0</v>
      </c>
      <c r="YL30" s="120">
        <f t="shared" si="646"/>
        <v>857.34</v>
      </c>
      <c r="YM30" s="119">
        <f t="shared" si="646"/>
        <v>-857.34</v>
      </c>
      <c r="YN30" s="118">
        <f t="shared" si="646"/>
        <v>1200</v>
      </c>
      <c r="YO30" s="120">
        <f t="shared" si="646"/>
        <v>917.60000000000014</v>
      </c>
      <c r="YP30" s="119">
        <f t="shared" si="646"/>
        <v>282.39999999999998</v>
      </c>
      <c r="YQ30" s="118">
        <f t="shared" si="275"/>
        <v>20151.089999999997</v>
      </c>
      <c r="YR30" s="121">
        <f>SUM(YR18:YR29)</f>
        <v>18946.030000000006</v>
      </c>
      <c r="YS30" s="119">
        <f t="shared" ref="YS30:ZE30" si="647">SUM(YS18:YS29)</f>
        <v>1205.0600000000004</v>
      </c>
      <c r="YT30" s="117">
        <f t="shared" si="647"/>
        <v>11184</v>
      </c>
      <c r="YU30" s="118">
        <f t="shared" si="647"/>
        <v>9320</v>
      </c>
      <c r="YV30" s="119">
        <f t="shared" si="647"/>
        <v>1864</v>
      </c>
      <c r="YW30" s="118">
        <f t="shared" si="647"/>
        <v>6498.239999999998</v>
      </c>
      <c r="YX30" s="120">
        <f t="shared" si="647"/>
        <v>6498.239999999998</v>
      </c>
      <c r="YY30" s="119">
        <f t="shared" si="647"/>
        <v>0</v>
      </c>
      <c r="YZ30" s="118">
        <f t="shared" si="647"/>
        <v>0</v>
      </c>
      <c r="ZA30" s="120">
        <f t="shared" si="647"/>
        <v>15.12</v>
      </c>
      <c r="ZB30" s="119">
        <f t="shared" si="647"/>
        <v>-15.12</v>
      </c>
      <c r="ZC30" s="118">
        <f t="shared" si="647"/>
        <v>1200</v>
      </c>
      <c r="ZD30" s="120">
        <f t="shared" si="647"/>
        <v>794.24000000000012</v>
      </c>
      <c r="ZE30" s="119">
        <f t="shared" si="647"/>
        <v>405.76</v>
      </c>
      <c r="ZF30" s="118">
        <f t="shared" si="282"/>
        <v>18882.239999999998</v>
      </c>
      <c r="ZG30" s="121">
        <f>SUM(ZG18:ZG29)</f>
        <v>16627.599999999999</v>
      </c>
      <c r="ZH30" s="119">
        <f t="shared" ref="ZH30:ZT30" si="648">SUM(ZH18:ZH29)</f>
        <v>2254.6400000000003</v>
      </c>
      <c r="ZI30" s="117">
        <f t="shared" si="648"/>
        <v>15000</v>
      </c>
      <c r="ZJ30" s="118">
        <f t="shared" si="648"/>
        <v>15000</v>
      </c>
      <c r="ZK30" s="119">
        <f t="shared" si="648"/>
        <v>0</v>
      </c>
      <c r="ZL30" s="118">
        <f t="shared" si="648"/>
        <v>0</v>
      </c>
      <c r="ZM30" s="120">
        <f t="shared" si="648"/>
        <v>0</v>
      </c>
      <c r="ZN30" s="119">
        <f t="shared" si="648"/>
        <v>0</v>
      </c>
      <c r="ZO30" s="118">
        <f t="shared" si="648"/>
        <v>0</v>
      </c>
      <c r="ZP30" s="120">
        <f t="shared" si="648"/>
        <v>1834.31</v>
      </c>
      <c r="ZQ30" s="119">
        <f t="shared" si="648"/>
        <v>-1834.31</v>
      </c>
      <c r="ZR30" s="118">
        <f t="shared" si="648"/>
        <v>1200</v>
      </c>
      <c r="ZS30" s="120">
        <f t="shared" si="648"/>
        <v>2824.09</v>
      </c>
      <c r="ZT30" s="119">
        <f t="shared" si="648"/>
        <v>-1624.09</v>
      </c>
      <c r="ZU30" s="118">
        <f t="shared" si="289"/>
        <v>16200</v>
      </c>
      <c r="ZV30" s="121">
        <f>SUM(ZV18:ZV29)</f>
        <v>19658.400000000001</v>
      </c>
      <c r="ZW30" s="119">
        <f>SUM(ZW18:ZW29)</f>
        <v>-3458.4</v>
      </c>
      <c r="ZX30" s="117">
        <f>SUM(ZX18:ZX29)</f>
        <v>296.52000000000004</v>
      </c>
      <c r="ZY30" s="118">
        <f>SUM(ZY18:ZY29)</f>
        <v>296.52000000000004</v>
      </c>
      <c r="ZZ30" s="119">
        <f>SUM(ZZ18:ZZ29)</f>
        <v>0</v>
      </c>
      <c r="AAA30" s="118">
        <f t="shared" si="293"/>
        <v>296.52000000000004</v>
      </c>
      <c r="AAB30" s="121">
        <f t="shared" si="293"/>
        <v>296.52000000000004</v>
      </c>
      <c r="AAC30" s="119">
        <f>SUM(AAC18:AAC29)</f>
        <v>0</v>
      </c>
      <c r="AAD30" s="127">
        <f t="shared" si="295"/>
        <v>1499667.13</v>
      </c>
      <c r="AAE30" s="128">
        <f t="shared" si="295"/>
        <v>1532983.93</v>
      </c>
      <c r="AAF30" s="129">
        <f t="shared" si="3"/>
        <v>1.0222161300554744</v>
      </c>
      <c r="AAG30" s="128">
        <f>SUM(AAG18:AAG29)</f>
        <v>33316.800000000083</v>
      </c>
    </row>
    <row r="31" spans="1:713" s="83" customFormat="1" ht="20" customHeight="1" x14ac:dyDescent="0.2">
      <c r="A31" s="57" t="s">
        <v>28</v>
      </c>
      <c r="B31" s="58" t="s">
        <v>136</v>
      </c>
      <c r="C31" s="59"/>
      <c r="D31" s="59"/>
      <c r="E31" s="60">
        <v>2024</v>
      </c>
      <c r="F31" s="61">
        <v>45292</v>
      </c>
      <c r="G31" s="62"/>
      <c r="H31" s="63"/>
      <c r="I31" s="64">
        <f t="shared" ref="I31:I42" si="649">G31-H31</f>
        <v>0</v>
      </c>
      <c r="J31" s="65">
        <v>4812.04</v>
      </c>
      <c r="K31" s="63">
        <v>4292.6499999999996</v>
      </c>
      <c r="L31" s="64">
        <f t="shared" ref="L31:L42" si="650">J31-K31</f>
        <v>519.39000000000033</v>
      </c>
      <c r="M31" s="65">
        <v>2500</v>
      </c>
      <c r="N31" s="63">
        <f>3243.96</f>
        <v>3243.96</v>
      </c>
      <c r="O31" s="64">
        <f t="shared" ref="O31:O42" si="651">M31-N31</f>
        <v>-743.96</v>
      </c>
      <c r="P31" s="65">
        <v>500</v>
      </c>
      <c r="Q31" s="63">
        <f>248.79</f>
        <v>248.79</v>
      </c>
      <c r="R31" s="64">
        <f t="shared" ref="R31:R42" si="652">P31-Q31</f>
        <v>251.21</v>
      </c>
      <c r="S31" s="65">
        <v>181</v>
      </c>
      <c r="T31" s="63">
        <v>181.79</v>
      </c>
      <c r="U31" s="64">
        <f t="shared" ref="U31:U42" si="653">S31-T31</f>
        <v>-0.78999999999999204</v>
      </c>
      <c r="V31" s="66">
        <f t="shared" ref="V31:W42" si="654">G31+J31+M31+P31+S31</f>
        <v>7993.04</v>
      </c>
      <c r="W31" s="67">
        <f t="shared" si="654"/>
        <v>7967.19</v>
      </c>
      <c r="X31" s="64">
        <f t="shared" ref="X31:X42" si="655">V31-W31</f>
        <v>25.850000000000364</v>
      </c>
      <c r="Y31" s="62">
        <v>1100</v>
      </c>
      <c r="Z31" s="63">
        <v>1100</v>
      </c>
      <c r="AA31" s="64">
        <f t="shared" ref="AA31:AA39" si="656">Y31-Z31</f>
        <v>0</v>
      </c>
      <c r="AB31" s="65"/>
      <c r="AC31" s="63"/>
      <c r="AD31" s="64">
        <f t="shared" ref="AD31:AD39" si="657">AB31-AC31</f>
        <v>0</v>
      </c>
      <c r="AE31" s="65"/>
      <c r="AF31" s="63"/>
      <c r="AG31" s="64">
        <f t="shared" ref="AG31:AG39" si="658">AE31-AF31</f>
        <v>0</v>
      </c>
      <c r="AH31" s="65"/>
      <c r="AI31" s="63"/>
      <c r="AJ31" s="64">
        <f t="shared" ref="AJ31:AJ39" si="659">AH31-AI31</f>
        <v>0</v>
      </c>
      <c r="AK31" s="66">
        <f t="shared" si="16"/>
        <v>1100</v>
      </c>
      <c r="AL31" s="67">
        <f t="shared" si="17"/>
        <v>1100</v>
      </c>
      <c r="AM31" s="64">
        <f t="shared" ref="AM31:AM42" si="660">AK31-AL31</f>
        <v>0</v>
      </c>
      <c r="AN31" s="62"/>
      <c r="AO31" s="63"/>
      <c r="AP31" s="64">
        <f>AN31-AO31</f>
        <v>0</v>
      </c>
      <c r="AQ31" s="65"/>
      <c r="AR31" s="63"/>
      <c r="AS31" s="64">
        <f t="shared" ref="AS31:AS42" si="661">AQ31-AR31</f>
        <v>0</v>
      </c>
      <c r="AT31" s="65">
        <v>2745</v>
      </c>
      <c r="AU31" s="63">
        <v>3000</v>
      </c>
      <c r="AV31" s="64">
        <f t="shared" ref="AV31:AV42" si="662">AT31-AU31</f>
        <v>-255</v>
      </c>
      <c r="AW31" s="65"/>
      <c r="AX31" s="63"/>
      <c r="AY31" s="64">
        <f t="shared" ref="AY31:AY42" si="663">AW31-AX31</f>
        <v>0</v>
      </c>
      <c r="AZ31" s="66">
        <f t="shared" si="23"/>
        <v>2745</v>
      </c>
      <c r="BA31" s="67">
        <f t="shared" ref="BA31:BA42" si="664">AO31+AR31+AU31++AX31</f>
        <v>3000</v>
      </c>
      <c r="BB31" s="64">
        <f t="shared" ref="BB31:BB42" si="665">AZ31-BA31</f>
        <v>-255</v>
      </c>
      <c r="BC31" s="62"/>
      <c r="BD31" s="63"/>
      <c r="BE31" s="64">
        <f t="shared" ref="BE31:BE42" si="666">BC31-BD31</f>
        <v>0</v>
      </c>
      <c r="BF31" s="65"/>
      <c r="BG31" s="63"/>
      <c r="BH31" s="64">
        <f t="shared" ref="BH31:BH42" si="667">BF31-BG31</f>
        <v>0</v>
      </c>
      <c r="BI31" s="65"/>
      <c r="BJ31" s="63"/>
      <c r="BK31" s="64">
        <f t="shared" ref="BK31:BK42" si="668">BI31-BJ31</f>
        <v>0</v>
      </c>
      <c r="BL31" s="65">
        <v>100</v>
      </c>
      <c r="BM31" s="63">
        <v>257.3</v>
      </c>
      <c r="BN31" s="64">
        <f t="shared" ref="BN31:BN42" si="669">BL31-BM31</f>
        <v>-157.30000000000001</v>
      </c>
      <c r="BO31" s="66">
        <f t="shared" si="30"/>
        <v>100</v>
      </c>
      <c r="BP31" s="67">
        <f t="shared" ref="BP31:BP42" si="670">BD31+BG31+BJ31++BM31</f>
        <v>257.3</v>
      </c>
      <c r="BQ31" s="64">
        <f t="shared" ref="BQ31:BQ42" si="671">BO31-BP31</f>
        <v>-157.30000000000001</v>
      </c>
      <c r="BR31" s="62">
        <v>789.83</v>
      </c>
      <c r="BS31" s="63">
        <v>789.83</v>
      </c>
      <c r="BT31" s="74"/>
      <c r="BU31" s="75"/>
      <c r="BV31" s="73"/>
      <c r="BW31" s="74"/>
      <c r="BX31" s="75"/>
      <c r="BY31" s="73"/>
      <c r="BZ31" s="74"/>
      <c r="CA31" s="75"/>
      <c r="CB31" s="73"/>
      <c r="CC31" s="74"/>
      <c r="CD31" s="66">
        <f t="shared" si="33"/>
        <v>789.83</v>
      </c>
      <c r="CE31" s="67">
        <f t="shared" ref="CE31:CE42" si="672">BS31+BV31+BY31++CB31</f>
        <v>789.83</v>
      </c>
      <c r="CF31" s="64">
        <f t="shared" ref="CF31:CF42" si="673">CD31-CE31</f>
        <v>0</v>
      </c>
      <c r="CG31" s="62"/>
      <c r="CH31" s="63"/>
      <c r="CI31" s="64">
        <f t="shared" ref="CI31:CI42" si="674">CG31-CH31</f>
        <v>0</v>
      </c>
      <c r="CJ31" s="65"/>
      <c r="CK31" s="63"/>
      <c r="CL31" s="64">
        <f t="shared" ref="CL31:CL42" si="675">CJ31-CK31</f>
        <v>0</v>
      </c>
      <c r="CM31" s="65">
        <v>2745</v>
      </c>
      <c r="CN31" s="63">
        <v>3000</v>
      </c>
      <c r="CO31" s="64">
        <f t="shared" ref="CO31:CO42" si="676">CM31-CN31</f>
        <v>-255</v>
      </c>
      <c r="CP31" s="65"/>
      <c r="CQ31" s="63"/>
      <c r="CR31" s="64">
        <f t="shared" ref="CR31:CR42" si="677">CP31-CQ31</f>
        <v>0</v>
      </c>
      <c r="CS31" s="66">
        <f t="shared" si="40"/>
        <v>2745</v>
      </c>
      <c r="CT31" s="67">
        <f t="shared" ref="CT31:CT42" si="678">CH31+CK31+CN31++CQ31</f>
        <v>3000</v>
      </c>
      <c r="CU31" s="64">
        <f t="shared" ref="CU31:CU42" si="679">CS31-CT31</f>
        <v>-255</v>
      </c>
      <c r="CV31" s="62">
        <v>2916.7</v>
      </c>
      <c r="CW31" s="63">
        <v>2916.7</v>
      </c>
      <c r="CX31" s="64">
        <f t="shared" ref="CX31:CX42" si="680">CV31-CW31</f>
        <v>0</v>
      </c>
      <c r="CY31" s="65"/>
      <c r="CZ31" s="63"/>
      <c r="DA31" s="64">
        <f t="shared" ref="DA31:DA42" si="681">CY31-CZ31</f>
        <v>0</v>
      </c>
      <c r="DB31" s="65"/>
      <c r="DC31" s="63"/>
      <c r="DD31" s="64">
        <f t="shared" ref="DD31:DD42" si="682">DB31-DC31</f>
        <v>0</v>
      </c>
      <c r="DE31" s="65"/>
      <c r="DF31" s="63"/>
      <c r="DG31" s="64">
        <f t="shared" ref="DG31:DG42" si="683">DE31-DF31</f>
        <v>0</v>
      </c>
      <c r="DH31" s="66">
        <f t="shared" si="43"/>
        <v>2916.7</v>
      </c>
      <c r="DI31" s="67">
        <f t="shared" ref="DI31:DI42" si="684">CW31+CZ31+DC31++DF31</f>
        <v>2916.7</v>
      </c>
      <c r="DJ31" s="64">
        <f t="shared" ref="DJ31:DJ42" si="685">DH31-DI31</f>
        <v>0</v>
      </c>
      <c r="DK31" s="62">
        <v>2400</v>
      </c>
      <c r="DL31" s="63">
        <v>2400</v>
      </c>
      <c r="DM31" s="64">
        <f t="shared" ref="DM31:DM42" si="686">DK31-DL31</f>
        <v>0</v>
      </c>
      <c r="DN31" s="65">
        <v>580</v>
      </c>
      <c r="DO31" s="63">
        <v>580</v>
      </c>
      <c r="DP31" s="64">
        <f t="shared" ref="DP31:DP42" si="687">DN31-DO31</f>
        <v>0</v>
      </c>
      <c r="DQ31" s="65"/>
      <c r="DR31" s="63"/>
      <c r="DS31" s="64">
        <f t="shared" ref="DS31:DS42" si="688">DQ31-DR31</f>
        <v>0</v>
      </c>
      <c r="DT31" s="65">
        <v>100</v>
      </c>
      <c r="DU31" s="63"/>
      <c r="DV31" s="64">
        <f t="shared" ref="DV31:DV42" si="689">DT31-DU31</f>
        <v>100</v>
      </c>
      <c r="DW31" s="66">
        <f t="shared" si="46"/>
        <v>3080</v>
      </c>
      <c r="DX31" s="67">
        <f t="shared" ref="DX31:DX42" si="690">DL31+DO31+DR31++DU31</f>
        <v>2980</v>
      </c>
      <c r="DY31" s="64">
        <f t="shared" ref="DY31:DY42" si="691">DW31-DX31</f>
        <v>100</v>
      </c>
      <c r="DZ31" s="62"/>
      <c r="EA31" s="63"/>
      <c r="EB31" s="64">
        <f t="shared" ref="EB31:EB42" si="692">DZ31-EA31</f>
        <v>0</v>
      </c>
      <c r="EC31" s="65"/>
      <c r="ED31" s="63"/>
      <c r="EE31" s="64">
        <f t="shared" ref="EE31:EE42" si="693">EC31-ED31</f>
        <v>0</v>
      </c>
      <c r="EF31" s="65"/>
      <c r="EG31" s="63"/>
      <c r="EH31" s="64">
        <f t="shared" ref="EH31:EH42" si="694">EF31-EG31</f>
        <v>0</v>
      </c>
      <c r="EI31" s="65">
        <v>100</v>
      </c>
      <c r="EJ31" s="63">
        <f>11.76</f>
        <v>11.76</v>
      </c>
      <c r="EK31" s="64">
        <f t="shared" ref="EK31:EK42" si="695">EI31-EJ31</f>
        <v>88.24</v>
      </c>
      <c r="EL31" s="66">
        <f t="shared" si="53"/>
        <v>100</v>
      </c>
      <c r="EM31" s="67">
        <f t="shared" ref="EM31:EM42" si="696">EA31+ED31+EG31++EJ31</f>
        <v>11.76</v>
      </c>
      <c r="EN31" s="64">
        <f t="shared" ref="EN31:EN42" si="697">EL31-EM31</f>
        <v>88.24</v>
      </c>
      <c r="EO31" s="62"/>
      <c r="EP31" s="63"/>
      <c r="EQ31" s="64">
        <f t="shared" ref="EQ31:EQ42" si="698">EO31-EP31</f>
        <v>0</v>
      </c>
      <c r="ER31" s="65"/>
      <c r="ES31" s="63"/>
      <c r="ET31" s="64">
        <f t="shared" ref="ET31:ET42" si="699">ER31-ES31</f>
        <v>0</v>
      </c>
      <c r="EU31" s="65"/>
      <c r="EV31" s="63"/>
      <c r="EW31" s="64">
        <f t="shared" ref="EW31:EW42" si="700">EU31-EV31</f>
        <v>0</v>
      </c>
      <c r="EX31" s="65">
        <v>100</v>
      </c>
      <c r="EY31" s="63"/>
      <c r="EZ31" s="64">
        <f t="shared" ref="EZ31:EZ42" si="701">EX31-EY31</f>
        <v>100</v>
      </c>
      <c r="FA31" s="66">
        <f t="shared" si="60"/>
        <v>100</v>
      </c>
      <c r="FB31" s="67">
        <f t="shared" ref="FB31:FB42" si="702">EP31+ES31+EV31++EY31</f>
        <v>0</v>
      </c>
      <c r="FC31" s="64">
        <f t="shared" ref="FC31:FC42" si="703">FA31-FB31</f>
        <v>100</v>
      </c>
      <c r="FD31" s="62"/>
      <c r="FE31" s="63"/>
      <c r="FF31" s="64">
        <f t="shared" ref="FF31:FF42" si="704">FD31-FE31</f>
        <v>0</v>
      </c>
      <c r="FG31" s="65"/>
      <c r="FH31" s="63"/>
      <c r="FI31" s="64">
        <f t="shared" ref="FI31:FI42" si="705">FG31-FH31</f>
        <v>0</v>
      </c>
      <c r="FJ31" s="65"/>
      <c r="FK31" s="63"/>
      <c r="FL31" s="64">
        <f t="shared" ref="FL31:FL42" si="706">FJ31-FK31</f>
        <v>0</v>
      </c>
      <c r="FM31" s="65">
        <v>100</v>
      </c>
      <c r="FN31" s="63"/>
      <c r="FO31" s="64">
        <f t="shared" ref="FO31:FO42" si="707">FM31-FN31</f>
        <v>100</v>
      </c>
      <c r="FP31" s="66">
        <f t="shared" si="67"/>
        <v>100</v>
      </c>
      <c r="FQ31" s="67">
        <f t="shared" ref="FQ31:FQ42" si="708">FE31+FH31+FK31++FN31</f>
        <v>0</v>
      </c>
      <c r="FR31" s="64">
        <f t="shared" ref="FR31:FR42" si="709">FP31-FQ31</f>
        <v>100</v>
      </c>
      <c r="FS31" s="62"/>
      <c r="FT31" s="63"/>
      <c r="FU31" s="64">
        <f t="shared" ref="FU31:FU42" si="710">FS31-FT31</f>
        <v>0</v>
      </c>
      <c r="FV31" s="65"/>
      <c r="FW31" s="63"/>
      <c r="FX31" s="64">
        <f t="shared" ref="FX31:FX42" si="711">FV31-FW31</f>
        <v>0</v>
      </c>
      <c r="FY31" s="65"/>
      <c r="FZ31" s="63"/>
      <c r="GA31" s="64">
        <f t="shared" ref="GA31:GA42" si="712">FY31-FZ31</f>
        <v>0</v>
      </c>
      <c r="GB31" s="65"/>
      <c r="GC31" s="63"/>
      <c r="GD31" s="64">
        <f t="shared" ref="GD31:GD42" si="713">GB31-GC31</f>
        <v>0</v>
      </c>
      <c r="GE31" s="66">
        <f t="shared" si="74"/>
        <v>0</v>
      </c>
      <c r="GF31" s="67">
        <f t="shared" ref="GF31:GF42" si="714">FT31+FW31+FZ31++GC31</f>
        <v>0</v>
      </c>
      <c r="GG31" s="64">
        <f t="shared" ref="GG31:GG42" si="715">GE31-GF31</f>
        <v>0</v>
      </c>
      <c r="GH31" s="62"/>
      <c r="GI31" s="63"/>
      <c r="GJ31" s="64">
        <f t="shared" ref="GJ31:GJ42" si="716">GH31-GI31</f>
        <v>0</v>
      </c>
      <c r="GK31" s="65"/>
      <c r="GL31" s="63"/>
      <c r="GM31" s="64">
        <f t="shared" ref="GM31:GM42" si="717">GK31-GL31</f>
        <v>0</v>
      </c>
      <c r="GN31" s="65"/>
      <c r="GO31" s="63"/>
      <c r="GP31" s="64">
        <f t="shared" ref="GP31:GP42" si="718">GN31-GO31</f>
        <v>0</v>
      </c>
      <c r="GQ31" s="65"/>
      <c r="GR31" s="63"/>
      <c r="GS31" s="64">
        <f t="shared" ref="GS31:GS42" si="719">GQ31-GR31</f>
        <v>0</v>
      </c>
      <c r="GT31" s="66">
        <f t="shared" si="81"/>
        <v>0</v>
      </c>
      <c r="GU31" s="67">
        <f t="shared" ref="GU31:GU42" si="720">GI31+GL31+GO31++GR31</f>
        <v>0</v>
      </c>
      <c r="GV31" s="64">
        <f t="shared" ref="GV31:GV42" si="721">GT31-GU31</f>
        <v>0</v>
      </c>
      <c r="GW31" s="62"/>
      <c r="GX31" s="63"/>
      <c r="GY31" s="64">
        <f t="shared" ref="GY31:GY42" si="722">GW31-GX31</f>
        <v>0</v>
      </c>
      <c r="GZ31" s="65"/>
      <c r="HA31" s="63"/>
      <c r="HB31" s="64">
        <f t="shared" ref="HB31:HB42" si="723">GZ31-HA31</f>
        <v>0</v>
      </c>
      <c r="HC31" s="65"/>
      <c r="HD31" s="63"/>
      <c r="HE31" s="64">
        <f t="shared" ref="HE31:HE42" si="724">HC31-HD31</f>
        <v>0</v>
      </c>
      <c r="HF31" s="65">
        <v>100</v>
      </c>
      <c r="HG31" s="63"/>
      <c r="HH31" s="64">
        <f t="shared" ref="HH31:HH42" si="725">HF31-HG31</f>
        <v>100</v>
      </c>
      <c r="HI31" s="66">
        <f t="shared" si="84"/>
        <v>100</v>
      </c>
      <c r="HJ31" s="67">
        <f t="shared" ref="HJ31:HJ42" si="726">GX31+HA31+HD31++HG31</f>
        <v>0</v>
      </c>
      <c r="HK31" s="64">
        <f t="shared" ref="HK31:HK42" si="727">HI31-HJ31</f>
        <v>100</v>
      </c>
      <c r="HL31" s="62"/>
      <c r="HM31" s="63"/>
      <c r="HN31" s="64">
        <f t="shared" ref="HN31:HN42" si="728">HL31-HM31</f>
        <v>0</v>
      </c>
      <c r="HO31" s="65"/>
      <c r="HP31" s="63"/>
      <c r="HQ31" s="64">
        <f t="shared" ref="HQ31:HQ42" si="729">HO31-HP31</f>
        <v>0</v>
      </c>
      <c r="HR31" s="65"/>
      <c r="HS31" s="63"/>
      <c r="HT31" s="64">
        <f t="shared" ref="HT31:HT42" si="730">HR31-HS31</f>
        <v>0</v>
      </c>
      <c r="HU31" s="65">
        <v>100</v>
      </c>
      <c r="HV31" s="63"/>
      <c r="HW31" s="64">
        <f t="shared" ref="HW31:HW42" si="731">HU31-HV31</f>
        <v>100</v>
      </c>
      <c r="HX31" s="66">
        <f t="shared" si="91"/>
        <v>100</v>
      </c>
      <c r="HY31" s="67">
        <f t="shared" ref="HY31:HY42" si="732">HM31+HP31+HS31++HV31</f>
        <v>0</v>
      </c>
      <c r="HZ31" s="64">
        <f t="shared" ref="HZ31:HZ42" si="733">HX31-HY31</f>
        <v>100</v>
      </c>
      <c r="IA31" s="62"/>
      <c r="IB31" s="63"/>
      <c r="IC31" s="64">
        <f t="shared" ref="IC31:IC42" si="734">IA31-IB31</f>
        <v>0</v>
      </c>
      <c r="ID31" s="65"/>
      <c r="IE31" s="63"/>
      <c r="IF31" s="64">
        <f t="shared" ref="IF31:IF42" si="735">ID31-IE31</f>
        <v>0</v>
      </c>
      <c r="IG31" s="65"/>
      <c r="IH31" s="63"/>
      <c r="II31" s="64">
        <f t="shared" ref="II31:II42" si="736">IG31-IH31</f>
        <v>0</v>
      </c>
      <c r="IJ31" s="65">
        <v>100</v>
      </c>
      <c r="IK31" s="63">
        <v>136.94</v>
      </c>
      <c r="IL31" s="64">
        <f t="shared" ref="IL31:IL42" si="737">IJ31-IK31</f>
        <v>-36.94</v>
      </c>
      <c r="IM31" s="66">
        <f t="shared" si="98"/>
        <v>100</v>
      </c>
      <c r="IN31" s="67">
        <f t="shared" ref="IN31:IN42" si="738">IB31+IE31+IH31++IK31</f>
        <v>136.94</v>
      </c>
      <c r="IO31" s="64">
        <f t="shared" ref="IO31:IO42" si="739">IM31-IN31</f>
        <v>-36.94</v>
      </c>
      <c r="IP31" s="62"/>
      <c r="IQ31" s="63"/>
      <c r="IR31" s="64">
        <f t="shared" ref="IR31:IR42" si="740">IP31-IQ31</f>
        <v>0</v>
      </c>
      <c r="IS31" s="65"/>
      <c r="IT31" s="63"/>
      <c r="IU31" s="64">
        <f t="shared" ref="IU31:IU42" si="741">IS31-IT31</f>
        <v>0</v>
      </c>
      <c r="IV31" s="65"/>
      <c r="IW31" s="63"/>
      <c r="IX31" s="64">
        <f t="shared" ref="IX31:IX42" si="742">IV31-IW31</f>
        <v>0</v>
      </c>
      <c r="IY31" s="65"/>
      <c r="IZ31" s="63"/>
      <c r="JA31" s="64">
        <f t="shared" ref="JA31:JA42" si="743">IY31-IZ31</f>
        <v>0</v>
      </c>
      <c r="JB31" s="66">
        <f t="shared" si="105"/>
        <v>0</v>
      </c>
      <c r="JC31" s="67">
        <f t="shared" ref="JC31:JC42" si="744">IQ31+IT31+IW31++IZ31</f>
        <v>0</v>
      </c>
      <c r="JD31" s="64">
        <f t="shared" ref="JD31:JD42" si="745">JB31-JC31</f>
        <v>0</v>
      </c>
      <c r="JE31" s="62"/>
      <c r="JF31" s="63"/>
      <c r="JG31" s="64">
        <f t="shared" ref="JG31:JG39" si="746">JE31-JF31</f>
        <v>0</v>
      </c>
      <c r="JH31" s="65">
        <v>442.35</v>
      </c>
      <c r="JI31" s="65">
        <f>442.35</f>
        <v>442.35</v>
      </c>
      <c r="JJ31" s="64">
        <f t="shared" ref="JJ31:JJ39" si="747">JH31-JI31</f>
        <v>0</v>
      </c>
      <c r="JK31" s="65"/>
      <c r="JL31" s="63"/>
      <c r="JM31" s="64">
        <f t="shared" ref="JM31:JM39" si="748">JK31-JL31</f>
        <v>0</v>
      </c>
      <c r="JN31" s="65">
        <v>100</v>
      </c>
      <c r="JO31" s="63"/>
      <c r="JP31" s="64">
        <f t="shared" ref="JP31:JP42" si="749">JN31-JO31</f>
        <v>100</v>
      </c>
      <c r="JQ31" s="66">
        <f t="shared" si="112"/>
        <v>542.35</v>
      </c>
      <c r="JR31" s="67">
        <f t="shared" ref="JR31:JR42" si="750">JF31+JI31+JL31++JO31</f>
        <v>442.35</v>
      </c>
      <c r="JS31" s="64">
        <f t="shared" ref="JS31:JS42" si="751">JQ31-JR31</f>
        <v>100</v>
      </c>
      <c r="JT31" s="62">
        <v>5615.92</v>
      </c>
      <c r="JU31" s="63">
        <v>5615.92</v>
      </c>
      <c r="JV31" s="64">
        <f t="shared" ref="JV31:JV39" si="752">JT31-JU31</f>
        <v>0</v>
      </c>
      <c r="JW31" s="65"/>
      <c r="JX31" s="63"/>
      <c r="JY31" s="64">
        <f t="shared" ref="JY31:JY39" si="753">JW31-JX31</f>
        <v>0</v>
      </c>
      <c r="JZ31" s="65"/>
      <c r="KA31" s="63"/>
      <c r="KB31" s="64">
        <f t="shared" ref="KB31:KB39" si="754">JZ31-KA31</f>
        <v>0</v>
      </c>
      <c r="KC31" s="65">
        <v>100</v>
      </c>
      <c r="KD31" s="63"/>
      <c r="KE31" s="64">
        <f t="shared" ref="KE31:KE42" si="755">KC31-KD31</f>
        <v>100</v>
      </c>
      <c r="KF31" s="66">
        <f t="shared" si="119"/>
        <v>5715.92</v>
      </c>
      <c r="KG31" s="67">
        <f t="shared" ref="KG31:KG42" si="756">JU31+JX31+KA31++KD31</f>
        <v>5615.92</v>
      </c>
      <c r="KH31" s="64">
        <f t="shared" ref="KH31:KH42" si="757">KF31-KG31</f>
        <v>100</v>
      </c>
      <c r="KI31" s="62"/>
      <c r="KJ31" s="63"/>
      <c r="KK31" s="64">
        <f t="shared" ref="KK31:KK42" si="758">KI31-KJ31</f>
        <v>0</v>
      </c>
      <c r="KL31" s="65"/>
      <c r="KM31" s="63"/>
      <c r="KN31" s="64">
        <f t="shared" ref="KN31:KN42" si="759">KL31-KM31</f>
        <v>0</v>
      </c>
      <c r="KO31" s="65"/>
      <c r="KP31" s="63"/>
      <c r="KQ31" s="64">
        <f t="shared" ref="KQ31:KQ42" si="760">KO31-KP31</f>
        <v>0</v>
      </c>
      <c r="KR31" s="65"/>
      <c r="KS31" s="63"/>
      <c r="KT31" s="64">
        <f t="shared" ref="KT31:KT42" si="761">KR31-KS31</f>
        <v>0</v>
      </c>
      <c r="KU31" s="66">
        <f t="shared" si="1"/>
        <v>0</v>
      </c>
      <c r="KV31" s="67">
        <f t="shared" ref="KV31:KV42" si="762">KJ31+KM31+KP31++KS31</f>
        <v>0</v>
      </c>
      <c r="KW31" s="64">
        <f t="shared" ref="KW31:KW42" si="763">KU31-KV31</f>
        <v>0</v>
      </c>
      <c r="KX31" s="72"/>
      <c r="KY31" s="73"/>
      <c r="KZ31" s="74"/>
      <c r="LA31" s="75"/>
      <c r="LB31" s="73"/>
      <c r="LC31" s="74"/>
      <c r="LD31" s="75"/>
      <c r="LE31" s="73"/>
      <c r="LF31" s="74"/>
      <c r="LG31" s="75"/>
      <c r="LH31" s="73"/>
      <c r="LI31" s="74"/>
      <c r="LJ31" s="76"/>
      <c r="LK31" s="77"/>
      <c r="LL31" s="74"/>
      <c r="LM31" s="62"/>
      <c r="LN31" s="63"/>
      <c r="LO31" s="64">
        <f t="shared" ref="LO31:LO42" si="764">LM31-LN31</f>
        <v>0</v>
      </c>
      <c r="LP31" s="65"/>
      <c r="LQ31" s="63"/>
      <c r="LR31" s="64">
        <f t="shared" ref="LR31:LR42" si="765">LP31-LQ31</f>
        <v>0</v>
      </c>
      <c r="LS31" s="65"/>
      <c r="LT31" s="63"/>
      <c r="LU31" s="64">
        <f t="shared" ref="LU31:LU42" si="766">LS31-LT31</f>
        <v>0</v>
      </c>
      <c r="LV31" s="65">
        <v>100</v>
      </c>
      <c r="LW31" s="63"/>
      <c r="LX31" s="64">
        <f t="shared" ref="LX31:LX42" si="767">LV31-LW31</f>
        <v>100</v>
      </c>
      <c r="LY31" s="66">
        <f t="shared" si="124"/>
        <v>100</v>
      </c>
      <c r="LZ31" s="67">
        <f t="shared" ref="LZ31:LZ42" si="768">LN31+LQ31+LT31++LW31</f>
        <v>0</v>
      </c>
      <c r="MA31" s="64">
        <f t="shared" ref="MA31:MA42" si="769">LY31-LZ31</f>
        <v>100</v>
      </c>
      <c r="MB31" s="62"/>
      <c r="MC31" s="63"/>
      <c r="MD31" s="64">
        <f t="shared" ref="MD31:MD42" si="770">MB31-MC31</f>
        <v>0</v>
      </c>
      <c r="ME31" s="65">
        <v>1050.2</v>
      </c>
      <c r="MF31" s="63"/>
      <c r="MG31" s="64">
        <f t="shared" ref="MG31:MG42" si="771">ME31-MF31</f>
        <v>1050.2</v>
      </c>
      <c r="MH31" s="65"/>
      <c r="MI31" s="63"/>
      <c r="MJ31" s="64">
        <f t="shared" ref="MJ31:MJ42" si="772">MH31-MI31</f>
        <v>0</v>
      </c>
      <c r="MK31" s="65">
        <v>100</v>
      </c>
      <c r="ML31" s="63"/>
      <c r="MM31" s="64">
        <f t="shared" ref="MM31:MM42" si="773">MK31-ML31</f>
        <v>100</v>
      </c>
      <c r="MN31" s="66">
        <f t="shared" si="131"/>
        <v>1150.2</v>
      </c>
      <c r="MO31" s="67">
        <f t="shared" ref="MO31:MO42" si="774">MC31+MF31+MI31++ML31</f>
        <v>0</v>
      </c>
      <c r="MP31" s="64">
        <f t="shared" ref="MP31:MP42" si="775">MN31-MO31</f>
        <v>1150.2</v>
      </c>
      <c r="MQ31" s="62"/>
      <c r="MR31" s="63"/>
      <c r="MS31" s="64">
        <f t="shared" ref="MS31:MS42" si="776">MQ31-MR31</f>
        <v>0</v>
      </c>
      <c r="MT31" s="65"/>
      <c r="MU31" s="63"/>
      <c r="MV31" s="64">
        <f t="shared" ref="MV31:MV42" si="777">MT31-MU31</f>
        <v>0</v>
      </c>
      <c r="MW31" s="65"/>
      <c r="MX31" s="63"/>
      <c r="MY31" s="64">
        <f t="shared" ref="MY31:MY42" si="778">MW31-MX31</f>
        <v>0</v>
      </c>
      <c r="MZ31" s="65"/>
      <c r="NA31" s="63"/>
      <c r="NB31" s="64">
        <f t="shared" ref="NB31:NB42" si="779">MZ31-NA31</f>
        <v>0</v>
      </c>
      <c r="NC31" s="66">
        <f t="shared" si="138"/>
        <v>0</v>
      </c>
      <c r="ND31" s="67">
        <f t="shared" ref="ND31:ND42" si="780">MR31+MU31+MX31++NA31</f>
        <v>0</v>
      </c>
      <c r="NE31" s="64">
        <f t="shared" ref="NE31:NE42" si="781">NC31-ND31</f>
        <v>0</v>
      </c>
      <c r="NF31" s="62"/>
      <c r="NG31" s="63">
        <v>1000</v>
      </c>
      <c r="NH31" s="64">
        <f t="shared" ref="NH31:NH42" si="782">NF31-NG31</f>
        <v>-1000</v>
      </c>
      <c r="NI31" s="65">
        <v>886.87</v>
      </c>
      <c r="NJ31" s="63">
        <v>886.87</v>
      </c>
      <c r="NK31" s="64">
        <f t="shared" ref="NK31:NK42" si="783">NI31-NJ31</f>
        <v>0</v>
      </c>
      <c r="NL31" s="65"/>
      <c r="NM31" s="63"/>
      <c r="NN31" s="64">
        <f t="shared" ref="NN31:NN42" si="784">NL31-NM31</f>
        <v>0</v>
      </c>
      <c r="NO31" s="65">
        <v>100</v>
      </c>
      <c r="NP31" s="63"/>
      <c r="NQ31" s="64">
        <f t="shared" ref="NQ31:NQ42" si="785">NO31-NP31</f>
        <v>100</v>
      </c>
      <c r="NR31" s="66">
        <f t="shared" si="145"/>
        <v>986.87</v>
      </c>
      <c r="NS31" s="67">
        <f t="shared" ref="NS31:NS42" si="786">NG31+NJ31+NM31++NP31</f>
        <v>1886.87</v>
      </c>
      <c r="NT31" s="64">
        <f t="shared" ref="NT31:NT42" si="787">NR31-NS31</f>
        <v>-899.99999999999989</v>
      </c>
      <c r="NU31" s="62"/>
      <c r="NV31" s="63"/>
      <c r="NW31" s="64">
        <f t="shared" ref="NW31:NW42" si="788">NU31-NV31</f>
        <v>0</v>
      </c>
      <c r="NX31" s="65">
        <v>1004.52</v>
      </c>
      <c r="NY31" s="63">
        <v>1004.52</v>
      </c>
      <c r="NZ31" s="64">
        <f t="shared" ref="NZ31:NZ42" si="789">NX31-NY31</f>
        <v>0</v>
      </c>
      <c r="OA31" s="65"/>
      <c r="OB31" s="63"/>
      <c r="OC31" s="64">
        <f t="shared" ref="OC31:OC42" si="790">OA31-OB31</f>
        <v>0</v>
      </c>
      <c r="OD31" s="65">
        <v>100</v>
      </c>
      <c r="OE31" s="63">
        <f>10.28</f>
        <v>10.28</v>
      </c>
      <c r="OF31" s="64">
        <f t="shared" ref="OF31:OF42" si="791">OD31-OE31</f>
        <v>89.72</v>
      </c>
      <c r="OG31" s="66">
        <f t="shared" si="152"/>
        <v>1104.52</v>
      </c>
      <c r="OH31" s="67">
        <f t="shared" ref="OH31:OH42" si="792">NV31+NY31+OB31++OE31</f>
        <v>1014.8</v>
      </c>
      <c r="OI31" s="64">
        <f t="shared" ref="OI31:OI42" si="793">OG31-OH31</f>
        <v>89.720000000000027</v>
      </c>
      <c r="OJ31" s="62"/>
      <c r="OK31" s="63"/>
      <c r="OL31" s="64">
        <f t="shared" ref="OL31:OL42" si="794">OJ31-OK31</f>
        <v>0</v>
      </c>
      <c r="OM31" s="65"/>
      <c r="ON31" s="63"/>
      <c r="OO31" s="64">
        <f t="shared" ref="OO31:OO42" si="795">OM31-ON31</f>
        <v>0</v>
      </c>
      <c r="OP31" s="65"/>
      <c r="OQ31" s="63"/>
      <c r="OR31" s="64">
        <f t="shared" ref="OR31:OR42" si="796">OP31-OQ31</f>
        <v>0</v>
      </c>
      <c r="OS31" s="65">
        <v>100</v>
      </c>
      <c r="OT31" s="63"/>
      <c r="OU31" s="64">
        <f t="shared" ref="OU31:OU42" si="797">OS31-OT31</f>
        <v>100</v>
      </c>
      <c r="OV31" s="66">
        <f t="shared" si="159"/>
        <v>100</v>
      </c>
      <c r="OW31" s="67">
        <f t="shared" ref="OW31:OW42" si="798">OK31+ON31+OQ31++OT31</f>
        <v>0</v>
      </c>
      <c r="OX31" s="64">
        <f t="shared" ref="OX31:OX42" si="799">OV31-OW31</f>
        <v>100</v>
      </c>
      <c r="OY31" s="62"/>
      <c r="OZ31" s="63"/>
      <c r="PA31" s="64">
        <f t="shared" ref="PA31:PA42" si="800">OY31-OZ31</f>
        <v>0</v>
      </c>
      <c r="PB31" s="65"/>
      <c r="PC31" s="63"/>
      <c r="PD31" s="64">
        <f t="shared" ref="PD31:PD42" si="801">PB31-PC31</f>
        <v>0</v>
      </c>
      <c r="PE31" s="65"/>
      <c r="PF31" s="63"/>
      <c r="PG31" s="64">
        <f t="shared" ref="PG31:PG42" si="802">PE31-PF31</f>
        <v>0</v>
      </c>
      <c r="PH31" s="65">
        <v>100</v>
      </c>
      <c r="PI31" s="63"/>
      <c r="PJ31" s="64">
        <f t="shared" ref="PJ31:PJ42" si="803">PH31-PI31</f>
        <v>100</v>
      </c>
      <c r="PK31" s="66">
        <f t="shared" si="166"/>
        <v>100</v>
      </c>
      <c r="PL31" s="67">
        <f t="shared" ref="PL31:PL42" si="804">OZ31+PC31+PF31++PI31</f>
        <v>0</v>
      </c>
      <c r="PM31" s="64">
        <f t="shared" ref="PM31:PM42" si="805">PK31-PL31</f>
        <v>100</v>
      </c>
      <c r="PN31" s="62">
        <v>1400</v>
      </c>
      <c r="PO31" s="63">
        <v>1400</v>
      </c>
      <c r="PP31" s="64">
        <f t="shared" ref="PP31:PP42" si="806">PN31-PO31</f>
        <v>0</v>
      </c>
      <c r="PQ31" s="65"/>
      <c r="PR31" s="63"/>
      <c r="PS31" s="64">
        <f t="shared" ref="PS31:PS42" si="807">PQ31-PR31</f>
        <v>0</v>
      </c>
      <c r="PT31" s="65"/>
      <c r="PU31" s="63"/>
      <c r="PV31" s="64">
        <f t="shared" ref="PV31:PV42" si="808">PT31-PU31</f>
        <v>0</v>
      </c>
      <c r="PW31" s="65">
        <v>100</v>
      </c>
      <c r="PX31" s="63"/>
      <c r="PY31" s="64">
        <f t="shared" ref="PY31:PY42" si="809">PW31-PX31</f>
        <v>100</v>
      </c>
      <c r="PZ31" s="66">
        <f t="shared" si="173"/>
        <v>1500</v>
      </c>
      <c r="QA31" s="67">
        <f t="shared" ref="QA31:QA42" si="810">PO31+PR31+PU31++PX31</f>
        <v>1400</v>
      </c>
      <c r="QB31" s="64">
        <f t="shared" ref="QB31:QB42" si="811">PZ31-QA31</f>
        <v>100</v>
      </c>
      <c r="QC31" s="62"/>
      <c r="QD31" s="63"/>
      <c r="QE31" s="64">
        <f t="shared" ref="QE31:QE42" si="812">QC31-QD31</f>
        <v>0</v>
      </c>
      <c r="QF31" s="65"/>
      <c r="QG31" s="63"/>
      <c r="QH31" s="64">
        <f t="shared" ref="QH31:QH42" si="813">QF31-QG31</f>
        <v>0</v>
      </c>
      <c r="QI31" s="65"/>
      <c r="QJ31" s="63"/>
      <c r="QK31" s="64">
        <f t="shared" ref="QK31:QK42" si="814">QI31-QJ31</f>
        <v>0</v>
      </c>
      <c r="QL31" s="65">
        <v>100</v>
      </c>
      <c r="QM31" s="63"/>
      <c r="QN31" s="64">
        <f t="shared" ref="QN31:QN42" si="815">QL31-QM31</f>
        <v>100</v>
      </c>
      <c r="QO31" s="66">
        <f t="shared" si="180"/>
        <v>100</v>
      </c>
      <c r="QP31" s="67">
        <f t="shared" ref="QP31:QP42" si="816">QD31+QG31+QJ31++QM31</f>
        <v>0</v>
      </c>
      <c r="QQ31" s="64">
        <f t="shared" ref="QQ31:QQ42" si="817">QO31-QP31</f>
        <v>100</v>
      </c>
      <c r="QR31" s="62"/>
      <c r="QS31" s="63"/>
      <c r="QT31" s="64">
        <f t="shared" ref="QT31:QT42" si="818">QR31-QS31</f>
        <v>0</v>
      </c>
      <c r="QU31" s="65"/>
      <c r="QV31" s="63"/>
      <c r="QW31" s="64">
        <f t="shared" ref="QW31:QW42" si="819">QU31-QV31</f>
        <v>0</v>
      </c>
      <c r="QX31" s="65"/>
      <c r="QY31" s="63"/>
      <c r="QZ31" s="64">
        <f t="shared" ref="QZ31:QZ42" si="820">QX31-QY31</f>
        <v>0</v>
      </c>
      <c r="RA31" s="65"/>
      <c r="RB31" s="63"/>
      <c r="RC31" s="64">
        <f t="shared" ref="RC31:RC42" si="821">RA31-RB31</f>
        <v>0</v>
      </c>
      <c r="RD31" s="66">
        <f t="shared" si="187"/>
        <v>0</v>
      </c>
      <c r="RE31" s="67">
        <f t="shared" ref="RE31:RE42" si="822">QS31+QV31+QY31++RB31</f>
        <v>0</v>
      </c>
      <c r="RF31" s="64">
        <f t="shared" ref="RF31:RF42" si="823">RD31-RE31</f>
        <v>0</v>
      </c>
      <c r="RG31" s="62"/>
      <c r="RH31" s="63"/>
      <c r="RI31" s="64">
        <f t="shared" ref="RI31:RI42" si="824">RG31-RH31</f>
        <v>0</v>
      </c>
      <c r="RJ31" s="65"/>
      <c r="RK31" s="63"/>
      <c r="RL31" s="64">
        <f t="shared" ref="RL31:RL42" si="825">RJ31-RK31</f>
        <v>0</v>
      </c>
      <c r="RM31" s="65"/>
      <c r="RN31" s="63"/>
      <c r="RO31" s="64">
        <f t="shared" ref="RO31:RO42" si="826">RM31-RN31</f>
        <v>0</v>
      </c>
      <c r="RP31" s="65"/>
      <c r="RQ31" s="63"/>
      <c r="RR31" s="64">
        <f t="shared" ref="RR31:RR42" si="827">RP31-RQ31</f>
        <v>0</v>
      </c>
      <c r="RS31" s="66">
        <f t="shared" si="194"/>
        <v>0</v>
      </c>
      <c r="RT31" s="67">
        <f t="shared" ref="RT31:RT42" si="828">RH31+RK31+RN31++RQ31</f>
        <v>0</v>
      </c>
      <c r="RU31" s="64">
        <f t="shared" ref="RU31:RU42" si="829">RS31-RT31</f>
        <v>0</v>
      </c>
      <c r="RV31" s="62"/>
      <c r="RW31" s="63"/>
      <c r="RX31" s="64">
        <f t="shared" ref="RX31:RX42" si="830">RV31-RW31</f>
        <v>0</v>
      </c>
      <c r="RY31" s="65"/>
      <c r="RZ31" s="63"/>
      <c r="SA31" s="64">
        <f t="shared" ref="SA31:SA42" si="831">RY31-RZ31</f>
        <v>0</v>
      </c>
      <c r="SB31" s="65"/>
      <c r="SC31" s="63"/>
      <c r="SD31" s="64">
        <f t="shared" ref="SD31:SD42" si="832">SB31-SC31</f>
        <v>0</v>
      </c>
      <c r="SE31" s="65">
        <v>100</v>
      </c>
      <c r="SF31" s="63"/>
      <c r="SG31" s="64">
        <f t="shared" ref="SG31:SG42" si="833">SE31-SF31</f>
        <v>100</v>
      </c>
      <c r="SH31" s="66">
        <f t="shared" si="201"/>
        <v>100</v>
      </c>
      <c r="SI31" s="67">
        <f t="shared" ref="SI31:SI42" si="834">RW31+RZ31+SC31++SF31</f>
        <v>0</v>
      </c>
      <c r="SJ31" s="64">
        <f t="shared" ref="SJ31:SJ42" si="835">SH31-SI31</f>
        <v>100</v>
      </c>
      <c r="SK31" s="62"/>
      <c r="SL31" s="63"/>
      <c r="SM31" s="64">
        <f t="shared" ref="SM31:SM42" si="836">SK31-SL31</f>
        <v>0</v>
      </c>
      <c r="SN31" s="65"/>
      <c r="SO31" s="63"/>
      <c r="SP31" s="64">
        <f t="shared" ref="SP31:SP42" si="837">SN31-SO31</f>
        <v>0</v>
      </c>
      <c r="SQ31" s="65"/>
      <c r="SR31" s="63"/>
      <c r="SS31" s="64">
        <f t="shared" ref="SS31:SS42" si="838">SQ31-SR31</f>
        <v>0</v>
      </c>
      <c r="ST31" s="65">
        <v>100</v>
      </c>
      <c r="SU31" s="63"/>
      <c r="SV31" s="64">
        <f t="shared" ref="SV31:SV42" si="839">ST31-SU31</f>
        <v>100</v>
      </c>
      <c r="SW31" s="66">
        <f t="shared" si="208"/>
        <v>100</v>
      </c>
      <c r="SX31" s="67">
        <f t="shared" ref="SX31:SX42" si="840">SL31+SO31+SR31++SU31</f>
        <v>0</v>
      </c>
      <c r="SY31" s="64">
        <f t="shared" ref="SY31:SY42" si="841">SW31-SX31</f>
        <v>100</v>
      </c>
      <c r="SZ31" s="62">
        <v>985.33</v>
      </c>
      <c r="TA31" s="63">
        <v>985.33</v>
      </c>
      <c r="TB31" s="64">
        <f t="shared" ref="TB31:TB42" si="842">SZ31-TA31</f>
        <v>0</v>
      </c>
      <c r="TC31" s="65">
        <v>700.9</v>
      </c>
      <c r="TD31" s="63">
        <v>700.9</v>
      </c>
      <c r="TE31" s="64">
        <f t="shared" ref="TE31:TE42" si="843">TC31-TD31</f>
        <v>0</v>
      </c>
      <c r="TF31" s="65"/>
      <c r="TG31" s="63"/>
      <c r="TH31" s="64">
        <f t="shared" ref="TH31:TH42" si="844">TF31-TG31</f>
        <v>0</v>
      </c>
      <c r="TI31" s="65">
        <v>100</v>
      </c>
      <c r="TJ31" s="63"/>
      <c r="TK31" s="64">
        <f t="shared" ref="TK31:TK42" si="845">TI31-TJ31</f>
        <v>100</v>
      </c>
      <c r="TL31" s="66">
        <f t="shared" si="215"/>
        <v>1786.23</v>
      </c>
      <c r="TM31" s="67">
        <f t="shared" ref="TM31:TM42" si="846">TA31+TD31+TG31++TJ31</f>
        <v>1686.23</v>
      </c>
      <c r="TN31" s="64">
        <f t="shared" ref="TN31:TN42" si="847">TL31-TM31</f>
        <v>100</v>
      </c>
      <c r="TO31" s="62"/>
      <c r="TP31" s="63"/>
      <c r="TQ31" s="64">
        <f t="shared" ref="TQ31:TQ42" si="848">TO31-TP31</f>
        <v>0</v>
      </c>
      <c r="TR31" s="65"/>
      <c r="TS31" s="63"/>
      <c r="TT31" s="64">
        <f t="shared" ref="TT31:TT42" si="849">TR31-TS31</f>
        <v>0</v>
      </c>
      <c r="TU31" s="65"/>
      <c r="TV31" s="63"/>
      <c r="TW31" s="64">
        <f t="shared" ref="TW31:TW42" si="850">TU31-TV31</f>
        <v>0</v>
      </c>
      <c r="TX31" s="65">
        <v>100</v>
      </c>
      <c r="TY31" s="63"/>
      <c r="TZ31" s="64">
        <f t="shared" ref="TZ31:TZ42" si="851">TX31-TY31</f>
        <v>100</v>
      </c>
      <c r="UA31" s="66">
        <f t="shared" si="222"/>
        <v>100</v>
      </c>
      <c r="UB31" s="67">
        <f t="shared" ref="UB31:UB42" si="852">TP31+TS31+TV31++TY31</f>
        <v>0</v>
      </c>
      <c r="UC31" s="64">
        <f t="shared" ref="UC31:UC42" si="853">UA31-UB31</f>
        <v>100</v>
      </c>
      <c r="UD31" s="62">
        <v>1125</v>
      </c>
      <c r="UE31" s="63">
        <v>1125</v>
      </c>
      <c r="UF31" s="64">
        <f t="shared" ref="UF31:UF42" si="854">UD31-UE31</f>
        <v>0</v>
      </c>
      <c r="UG31" s="65">
        <v>497.04</v>
      </c>
      <c r="UH31" s="63">
        <v>497.04</v>
      </c>
      <c r="UI31" s="64">
        <f t="shared" ref="UI31:UI42" si="855">UG31-UH31</f>
        <v>0</v>
      </c>
      <c r="UJ31" s="65"/>
      <c r="UK31" s="63"/>
      <c r="UL31" s="64">
        <f t="shared" ref="UL31:UL42" si="856">UJ31-UK31</f>
        <v>0</v>
      </c>
      <c r="UM31" s="65">
        <v>100</v>
      </c>
      <c r="UN31" s="63"/>
      <c r="UO31" s="64">
        <f t="shared" ref="UO31:UO42" si="857">UM31-UN31</f>
        <v>100</v>
      </c>
      <c r="UP31" s="66">
        <f t="shared" si="226"/>
        <v>1722.04</v>
      </c>
      <c r="UQ31" s="67">
        <f t="shared" ref="UQ31:UQ42" si="858">UE31+UH31+UK31++UN31</f>
        <v>1622.04</v>
      </c>
      <c r="UR31" s="64">
        <f t="shared" ref="UR31:UR42" si="859">UP31-UQ31</f>
        <v>100</v>
      </c>
      <c r="US31" s="130"/>
      <c r="UT31" s="77"/>
      <c r="UU31" s="131">
        <f>US31-UT31</f>
        <v>0</v>
      </c>
      <c r="UV31" s="76"/>
      <c r="UW31" s="77"/>
      <c r="UX31" s="131">
        <f>UV31-UW31</f>
        <v>0</v>
      </c>
      <c r="UY31" s="76"/>
      <c r="UZ31" s="77"/>
      <c r="VA31" s="131">
        <f>UY31-UZ31</f>
        <v>0</v>
      </c>
      <c r="VB31" s="76">
        <v>100</v>
      </c>
      <c r="VC31" s="77"/>
      <c r="VD31" s="131">
        <f>VB31-VC31</f>
        <v>100</v>
      </c>
      <c r="VE31" s="76">
        <f t="shared" si="233"/>
        <v>100</v>
      </c>
      <c r="VF31" s="77">
        <f t="shared" ref="VF31:VF42" si="860">UT31+UW31+UZ31++VC31</f>
        <v>0</v>
      </c>
      <c r="VG31" s="131">
        <f t="shared" ref="VG31:VG42" si="861">VE31-VF31</f>
        <v>100</v>
      </c>
      <c r="VH31" s="62"/>
      <c r="VI31" s="63"/>
      <c r="VJ31" s="64">
        <f t="shared" ref="VJ31:VJ42" si="862">VH31-VI31</f>
        <v>0</v>
      </c>
      <c r="VK31" s="65"/>
      <c r="VL31" s="63"/>
      <c r="VM31" s="64">
        <f t="shared" ref="VM31:VM42" si="863">VK31-VL31</f>
        <v>0</v>
      </c>
      <c r="VN31" s="65"/>
      <c r="VO31" s="63"/>
      <c r="VP31" s="64">
        <f t="shared" ref="VP31:VP42" si="864">VN31-VO31</f>
        <v>0</v>
      </c>
      <c r="VQ31" s="65">
        <v>100</v>
      </c>
      <c r="VR31" s="63"/>
      <c r="VS31" s="64">
        <f t="shared" ref="VS31:VS42" si="865">VQ31-VR31</f>
        <v>100</v>
      </c>
      <c r="VT31" s="66">
        <f t="shared" si="240"/>
        <v>100</v>
      </c>
      <c r="VU31" s="67">
        <f t="shared" ref="VU31:VU42" si="866">VI31+VL31+VO31++VR31</f>
        <v>0</v>
      </c>
      <c r="VV31" s="64">
        <f t="shared" ref="VV31:VV42" si="867">VT31-VU31</f>
        <v>100</v>
      </c>
      <c r="VW31" s="74"/>
      <c r="VX31" s="72"/>
      <c r="VY31" s="73"/>
      <c r="VZ31" s="74"/>
      <c r="WA31" s="75"/>
      <c r="WB31" s="73"/>
      <c r="WC31" s="74"/>
      <c r="WD31" s="75"/>
      <c r="WE31" s="73"/>
      <c r="WF31" s="74"/>
      <c r="WG31" s="75"/>
      <c r="WH31" s="73"/>
      <c r="WI31" s="74"/>
      <c r="WJ31" s="76"/>
      <c r="WK31" s="77"/>
      <c r="WL31" s="62">
        <v>1376.01</v>
      </c>
      <c r="WM31" s="63">
        <v>1376.01</v>
      </c>
      <c r="WN31" s="64">
        <f t="shared" ref="WN31:WN42" si="868">WL31-WM31</f>
        <v>0</v>
      </c>
      <c r="WO31" s="65">
        <v>418.56</v>
      </c>
      <c r="WP31" s="63"/>
      <c r="WQ31" s="64">
        <f t="shared" ref="WQ31:WQ42" si="869">WO31-WP31</f>
        <v>418.56</v>
      </c>
      <c r="WR31" s="65"/>
      <c r="WS31" s="63"/>
      <c r="WT31" s="64">
        <f t="shared" ref="WT31:WT42" si="870">WR31-WS31</f>
        <v>0</v>
      </c>
      <c r="WU31" s="65">
        <v>100</v>
      </c>
      <c r="WV31" s="63"/>
      <c r="WW31" s="64">
        <f t="shared" ref="WW31:WW42" si="871">WU31-WV31</f>
        <v>100</v>
      </c>
      <c r="WX31" s="66">
        <f t="shared" si="254"/>
        <v>1894.57</v>
      </c>
      <c r="WY31" s="67">
        <f t="shared" ref="WY31:WY42" si="872">WM31+WP31+WS31++WV31</f>
        <v>1376.01</v>
      </c>
      <c r="WZ31" s="64">
        <f t="shared" ref="WZ31:WZ42" si="873">WX31-WY31</f>
        <v>518.55999999999995</v>
      </c>
      <c r="XA31" s="62"/>
      <c r="XB31" s="63"/>
      <c r="XC31" s="64">
        <f t="shared" ref="XC31:XC42" si="874">XA31-XB31</f>
        <v>0</v>
      </c>
      <c r="XD31" s="65"/>
      <c r="XE31" s="63"/>
      <c r="XF31" s="64">
        <f t="shared" ref="XF31:XF42" si="875">XD31-XE31</f>
        <v>0</v>
      </c>
      <c r="XG31" s="65"/>
      <c r="XH31" s="63"/>
      <c r="XI31" s="64">
        <f t="shared" ref="XI31:XI42" si="876">XG31-XH31</f>
        <v>0</v>
      </c>
      <c r="XJ31" s="65">
        <v>100</v>
      </c>
      <c r="XK31" s="63">
        <f>71.22</f>
        <v>71.22</v>
      </c>
      <c r="XL31" s="64">
        <f t="shared" ref="XL31:XL42" si="877">XJ31-XK31</f>
        <v>28.78</v>
      </c>
      <c r="XM31" s="66">
        <f t="shared" si="261"/>
        <v>100</v>
      </c>
      <c r="XN31" s="67">
        <f t="shared" ref="XN31:XN42" si="878">XB31+XE31+XH31++XK31</f>
        <v>71.22</v>
      </c>
      <c r="XO31" s="64">
        <f t="shared" ref="XO31:XO42" si="879">XM31-XN31</f>
        <v>28.78</v>
      </c>
      <c r="XP31" s="62"/>
      <c r="XQ31" s="63"/>
      <c r="XR31" s="64">
        <f t="shared" ref="XR31:XR42" si="880">XP31-XQ31</f>
        <v>0</v>
      </c>
      <c r="XS31" s="65">
        <v>591.29999999999995</v>
      </c>
      <c r="XT31" s="63">
        <v>591.29999999999995</v>
      </c>
      <c r="XU31" s="64">
        <f t="shared" ref="XU31:XU42" si="881">XS31-XT31</f>
        <v>0</v>
      </c>
      <c r="XV31" s="65"/>
      <c r="XW31" s="63"/>
      <c r="XX31" s="64">
        <f t="shared" ref="XX31:XX42" si="882">XV31-XW31</f>
        <v>0</v>
      </c>
      <c r="XY31" s="65">
        <v>100</v>
      </c>
      <c r="XZ31" s="63"/>
      <c r="YA31" s="64">
        <f t="shared" ref="YA31:YA42" si="883">XY31-XZ31</f>
        <v>100</v>
      </c>
      <c r="YB31" s="66">
        <f t="shared" si="268"/>
        <v>691.3</v>
      </c>
      <c r="YC31" s="67">
        <f t="shared" ref="YC31:YC42" si="884">XQ31+XT31+XW31++XZ31</f>
        <v>591.29999999999995</v>
      </c>
      <c r="YD31" s="64">
        <f t="shared" ref="YD31:YD42" si="885">YB31-YC31</f>
        <v>100</v>
      </c>
      <c r="YE31" s="62"/>
      <c r="YF31" s="63"/>
      <c r="YG31" s="64">
        <f t="shared" ref="YG31:YG42" si="886">YE31-YF31</f>
        <v>0</v>
      </c>
      <c r="YH31" s="65">
        <v>725.15</v>
      </c>
      <c r="YI31" s="63">
        <v>725.15</v>
      </c>
      <c r="YJ31" s="64">
        <f t="shared" ref="YJ31:YJ42" si="887">YH31-YI31</f>
        <v>0</v>
      </c>
      <c r="YK31" s="65"/>
      <c r="YL31" s="63"/>
      <c r="YM31" s="64">
        <f t="shared" ref="YM31:YM42" si="888">YK31-YL31</f>
        <v>0</v>
      </c>
      <c r="YN31" s="65">
        <v>100</v>
      </c>
      <c r="YO31" s="63"/>
      <c r="YP31" s="64">
        <f t="shared" ref="YP31:YP42" si="889">YN31-YO31</f>
        <v>100</v>
      </c>
      <c r="YQ31" s="66">
        <f t="shared" si="275"/>
        <v>825.15</v>
      </c>
      <c r="YR31" s="67">
        <f t="shared" ref="YR31:YR42" si="890">YF31+YI31+YL31++YO31</f>
        <v>725.15</v>
      </c>
      <c r="YS31" s="64">
        <f t="shared" ref="YS31:YS42" si="891">YQ31-YR31</f>
        <v>100</v>
      </c>
      <c r="YT31" s="62"/>
      <c r="YU31" s="63"/>
      <c r="YV31" s="64">
        <f t="shared" ref="YV31:YV42" si="892">YT31-YU31</f>
        <v>0</v>
      </c>
      <c r="YW31" s="65">
        <v>513.28</v>
      </c>
      <c r="YX31" s="63">
        <v>513.28</v>
      </c>
      <c r="YY31" s="64">
        <f t="shared" ref="YY31:YY42" si="893">YW31-YX31</f>
        <v>0</v>
      </c>
      <c r="YZ31" s="65"/>
      <c r="ZA31" s="63"/>
      <c r="ZB31" s="64">
        <f t="shared" ref="ZB31:ZB42" si="894">YZ31-ZA31</f>
        <v>0</v>
      </c>
      <c r="ZC31" s="65">
        <v>100</v>
      </c>
      <c r="ZD31" s="63"/>
      <c r="ZE31" s="64">
        <f t="shared" ref="ZE31:ZE42" si="895">ZC31-ZD31</f>
        <v>100</v>
      </c>
      <c r="ZF31" s="66">
        <f t="shared" si="282"/>
        <v>613.28</v>
      </c>
      <c r="ZG31" s="67">
        <f t="shared" ref="ZG31:ZG42" si="896">YU31+YX31+ZA31++ZD31</f>
        <v>513.28</v>
      </c>
      <c r="ZH31" s="64">
        <f t="shared" ref="ZH31:ZH42" si="897">ZF31-ZG31</f>
        <v>100</v>
      </c>
      <c r="ZI31" s="62">
        <v>1250</v>
      </c>
      <c r="ZJ31" s="63">
        <v>1250</v>
      </c>
      <c r="ZK31" s="64">
        <f t="shared" ref="ZK31:ZK42" si="898">ZI31-ZJ31</f>
        <v>0</v>
      </c>
      <c r="ZL31" s="65"/>
      <c r="ZM31" s="63"/>
      <c r="ZN31" s="64">
        <f t="shared" ref="ZN31:ZN42" si="899">ZL31-ZM31</f>
        <v>0</v>
      </c>
      <c r="ZO31" s="65"/>
      <c r="ZP31" s="63"/>
      <c r="ZQ31" s="64">
        <f t="shared" ref="ZQ31:ZQ42" si="900">ZO31-ZP31</f>
        <v>0</v>
      </c>
      <c r="ZR31" s="65">
        <v>100</v>
      </c>
      <c r="ZS31" s="63"/>
      <c r="ZT31" s="64">
        <f t="shared" ref="ZT31:ZT42" si="901">ZR31-ZS31</f>
        <v>100</v>
      </c>
      <c r="ZU31" s="66">
        <f t="shared" si="289"/>
        <v>1350</v>
      </c>
      <c r="ZV31" s="67">
        <f t="shared" ref="ZV31:ZV42" si="902">ZJ31+ZM31+ZP31++ZS31</f>
        <v>1250</v>
      </c>
      <c r="ZW31" s="64">
        <f t="shared" ref="ZW31:ZW42" si="903">ZU31-ZV31</f>
        <v>100</v>
      </c>
      <c r="ZX31" s="62">
        <v>24.71</v>
      </c>
      <c r="ZY31" s="63">
        <v>24.71</v>
      </c>
      <c r="ZZ31" s="64">
        <f t="shared" ref="ZZ31:ZZ42" si="904">ZX31-ZY31</f>
        <v>0</v>
      </c>
      <c r="AAA31" s="66">
        <f t="shared" si="293"/>
        <v>24.71</v>
      </c>
      <c r="AAB31" s="67">
        <f t="shared" si="293"/>
        <v>24.71</v>
      </c>
      <c r="AAC31" s="64">
        <f t="shared" ref="AAC31:AAC42" si="905">AAA31-AAB31</f>
        <v>0</v>
      </c>
      <c r="AAD31" s="85">
        <f t="shared" si="295"/>
        <v>42952.000000000007</v>
      </c>
      <c r="AAE31" s="86">
        <f t="shared" si="295"/>
        <v>40354.89</v>
      </c>
      <c r="AAF31" s="87">
        <f t="shared" si="3"/>
        <v>0.93953459675917284</v>
      </c>
      <c r="AAG31" s="88">
        <f t="shared" ref="AAG31:AAG42" si="906">AAE31-AAD31</f>
        <v>-2597.1100000000079</v>
      </c>
      <c r="AAH31" s="59" t="s">
        <v>136</v>
      </c>
      <c r="AAI31" s="59"/>
      <c r="AAJ31" s="59"/>
      <c r="AAK31" s="60">
        <v>2024</v>
      </c>
    </row>
    <row r="32" spans="1:713" s="83" customFormat="1" ht="20" customHeight="1" x14ac:dyDescent="0.2">
      <c r="A32" s="84" t="s">
        <v>29</v>
      </c>
      <c r="B32" s="58"/>
      <c r="C32" s="59"/>
      <c r="D32" s="59"/>
      <c r="E32" s="60"/>
      <c r="F32" s="61">
        <v>45323</v>
      </c>
      <c r="G32" s="62"/>
      <c r="H32" s="63"/>
      <c r="I32" s="64">
        <f t="shared" si="649"/>
        <v>0</v>
      </c>
      <c r="J32" s="65">
        <v>4160.16</v>
      </c>
      <c r="K32" s="63">
        <v>4493.29</v>
      </c>
      <c r="L32" s="64">
        <f t="shared" si="650"/>
        <v>-333.13000000000011</v>
      </c>
      <c r="M32" s="65">
        <v>0</v>
      </c>
      <c r="N32" s="63"/>
      <c r="O32" s="64">
        <f t="shared" si="651"/>
        <v>0</v>
      </c>
      <c r="P32" s="65">
        <v>500</v>
      </c>
      <c r="Q32" s="63">
        <v>478.44</v>
      </c>
      <c r="R32" s="64">
        <f t="shared" si="652"/>
        <v>21.560000000000002</v>
      </c>
      <c r="S32" s="65">
        <v>181</v>
      </c>
      <c r="T32" s="63">
        <v>245.43</v>
      </c>
      <c r="U32" s="64">
        <f t="shared" si="653"/>
        <v>-64.430000000000007</v>
      </c>
      <c r="V32" s="66">
        <f t="shared" si="654"/>
        <v>4841.16</v>
      </c>
      <c r="W32" s="67">
        <f t="shared" si="654"/>
        <v>5217.16</v>
      </c>
      <c r="X32" s="64">
        <f t="shared" si="655"/>
        <v>-376</v>
      </c>
      <c r="Y32" s="62">
        <v>1100</v>
      </c>
      <c r="Z32" s="63">
        <v>1100</v>
      </c>
      <c r="AA32" s="64">
        <f t="shared" si="656"/>
        <v>0</v>
      </c>
      <c r="AB32" s="65"/>
      <c r="AC32" s="63"/>
      <c r="AD32" s="64">
        <f t="shared" si="657"/>
        <v>0</v>
      </c>
      <c r="AE32" s="65"/>
      <c r="AF32" s="63"/>
      <c r="AG32" s="64">
        <f t="shared" si="658"/>
        <v>0</v>
      </c>
      <c r="AH32" s="65"/>
      <c r="AI32" s="63"/>
      <c r="AJ32" s="64">
        <f t="shared" si="659"/>
        <v>0</v>
      </c>
      <c r="AK32" s="66">
        <f t="shared" si="16"/>
        <v>1100</v>
      </c>
      <c r="AL32" s="67">
        <f t="shared" si="17"/>
        <v>1100</v>
      </c>
      <c r="AM32" s="64">
        <f t="shared" si="660"/>
        <v>0</v>
      </c>
      <c r="AN32" s="62"/>
      <c r="AO32" s="63"/>
      <c r="AP32" s="64">
        <f t="shared" ref="AP32:AP42" si="907">AN32-AO32</f>
        <v>0</v>
      </c>
      <c r="AQ32" s="65"/>
      <c r="AR32" s="63"/>
      <c r="AS32" s="64">
        <f t="shared" si="661"/>
        <v>0</v>
      </c>
      <c r="AT32" s="65"/>
      <c r="AU32" s="63"/>
      <c r="AV32" s="64">
        <f t="shared" si="662"/>
        <v>0</v>
      </c>
      <c r="AW32" s="65"/>
      <c r="AX32" s="63"/>
      <c r="AY32" s="64">
        <f t="shared" si="663"/>
        <v>0</v>
      </c>
      <c r="AZ32" s="66">
        <f t="shared" si="23"/>
        <v>0</v>
      </c>
      <c r="BA32" s="67">
        <f t="shared" si="664"/>
        <v>0</v>
      </c>
      <c r="BB32" s="64">
        <f t="shared" si="665"/>
        <v>0</v>
      </c>
      <c r="BC32" s="62">
        <v>6150</v>
      </c>
      <c r="BD32" s="63">
        <v>6150</v>
      </c>
      <c r="BE32" s="64">
        <f t="shared" si="666"/>
        <v>0</v>
      </c>
      <c r="BF32" s="65"/>
      <c r="BG32" s="63"/>
      <c r="BH32" s="64">
        <f t="shared" si="667"/>
        <v>0</v>
      </c>
      <c r="BI32" s="65"/>
      <c r="BJ32" s="63"/>
      <c r="BK32" s="64">
        <f t="shared" si="668"/>
        <v>0</v>
      </c>
      <c r="BL32" s="65">
        <v>100</v>
      </c>
      <c r="BM32" s="63">
        <v>265.91000000000003</v>
      </c>
      <c r="BN32" s="64">
        <f t="shared" si="669"/>
        <v>-165.91000000000003</v>
      </c>
      <c r="BO32" s="66">
        <f t="shared" si="30"/>
        <v>6250</v>
      </c>
      <c r="BP32" s="67">
        <f t="shared" si="670"/>
        <v>6415.91</v>
      </c>
      <c r="BQ32" s="64">
        <f t="shared" si="671"/>
        <v>-165.90999999999985</v>
      </c>
      <c r="BR32" s="62">
        <v>789.83</v>
      </c>
      <c r="BS32" s="63">
        <v>789.83</v>
      </c>
      <c r="BT32" s="74"/>
      <c r="BU32" s="75"/>
      <c r="BV32" s="73"/>
      <c r="BW32" s="74"/>
      <c r="BX32" s="75"/>
      <c r="BY32" s="73"/>
      <c r="BZ32" s="74"/>
      <c r="CA32" s="75"/>
      <c r="CB32" s="73"/>
      <c r="CC32" s="74"/>
      <c r="CD32" s="66">
        <f t="shared" si="33"/>
        <v>789.83</v>
      </c>
      <c r="CE32" s="67">
        <f t="shared" si="672"/>
        <v>789.83</v>
      </c>
      <c r="CF32" s="64">
        <f t="shared" si="673"/>
        <v>0</v>
      </c>
      <c r="CG32" s="62"/>
      <c r="CH32" s="63"/>
      <c r="CI32" s="64">
        <f t="shared" si="674"/>
        <v>0</v>
      </c>
      <c r="CJ32" s="65"/>
      <c r="CK32" s="63"/>
      <c r="CL32" s="64">
        <f t="shared" si="675"/>
        <v>0</v>
      </c>
      <c r="CM32" s="65"/>
      <c r="CN32" s="63"/>
      <c r="CO32" s="64">
        <f t="shared" si="676"/>
        <v>0</v>
      </c>
      <c r="CP32" s="65"/>
      <c r="CQ32" s="63"/>
      <c r="CR32" s="64">
        <f t="shared" si="677"/>
        <v>0</v>
      </c>
      <c r="CS32" s="66">
        <f t="shared" si="40"/>
        <v>0</v>
      </c>
      <c r="CT32" s="67">
        <f t="shared" si="678"/>
        <v>0</v>
      </c>
      <c r="CU32" s="64">
        <f t="shared" si="679"/>
        <v>0</v>
      </c>
      <c r="CV32" s="62">
        <v>2916.7</v>
      </c>
      <c r="CW32" s="63">
        <v>2916.7</v>
      </c>
      <c r="CX32" s="64">
        <f t="shared" si="680"/>
        <v>0</v>
      </c>
      <c r="CY32" s="65"/>
      <c r="CZ32" s="63"/>
      <c r="DA32" s="64">
        <f t="shared" si="681"/>
        <v>0</v>
      </c>
      <c r="DB32" s="65"/>
      <c r="DC32" s="63"/>
      <c r="DD32" s="64">
        <f t="shared" si="682"/>
        <v>0</v>
      </c>
      <c r="DE32" s="65"/>
      <c r="DF32" s="63"/>
      <c r="DG32" s="64">
        <f t="shared" si="683"/>
        <v>0</v>
      </c>
      <c r="DH32" s="66">
        <f t="shared" si="43"/>
        <v>2916.7</v>
      </c>
      <c r="DI32" s="67">
        <f t="shared" si="684"/>
        <v>2916.7</v>
      </c>
      <c r="DJ32" s="64">
        <f t="shared" si="685"/>
        <v>0</v>
      </c>
      <c r="DK32" s="62">
        <v>2400</v>
      </c>
      <c r="DL32" s="63">
        <v>2400</v>
      </c>
      <c r="DM32" s="64">
        <f t="shared" si="686"/>
        <v>0</v>
      </c>
      <c r="DN32" s="65">
        <v>580</v>
      </c>
      <c r="DO32" s="63">
        <v>580</v>
      </c>
      <c r="DP32" s="64">
        <f t="shared" si="687"/>
        <v>0</v>
      </c>
      <c r="DQ32" s="65"/>
      <c r="DR32" s="63"/>
      <c r="DS32" s="64">
        <f t="shared" si="688"/>
        <v>0</v>
      </c>
      <c r="DT32" s="65">
        <v>100</v>
      </c>
      <c r="DU32" s="63">
        <v>103.33</v>
      </c>
      <c r="DV32" s="64">
        <f t="shared" si="689"/>
        <v>-3.3299999999999983</v>
      </c>
      <c r="DW32" s="66">
        <f t="shared" si="46"/>
        <v>3080</v>
      </c>
      <c r="DX32" s="67">
        <f t="shared" si="690"/>
        <v>3083.33</v>
      </c>
      <c r="DY32" s="64">
        <f t="shared" si="691"/>
        <v>-3.3299999999999272</v>
      </c>
      <c r="DZ32" s="62"/>
      <c r="EA32" s="63"/>
      <c r="EB32" s="64">
        <f t="shared" si="692"/>
        <v>0</v>
      </c>
      <c r="EC32" s="65"/>
      <c r="ED32" s="63"/>
      <c r="EE32" s="64">
        <f t="shared" si="693"/>
        <v>0</v>
      </c>
      <c r="EF32" s="65"/>
      <c r="EG32" s="63"/>
      <c r="EH32" s="64">
        <f t="shared" si="694"/>
        <v>0</v>
      </c>
      <c r="EI32" s="65">
        <v>100</v>
      </c>
      <c r="EJ32" s="63">
        <v>145.96</v>
      </c>
      <c r="EK32" s="64">
        <f t="shared" si="695"/>
        <v>-45.960000000000008</v>
      </c>
      <c r="EL32" s="66">
        <f t="shared" si="53"/>
        <v>100</v>
      </c>
      <c r="EM32" s="67">
        <f t="shared" si="696"/>
        <v>145.96</v>
      </c>
      <c r="EN32" s="64">
        <f t="shared" si="697"/>
        <v>-45.960000000000008</v>
      </c>
      <c r="EO32" s="62">
        <v>6150</v>
      </c>
      <c r="EP32" s="63">
        <v>6150</v>
      </c>
      <c r="EQ32" s="64">
        <f t="shared" si="698"/>
        <v>0</v>
      </c>
      <c r="ER32" s="65"/>
      <c r="ES32" s="63"/>
      <c r="ET32" s="64">
        <f t="shared" si="699"/>
        <v>0</v>
      </c>
      <c r="EU32" s="65"/>
      <c r="EV32" s="63"/>
      <c r="EW32" s="64">
        <f t="shared" si="700"/>
        <v>0</v>
      </c>
      <c r="EX32" s="65">
        <v>100</v>
      </c>
      <c r="EY32" s="63"/>
      <c r="EZ32" s="64">
        <f t="shared" si="701"/>
        <v>100</v>
      </c>
      <c r="FA32" s="66">
        <f t="shared" si="60"/>
        <v>6250</v>
      </c>
      <c r="FB32" s="67">
        <f t="shared" si="702"/>
        <v>6150</v>
      </c>
      <c r="FC32" s="64">
        <f t="shared" si="703"/>
        <v>100</v>
      </c>
      <c r="FD32" s="62">
        <v>6150</v>
      </c>
      <c r="FE32" s="63">
        <v>6150</v>
      </c>
      <c r="FF32" s="64">
        <f t="shared" si="704"/>
        <v>0</v>
      </c>
      <c r="FG32" s="65"/>
      <c r="FH32" s="63"/>
      <c r="FI32" s="64">
        <f t="shared" si="705"/>
        <v>0</v>
      </c>
      <c r="FJ32" s="65"/>
      <c r="FK32" s="63"/>
      <c r="FL32" s="64">
        <f t="shared" si="706"/>
        <v>0</v>
      </c>
      <c r="FM32" s="65">
        <v>100</v>
      </c>
      <c r="FN32" s="63"/>
      <c r="FO32" s="64">
        <f t="shared" si="707"/>
        <v>100</v>
      </c>
      <c r="FP32" s="66">
        <f t="shared" si="67"/>
        <v>6250</v>
      </c>
      <c r="FQ32" s="67">
        <f t="shared" si="708"/>
        <v>6150</v>
      </c>
      <c r="FR32" s="64">
        <f t="shared" si="709"/>
        <v>100</v>
      </c>
      <c r="FS32" s="62"/>
      <c r="FT32" s="63"/>
      <c r="FU32" s="64">
        <f t="shared" si="710"/>
        <v>0</v>
      </c>
      <c r="FV32" s="65"/>
      <c r="FW32" s="63"/>
      <c r="FX32" s="64">
        <f t="shared" si="711"/>
        <v>0</v>
      </c>
      <c r="FY32" s="65"/>
      <c r="FZ32" s="63"/>
      <c r="GA32" s="64">
        <f t="shared" si="712"/>
        <v>0</v>
      </c>
      <c r="GB32" s="65"/>
      <c r="GC32" s="63"/>
      <c r="GD32" s="64">
        <f t="shared" si="713"/>
        <v>0</v>
      </c>
      <c r="GE32" s="66">
        <f t="shared" si="74"/>
        <v>0</v>
      </c>
      <c r="GF32" s="67">
        <f t="shared" si="714"/>
        <v>0</v>
      </c>
      <c r="GG32" s="64">
        <f t="shared" si="715"/>
        <v>0</v>
      </c>
      <c r="GH32" s="62"/>
      <c r="GI32" s="63"/>
      <c r="GJ32" s="64">
        <f t="shared" si="716"/>
        <v>0</v>
      </c>
      <c r="GK32" s="65"/>
      <c r="GL32" s="63"/>
      <c r="GM32" s="64">
        <f t="shared" si="717"/>
        <v>0</v>
      </c>
      <c r="GN32" s="65"/>
      <c r="GO32" s="63"/>
      <c r="GP32" s="64">
        <f t="shared" si="718"/>
        <v>0</v>
      </c>
      <c r="GQ32" s="65"/>
      <c r="GR32" s="63"/>
      <c r="GS32" s="64">
        <f t="shared" si="719"/>
        <v>0</v>
      </c>
      <c r="GT32" s="66">
        <f t="shared" si="81"/>
        <v>0</v>
      </c>
      <c r="GU32" s="67">
        <f t="shared" si="720"/>
        <v>0</v>
      </c>
      <c r="GV32" s="64">
        <f t="shared" si="721"/>
        <v>0</v>
      </c>
      <c r="GW32" s="62"/>
      <c r="GX32" s="63"/>
      <c r="GY32" s="64">
        <f t="shared" si="722"/>
        <v>0</v>
      </c>
      <c r="GZ32" s="65"/>
      <c r="HA32" s="63"/>
      <c r="HB32" s="64">
        <f t="shared" si="723"/>
        <v>0</v>
      </c>
      <c r="HC32" s="65"/>
      <c r="HD32" s="63"/>
      <c r="HE32" s="64">
        <f t="shared" si="724"/>
        <v>0</v>
      </c>
      <c r="HF32" s="65">
        <v>100</v>
      </c>
      <c r="HG32" s="63"/>
      <c r="HH32" s="64">
        <f t="shared" si="725"/>
        <v>100</v>
      </c>
      <c r="HI32" s="66">
        <f t="shared" si="84"/>
        <v>100</v>
      </c>
      <c r="HJ32" s="67">
        <f t="shared" si="726"/>
        <v>0</v>
      </c>
      <c r="HK32" s="64">
        <f t="shared" si="727"/>
        <v>100</v>
      </c>
      <c r="HL32" s="62">
        <v>6150</v>
      </c>
      <c r="HM32" s="63">
        <v>6150</v>
      </c>
      <c r="HN32" s="64">
        <f t="shared" si="728"/>
        <v>0</v>
      </c>
      <c r="HO32" s="65"/>
      <c r="HP32" s="63"/>
      <c r="HQ32" s="64">
        <f t="shared" si="729"/>
        <v>0</v>
      </c>
      <c r="HR32" s="65"/>
      <c r="HS32" s="63"/>
      <c r="HT32" s="64">
        <f t="shared" si="730"/>
        <v>0</v>
      </c>
      <c r="HU32" s="65">
        <v>100</v>
      </c>
      <c r="HV32" s="63">
        <v>183.64</v>
      </c>
      <c r="HW32" s="64">
        <f t="shared" si="731"/>
        <v>-83.639999999999986</v>
      </c>
      <c r="HX32" s="66">
        <f t="shared" si="91"/>
        <v>6250</v>
      </c>
      <c r="HY32" s="67">
        <f t="shared" si="732"/>
        <v>6333.64</v>
      </c>
      <c r="HZ32" s="64">
        <f t="shared" si="733"/>
        <v>-83.640000000000327</v>
      </c>
      <c r="IA32" s="62"/>
      <c r="IB32" s="63"/>
      <c r="IC32" s="64">
        <f t="shared" si="734"/>
        <v>0</v>
      </c>
      <c r="ID32" s="65"/>
      <c r="IE32" s="63"/>
      <c r="IF32" s="64">
        <f t="shared" si="735"/>
        <v>0</v>
      </c>
      <c r="IG32" s="65"/>
      <c r="IH32" s="63"/>
      <c r="II32" s="64">
        <f t="shared" si="736"/>
        <v>0</v>
      </c>
      <c r="IJ32" s="65">
        <v>100</v>
      </c>
      <c r="IK32" s="63">
        <v>48.97</v>
      </c>
      <c r="IL32" s="64">
        <f t="shared" si="737"/>
        <v>51.03</v>
      </c>
      <c r="IM32" s="66">
        <f t="shared" si="98"/>
        <v>100</v>
      </c>
      <c r="IN32" s="67">
        <f t="shared" si="738"/>
        <v>48.97</v>
      </c>
      <c r="IO32" s="64">
        <f t="shared" si="739"/>
        <v>51.03</v>
      </c>
      <c r="IP32" s="62"/>
      <c r="IQ32" s="63"/>
      <c r="IR32" s="64">
        <f t="shared" si="740"/>
        <v>0</v>
      </c>
      <c r="IS32" s="65"/>
      <c r="IT32" s="63"/>
      <c r="IU32" s="64">
        <f t="shared" si="741"/>
        <v>0</v>
      </c>
      <c r="IV32" s="65"/>
      <c r="IW32" s="63"/>
      <c r="IX32" s="64">
        <f t="shared" si="742"/>
        <v>0</v>
      </c>
      <c r="IY32" s="65"/>
      <c r="IZ32" s="63"/>
      <c r="JA32" s="64">
        <f t="shared" si="743"/>
        <v>0</v>
      </c>
      <c r="JB32" s="66">
        <f t="shared" si="105"/>
        <v>0</v>
      </c>
      <c r="JC32" s="67">
        <f t="shared" si="744"/>
        <v>0</v>
      </c>
      <c r="JD32" s="64">
        <f t="shared" si="745"/>
        <v>0</v>
      </c>
      <c r="JE32" s="62"/>
      <c r="JF32" s="63"/>
      <c r="JG32" s="64">
        <f t="shared" si="746"/>
        <v>0</v>
      </c>
      <c r="JH32" s="65">
        <v>442.35</v>
      </c>
      <c r="JI32" s="65">
        <v>442.35</v>
      </c>
      <c r="JJ32" s="64">
        <f t="shared" si="747"/>
        <v>0</v>
      </c>
      <c r="JK32" s="65">
        <v>1000</v>
      </c>
      <c r="JL32" s="63"/>
      <c r="JM32" s="64">
        <f t="shared" si="748"/>
        <v>1000</v>
      </c>
      <c r="JN32" s="65">
        <v>100</v>
      </c>
      <c r="JO32" s="63"/>
      <c r="JP32" s="64">
        <f t="shared" si="749"/>
        <v>100</v>
      </c>
      <c r="JQ32" s="66">
        <f t="shared" si="112"/>
        <v>1542.35</v>
      </c>
      <c r="JR32" s="67">
        <f t="shared" si="750"/>
        <v>442.35</v>
      </c>
      <c r="JS32" s="64">
        <f t="shared" si="751"/>
        <v>1100</v>
      </c>
      <c r="JT32" s="62">
        <v>5615.92</v>
      </c>
      <c r="JU32" s="63">
        <v>5615.92</v>
      </c>
      <c r="JV32" s="64">
        <f t="shared" si="752"/>
        <v>0</v>
      </c>
      <c r="JW32" s="65"/>
      <c r="JX32" s="63"/>
      <c r="JY32" s="64">
        <f t="shared" si="753"/>
        <v>0</v>
      </c>
      <c r="JZ32" s="65"/>
      <c r="KA32" s="63"/>
      <c r="KB32" s="64">
        <f t="shared" si="754"/>
        <v>0</v>
      </c>
      <c r="KC32" s="65">
        <v>100</v>
      </c>
      <c r="KD32" s="63">
        <f>53.82</f>
        <v>53.82</v>
      </c>
      <c r="KE32" s="64">
        <f t="shared" si="755"/>
        <v>46.18</v>
      </c>
      <c r="KF32" s="66">
        <f t="shared" si="119"/>
        <v>5715.92</v>
      </c>
      <c r="KG32" s="67">
        <f t="shared" si="756"/>
        <v>5669.74</v>
      </c>
      <c r="KH32" s="64">
        <f t="shared" si="757"/>
        <v>46.180000000000291</v>
      </c>
      <c r="KI32" s="62"/>
      <c r="KJ32" s="63"/>
      <c r="KK32" s="64">
        <f t="shared" si="758"/>
        <v>0</v>
      </c>
      <c r="KL32" s="65"/>
      <c r="KM32" s="63"/>
      <c r="KN32" s="64">
        <f t="shared" si="759"/>
        <v>0</v>
      </c>
      <c r="KO32" s="65"/>
      <c r="KP32" s="63"/>
      <c r="KQ32" s="64">
        <f t="shared" si="760"/>
        <v>0</v>
      </c>
      <c r="KR32" s="65"/>
      <c r="KS32" s="63"/>
      <c r="KT32" s="64">
        <f t="shared" si="761"/>
        <v>0</v>
      </c>
      <c r="KU32" s="66">
        <f t="shared" si="1"/>
        <v>0</v>
      </c>
      <c r="KV32" s="67">
        <f t="shared" si="762"/>
        <v>0</v>
      </c>
      <c r="KW32" s="64">
        <f t="shared" si="763"/>
        <v>0</v>
      </c>
      <c r="KX32" s="72"/>
      <c r="KY32" s="73"/>
      <c r="KZ32" s="74"/>
      <c r="LA32" s="75"/>
      <c r="LB32" s="73"/>
      <c r="LC32" s="74"/>
      <c r="LD32" s="75"/>
      <c r="LE32" s="73"/>
      <c r="LF32" s="74"/>
      <c r="LG32" s="75"/>
      <c r="LH32" s="73"/>
      <c r="LI32" s="74"/>
      <c r="LJ32" s="76"/>
      <c r="LK32" s="77"/>
      <c r="LL32" s="74"/>
      <c r="LM32" s="62"/>
      <c r="LN32" s="63"/>
      <c r="LO32" s="64">
        <f t="shared" si="764"/>
        <v>0</v>
      </c>
      <c r="LP32" s="65"/>
      <c r="LQ32" s="63"/>
      <c r="LR32" s="64">
        <f t="shared" si="765"/>
        <v>0</v>
      </c>
      <c r="LS32" s="65"/>
      <c r="LT32" s="63"/>
      <c r="LU32" s="64">
        <f t="shared" si="766"/>
        <v>0</v>
      </c>
      <c r="LV32" s="65">
        <v>100</v>
      </c>
      <c r="LW32" s="63">
        <v>53.65</v>
      </c>
      <c r="LX32" s="64">
        <f t="shared" si="767"/>
        <v>46.35</v>
      </c>
      <c r="LY32" s="66">
        <f t="shared" si="124"/>
        <v>100</v>
      </c>
      <c r="LZ32" s="67">
        <f t="shared" si="768"/>
        <v>53.65</v>
      </c>
      <c r="MA32" s="64">
        <f t="shared" si="769"/>
        <v>46.35</v>
      </c>
      <c r="MB32" s="62"/>
      <c r="MC32" s="63"/>
      <c r="MD32" s="64">
        <f t="shared" si="770"/>
        <v>0</v>
      </c>
      <c r="ME32" s="65">
        <v>1050.2</v>
      </c>
      <c r="MF32" s="63">
        <v>895.49</v>
      </c>
      <c r="MG32" s="64">
        <f t="shared" si="771"/>
        <v>154.71000000000004</v>
      </c>
      <c r="MH32" s="65"/>
      <c r="MI32" s="63"/>
      <c r="MJ32" s="64">
        <f t="shared" si="772"/>
        <v>0</v>
      </c>
      <c r="MK32" s="65">
        <v>100</v>
      </c>
      <c r="ML32" s="63">
        <v>153.82</v>
      </c>
      <c r="MM32" s="64">
        <f t="shared" si="773"/>
        <v>-53.819999999999993</v>
      </c>
      <c r="MN32" s="66">
        <f t="shared" si="131"/>
        <v>1150.2</v>
      </c>
      <c r="MO32" s="67">
        <f t="shared" si="774"/>
        <v>1049.31</v>
      </c>
      <c r="MP32" s="64">
        <f t="shared" si="775"/>
        <v>100.8900000000001</v>
      </c>
      <c r="MQ32" s="62"/>
      <c r="MR32" s="63"/>
      <c r="MS32" s="64">
        <f t="shared" si="776"/>
        <v>0</v>
      </c>
      <c r="MT32" s="65"/>
      <c r="MU32" s="63"/>
      <c r="MV32" s="64">
        <f t="shared" si="777"/>
        <v>0</v>
      </c>
      <c r="MW32" s="65"/>
      <c r="MX32" s="63"/>
      <c r="MY32" s="64">
        <f t="shared" si="778"/>
        <v>0</v>
      </c>
      <c r="MZ32" s="65"/>
      <c r="NA32" s="63"/>
      <c r="NB32" s="64">
        <f t="shared" si="779"/>
        <v>0</v>
      </c>
      <c r="NC32" s="66">
        <f t="shared" si="138"/>
        <v>0</v>
      </c>
      <c r="ND32" s="67">
        <f t="shared" si="780"/>
        <v>0</v>
      </c>
      <c r="NE32" s="64">
        <f t="shared" si="781"/>
        <v>0</v>
      </c>
      <c r="NF32" s="62"/>
      <c r="NG32" s="63">
        <v>1000</v>
      </c>
      <c r="NH32" s="64">
        <f t="shared" si="782"/>
        <v>-1000</v>
      </c>
      <c r="NI32" s="65">
        <v>886.87</v>
      </c>
      <c r="NJ32" s="63">
        <v>886.87</v>
      </c>
      <c r="NK32" s="64">
        <f t="shared" si="783"/>
        <v>0</v>
      </c>
      <c r="NL32" s="65"/>
      <c r="NM32" s="63"/>
      <c r="NN32" s="64">
        <f t="shared" si="784"/>
        <v>0</v>
      </c>
      <c r="NO32" s="65">
        <v>100</v>
      </c>
      <c r="NP32" s="63">
        <v>68.75</v>
      </c>
      <c r="NQ32" s="64">
        <f t="shared" si="785"/>
        <v>31.25</v>
      </c>
      <c r="NR32" s="66">
        <f t="shared" si="145"/>
        <v>986.87</v>
      </c>
      <c r="NS32" s="67">
        <f t="shared" si="786"/>
        <v>1955.62</v>
      </c>
      <c r="NT32" s="64">
        <f t="shared" si="787"/>
        <v>-968.74999999999989</v>
      </c>
      <c r="NU32" s="62"/>
      <c r="NV32" s="63"/>
      <c r="NW32" s="64">
        <f t="shared" si="788"/>
        <v>0</v>
      </c>
      <c r="NX32" s="65">
        <v>1004.52</v>
      </c>
      <c r="NY32" s="63">
        <v>1004.52</v>
      </c>
      <c r="NZ32" s="64">
        <f t="shared" si="789"/>
        <v>0</v>
      </c>
      <c r="OA32" s="65"/>
      <c r="OB32" s="63"/>
      <c r="OC32" s="64">
        <f t="shared" si="790"/>
        <v>0</v>
      </c>
      <c r="OD32" s="65">
        <v>100</v>
      </c>
      <c r="OE32" s="63">
        <v>187.77</v>
      </c>
      <c r="OF32" s="64">
        <f t="shared" si="791"/>
        <v>-87.77000000000001</v>
      </c>
      <c r="OG32" s="66">
        <f t="shared" si="152"/>
        <v>1104.52</v>
      </c>
      <c r="OH32" s="67">
        <f t="shared" si="792"/>
        <v>1192.29</v>
      </c>
      <c r="OI32" s="64">
        <f t="shared" si="793"/>
        <v>-87.769999999999982</v>
      </c>
      <c r="OJ32" s="62"/>
      <c r="OK32" s="63"/>
      <c r="OL32" s="64">
        <f t="shared" si="794"/>
        <v>0</v>
      </c>
      <c r="OM32" s="65"/>
      <c r="ON32" s="63"/>
      <c r="OO32" s="64">
        <f t="shared" si="795"/>
        <v>0</v>
      </c>
      <c r="OP32" s="65"/>
      <c r="OQ32" s="63"/>
      <c r="OR32" s="64">
        <f t="shared" si="796"/>
        <v>0</v>
      </c>
      <c r="OS32" s="65">
        <v>100</v>
      </c>
      <c r="OT32" s="63">
        <v>100.88</v>
      </c>
      <c r="OU32" s="64">
        <f t="shared" si="797"/>
        <v>-0.87999999999999545</v>
      </c>
      <c r="OV32" s="66">
        <f t="shared" si="159"/>
        <v>100</v>
      </c>
      <c r="OW32" s="67">
        <f t="shared" si="798"/>
        <v>100.88</v>
      </c>
      <c r="OX32" s="64">
        <f t="shared" si="799"/>
        <v>-0.87999999999999545</v>
      </c>
      <c r="OY32" s="62"/>
      <c r="OZ32" s="63"/>
      <c r="PA32" s="64">
        <f t="shared" si="800"/>
        <v>0</v>
      </c>
      <c r="PB32" s="65"/>
      <c r="PC32" s="63"/>
      <c r="PD32" s="64">
        <f t="shared" si="801"/>
        <v>0</v>
      </c>
      <c r="PE32" s="65"/>
      <c r="PF32" s="63"/>
      <c r="PG32" s="64">
        <f t="shared" si="802"/>
        <v>0</v>
      </c>
      <c r="PH32" s="65">
        <v>100</v>
      </c>
      <c r="PI32" s="63"/>
      <c r="PJ32" s="64">
        <f t="shared" si="803"/>
        <v>100</v>
      </c>
      <c r="PK32" s="66">
        <f t="shared" si="166"/>
        <v>100</v>
      </c>
      <c r="PL32" s="67">
        <f t="shared" si="804"/>
        <v>0</v>
      </c>
      <c r="PM32" s="64">
        <f t="shared" si="805"/>
        <v>100</v>
      </c>
      <c r="PN32" s="62">
        <v>1400</v>
      </c>
      <c r="PO32" s="63">
        <v>1400</v>
      </c>
      <c r="PP32" s="64">
        <f t="shared" si="806"/>
        <v>0</v>
      </c>
      <c r="PQ32" s="65"/>
      <c r="PR32" s="63"/>
      <c r="PS32" s="64">
        <f t="shared" si="807"/>
        <v>0</v>
      </c>
      <c r="PT32" s="65"/>
      <c r="PU32" s="63"/>
      <c r="PV32" s="64">
        <f t="shared" si="808"/>
        <v>0</v>
      </c>
      <c r="PW32" s="65">
        <v>100</v>
      </c>
      <c r="PX32" s="63">
        <v>310.60000000000002</v>
      </c>
      <c r="PY32" s="64">
        <f t="shared" si="809"/>
        <v>-210.60000000000002</v>
      </c>
      <c r="PZ32" s="66">
        <f t="shared" si="173"/>
        <v>1500</v>
      </c>
      <c r="QA32" s="67">
        <f t="shared" si="810"/>
        <v>1710.6</v>
      </c>
      <c r="QB32" s="64">
        <f t="shared" si="811"/>
        <v>-210.59999999999991</v>
      </c>
      <c r="QC32" s="62"/>
      <c r="QD32" s="63"/>
      <c r="QE32" s="64">
        <f t="shared" si="812"/>
        <v>0</v>
      </c>
      <c r="QF32" s="65"/>
      <c r="QG32" s="63"/>
      <c r="QH32" s="64">
        <f t="shared" si="813"/>
        <v>0</v>
      </c>
      <c r="QI32" s="65"/>
      <c r="QJ32" s="63"/>
      <c r="QK32" s="64">
        <f t="shared" si="814"/>
        <v>0</v>
      </c>
      <c r="QL32" s="65">
        <v>100</v>
      </c>
      <c r="QM32" s="63"/>
      <c r="QN32" s="64">
        <f t="shared" si="815"/>
        <v>100</v>
      </c>
      <c r="QO32" s="66">
        <f t="shared" si="180"/>
        <v>100</v>
      </c>
      <c r="QP32" s="67">
        <f t="shared" si="816"/>
        <v>0</v>
      </c>
      <c r="QQ32" s="64">
        <f t="shared" si="817"/>
        <v>100</v>
      </c>
      <c r="QR32" s="62"/>
      <c r="QS32" s="63"/>
      <c r="QT32" s="64">
        <f t="shared" si="818"/>
        <v>0</v>
      </c>
      <c r="QU32" s="65"/>
      <c r="QV32" s="63"/>
      <c r="QW32" s="64">
        <f t="shared" si="819"/>
        <v>0</v>
      </c>
      <c r="QX32" s="65">
        <v>5000</v>
      </c>
      <c r="QY32" s="63"/>
      <c r="QZ32" s="64">
        <f t="shared" si="820"/>
        <v>5000</v>
      </c>
      <c r="RA32" s="65"/>
      <c r="RB32" s="63"/>
      <c r="RC32" s="64">
        <f t="shared" si="821"/>
        <v>0</v>
      </c>
      <c r="RD32" s="66">
        <f t="shared" si="187"/>
        <v>5000</v>
      </c>
      <c r="RE32" s="67">
        <f t="shared" si="822"/>
        <v>0</v>
      </c>
      <c r="RF32" s="64">
        <f t="shared" si="823"/>
        <v>5000</v>
      </c>
      <c r="RG32" s="62"/>
      <c r="RH32" s="63"/>
      <c r="RI32" s="64">
        <f t="shared" si="824"/>
        <v>0</v>
      </c>
      <c r="RJ32" s="65"/>
      <c r="RK32" s="63"/>
      <c r="RL32" s="64">
        <f t="shared" si="825"/>
        <v>0</v>
      </c>
      <c r="RM32" s="65">
        <v>5000</v>
      </c>
      <c r="RN32" s="63"/>
      <c r="RO32" s="64">
        <f t="shared" si="826"/>
        <v>5000</v>
      </c>
      <c r="RP32" s="65"/>
      <c r="RQ32" s="63"/>
      <c r="RR32" s="64">
        <f t="shared" si="827"/>
        <v>0</v>
      </c>
      <c r="RS32" s="66">
        <f t="shared" si="194"/>
        <v>5000</v>
      </c>
      <c r="RT32" s="67">
        <f t="shared" si="828"/>
        <v>0</v>
      </c>
      <c r="RU32" s="64">
        <f t="shared" si="829"/>
        <v>5000</v>
      </c>
      <c r="RV32" s="62"/>
      <c r="RW32" s="63"/>
      <c r="RX32" s="64">
        <f t="shared" si="830"/>
        <v>0</v>
      </c>
      <c r="RY32" s="65"/>
      <c r="RZ32" s="63"/>
      <c r="SA32" s="64">
        <f t="shared" si="831"/>
        <v>0</v>
      </c>
      <c r="SB32" s="65">
        <v>1400</v>
      </c>
      <c r="SC32" s="63"/>
      <c r="SD32" s="64">
        <f t="shared" si="832"/>
        <v>1400</v>
      </c>
      <c r="SE32" s="65">
        <v>100</v>
      </c>
      <c r="SF32" s="63"/>
      <c r="SG32" s="64">
        <f t="shared" si="833"/>
        <v>100</v>
      </c>
      <c r="SH32" s="66">
        <f t="shared" si="201"/>
        <v>1500</v>
      </c>
      <c r="SI32" s="67">
        <f t="shared" si="834"/>
        <v>0</v>
      </c>
      <c r="SJ32" s="64">
        <f t="shared" si="835"/>
        <v>1500</v>
      </c>
      <c r="SK32" s="62"/>
      <c r="SL32" s="63"/>
      <c r="SM32" s="64">
        <f t="shared" si="836"/>
        <v>0</v>
      </c>
      <c r="SN32" s="65"/>
      <c r="SO32" s="63"/>
      <c r="SP32" s="64">
        <f t="shared" si="837"/>
        <v>0</v>
      </c>
      <c r="SQ32" s="65"/>
      <c r="SR32" s="63"/>
      <c r="SS32" s="64">
        <f t="shared" si="838"/>
        <v>0</v>
      </c>
      <c r="ST32" s="65">
        <v>100</v>
      </c>
      <c r="SU32" s="63">
        <v>27.42</v>
      </c>
      <c r="SV32" s="64">
        <f t="shared" si="839"/>
        <v>72.58</v>
      </c>
      <c r="SW32" s="66">
        <f t="shared" si="208"/>
        <v>100</v>
      </c>
      <c r="SX32" s="67">
        <f t="shared" si="840"/>
        <v>27.42</v>
      </c>
      <c r="SY32" s="64">
        <f t="shared" si="841"/>
        <v>72.58</v>
      </c>
      <c r="SZ32" s="62">
        <v>985.33</v>
      </c>
      <c r="TA32" s="63">
        <v>985.33</v>
      </c>
      <c r="TB32" s="64">
        <f t="shared" si="842"/>
        <v>0</v>
      </c>
      <c r="TC32" s="65">
        <v>700.9</v>
      </c>
      <c r="TD32" s="63">
        <v>700.9</v>
      </c>
      <c r="TE32" s="64">
        <f t="shared" si="843"/>
        <v>0</v>
      </c>
      <c r="TF32" s="65">
        <v>1800</v>
      </c>
      <c r="TG32" s="63"/>
      <c r="TH32" s="64">
        <f t="shared" si="844"/>
        <v>1800</v>
      </c>
      <c r="TI32" s="65">
        <v>100</v>
      </c>
      <c r="TJ32" s="63">
        <v>5.69</v>
      </c>
      <c r="TK32" s="64">
        <f t="shared" si="845"/>
        <v>94.31</v>
      </c>
      <c r="TL32" s="66">
        <f t="shared" si="215"/>
        <v>3586.23</v>
      </c>
      <c r="TM32" s="67">
        <f t="shared" si="846"/>
        <v>1691.92</v>
      </c>
      <c r="TN32" s="64">
        <f t="shared" si="847"/>
        <v>1894.31</v>
      </c>
      <c r="TO32" s="62"/>
      <c r="TP32" s="63"/>
      <c r="TQ32" s="64">
        <f t="shared" si="848"/>
        <v>0</v>
      </c>
      <c r="TR32" s="65"/>
      <c r="TS32" s="63"/>
      <c r="TT32" s="64">
        <f t="shared" si="849"/>
        <v>0</v>
      </c>
      <c r="TU32" s="65"/>
      <c r="TV32" s="63"/>
      <c r="TW32" s="64">
        <f t="shared" si="850"/>
        <v>0</v>
      </c>
      <c r="TX32" s="65">
        <v>100</v>
      </c>
      <c r="TY32" s="63">
        <v>23.71</v>
      </c>
      <c r="TZ32" s="64">
        <f t="shared" si="851"/>
        <v>76.289999999999992</v>
      </c>
      <c r="UA32" s="66">
        <f t="shared" si="222"/>
        <v>100</v>
      </c>
      <c r="UB32" s="67">
        <f t="shared" si="852"/>
        <v>23.71</v>
      </c>
      <c r="UC32" s="64">
        <f t="shared" si="853"/>
        <v>76.289999999999992</v>
      </c>
      <c r="UD32" s="62">
        <v>1125</v>
      </c>
      <c r="UE32" s="63">
        <v>1125</v>
      </c>
      <c r="UF32" s="64">
        <f t="shared" si="854"/>
        <v>0</v>
      </c>
      <c r="UG32" s="65">
        <v>497.04</v>
      </c>
      <c r="UH32" s="63">
        <v>497.04</v>
      </c>
      <c r="UI32" s="64">
        <f t="shared" si="855"/>
        <v>0</v>
      </c>
      <c r="UJ32" s="65"/>
      <c r="UK32" s="63"/>
      <c r="UL32" s="64">
        <f t="shared" si="856"/>
        <v>0</v>
      </c>
      <c r="UM32" s="65">
        <v>100</v>
      </c>
      <c r="UN32" s="63">
        <v>23.86</v>
      </c>
      <c r="UO32" s="64">
        <f t="shared" si="857"/>
        <v>76.14</v>
      </c>
      <c r="UP32" s="66">
        <f t="shared" si="226"/>
        <v>1722.04</v>
      </c>
      <c r="UQ32" s="67">
        <f t="shared" si="858"/>
        <v>1645.8999999999999</v>
      </c>
      <c r="UR32" s="64">
        <f t="shared" si="859"/>
        <v>76.1400000000001</v>
      </c>
      <c r="US32" s="130"/>
      <c r="UT32" s="77"/>
      <c r="UU32" s="131">
        <f>US32-UT32</f>
        <v>0</v>
      </c>
      <c r="UV32" s="76"/>
      <c r="UW32" s="77"/>
      <c r="UX32" s="131">
        <f>UV32-UW32</f>
        <v>0</v>
      </c>
      <c r="UY32" s="76"/>
      <c r="UZ32" s="77"/>
      <c r="VA32" s="131">
        <f>UY32-UZ32</f>
        <v>0</v>
      </c>
      <c r="VB32" s="76">
        <v>100</v>
      </c>
      <c r="VC32" s="77">
        <v>63.83</v>
      </c>
      <c r="VD32" s="131">
        <f>VB32-VC32</f>
        <v>36.17</v>
      </c>
      <c r="VE32" s="76">
        <f t="shared" si="233"/>
        <v>100</v>
      </c>
      <c r="VF32" s="77">
        <f t="shared" si="860"/>
        <v>63.83</v>
      </c>
      <c r="VG32" s="131">
        <f t="shared" si="861"/>
        <v>36.17</v>
      </c>
      <c r="VH32" s="62"/>
      <c r="VI32" s="63"/>
      <c r="VJ32" s="64">
        <f t="shared" si="862"/>
        <v>0</v>
      </c>
      <c r="VK32" s="65"/>
      <c r="VL32" s="63"/>
      <c r="VM32" s="64">
        <f t="shared" si="863"/>
        <v>0</v>
      </c>
      <c r="VN32" s="65"/>
      <c r="VO32" s="63"/>
      <c r="VP32" s="64">
        <f t="shared" si="864"/>
        <v>0</v>
      </c>
      <c r="VQ32" s="65">
        <v>100</v>
      </c>
      <c r="VR32" s="63"/>
      <c r="VS32" s="64">
        <f t="shared" si="865"/>
        <v>100</v>
      </c>
      <c r="VT32" s="66">
        <f t="shared" si="240"/>
        <v>100</v>
      </c>
      <c r="VU32" s="67">
        <f t="shared" si="866"/>
        <v>0</v>
      </c>
      <c r="VV32" s="64">
        <f t="shared" si="867"/>
        <v>100</v>
      </c>
      <c r="VW32" s="74"/>
      <c r="VX32" s="72"/>
      <c r="VY32" s="73"/>
      <c r="VZ32" s="74"/>
      <c r="WA32" s="75"/>
      <c r="WB32" s="73"/>
      <c r="WC32" s="74"/>
      <c r="WD32" s="75"/>
      <c r="WE32" s="73"/>
      <c r="WF32" s="74"/>
      <c r="WG32" s="75"/>
      <c r="WH32" s="73"/>
      <c r="WI32" s="74"/>
      <c r="WJ32" s="76"/>
      <c r="WK32" s="77"/>
      <c r="WL32" s="62">
        <v>1376.01</v>
      </c>
      <c r="WM32" s="63">
        <v>1376.01</v>
      </c>
      <c r="WN32" s="64">
        <f t="shared" si="868"/>
        <v>0</v>
      </c>
      <c r="WO32" s="65"/>
      <c r="WP32" s="63"/>
      <c r="WQ32" s="64">
        <f t="shared" si="869"/>
        <v>0</v>
      </c>
      <c r="WR32" s="65"/>
      <c r="WS32" s="63"/>
      <c r="WT32" s="64">
        <f t="shared" si="870"/>
        <v>0</v>
      </c>
      <c r="WU32" s="65">
        <v>100</v>
      </c>
      <c r="WV32" s="63">
        <v>21.49</v>
      </c>
      <c r="WW32" s="64">
        <f t="shared" si="871"/>
        <v>78.510000000000005</v>
      </c>
      <c r="WX32" s="66">
        <f t="shared" si="254"/>
        <v>1476.01</v>
      </c>
      <c r="WY32" s="67">
        <f t="shared" si="872"/>
        <v>1397.5</v>
      </c>
      <c r="WZ32" s="64">
        <f t="shared" si="873"/>
        <v>78.509999999999991</v>
      </c>
      <c r="XA32" s="62"/>
      <c r="XB32" s="63"/>
      <c r="XC32" s="64">
        <f t="shared" si="874"/>
        <v>0</v>
      </c>
      <c r="XD32" s="65"/>
      <c r="XE32" s="63"/>
      <c r="XF32" s="64">
        <f t="shared" si="875"/>
        <v>0</v>
      </c>
      <c r="XG32" s="65"/>
      <c r="XH32" s="63"/>
      <c r="XI32" s="64">
        <f t="shared" si="876"/>
        <v>0</v>
      </c>
      <c r="XJ32" s="65">
        <v>100</v>
      </c>
      <c r="XK32" s="63"/>
      <c r="XL32" s="64">
        <f t="shared" si="877"/>
        <v>100</v>
      </c>
      <c r="XM32" s="66">
        <f t="shared" si="261"/>
        <v>100</v>
      </c>
      <c r="XN32" s="67">
        <f t="shared" si="878"/>
        <v>0</v>
      </c>
      <c r="XO32" s="64">
        <f t="shared" si="879"/>
        <v>100</v>
      </c>
      <c r="XP32" s="62"/>
      <c r="XQ32" s="63"/>
      <c r="XR32" s="64">
        <f t="shared" si="880"/>
        <v>0</v>
      </c>
      <c r="XS32" s="65">
        <v>591.29999999999995</v>
      </c>
      <c r="XT32" s="63">
        <v>591.29999999999995</v>
      </c>
      <c r="XU32" s="64">
        <f t="shared" si="881"/>
        <v>0</v>
      </c>
      <c r="XV32" s="65"/>
      <c r="XW32" s="63"/>
      <c r="XX32" s="64">
        <f t="shared" si="882"/>
        <v>0</v>
      </c>
      <c r="XY32" s="65">
        <v>100</v>
      </c>
      <c r="XZ32" s="63">
        <v>0.75</v>
      </c>
      <c r="YA32" s="64">
        <f t="shared" si="883"/>
        <v>99.25</v>
      </c>
      <c r="YB32" s="66">
        <f t="shared" si="268"/>
        <v>691.3</v>
      </c>
      <c r="YC32" s="67">
        <f t="shared" si="884"/>
        <v>592.04999999999995</v>
      </c>
      <c r="YD32" s="64">
        <f t="shared" si="885"/>
        <v>99.25</v>
      </c>
      <c r="YE32" s="62"/>
      <c r="YF32" s="63"/>
      <c r="YG32" s="64">
        <f t="shared" si="886"/>
        <v>0</v>
      </c>
      <c r="YH32" s="65">
        <v>725.15</v>
      </c>
      <c r="YI32" s="63">
        <v>725.15</v>
      </c>
      <c r="YJ32" s="64">
        <f t="shared" si="887"/>
        <v>0</v>
      </c>
      <c r="YK32" s="65"/>
      <c r="YL32" s="63"/>
      <c r="YM32" s="64">
        <f t="shared" si="888"/>
        <v>0</v>
      </c>
      <c r="YN32" s="65">
        <v>100</v>
      </c>
      <c r="YO32" s="63">
        <v>48.89</v>
      </c>
      <c r="YP32" s="64">
        <f t="shared" si="889"/>
        <v>51.11</v>
      </c>
      <c r="YQ32" s="66">
        <f t="shared" si="275"/>
        <v>825.15</v>
      </c>
      <c r="YR32" s="67">
        <f t="shared" si="890"/>
        <v>774.04</v>
      </c>
      <c r="YS32" s="64">
        <f t="shared" si="891"/>
        <v>51.110000000000014</v>
      </c>
      <c r="YT32" s="62"/>
      <c r="YU32" s="63"/>
      <c r="YV32" s="64">
        <f t="shared" si="892"/>
        <v>0</v>
      </c>
      <c r="YW32" s="65">
        <v>513.28</v>
      </c>
      <c r="YX32" s="63">
        <v>513.28</v>
      </c>
      <c r="YY32" s="64">
        <f t="shared" si="893"/>
        <v>0</v>
      </c>
      <c r="YZ32" s="65"/>
      <c r="ZA32" s="63"/>
      <c r="ZB32" s="64">
        <f t="shared" si="894"/>
        <v>0</v>
      </c>
      <c r="ZC32" s="65">
        <v>100</v>
      </c>
      <c r="ZD32" s="63">
        <v>50.64</v>
      </c>
      <c r="ZE32" s="64">
        <f t="shared" si="895"/>
        <v>49.36</v>
      </c>
      <c r="ZF32" s="66">
        <f t="shared" si="282"/>
        <v>613.28</v>
      </c>
      <c r="ZG32" s="67">
        <f t="shared" si="896"/>
        <v>563.91999999999996</v>
      </c>
      <c r="ZH32" s="64">
        <f t="shared" si="897"/>
        <v>49.360000000000014</v>
      </c>
      <c r="ZI32" s="62">
        <v>1250</v>
      </c>
      <c r="ZJ32" s="63">
        <v>1250</v>
      </c>
      <c r="ZK32" s="64">
        <f t="shared" si="898"/>
        <v>0</v>
      </c>
      <c r="ZL32" s="65"/>
      <c r="ZM32" s="63"/>
      <c r="ZN32" s="64">
        <f t="shared" si="899"/>
        <v>0</v>
      </c>
      <c r="ZO32" s="65"/>
      <c r="ZP32" s="63"/>
      <c r="ZQ32" s="64">
        <f t="shared" si="900"/>
        <v>0</v>
      </c>
      <c r="ZR32" s="65">
        <v>100</v>
      </c>
      <c r="ZS32" s="63">
        <f>621.51</f>
        <v>621.51</v>
      </c>
      <c r="ZT32" s="64">
        <f t="shared" si="901"/>
        <v>-521.51</v>
      </c>
      <c r="ZU32" s="66">
        <f t="shared" si="289"/>
        <v>1350</v>
      </c>
      <c r="ZV32" s="67">
        <f t="shared" si="902"/>
        <v>1871.51</v>
      </c>
      <c r="ZW32" s="64">
        <f t="shared" si="903"/>
        <v>-521.51</v>
      </c>
      <c r="ZX32" s="62">
        <v>24.71</v>
      </c>
      <c r="ZY32" s="63">
        <v>24.71</v>
      </c>
      <c r="ZZ32" s="64">
        <f t="shared" si="904"/>
        <v>0</v>
      </c>
      <c r="AAA32" s="66">
        <f t="shared" si="293"/>
        <v>24.71</v>
      </c>
      <c r="AAB32" s="67">
        <f t="shared" si="293"/>
        <v>24.71</v>
      </c>
      <c r="AAC32" s="64">
        <f t="shared" si="905"/>
        <v>0</v>
      </c>
      <c r="AAD32" s="85">
        <f t="shared" si="295"/>
        <v>72691.56</v>
      </c>
      <c r="AAE32" s="86">
        <f t="shared" si="295"/>
        <v>59177.740000000005</v>
      </c>
      <c r="AAF32" s="87">
        <f t="shared" si="3"/>
        <v>0.81409368570436524</v>
      </c>
      <c r="AAG32" s="88">
        <f t="shared" si="906"/>
        <v>-13513.819999999992</v>
      </c>
      <c r="AAH32" s="58"/>
      <c r="AAI32" s="59"/>
      <c r="AAJ32" s="59"/>
      <c r="AAK32" s="60"/>
    </row>
    <row r="33" spans="1:713" s="83" customFormat="1" ht="20" customHeight="1" x14ac:dyDescent="0.2">
      <c r="A33" s="57" t="s">
        <v>30</v>
      </c>
      <c r="B33" s="89">
        <f>AAH33</f>
        <v>1499048.98</v>
      </c>
      <c r="C33" s="90"/>
      <c r="D33" s="90"/>
      <c r="E33" s="60"/>
      <c r="F33" s="61">
        <v>45352</v>
      </c>
      <c r="G33" s="62"/>
      <c r="H33" s="63"/>
      <c r="I33" s="64">
        <f t="shared" si="649"/>
        <v>0</v>
      </c>
      <c r="J33" s="65">
        <v>4134.46</v>
      </c>
      <c r="K33" s="63">
        <v>3598.86</v>
      </c>
      <c r="L33" s="64">
        <f t="shared" si="650"/>
        <v>535.59999999999991</v>
      </c>
      <c r="M33" s="65">
        <v>3321.18</v>
      </c>
      <c r="N33" s="63">
        <v>3321.8</v>
      </c>
      <c r="O33" s="64">
        <f t="shared" si="651"/>
        <v>-0.62000000000034561</v>
      </c>
      <c r="P33" s="65">
        <v>500</v>
      </c>
      <c r="Q33" s="63">
        <v>517.14</v>
      </c>
      <c r="R33" s="64">
        <f t="shared" si="652"/>
        <v>-17.139999999999986</v>
      </c>
      <c r="S33" s="65">
        <v>181</v>
      </c>
      <c r="T33" s="63">
        <f>196.34</f>
        <v>196.34</v>
      </c>
      <c r="U33" s="64">
        <f t="shared" si="653"/>
        <v>-15.340000000000003</v>
      </c>
      <c r="V33" s="66">
        <f t="shared" si="654"/>
        <v>8136.6399999999994</v>
      </c>
      <c r="W33" s="67">
        <f t="shared" si="654"/>
        <v>7634.14</v>
      </c>
      <c r="X33" s="64">
        <f t="shared" si="655"/>
        <v>502.49999999999909</v>
      </c>
      <c r="Y33" s="62">
        <v>1100</v>
      </c>
      <c r="Z33" s="63">
        <v>1100</v>
      </c>
      <c r="AA33" s="64">
        <f t="shared" si="656"/>
        <v>0</v>
      </c>
      <c r="AB33" s="65"/>
      <c r="AC33" s="63"/>
      <c r="AD33" s="64">
        <f t="shared" si="657"/>
        <v>0</v>
      </c>
      <c r="AE33" s="65"/>
      <c r="AF33" s="63"/>
      <c r="AG33" s="64">
        <f t="shared" si="658"/>
        <v>0</v>
      </c>
      <c r="AH33" s="65"/>
      <c r="AI33" s="63"/>
      <c r="AJ33" s="64">
        <f t="shared" si="659"/>
        <v>0</v>
      </c>
      <c r="AK33" s="66">
        <f t="shared" si="16"/>
        <v>1100</v>
      </c>
      <c r="AL33" s="67">
        <f t="shared" si="17"/>
        <v>1100</v>
      </c>
      <c r="AM33" s="64">
        <f t="shared" si="660"/>
        <v>0</v>
      </c>
      <c r="AN33" s="62"/>
      <c r="AO33" s="63"/>
      <c r="AP33" s="64">
        <f t="shared" si="907"/>
        <v>0</v>
      </c>
      <c r="AQ33" s="65"/>
      <c r="AR33" s="63"/>
      <c r="AS33" s="64">
        <f t="shared" si="661"/>
        <v>0</v>
      </c>
      <c r="AT33" s="65"/>
      <c r="AU33" s="63"/>
      <c r="AV33" s="64">
        <f t="shared" si="662"/>
        <v>0</v>
      </c>
      <c r="AW33" s="65"/>
      <c r="AX33" s="63"/>
      <c r="AY33" s="64">
        <f t="shared" si="663"/>
        <v>0</v>
      </c>
      <c r="AZ33" s="66">
        <f t="shared" si="23"/>
        <v>0</v>
      </c>
      <c r="BA33" s="67">
        <f t="shared" si="664"/>
        <v>0</v>
      </c>
      <c r="BB33" s="64">
        <f t="shared" si="665"/>
        <v>0</v>
      </c>
      <c r="BC33" s="62"/>
      <c r="BD33" s="63"/>
      <c r="BE33" s="64">
        <f t="shared" si="666"/>
        <v>0</v>
      </c>
      <c r="BF33" s="65"/>
      <c r="BG33" s="63"/>
      <c r="BH33" s="64">
        <f t="shared" si="667"/>
        <v>0</v>
      </c>
      <c r="BI33" s="65">
        <v>3000</v>
      </c>
      <c r="BJ33" s="63">
        <v>6587.4</v>
      </c>
      <c r="BK33" s="64">
        <f t="shared" si="668"/>
        <v>-3587.3999999999996</v>
      </c>
      <c r="BL33" s="65">
        <v>100</v>
      </c>
      <c r="BM33" s="63">
        <v>275.18</v>
      </c>
      <c r="BN33" s="64">
        <f t="shared" si="669"/>
        <v>-175.18</v>
      </c>
      <c r="BO33" s="66">
        <f t="shared" si="30"/>
        <v>3100</v>
      </c>
      <c r="BP33" s="67">
        <f t="shared" si="670"/>
        <v>6862.58</v>
      </c>
      <c r="BQ33" s="64">
        <f t="shared" si="671"/>
        <v>-3762.58</v>
      </c>
      <c r="BR33" s="62">
        <v>789.83</v>
      </c>
      <c r="BS33" s="63">
        <v>789.83</v>
      </c>
      <c r="BT33" s="74"/>
      <c r="BU33" s="75"/>
      <c r="BV33" s="73"/>
      <c r="BW33" s="74"/>
      <c r="BX33" s="75"/>
      <c r="BY33" s="73"/>
      <c r="BZ33" s="74"/>
      <c r="CA33" s="75"/>
      <c r="CB33" s="73"/>
      <c r="CC33" s="74"/>
      <c r="CD33" s="66">
        <f t="shared" si="33"/>
        <v>789.83</v>
      </c>
      <c r="CE33" s="67">
        <f t="shared" si="672"/>
        <v>789.83</v>
      </c>
      <c r="CF33" s="64">
        <f t="shared" si="673"/>
        <v>0</v>
      </c>
      <c r="CG33" s="62"/>
      <c r="CH33" s="63"/>
      <c r="CI33" s="64">
        <f t="shared" si="674"/>
        <v>0</v>
      </c>
      <c r="CJ33" s="65"/>
      <c r="CK33" s="63"/>
      <c r="CL33" s="64">
        <f t="shared" si="675"/>
        <v>0</v>
      </c>
      <c r="CM33" s="65"/>
      <c r="CN33" s="63"/>
      <c r="CO33" s="64">
        <f t="shared" si="676"/>
        <v>0</v>
      </c>
      <c r="CP33" s="65"/>
      <c r="CQ33" s="63"/>
      <c r="CR33" s="64">
        <f t="shared" si="677"/>
        <v>0</v>
      </c>
      <c r="CS33" s="66">
        <f t="shared" si="40"/>
        <v>0</v>
      </c>
      <c r="CT33" s="67">
        <f t="shared" si="678"/>
        <v>0</v>
      </c>
      <c r="CU33" s="64">
        <f t="shared" si="679"/>
        <v>0</v>
      </c>
      <c r="CV33" s="62">
        <v>2916.7</v>
      </c>
      <c r="CW33" s="63">
        <v>2916.7</v>
      </c>
      <c r="CX33" s="64">
        <f t="shared" si="680"/>
        <v>0</v>
      </c>
      <c r="CY33" s="65"/>
      <c r="CZ33" s="63"/>
      <c r="DA33" s="64">
        <f t="shared" si="681"/>
        <v>0</v>
      </c>
      <c r="DB33" s="65">
        <v>288.93</v>
      </c>
      <c r="DC33" s="63">
        <v>288.93</v>
      </c>
      <c r="DD33" s="64">
        <f t="shared" si="682"/>
        <v>0</v>
      </c>
      <c r="DE33" s="65"/>
      <c r="DF33" s="63"/>
      <c r="DG33" s="64">
        <f t="shared" si="683"/>
        <v>0</v>
      </c>
      <c r="DH33" s="66">
        <f t="shared" si="43"/>
        <v>3205.6299999999997</v>
      </c>
      <c r="DI33" s="67">
        <f t="shared" si="684"/>
        <v>3205.6299999999997</v>
      </c>
      <c r="DJ33" s="64">
        <f t="shared" si="685"/>
        <v>0</v>
      </c>
      <c r="DK33" s="62">
        <v>2400</v>
      </c>
      <c r="DL33" s="63">
        <v>2400</v>
      </c>
      <c r="DM33" s="64">
        <f t="shared" si="686"/>
        <v>0</v>
      </c>
      <c r="DN33" s="65">
        <v>580</v>
      </c>
      <c r="DO33" s="63">
        <v>580</v>
      </c>
      <c r="DP33" s="64">
        <f t="shared" si="687"/>
        <v>0</v>
      </c>
      <c r="DQ33" s="65"/>
      <c r="DR33" s="63"/>
      <c r="DS33" s="64">
        <f t="shared" si="688"/>
        <v>0</v>
      </c>
      <c r="DT33" s="65">
        <v>100</v>
      </c>
      <c r="DU33" s="63">
        <v>97.03</v>
      </c>
      <c r="DV33" s="64">
        <f t="shared" si="689"/>
        <v>2.9699999999999989</v>
      </c>
      <c r="DW33" s="66">
        <f t="shared" si="46"/>
        <v>3080</v>
      </c>
      <c r="DX33" s="67">
        <f t="shared" si="690"/>
        <v>3077.03</v>
      </c>
      <c r="DY33" s="64">
        <f t="shared" si="691"/>
        <v>2.9699999999997999</v>
      </c>
      <c r="DZ33" s="62"/>
      <c r="EA33" s="63"/>
      <c r="EB33" s="64">
        <f t="shared" si="692"/>
        <v>0</v>
      </c>
      <c r="EC33" s="65"/>
      <c r="ED33" s="63"/>
      <c r="EE33" s="64">
        <f t="shared" si="693"/>
        <v>0</v>
      </c>
      <c r="EF33" s="65"/>
      <c r="EG33" s="63"/>
      <c r="EH33" s="64">
        <f t="shared" si="694"/>
        <v>0</v>
      </c>
      <c r="EI33" s="65">
        <v>100</v>
      </c>
      <c r="EJ33" s="63"/>
      <c r="EK33" s="64">
        <f t="shared" si="695"/>
        <v>100</v>
      </c>
      <c r="EL33" s="66">
        <f t="shared" si="53"/>
        <v>100</v>
      </c>
      <c r="EM33" s="67">
        <f t="shared" si="696"/>
        <v>0</v>
      </c>
      <c r="EN33" s="64">
        <f t="shared" si="697"/>
        <v>100</v>
      </c>
      <c r="EO33" s="62"/>
      <c r="EP33" s="63"/>
      <c r="EQ33" s="64">
        <f t="shared" si="698"/>
        <v>0</v>
      </c>
      <c r="ER33" s="65"/>
      <c r="ES33" s="63"/>
      <c r="ET33" s="64">
        <f t="shared" si="699"/>
        <v>0</v>
      </c>
      <c r="EU33" s="65"/>
      <c r="EV33" s="63"/>
      <c r="EW33" s="64">
        <f t="shared" si="700"/>
        <v>0</v>
      </c>
      <c r="EX33" s="65">
        <v>100</v>
      </c>
      <c r="EY33" s="63"/>
      <c r="EZ33" s="64">
        <f t="shared" si="701"/>
        <v>100</v>
      </c>
      <c r="FA33" s="66">
        <f t="shared" si="60"/>
        <v>100</v>
      </c>
      <c r="FB33" s="67">
        <f t="shared" si="702"/>
        <v>0</v>
      </c>
      <c r="FC33" s="64">
        <f t="shared" si="703"/>
        <v>100</v>
      </c>
      <c r="FD33" s="62"/>
      <c r="FE33" s="63"/>
      <c r="FF33" s="64">
        <f t="shared" si="704"/>
        <v>0</v>
      </c>
      <c r="FG33" s="65"/>
      <c r="FH33" s="63"/>
      <c r="FI33" s="64">
        <f t="shared" si="705"/>
        <v>0</v>
      </c>
      <c r="FJ33" s="65"/>
      <c r="FK33" s="63"/>
      <c r="FL33" s="64">
        <f t="shared" si="706"/>
        <v>0</v>
      </c>
      <c r="FM33" s="65">
        <v>100</v>
      </c>
      <c r="FN33" s="63"/>
      <c r="FO33" s="64">
        <f t="shared" si="707"/>
        <v>100</v>
      </c>
      <c r="FP33" s="66">
        <f t="shared" si="67"/>
        <v>100</v>
      </c>
      <c r="FQ33" s="67">
        <f t="shared" si="708"/>
        <v>0</v>
      </c>
      <c r="FR33" s="64">
        <f t="shared" si="709"/>
        <v>100</v>
      </c>
      <c r="FS33" s="62"/>
      <c r="FT33" s="63"/>
      <c r="FU33" s="64">
        <f t="shared" si="710"/>
        <v>0</v>
      </c>
      <c r="FV33" s="65"/>
      <c r="FW33" s="63"/>
      <c r="FX33" s="64">
        <f t="shared" si="711"/>
        <v>0</v>
      </c>
      <c r="FY33" s="65">
        <v>3650</v>
      </c>
      <c r="FZ33" s="63"/>
      <c r="GA33" s="64">
        <f t="shared" si="712"/>
        <v>3650</v>
      </c>
      <c r="GB33" s="65"/>
      <c r="GC33" s="63"/>
      <c r="GD33" s="64">
        <f t="shared" si="713"/>
        <v>0</v>
      </c>
      <c r="GE33" s="66">
        <f t="shared" si="74"/>
        <v>3650</v>
      </c>
      <c r="GF33" s="67">
        <f t="shared" si="714"/>
        <v>0</v>
      </c>
      <c r="GG33" s="64">
        <f t="shared" si="715"/>
        <v>3650</v>
      </c>
      <c r="GH33" s="62"/>
      <c r="GI33" s="63"/>
      <c r="GJ33" s="64">
        <f t="shared" si="716"/>
        <v>0</v>
      </c>
      <c r="GK33" s="65"/>
      <c r="GL33" s="63"/>
      <c r="GM33" s="64">
        <f t="shared" si="717"/>
        <v>0</v>
      </c>
      <c r="GN33" s="65">
        <v>3650</v>
      </c>
      <c r="GO33" s="63"/>
      <c r="GP33" s="64">
        <f t="shared" si="718"/>
        <v>3650</v>
      </c>
      <c r="GQ33" s="65"/>
      <c r="GR33" s="63"/>
      <c r="GS33" s="64">
        <f t="shared" si="719"/>
        <v>0</v>
      </c>
      <c r="GT33" s="66">
        <f t="shared" si="81"/>
        <v>3650</v>
      </c>
      <c r="GU33" s="67">
        <f t="shared" si="720"/>
        <v>0</v>
      </c>
      <c r="GV33" s="64">
        <f t="shared" si="721"/>
        <v>3650</v>
      </c>
      <c r="GW33" s="62"/>
      <c r="GX33" s="63"/>
      <c r="GY33" s="64">
        <f t="shared" si="722"/>
        <v>0</v>
      </c>
      <c r="GZ33" s="65"/>
      <c r="HA33" s="63"/>
      <c r="HB33" s="64">
        <f t="shared" si="723"/>
        <v>0</v>
      </c>
      <c r="HC33" s="65"/>
      <c r="HD33" s="63">
        <v>1000</v>
      </c>
      <c r="HE33" s="64">
        <f t="shared" si="724"/>
        <v>-1000</v>
      </c>
      <c r="HF33" s="65">
        <v>100</v>
      </c>
      <c r="HG33" s="63"/>
      <c r="HH33" s="64">
        <f t="shared" si="725"/>
        <v>100</v>
      </c>
      <c r="HI33" s="66">
        <f t="shared" si="84"/>
        <v>100</v>
      </c>
      <c r="HJ33" s="67">
        <f t="shared" si="726"/>
        <v>1000</v>
      </c>
      <c r="HK33" s="64">
        <f t="shared" si="727"/>
        <v>-900</v>
      </c>
      <c r="HL33" s="62"/>
      <c r="HM33" s="63"/>
      <c r="HN33" s="64">
        <f t="shared" si="728"/>
        <v>0</v>
      </c>
      <c r="HO33" s="65"/>
      <c r="HP33" s="63"/>
      <c r="HQ33" s="64">
        <f t="shared" si="729"/>
        <v>0</v>
      </c>
      <c r="HR33" s="65"/>
      <c r="HS33" s="63"/>
      <c r="HT33" s="64">
        <f t="shared" si="730"/>
        <v>0</v>
      </c>
      <c r="HU33" s="65">
        <v>100</v>
      </c>
      <c r="HV33" s="63"/>
      <c r="HW33" s="64">
        <f t="shared" si="731"/>
        <v>100</v>
      </c>
      <c r="HX33" s="66">
        <f t="shared" si="91"/>
        <v>100</v>
      </c>
      <c r="HY33" s="67">
        <f t="shared" si="732"/>
        <v>0</v>
      </c>
      <c r="HZ33" s="64">
        <f t="shared" si="733"/>
        <v>100</v>
      </c>
      <c r="IA33" s="62"/>
      <c r="IB33" s="63"/>
      <c r="IC33" s="64">
        <f t="shared" si="734"/>
        <v>0</v>
      </c>
      <c r="ID33" s="65"/>
      <c r="IE33" s="63"/>
      <c r="IF33" s="64">
        <f t="shared" si="735"/>
        <v>0</v>
      </c>
      <c r="IG33" s="65"/>
      <c r="IH33" s="63">
        <v>1779.93</v>
      </c>
      <c r="II33" s="64">
        <f t="shared" si="736"/>
        <v>-1779.93</v>
      </c>
      <c r="IJ33" s="65">
        <v>100</v>
      </c>
      <c r="IK33" s="63"/>
      <c r="IL33" s="64">
        <f t="shared" si="737"/>
        <v>100</v>
      </c>
      <c r="IM33" s="66">
        <f t="shared" si="98"/>
        <v>100</v>
      </c>
      <c r="IN33" s="67">
        <f t="shared" si="738"/>
        <v>1779.93</v>
      </c>
      <c r="IO33" s="64">
        <f t="shared" si="739"/>
        <v>-1679.93</v>
      </c>
      <c r="IP33" s="62"/>
      <c r="IQ33" s="63"/>
      <c r="IR33" s="64">
        <f t="shared" si="740"/>
        <v>0</v>
      </c>
      <c r="IS33" s="65"/>
      <c r="IT33" s="63"/>
      <c r="IU33" s="64">
        <f t="shared" si="741"/>
        <v>0</v>
      </c>
      <c r="IV33" s="65"/>
      <c r="IW33" s="63"/>
      <c r="IX33" s="64">
        <f t="shared" si="742"/>
        <v>0</v>
      </c>
      <c r="IY33" s="65"/>
      <c r="IZ33" s="63"/>
      <c r="JA33" s="64">
        <f t="shared" si="743"/>
        <v>0</v>
      </c>
      <c r="JB33" s="66">
        <f t="shared" si="105"/>
        <v>0</v>
      </c>
      <c r="JC33" s="67">
        <f t="shared" si="744"/>
        <v>0</v>
      </c>
      <c r="JD33" s="64">
        <f t="shared" si="745"/>
        <v>0</v>
      </c>
      <c r="JE33" s="62"/>
      <c r="JF33" s="63"/>
      <c r="JG33" s="64">
        <f t="shared" si="746"/>
        <v>0</v>
      </c>
      <c r="JH33" s="65">
        <v>442.35</v>
      </c>
      <c r="JI33" s="65">
        <v>442.35</v>
      </c>
      <c r="JJ33" s="64">
        <f t="shared" si="747"/>
        <v>0</v>
      </c>
      <c r="JK33" s="65">
        <v>1100</v>
      </c>
      <c r="JL33" s="63"/>
      <c r="JM33" s="64">
        <f t="shared" si="748"/>
        <v>1100</v>
      </c>
      <c r="JN33" s="65">
        <v>100</v>
      </c>
      <c r="JO33" s="63"/>
      <c r="JP33" s="64">
        <f t="shared" si="749"/>
        <v>100</v>
      </c>
      <c r="JQ33" s="66">
        <f t="shared" si="112"/>
        <v>1642.35</v>
      </c>
      <c r="JR33" s="67">
        <f t="shared" si="750"/>
        <v>442.35</v>
      </c>
      <c r="JS33" s="64">
        <f t="shared" si="751"/>
        <v>1200</v>
      </c>
      <c r="JT33" s="62">
        <v>5615.92</v>
      </c>
      <c r="JU33" s="63">
        <v>5615.92</v>
      </c>
      <c r="JV33" s="64">
        <f t="shared" si="752"/>
        <v>0</v>
      </c>
      <c r="JW33" s="65"/>
      <c r="JX33" s="63"/>
      <c r="JY33" s="64">
        <f t="shared" si="753"/>
        <v>0</v>
      </c>
      <c r="JZ33" s="65"/>
      <c r="KA33" s="63">
        <v>1419.03</v>
      </c>
      <c r="KB33" s="64">
        <f t="shared" si="754"/>
        <v>-1419.03</v>
      </c>
      <c r="KC33" s="65">
        <v>100</v>
      </c>
      <c r="KD33" s="63"/>
      <c r="KE33" s="64">
        <f t="shared" si="755"/>
        <v>100</v>
      </c>
      <c r="KF33" s="66">
        <f t="shared" si="119"/>
        <v>5715.92</v>
      </c>
      <c r="KG33" s="67">
        <f t="shared" si="756"/>
        <v>7034.95</v>
      </c>
      <c r="KH33" s="64">
        <f t="shared" si="757"/>
        <v>-1319.0299999999997</v>
      </c>
      <c r="KI33" s="62"/>
      <c r="KJ33" s="63"/>
      <c r="KK33" s="64">
        <f t="shared" si="758"/>
        <v>0</v>
      </c>
      <c r="KL33" s="65"/>
      <c r="KM33" s="63"/>
      <c r="KN33" s="64">
        <f t="shared" si="759"/>
        <v>0</v>
      </c>
      <c r="KO33" s="65"/>
      <c r="KP33" s="63"/>
      <c r="KQ33" s="64">
        <f t="shared" si="760"/>
        <v>0</v>
      </c>
      <c r="KR33" s="65"/>
      <c r="KS33" s="63"/>
      <c r="KT33" s="64">
        <f t="shared" si="761"/>
        <v>0</v>
      </c>
      <c r="KU33" s="66">
        <f t="shared" si="1"/>
        <v>0</v>
      </c>
      <c r="KV33" s="67">
        <f t="shared" si="762"/>
        <v>0</v>
      </c>
      <c r="KW33" s="64">
        <f t="shared" si="763"/>
        <v>0</v>
      </c>
      <c r="KX33" s="72"/>
      <c r="KY33" s="73"/>
      <c r="KZ33" s="74"/>
      <c r="LA33" s="75"/>
      <c r="LB33" s="73"/>
      <c r="LC33" s="74"/>
      <c r="LD33" s="75"/>
      <c r="LE33" s="73"/>
      <c r="LF33" s="74"/>
      <c r="LG33" s="75"/>
      <c r="LH33" s="73"/>
      <c r="LI33" s="74"/>
      <c r="LJ33" s="76"/>
      <c r="LK33" s="77"/>
      <c r="LL33" s="74"/>
      <c r="LM33" s="62"/>
      <c r="LN33" s="63"/>
      <c r="LO33" s="64">
        <f t="shared" si="764"/>
        <v>0</v>
      </c>
      <c r="LP33" s="65"/>
      <c r="LQ33" s="63"/>
      <c r="LR33" s="64">
        <f t="shared" si="765"/>
        <v>0</v>
      </c>
      <c r="LS33" s="65"/>
      <c r="LT33" s="63"/>
      <c r="LU33" s="64">
        <f t="shared" si="766"/>
        <v>0</v>
      </c>
      <c r="LV33" s="65">
        <v>100</v>
      </c>
      <c r="LW33" s="63">
        <v>127.03</v>
      </c>
      <c r="LX33" s="64">
        <f t="shared" si="767"/>
        <v>-27.03</v>
      </c>
      <c r="LY33" s="66">
        <f t="shared" si="124"/>
        <v>100</v>
      </c>
      <c r="LZ33" s="67">
        <f t="shared" si="768"/>
        <v>127.03</v>
      </c>
      <c r="MA33" s="64">
        <f t="shared" si="769"/>
        <v>-27.03</v>
      </c>
      <c r="MB33" s="62"/>
      <c r="MC33" s="63"/>
      <c r="MD33" s="64">
        <f t="shared" si="770"/>
        <v>0</v>
      </c>
      <c r="ME33" s="65">
        <v>1050.2</v>
      </c>
      <c r="MF33" s="63">
        <v>889.11</v>
      </c>
      <c r="MG33" s="64">
        <f t="shared" si="771"/>
        <v>161.09000000000003</v>
      </c>
      <c r="MH33" s="65"/>
      <c r="MI33" s="63"/>
      <c r="MJ33" s="64">
        <f t="shared" si="772"/>
        <v>0</v>
      </c>
      <c r="MK33" s="65">
        <v>100</v>
      </c>
      <c r="ML33" s="63"/>
      <c r="MM33" s="64">
        <f t="shared" si="773"/>
        <v>100</v>
      </c>
      <c r="MN33" s="66">
        <f t="shared" si="131"/>
        <v>1150.2</v>
      </c>
      <c r="MO33" s="67">
        <f t="shared" si="774"/>
        <v>889.11</v>
      </c>
      <c r="MP33" s="64">
        <f t="shared" si="775"/>
        <v>261.09000000000003</v>
      </c>
      <c r="MQ33" s="62"/>
      <c r="MR33" s="63"/>
      <c r="MS33" s="64">
        <f t="shared" si="776"/>
        <v>0</v>
      </c>
      <c r="MT33" s="65"/>
      <c r="MU33" s="63"/>
      <c r="MV33" s="64">
        <f t="shared" si="777"/>
        <v>0</v>
      </c>
      <c r="MW33" s="65"/>
      <c r="MX33" s="63"/>
      <c r="MY33" s="64">
        <f t="shared" si="778"/>
        <v>0</v>
      </c>
      <c r="MZ33" s="65"/>
      <c r="NA33" s="63"/>
      <c r="NB33" s="64">
        <f t="shared" si="779"/>
        <v>0</v>
      </c>
      <c r="NC33" s="66">
        <f t="shared" si="138"/>
        <v>0</v>
      </c>
      <c r="ND33" s="67">
        <f t="shared" si="780"/>
        <v>0</v>
      </c>
      <c r="NE33" s="64">
        <f t="shared" si="781"/>
        <v>0</v>
      </c>
      <c r="NF33" s="62"/>
      <c r="NG33" s="63"/>
      <c r="NH33" s="64">
        <f t="shared" si="782"/>
        <v>0</v>
      </c>
      <c r="NI33" s="65">
        <v>886.87</v>
      </c>
      <c r="NJ33" s="63">
        <v>886.87</v>
      </c>
      <c r="NK33" s="64">
        <f t="shared" si="783"/>
        <v>0</v>
      </c>
      <c r="NL33" s="65"/>
      <c r="NM33" s="63"/>
      <c r="NN33" s="64">
        <f t="shared" si="784"/>
        <v>0</v>
      </c>
      <c r="NO33" s="65">
        <v>100</v>
      </c>
      <c r="NP33" s="63">
        <v>236.54</v>
      </c>
      <c r="NQ33" s="64">
        <f t="shared" si="785"/>
        <v>-136.54</v>
      </c>
      <c r="NR33" s="66">
        <f t="shared" si="145"/>
        <v>986.87</v>
      </c>
      <c r="NS33" s="67">
        <f t="shared" si="786"/>
        <v>1123.4100000000001</v>
      </c>
      <c r="NT33" s="64">
        <f t="shared" si="787"/>
        <v>-136.54000000000008</v>
      </c>
      <c r="NU33" s="62"/>
      <c r="NV33" s="63"/>
      <c r="NW33" s="64">
        <f t="shared" si="788"/>
        <v>0</v>
      </c>
      <c r="NX33" s="65">
        <v>1004.52</v>
      </c>
      <c r="NY33" s="63">
        <v>1004.52</v>
      </c>
      <c r="NZ33" s="64">
        <f t="shared" si="789"/>
        <v>0</v>
      </c>
      <c r="OA33" s="65">
        <v>884.31</v>
      </c>
      <c r="OB33" s="63">
        <v>0.88</v>
      </c>
      <c r="OC33" s="64">
        <f t="shared" si="790"/>
        <v>883.43</v>
      </c>
      <c r="OD33" s="65">
        <v>100</v>
      </c>
      <c r="OE33" s="63"/>
      <c r="OF33" s="64">
        <f t="shared" si="791"/>
        <v>100</v>
      </c>
      <c r="OG33" s="66">
        <f t="shared" si="152"/>
        <v>1988.83</v>
      </c>
      <c r="OH33" s="67">
        <f t="shared" si="792"/>
        <v>1005.4</v>
      </c>
      <c r="OI33" s="64">
        <f t="shared" si="793"/>
        <v>983.43</v>
      </c>
      <c r="OJ33" s="62"/>
      <c r="OK33" s="63"/>
      <c r="OL33" s="64">
        <f t="shared" si="794"/>
        <v>0</v>
      </c>
      <c r="OM33" s="65"/>
      <c r="ON33" s="63"/>
      <c r="OO33" s="64">
        <f t="shared" si="795"/>
        <v>0</v>
      </c>
      <c r="OP33" s="65"/>
      <c r="OQ33" s="63"/>
      <c r="OR33" s="64">
        <f t="shared" si="796"/>
        <v>0</v>
      </c>
      <c r="OS33" s="65">
        <v>100</v>
      </c>
      <c r="OT33" s="63"/>
      <c r="OU33" s="64">
        <f t="shared" si="797"/>
        <v>100</v>
      </c>
      <c r="OV33" s="66">
        <f t="shared" si="159"/>
        <v>100</v>
      </c>
      <c r="OW33" s="67">
        <f t="shared" si="798"/>
        <v>0</v>
      </c>
      <c r="OX33" s="64">
        <f t="shared" si="799"/>
        <v>100</v>
      </c>
      <c r="OY33" s="62"/>
      <c r="OZ33" s="63"/>
      <c r="PA33" s="64">
        <f t="shared" si="800"/>
        <v>0</v>
      </c>
      <c r="PB33" s="65"/>
      <c r="PC33" s="63"/>
      <c r="PD33" s="64">
        <f t="shared" si="801"/>
        <v>0</v>
      </c>
      <c r="PE33" s="65"/>
      <c r="PF33" s="63"/>
      <c r="PG33" s="64">
        <f t="shared" si="802"/>
        <v>0</v>
      </c>
      <c r="PH33" s="65">
        <v>100</v>
      </c>
      <c r="PI33" s="63">
        <v>10.72</v>
      </c>
      <c r="PJ33" s="64">
        <f t="shared" si="803"/>
        <v>89.28</v>
      </c>
      <c r="PK33" s="66">
        <f t="shared" si="166"/>
        <v>100</v>
      </c>
      <c r="PL33" s="67">
        <f t="shared" si="804"/>
        <v>10.72</v>
      </c>
      <c r="PM33" s="64">
        <f t="shared" si="805"/>
        <v>89.28</v>
      </c>
      <c r="PN33" s="62">
        <v>1400</v>
      </c>
      <c r="PO33" s="63">
        <v>1400</v>
      </c>
      <c r="PP33" s="64">
        <f t="shared" si="806"/>
        <v>0</v>
      </c>
      <c r="PQ33" s="65"/>
      <c r="PR33" s="63"/>
      <c r="PS33" s="64">
        <f t="shared" si="807"/>
        <v>0</v>
      </c>
      <c r="PT33" s="65"/>
      <c r="PU33" s="63"/>
      <c r="PV33" s="64">
        <f t="shared" si="808"/>
        <v>0</v>
      </c>
      <c r="PW33" s="65">
        <v>100</v>
      </c>
      <c r="PX33" s="63"/>
      <c r="PY33" s="64">
        <f t="shared" si="809"/>
        <v>100</v>
      </c>
      <c r="PZ33" s="66">
        <f t="shared" si="173"/>
        <v>1500</v>
      </c>
      <c r="QA33" s="67">
        <f t="shared" si="810"/>
        <v>1400</v>
      </c>
      <c r="QB33" s="64">
        <f t="shared" si="811"/>
        <v>100</v>
      </c>
      <c r="QC33" s="62"/>
      <c r="QD33" s="63"/>
      <c r="QE33" s="64">
        <f t="shared" si="812"/>
        <v>0</v>
      </c>
      <c r="QF33" s="65"/>
      <c r="QG33" s="63"/>
      <c r="QH33" s="64">
        <f t="shared" si="813"/>
        <v>0</v>
      </c>
      <c r="QI33" s="65"/>
      <c r="QJ33" s="63">
        <v>4498.92</v>
      </c>
      <c r="QK33" s="64">
        <f t="shared" si="814"/>
        <v>-4498.92</v>
      </c>
      <c r="QL33" s="65">
        <v>100</v>
      </c>
      <c r="QM33" s="63">
        <v>259.70999999999998</v>
      </c>
      <c r="QN33" s="64">
        <f t="shared" si="815"/>
        <v>-159.70999999999998</v>
      </c>
      <c r="QO33" s="66">
        <f t="shared" si="180"/>
        <v>100</v>
      </c>
      <c r="QP33" s="67">
        <f t="shared" si="816"/>
        <v>4758.63</v>
      </c>
      <c r="QQ33" s="64">
        <f t="shared" si="817"/>
        <v>-4658.63</v>
      </c>
      <c r="QR33" s="62"/>
      <c r="QS33" s="63"/>
      <c r="QT33" s="64">
        <f t="shared" si="818"/>
        <v>0</v>
      </c>
      <c r="QU33" s="65"/>
      <c r="QV33" s="63"/>
      <c r="QW33" s="64">
        <f t="shared" si="819"/>
        <v>0</v>
      </c>
      <c r="QX33" s="65"/>
      <c r="QY33" s="63"/>
      <c r="QZ33" s="64">
        <f t="shared" si="820"/>
        <v>0</v>
      </c>
      <c r="RA33" s="65"/>
      <c r="RB33" s="63"/>
      <c r="RC33" s="64">
        <f t="shared" si="821"/>
        <v>0</v>
      </c>
      <c r="RD33" s="66">
        <f t="shared" si="187"/>
        <v>0</v>
      </c>
      <c r="RE33" s="67">
        <f t="shared" si="822"/>
        <v>0</v>
      </c>
      <c r="RF33" s="64">
        <f t="shared" si="823"/>
        <v>0</v>
      </c>
      <c r="RG33" s="62"/>
      <c r="RH33" s="63"/>
      <c r="RI33" s="64">
        <f t="shared" si="824"/>
        <v>0</v>
      </c>
      <c r="RJ33" s="65"/>
      <c r="RK33" s="63"/>
      <c r="RL33" s="64">
        <f t="shared" si="825"/>
        <v>0</v>
      </c>
      <c r="RM33" s="65"/>
      <c r="RN33" s="63"/>
      <c r="RO33" s="64">
        <f t="shared" si="826"/>
        <v>0</v>
      </c>
      <c r="RP33" s="65"/>
      <c r="RQ33" s="63"/>
      <c r="RR33" s="64">
        <f t="shared" si="827"/>
        <v>0</v>
      </c>
      <c r="RS33" s="66">
        <f t="shared" si="194"/>
        <v>0</v>
      </c>
      <c r="RT33" s="67">
        <f t="shared" si="828"/>
        <v>0</v>
      </c>
      <c r="RU33" s="64">
        <f t="shared" si="829"/>
        <v>0</v>
      </c>
      <c r="RV33" s="62"/>
      <c r="RW33" s="63"/>
      <c r="RX33" s="64">
        <f t="shared" si="830"/>
        <v>0</v>
      </c>
      <c r="RY33" s="65"/>
      <c r="RZ33" s="63"/>
      <c r="SA33" s="64">
        <f t="shared" si="831"/>
        <v>0</v>
      </c>
      <c r="SB33" s="65"/>
      <c r="SC33" s="63"/>
      <c r="SD33" s="64">
        <f t="shared" si="832"/>
        <v>0</v>
      </c>
      <c r="SE33" s="65">
        <v>100</v>
      </c>
      <c r="SF33" s="63">
        <v>85.17</v>
      </c>
      <c r="SG33" s="64">
        <f t="shared" si="833"/>
        <v>14.829999999999998</v>
      </c>
      <c r="SH33" s="66">
        <f t="shared" si="201"/>
        <v>100</v>
      </c>
      <c r="SI33" s="67">
        <f t="shared" si="834"/>
        <v>85.17</v>
      </c>
      <c r="SJ33" s="64">
        <f t="shared" si="835"/>
        <v>14.829999999999998</v>
      </c>
      <c r="SK33" s="62"/>
      <c r="SL33" s="63"/>
      <c r="SM33" s="64">
        <f t="shared" si="836"/>
        <v>0</v>
      </c>
      <c r="SN33" s="65"/>
      <c r="SO33" s="63"/>
      <c r="SP33" s="64">
        <f t="shared" si="837"/>
        <v>0</v>
      </c>
      <c r="SQ33" s="65"/>
      <c r="SR33" s="63"/>
      <c r="SS33" s="64">
        <f t="shared" si="838"/>
        <v>0</v>
      </c>
      <c r="ST33" s="65">
        <v>100</v>
      </c>
      <c r="SU33" s="63"/>
      <c r="SV33" s="64">
        <f t="shared" si="839"/>
        <v>100</v>
      </c>
      <c r="SW33" s="66">
        <f t="shared" si="208"/>
        <v>100</v>
      </c>
      <c r="SX33" s="67">
        <f t="shared" si="840"/>
        <v>0</v>
      </c>
      <c r="SY33" s="64">
        <f t="shared" si="841"/>
        <v>100</v>
      </c>
      <c r="SZ33" s="62">
        <v>985.33</v>
      </c>
      <c r="TA33" s="63">
        <v>985.33</v>
      </c>
      <c r="TB33" s="64">
        <f t="shared" si="842"/>
        <v>0</v>
      </c>
      <c r="TC33" s="65">
        <v>700.9</v>
      </c>
      <c r="TD33" s="63">
        <v>700.9</v>
      </c>
      <c r="TE33" s="64">
        <f t="shared" si="843"/>
        <v>0</v>
      </c>
      <c r="TF33" s="65"/>
      <c r="TG33" s="63"/>
      <c r="TH33" s="64">
        <f t="shared" si="844"/>
        <v>0</v>
      </c>
      <c r="TI33" s="65">
        <v>100</v>
      </c>
      <c r="TJ33" s="63"/>
      <c r="TK33" s="64">
        <f t="shared" si="845"/>
        <v>100</v>
      </c>
      <c r="TL33" s="66">
        <f t="shared" si="215"/>
        <v>1786.23</v>
      </c>
      <c r="TM33" s="67">
        <f t="shared" si="846"/>
        <v>1686.23</v>
      </c>
      <c r="TN33" s="64">
        <f t="shared" si="847"/>
        <v>100</v>
      </c>
      <c r="TO33" s="62"/>
      <c r="TP33" s="63"/>
      <c r="TQ33" s="64">
        <f t="shared" si="848"/>
        <v>0</v>
      </c>
      <c r="TR33" s="65"/>
      <c r="TS33" s="63"/>
      <c r="TT33" s="64">
        <f t="shared" si="849"/>
        <v>0</v>
      </c>
      <c r="TU33" s="65"/>
      <c r="TV33" s="63"/>
      <c r="TW33" s="64">
        <f t="shared" si="850"/>
        <v>0</v>
      </c>
      <c r="TX33" s="65">
        <v>100</v>
      </c>
      <c r="TY33" s="63"/>
      <c r="TZ33" s="64">
        <f t="shared" si="851"/>
        <v>100</v>
      </c>
      <c r="UA33" s="66">
        <f t="shared" si="222"/>
        <v>100</v>
      </c>
      <c r="UB33" s="67">
        <f t="shared" si="852"/>
        <v>0</v>
      </c>
      <c r="UC33" s="64">
        <f t="shared" si="853"/>
        <v>100</v>
      </c>
      <c r="UD33" s="62">
        <v>1125</v>
      </c>
      <c r="UE33" s="63">
        <v>1125</v>
      </c>
      <c r="UF33" s="64">
        <f t="shared" si="854"/>
        <v>0</v>
      </c>
      <c r="UG33" s="65">
        <v>497.04</v>
      </c>
      <c r="UH33" s="63">
        <v>497.04</v>
      </c>
      <c r="UI33" s="64">
        <f t="shared" si="855"/>
        <v>0</v>
      </c>
      <c r="UJ33" s="65"/>
      <c r="UK33" s="63">
        <v>2019.87</v>
      </c>
      <c r="UL33" s="64">
        <f t="shared" si="856"/>
        <v>-2019.87</v>
      </c>
      <c r="UM33" s="65">
        <v>100</v>
      </c>
      <c r="UN33" s="63">
        <v>103.85</v>
      </c>
      <c r="UO33" s="64">
        <f t="shared" si="857"/>
        <v>-3.8499999999999943</v>
      </c>
      <c r="UP33" s="66">
        <f t="shared" si="226"/>
        <v>1722.04</v>
      </c>
      <c r="UQ33" s="67">
        <f t="shared" si="858"/>
        <v>3745.7599999999998</v>
      </c>
      <c r="UR33" s="64">
        <f t="shared" si="859"/>
        <v>-2023.7199999999998</v>
      </c>
      <c r="US33" s="130"/>
      <c r="UT33" s="77"/>
      <c r="UU33" s="131">
        <f>US33-UT33</f>
        <v>0</v>
      </c>
      <c r="UV33" s="76"/>
      <c r="UW33" s="77"/>
      <c r="UX33" s="131">
        <f>UV33-UW33</f>
        <v>0</v>
      </c>
      <c r="UY33" s="76"/>
      <c r="UZ33" s="77"/>
      <c r="VA33" s="131">
        <f>UY33-UZ33</f>
        <v>0</v>
      </c>
      <c r="VB33" s="76">
        <v>100</v>
      </c>
      <c r="VC33" s="77">
        <v>157.4</v>
      </c>
      <c r="VD33" s="131">
        <f>VB33-VC33</f>
        <v>-57.400000000000006</v>
      </c>
      <c r="VE33" s="76">
        <f t="shared" si="233"/>
        <v>100</v>
      </c>
      <c r="VF33" s="77">
        <f t="shared" si="860"/>
        <v>157.4</v>
      </c>
      <c r="VG33" s="131">
        <f t="shared" si="861"/>
        <v>-57.400000000000006</v>
      </c>
      <c r="VH33" s="62"/>
      <c r="VI33" s="63"/>
      <c r="VJ33" s="64">
        <f t="shared" si="862"/>
        <v>0</v>
      </c>
      <c r="VK33" s="65"/>
      <c r="VL33" s="63"/>
      <c r="VM33" s="64">
        <f t="shared" si="863"/>
        <v>0</v>
      </c>
      <c r="VN33" s="65"/>
      <c r="VO33" s="63"/>
      <c r="VP33" s="64">
        <f t="shared" si="864"/>
        <v>0</v>
      </c>
      <c r="VQ33" s="65">
        <v>100</v>
      </c>
      <c r="VR33" s="63"/>
      <c r="VS33" s="64">
        <f t="shared" si="865"/>
        <v>100</v>
      </c>
      <c r="VT33" s="66">
        <f t="shared" si="240"/>
        <v>100</v>
      </c>
      <c r="VU33" s="67">
        <f t="shared" si="866"/>
        <v>0</v>
      </c>
      <c r="VV33" s="64">
        <f t="shared" si="867"/>
        <v>100</v>
      </c>
      <c r="VW33" s="74"/>
      <c r="VX33" s="72"/>
      <c r="VY33" s="73"/>
      <c r="VZ33" s="74"/>
      <c r="WA33" s="75"/>
      <c r="WB33" s="73"/>
      <c r="WC33" s="74"/>
      <c r="WD33" s="75"/>
      <c r="WE33" s="73"/>
      <c r="WF33" s="74"/>
      <c r="WG33" s="75"/>
      <c r="WH33" s="73"/>
      <c r="WI33" s="74"/>
      <c r="WJ33" s="76"/>
      <c r="WK33" s="77"/>
      <c r="WL33" s="62">
        <v>1376.01</v>
      </c>
      <c r="WM33" s="63">
        <v>1376.01</v>
      </c>
      <c r="WN33" s="64">
        <f t="shared" si="868"/>
        <v>0</v>
      </c>
      <c r="WO33" s="65"/>
      <c r="WP33" s="63"/>
      <c r="WQ33" s="64">
        <f t="shared" si="869"/>
        <v>0</v>
      </c>
      <c r="WR33" s="65"/>
      <c r="WS33" s="63"/>
      <c r="WT33" s="64">
        <f t="shared" si="870"/>
        <v>0</v>
      </c>
      <c r="WU33" s="65">
        <v>100</v>
      </c>
      <c r="WV33" s="63"/>
      <c r="WW33" s="64">
        <f t="shared" si="871"/>
        <v>100</v>
      </c>
      <c r="WX33" s="66">
        <f t="shared" si="254"/>
        <v>1476.01</v>
      </c>
      <c r="WY33" s="67">
        <f t="shared" si="872"/>
        <v>1376.01</v>
      </c>
      <c r="WZ33" s="64">
        <f t="shared" si="873"/>
        <v>100</v>
      </c>
      <c r="XA33" s="62"/>
      <c r="XB33" s="63"/>
      <c r="XC33" s="64">
        <f t="shared" si="874"/>
        <v>0</v>
      </c>
      <c r="XD33" s="65"/>
      <c r="XE33" s="63"/>
      <c r="XF33" s="64">
        <f t="shared" si="875"/>
        <v>0</v>
      </c>
      <c r="XG33" s="65">
        <v>2500</v>
      </c>
      <c r="XH33" s="63">
        <f>206.72+4915.87</f>
        <v>5122.59</v>
      </c>
      <c r="XI33" s="64">
        <f t="shared" si="876"/>
        <v>-2622.59</v>
      </c>
      <c r="XJ33" s="65">
        <v>100</v>
      </c>
      <c r="XK33" s="63">
        <v>337.08</v>
      </c>
      <c r="XL33" s="64">
        <f t="shared" si="877"/>
        <v>-237.07999999999998</v>
      </c>
      <c r="XM33" s="66">
        <f t="shared" si="261"/>
        <v>2600</v>
      </c>
      <c r="XN33" s="67">
        <f t="shared" si="878"/>
        <v>5459.67</v>
      </c>
      <c r="XO33" s="64">
        <f t="shared" si="879"/>
        <v>-2859.67</v>
      </c>
      <c r="XP33" s="62"/>
      <c r="XQ33" s="63"/>
      <c r="XR33" s="64">
        <f t="shared" si="880"/>
        <v>0</v>
      </c>
      <c r="XS33" s="65">
        <v>591.29999999999995</v>
      </c>
      <c r="XT33" s="63">
        <v>591.29999999999995</v>
      </c>
      <c r="XU33" s="64">
        <f t="shared" si="881"/>
        <v>0</v>
      </c>
      <c r="XV33" s="65">
        <v>1000</v>
      </c>
      <c r="XW33" s="63">
        <v>1603.63</v>
      </c>
      <c r="XX33" s="64">
        <f t="shared" si="882"/>
        <v>-603.63000000000011</v>
      </c>
      <c r="XY33" s="65">
        <v>100</v>
      </c>
      <c r="XZ33" s="63"/>
      <c r="YA33" s="64">
        <f t="shared" si="883"/>
        <v>100</v>
      </c>
      <c r="YB33" s="66">
        <f t="shared" si="268"/>
        <v>1691.3</v>
      </c>
      <c r="YC33" s="67">
        <f t="shared" si="884"/>
        <v>2194.9300000000003</v>
      </c>
      <c r="YD33" s="64">
        <f t="shared" si="885"/>
        <v>-503.63000000000034</v>
      </c>
      <c r="YE33" s="62"/>
      <c r="YF33" s="63"/>
      <c r="YG33" s="64">
        <f t="shared" si="886"/>
        <v>0</v>
      </c>
      <c r="YH33" s="65">
        <v>725.15</v>
      </c>
      <c r="YI33" s="63">
        <v>725.15</v>
      </c>
      <c r="YJ33" s="64">
        <f t="shared" si="887"/>
        <v>0</v>
      </c>
      <c r="YK33" s="65">
        <v>1000</v>
      </c>
      <c r="YL33" s="63">
        <v>672.71</v>
      </c>
      <c r="YM33" s="64">
        <f t="shared" si="888"/>
        <v>327.28999999999996</v>
      </c>
      <c r="YN33" s="65">
        <v>100</v>
      </c>
      <c r="YO33" s="63"/>
      <c r="YP33" s="64">
        <f t="shared" si="889"/>
        <v>100</v>
      </c>
      <c r="YQ33" s="66">
        <f t="shared" si="275"/>
        <v>1825.15</v>
      </c>
      <c r="YR33" s="67">
        <f t="shared" si="890"/>
        <v>1397.8600000000001</v>
      </c>
      <c r="YS33" s="64">
        <f t="shared" si="891"/>
        <v>427.28999999999996</v>
      </c>
      <c r="YT33" s="62"/>
      <c r="YU33" s="63"/>
      <c r="YV33" s="64">
        <f t="shared" si="892"/>
        <v>0</v>
      </c>
      <c r="YW33" s="65">
        <v>513.28</v>
      </c>
      <c r="YX33" s="63">
        <v>513.28</v>
      </c>
      <c r="YY33" s="64">
        <f t="shared" si="893"/>
        <v>0</v>
      </c>
      <c r="YZ33" s="65">
        <v>1000</v>
      </c>
      <c r="ZA33" s="63"/>
      <c r="ZB33" s="64">
        <f t="shared" si="894"/>
        <v>1000</v>
      </c>
      <c r="ZC33" s="65">
        <v>100</v>
      </c>
      <c r="ZD33" s="63"/>
      <c r="ZE33" s="64">
        <f t="shared" si="895"/>
        <v>100</v>
      </c>
      <c r="ZF33" s="66">
        <f t="shared" si="282"/>
        <v>1613.28</v>
      </c>
      <c r="ZG33" s="67">
        <f t="shared" si="896"/>
        <v>513.28</v>
      </c>
      <c r="ZH33" s="64">
        <f t="shared" si="897"/>
        <v>1100</v>
      </c>
      <c r="ZI33" s="62">
        <v>1250</v>
      </c>
      <c r="ZJ33" s="63">
        <v>1250</v>
      </c>
      <c r="ZK33" s="64">
        <f t="shared" si="898"/>
        <v>0</v>
      </c>
      <c r="ZL33" s="65"/>
      <c r="ZM33" s="63"/>
      <c r="ZN33" s="64">
        <f t="shared" si="899"/>
        <v>0</v>
      </c>
      <c r="ZO33" s="65"/>
      <c r="ZP33" s="63"/>
      <c r="ZQ33" s="64">
        <f t="shared" si="900"/>
        <v>0</v>
      </c>
      <c r="ZR33" s="65">
        <v>100</v>
      </c>
      <c r="ZS33" s="63">
        <v>493.62</v>
      </c>
      <c r="ZT33" s="64">
        <f t="shared" si="901"/>
        <v>-393.62</v>
      </c>
      <c r="ZU33" s="66">
        <f t="shared" si="289"/>
        <v>1350</v>
      </c>
      <c r="ZV33" s="67">
        <f t="shared" si="902"/>
        <v>1743.62</v>
      </c>
      <c r="ZW33" s="64">
        <f t="shared" si="903"/>
        <v>-393.61999999999989</v>
      </c>
      <c r="ZX33" s="62">
        <v>24.71</v>
      </c>
      <c r="ZY33" s="63">
        <v>24.71</v>
      </c>
      <c r="ZZ33" s="64">
        <f t="shared" si="904"/>
        <v>0</v>
      </c>
      <c r="AAA33" s="66">
        <f t="shared" si="293"/>
        <v>24.71</v>
      </c>
      <c r="AAB33" s="67">
        <f t="shared" si="293"/>
        <v>24.71</v>
      </c>
      <c r="AAC33" s="64">
        <f t="shared" si="905"/>
        <v>0</v>
      </c>
      <c r="AAD33" s="85">
        <f t="shared" si="295"/>
        <v>55260.279999999992</v>
      </c>
      <c r="AAE33" s="86">
        <f t="shared" si="295"/>
        <v>60600.67</v>
      </c>
      <c r="AAF33" s="87">
        <f t="shared" si="3"/>
        <v>1.0966406612489117</v>
      </c>
      <c r="AAG33" s="88">
        <f t="shared" si="906"/>
        <v>5340.3900000000067</v>
      </c>
      <c r="AAH33" s="91">
        <f>AAD43</f>
        <v>1499048.98</v>
      </c>
      <c r="AAI33" s="92"/>
      <c r="AAJ33" s="92"/>
      <c r="AAK33" s="60"/>
    </row>
    <row r="34" spans="1:713" s="83" customFormat="1" ht="20" customHeight="1" x14ac:dyDescent="0.2">
      <c r="A34" s="84" t="s">
        <v>31</v>
      </c>
      <c r="B34" s="93"/>
      <c r="C34" s="90"/>
      <c r="D34" s="90"/>
      <c r="E34" s="60"/>
      <c r="F34" s="61">
        <v>45383</v>
      </c>
      <c r="G34" s="62"/>
      <c r="H34" s="63"/>
      <c r="I34" s="64">
        <f t="shared" si="649"/>
        <v>0</v>
      </c>
      <c r="J34" s="65">
        <v>3418.12</v>
      </c>
      <c r="K34" s="63">
        <v>3133.1</v>
      </c>
      <c r="L34" s="64">
        <f t="shared" si="650"/>
        <v>285.02</v>
      </c>
      <c r="M34" s="65">
        <v>2500</v>
      </c>
      <c r="N34" s="63">
        <v>3910.15</v>
      </c>
      <c r="O34" s="64">
        <f t="shared" si="651"/>
        <v>-1410.15</v>
      </c>
      <c r="P34" s="65">
        <v>500</v>
      </c>
      <c r="Q34" s="63">
        <v>461.91</v>
      </c>
      <c r="R34" s="64">
        <f t="shared" si="652"/>
        <v>38.089999999999975</v>
      </c>
      <c r="S34" s="65">
        <v>181</v>
      </c>
      <c r="T34" s="63">
        <v>196.34</v>
      </c>
      <c r="U34" s="64">
        <f t="shared" si="653"/>
        <v>-15.340000000000003</v>
      </c>
      <c r="V34" s="66">
        <f t="shared" si="654"/>
        <v>6599.12</v>
      </c>
      <c r="W34" s="67">
        <f t="shared" si="654"/>
        <v>7701.5</v>
      </c>
      <c r="X34" s="64">
        <f t="shared" si="655"/>
        <v>-1102.3800000000001</v>
      </c>
      <c r="Y34" s="62">
        <v>1100</v>
      </c>
      <c r="Z34" s="63">
        <v>1100</v>
      </c>
      <c r="AA34" s="64">
        <f t="shared" si="656"/>
        <v>0</v>
      </c>
      <c r="AB34" s="65"/>
      <c r="AC34" s="63"/>
      <c r="AD34" s="64">
        <f t="shared" si="657"/>
        <v>0</v>
      </c>
      <c r="AE34" s="65"/>
      <c r="AF34" s="63"/>
      <c r="AG34" s="64">
        <f t="shared" si="658"/>
        <v>0</v>
      </c>
      <c r="AH34" s="65"/>
      <c r="AI34" s="63"/>
      <c r="AJ34" s="64">
        <f t="shared" si="659"/>
        <v>0</v>
      </c>
      <c r="AK34" s="66">
        <f t="shared" si="16"/>
        <v>1100</v>
      </c>
      <c r="AL34" s="67">
        <f t="shared" si="17"/>
        <v>1100</v>
      </c>
      <c r="AM34" s="64">
        <f t="shared" si="660"/>
        <v>0</v>
      </c>
      <c r="AN34" s="62"/>
      <c r="AO34" s="63"/>
      <c r="AP34" s="64">
        <f t="shared" si="907"/>
        <v>0</v>
      </c>
      <c r="AQ34" s="65"/>
      <c r="AR34" s="63"/>
      <c r="AS34" s="64">
        <f t="shared" si="661"/>
        <v>0</v>
      </c>
      <c r="AT34" s="65"/>
      <c r="AU34" s="63"/>
      <c r="AV34" s="64">
        <f t="shared" si="662"/>
        <v>0</v>
      </c>
      <c r="AW34" s="65"/>
      <c r="AX34" s="63"/>
      <c r="AY34" s="64">
        <f t="shared" si="663"/>
        <v>0</v>
      </c>
      <c r="AZ34" s="66">
        <f t="shared" si="23"/>
        <v>0</v>
      </c>
      <c r="BA34" s="67">
        <f t="shared" si="664"/>
        <v>0</v>
      </c>
      <c r="BB34" s="64">
        <f t="shared" si="665"/>
        <v>0</v>
      </c>
      <c r="BC34" s="62">
        <v>6150</v>
      </c>
      <c r="BD34" s="63">
        <v>6150</v>
      </c>
      <c r="BE34" s="64">
        <f t="shared" si="666"/>
        <v>0</v>
      </c>
      <c r="BF34" s="65"/>
      <c r="BG34" s="63"/>
      <c r="BH34" s="64">
        <f t="shared" si="667"/>
        <v>0</v>
      </c>
      <c r="BI34" s="65"/>
      <c r="BJ34" s="63"/>
      <c r="BK34" s="64">
        <f t="shared" si="668"/>
        <v>0</v>
      </c>
      <c r="BL34" s="65">
        <v>100</v>
      </c>
      <c r="BM34" s="63">
        <v>229.07</v>
      </c>
      <c r="BN34" s="64">
        <f t="shared" si="669"/>
        <v>-129.07</v>
      </c>
      <c r="BO34" s="66">
        <f t="shared" si="30"/>
        <v>6250</v>
      </c>
      <c r="BP34" s="67">
        <f t="shared" si="670"/>
        <v>6379.07</v>
      </c>
      <c r="BQ34" s="64">
        <f t="shared" si="671"/>
        <v>-129.06999999999971</v>
      </c>
      <c r="BR34" s="62">
        <v>789.83</v>
      </c>
      <c r="BS34" s="63">
        <f>29.27+789.83</f>
        <v>819.1</v>
      </c>
      <c r="BT34" s="74"/>
      <c r="BU34" s="75"/>
      <c r="BV34" s="73"/>
      <c r="BW34" s="74"/>
      <c r="BX34" s="75"/>
      <c r="BY34" s="73"/>
      <c r="BZ34" s="74"/>
      <c r="CA34" s="75"/>
      <c r="CB34" s="73"/>
      <c r="CC34" s="74"/>
      <c r="CD34" s="66">
        <f t="shared" si="33"/>
        <v>789.83</v>
      </c>
      <c r="CE34" s="67">
        <f t="shared" si="672"/>
        <v>819.1</v>
      </c>
      <c r="CF34" s="64">
        <f t="shared" si="673"/>
        <v>-29.269999999999982</v>
      </c>
      <c r="CG34" s="62"/>
      <c r="CH34" s="63"/>
      <c r="CI34" s="64">
        <f t="shared" si="674"/>
        <v>0</v>
      </c>
      <c r="CJ34" s="65"/>
      <c r="CK34" s="63"/>
      <c r="CL34" s="64">
        <f t="shared" si="675"/>
        <v>0</v>
      </c>
      <c r="CM34" s="65"/>
      <c r="CN34" s="63"/>
      <c r="CO34" s="64">
        <f t="shared" si="676"/>
        <v>0</v>
      </c>
      <c r="CP34" s="65"/>
      <c r="CQ34" s="63"/>
      <c r="CR34" s="64">
        <f t="shared" si="677"/>
        <v>0</v>
      </c>
      <c r="CS34" s="66">
        <f t="shared" si="40"/>
        <v>0</v>
      </c>
      <c r="CT34" s="67">
        <f t="shared" si="678"/>
        <v>0</v>
      </c>
      <c r="CU34" s="64">
        <f t="shared" si="679"/>
        <v>0</v>
      </c>
      <c r="CV34" s="62">
        <v>2916.7</v>
      </c>
      <c r="CW34" s="63">
        <v>2916.7</v>
      </c>
      <c r="CX34" s="64">
        <f t="shared" si="680"/>
        <v>0</v>
      </c>
      <c r="CY34" s="65"/>
      <c r="CZ34" s="63"/>
      <c r="DA34" s="64">
        <f t="shared" si="681"/>
        <v>0</v>
      </c>
      <c r="DB34" s="65"/>
      <c r="DC34" s="63"/>
      <c r="DD34" s="64">
        <f t="shared" si="682"/>
        <v>0</v>
      </c>
      <c r="DE34" s="65"/>
      <c r="DF34" s="63">
        <v>87.05</v>
      </c>
      <c r="DG34" s="64">
        <f t="shared" si="683"/>
        <v>-87.05</v>
      </c>
      <c r="DH34" s="66">
        <f t="shared" si="43"/>
        <v>2916.7</v>
      </c>
      <c r="DI34" s="67">
        <f t="shared" si="684"/>
        <v>3003.75</v>
      </c>
      <c r="DJ34" s="64">
        <f t="shared" si="685"/>
        <v>-87.050000000000182</v>
      </c>
      <c r="DK34" s="62">
        <v>2400</v>
      </c>
      <c r="DL34" s="63">
        <v>2400</v>
      </c>
      <c r="DM34" s="64">
        <f t="shared" si="686"/>
        <v>0</v>
      </c>
      <c r="DN34" s="65">
        <v>580</v>
      </c>
      <c r="DO34" s="63">
        <v>819.08</v>
      </c>
      <c r="DP34" s="64">
        <f t="shared" si="687"/>
        <v>-239.08000000000004</v>
      </c>
      <c r="DQ34" s="65"/>
      <c r="DR34" s="63"/>
      <c r="DS34" s="64">
        <f t="shared" si="688"/>
        <v>0</v>
      </c>
      <c r="DT34" s="65">
        <v>100</v>
      </c>
      <c r="DU34" s="63">
        <v>106.37</v>
      </c>
      <c r="DV34" s="64">
        <f t="shared" si="689"/>
        <v>-6.3700000000000045</v>
      </c>
      <c r="DW34" s="66">
        <f t="shared" si="46"/>
        <v>3080</v>
      </c>
      <c r="DX34" s="67">
        <f t="shared" si="690"/>
        <v>3325.45</v>
      </c>
      <c r="DY34" s="64">
        <f t="shared" si="691"/>
        <v>-245.44999999999982</v>
      </c>
      <c r="DZ34" s="62"/>
      <c r="EA34" s="63"/>
      <c r="EB34" s="64">
        <f t="shared" si="692"/>
        <v>0</v>
      </c>
      <c r="EC34" s="65"/>
      <c r="ED34" s="63"/>
      <c r="EE34" s="64">
        <f t="shared" si="693"/>
        <v>0</v>
      </c>
      <c r="EF34" s="65"/>
      <c r="EG34" s="63"/>
      <c r="EH34" s="64">
        <f t="shared" si="694"/>
        <v>0</v>
      </c>
      <c r="EI34" s="65">
        <v>100</v>
      </c>
      <c r="EJ34" s="63">
        <v>81.8</v>
      </c>
      <c r="EK34" s="64">
        <f t="shared" si="695"/>
        <v>18.200000000000003</v>
      </c>
      <c r="EL34" s="66">
        <f t="shared" si="53"/>
        <v>100</v>
      </c>
      <c r="EM34" s="67">
        <f t="shared" si="696"/>
        <v>81.8</v>
      </c>
      <c r="EN34" s="64">
        <f t="shared" si="697"/>
        <v>18.200000000000003</v>
      </c>
      <c r="EO34" s="62">
        <v>6150</v>
      </c>
      <c r="EP34" s="63">
        <v>6150</v>
      </c>
      <c r="EQ34" s="64">
        <f t="shared" si="698"/>
        <v>0</v>
      </c>
      <c r="ER34" s="65"/>
      <c r="ES34" s="63"/>
      <c r="ET34" s="64">
        <f t="shared" si="699"/>
        <v>0</v>
      </c>
      <c r="EU34" s="65"/>
      <c r="EV34" s="63"/>
      <c r="EW34" s="64">
        <f t="shared" si="700"/>
        <v>0</v>
      </c>
      <c r="EX34" s="65">
        <v>100</v>
      </c>
      <c r="EY34" s="63">
        <v>100</v>
      </c>
      <c r="EZ34" s="64">
        <f t="shared" si="701"/>
        <v>0</v>
      </c>
      <c r="FA34" s="66">
        <f t="shared" si="60"/>
        <v>6250</v>
      </c>
      <c r="FB34" s="67">
        <f t="shared" si="702"/>
        <v>6250</v>
      </c>
      <c r="FC34" s="64">
        <f t="shared" si="703"/>
        <v>0</v>
      </c>
      <c r="FD34" s="62">
        <v>6150</v>
      </c>
      <c r="FE34" s="63">
        <v>6150</v>
      </c>
      <c r="FF34" s="64">
        <f t="shared" si="704"/>
        <v>0</v>
      </c>
      <c r="FG34" s="65"/>
      <c r="FH34" s="63"/>
      <c r="FI34" s="64">
        <f t="shared" si="705"/>
        <v>0</v>
      </c>
      <c r="FJ34" s="65"/>
      <c r="FK34" s="63"/>
      <c r="FL34" s="64">
        <f t="shared" si="706"/>
        <v>0</v>
      </c>
      <c r="FM34" s="65">
        <v>100</v>
      </c>
      <c r="FN34" s="63">
        <v>100</v>
      </c>
      <c r="FO34" s="64">
        <f t="shared" si="707"/>
        <v>0</v>
      </c>
      <c r="FP34" s="66">
        <f t="shared" si="67"/>
        <v>6250</v>
      </c>
      <c r="FQ34" s="67">
        <f t="shared" si="708"/>
        <v>6250</v>
      </c>
      <c r="FR34" s="64">
        <f t="shared" si="709"/>
        <v>0</v>
      </c>
      <c r="FS34" s="62"/>
      <c r="FT34" s="63"/>
      <c r="FU34" s="64">
        <f t="shared" si="710"/>
        <v>0</v>
      </c>
      <c r="FV34" s="65"/>
      <c r="FW34" s="63"/>
      <c r="FX34" s="64">
        <f t="shared" si="711"/>
        <v>0</v>
      </c>
      <c r="FY34" s="65"/>
      <c r="FZ34" s="63"/>
      <c r="GA34" s="64">
        <f t="shared" si="712"/>
        <v>0</v>
      </c>
      <c r="GB34" s="65"/>
      <c r="GC34" s="63"/>
      <c r="GD34" s="64">
        <f t="shared" si="713"/>
        <v>0</v>
      </c>
      <c r="GE34" s="66">
        <f t="shared" si="74"/>
        <v>0</v>
      </c>
      <c r="GF34" s="67">
        <f t="shared" si="714"/>
        <v>0</v>
      </c>
      <c r="GG34" s="64">
        <f t="shared" si="715"/>
        <v>0</v>
      </c>
      <c r="GH34" s="62"/>
      <c r="GI34" s="63"/>
      <c r="GJ34" s="64">
        <f t="shared" si="716"/>
        <v>0</v>
      </c>
      <c r="GK34" s="65"/>
      <c r="GL34" s="63"/>
      <c r="GM34" s="64">
        <f t="shared" si="717"/>
        <v>0</v>
      </c>
      <c r="GN34" s="65"/>
      <c r="GO34" s="63"/>
      <c r="GP34" s="64">
        <f t="shared" si="718"/>
        <v>0</v>
      </c>
      <c r="GQ34" s="65"/>
      <c r="GR34" s="63"/>
      <c r="GS34" s="64">
        <f t="shared" si="719"/>
        <v>0</v>
      </c>
      <c r="GT34" s="66">
        <f t="shared" si="81"/>
        <v>0</v>
      </c>
      <c r="GU34" s="67">
        <f t="shared" si="720"/>
        <v>0</v>
      </c>
      <c r="GV34" s="64">
        <f t="shared" si="721"/>
        <v>0</v>
      </c>
      <c r="GW34" s="62"/>
      <c r="GX34" s="63"/>
      <c r="GY34" s="64">
        <f t="shared" si="722"/>
        <v>0</v>
      </c>
      <c r="GZ34" s="65"/>
      <c r="HA34" s="63"/>
      <c r="HB34" s="64">
        <f t="shared" si="723"/>
        <v>0</v>
      </c>
      <c r="HC34" s="65"/>
      <c r="HD34" s="63"/>
      <c r="HE34" s="64">
        <f t="shared" si="724"/>
        <v>0</v>
      </c>
      <c r="HF34" s="65">
        <v>100</v>
      </c>
      <c r="HG34" s="63">
        <v>159.06</v>
      </c>
      <c r="HH34" s="64">
        <f t="shared" si="725"/>
        <v>-59.06</v>
      </c>
      <c r="HI34" s="66">
        <f t="shared" si="84"/>
        <v>100</v>
      </c>
      <c r="HJ34" s="67">
        <f t="shared" si="726"/>
        <v>159.06</v>
      </c>
      <c r="HK34" s="64">
        <f t="shared" si="727"/>
        <v>-59.06</v>
      </c>
      <c r="HL34" s="62">
        <v>6150</v>
      </c>
      <c r="HM34" s="63">
        <v>6150</v>
      </c>
      <c r="HN34" s="64">
        <f t="shared" si="728"/>
        <v>0</v>
      </c>
      <c r="HO34" s="65"/>
      <c r="HP34" s="63"/>
      <c r="HQ34" s="64">
        <f t="shared" si="729"/>
        <v>0</v>
      </c>
      <c r="HR34" s="65">
        <v>1500</v>
      </c>
      <c r="HS34" s="63"/>
      <c r="HT34" s="64">
        <f t="shared" si="730"/>
        <v>1500</v>
      </c>
      <c r="HU34" s="65">
        <v>100</v>
      </c>
      <c r="HV34" s="63">
        <v>100</v>
      </c>
      <c r="HW34" s="64">
        <f t="shared" si="731"/>
        <v>0</v>
      </c>
      <c r="HX34" s="66">
        <f t="shared" si="91"/>
        <v>7750</v>
      </c>
      <c r="HY34" s="67">
        <f t="shared" si="732"/>
        <v>6250</v>
      </c>
      <c r="HZ34" s="64">
        <f t="shared" si="733"/>
        <v>1500</v>
      </c>
      <c r="IA34" s="62"/>
      <c r="IB34" s="63"/>
      <c r="IC34" s="64">
        <f t="shared" si="734"/>
        <v>0</v>
      </c>
      <c r="ID34" s="65"/>
      <c r="IE34" s="63"/>
      <c r="IF34" s="64">
        <f t="shared" si="735"/>
        <v>0</v>
      </c>
      <c r="IG34" s="65"/>
      <c r="IH34" s="63"/>
      <c r="II34" s="64">
        <f t="shared" si="736"/>
        <v>0</v>
      </c>
      <c r="IJ34" s="65">
        <v>100</v>
      </c>
      <c r="IK34" s="63">
        <v>105.62</v>
      </c>
      <c r="IL34" s="64">
        <f t="shared" si="737"/>
        <v>-5.6200000000000045</v>
      </c>
      <c r="IM34" s="66">
        <f t="shared" si="98"/>
        <v>100</v>
      </c>
      <c r="IN34" s="67">
        <f t="shared" si="738"/>
        <v>105.62</v>
      </c>
      <c r="IO34" s="64">
        <f t="shared" si="739"/>
        <v>-5.6200000000000045</v>
      </c>
      <c r="IP34" s="62"/>
      <c r="IQ34" s="63"/>
      <c r="IR34" s="64">
        <f t="shared" si="740"/>
        <v>0</v>
      </c>
      <c r="IS34" s="65"/>
      <c r="IT34" s="63"/>
      <c r="IU34" s="64">
        <f t="shared" si="741"/>
        <v>0</v>
      </c>
      <c r="IV34" s="65"/>
      <c r="IW34" s="63"/>
      <c r="IX34" s="64">
        <f t="shared" si="742"/>
        <v>0</v>
      </c>
      <c r="IY34" s="65"/>
      <c r="IZ34" s="63"/>
      <c r="JA34" s="64">
        <f t="shared" si="743"/>
        <v>0</v>
      </c>
      <c r="JB34" s="66">
        <f t="shared" si="105"/>
        <v>0</v>
      </c>
      <c r="JC34" s="67">
        <f t="shared" si="744"/>
        <v>0</v>
      </c>
      <c r="JD34" s="64">
        <f t="shared" si="745"/>
        <v>0</v>
      </c>
      <c r="JE34" s="62"/>
      <c r="JF34" s="63"/>
      <c r="JG34" s="64">
        <f t="shared" si="746"/>
        <v>0</v>
      </c>
      <c r="JH34" s="65">
        <v>442.35</v>
      </c>
      <c r="JI34" s="65">
        <f>442.35</f>
        <v>442.35</v>
      </c>
      <c r="JJ34" s="64">
        <f t="shared" si="747"/>
        <v>0</v>
      </c>
      <c r="JK34" s="65"/>
      <c r="JL34" s="63">
        <v>13661.85</v>
      </c>
      <c r="JM34" s="64">
        <f t="shared" si="748"/>
        <v>-13661.85</v>
      </c>
      <c r="JN34" s="65">
        <v>100</v>
      </c>
      <c r="JO34" s="63"/>
      <c r="JP34" s="64">
        <f t="shared" si="749"/>
        <v>100</v>
      </c>
      <c r="JQ34" s="66">
        <f t="shared" si="112"/>
        <v>542.35</v>
      </c>
      <c r="JR34" s="67">
        <f t="shared" si="750"/>
        <v>14104.2</v>
      </c>
      <c r="JS34" s="64">
        <f t="shared" si="751"/>
        <v>-13561.85</v>
      </c>
      <c r="JT34" s="62">
        <v>5615.92</v>
      </c>
      <c r="JU34" s="63">
        <v>5615.92</v>
      </c>
      <c r="JV34" s="64">
        <f t="shared" si="752"/>
        <v>0</v>
      </c>
      <c r="JW34" s="65"/>
      <c r="JX34" s="63"/>
      <c r="JY34" s="64">
        <f t="shared" si="753"/>
        <v>0</v>
      </c>
      <c r="JZ34" s="65"/>
      <c r="KA34" s="63"/>
      <c r="KB34" s="64">
        <f t="shared" si="754"/>
        <v>0</v>
      </c>
      <c r="KC34" s="65">
        <v>100</v>
      </c>
      <c r="KD34" s="63"/>
      <c r="KE34" s="64">
        <f t="shared" si="755"/>
        <v>100</v>
      </c>
      <c r="KF34" s="66">
        <f t="shared" si="119"/>
        <v>5715.92</v>
      </c>
      <c r="KG34" s="67">
        <f t="shared" si="756"/>
        <v>5615.92</v>
      </c>
      <c r="KH34" s="64">
        <f t="shared" si="757"/>
        <v>100</v>
      </c>
      <c r="KI34" s="62"/>
      <c r="KJ34" s="63"/>
      <c r="KK34" s="64">
        <f t="shared" si="758"/>
        <v>0</v>
      </c>
      <c r="KL34" s="65"/>
      <c r="KM34" s="63"/>
      <c r="KN34" s="64">
        <f t="shared" si="759"/>
        <v>0</v>
      </c>
      <c r="KO34" s="65"/>
      <c r="KP34" s="63"/>
      <c r="KQ34" s="64">
        <f t="shared" si="760"/>
        <v>0</v>
      </c>
      <c r="KR34" s="65"/>
      <c r="KS34" s="63"/>
      <c r="KT34" s="64">
        <f t="shared" si="761"/>
        <v>0</v>
      </c>
      <c r="KU34" s="66">
        <f t="shared" si="1"/>
        <v>0</v>
      </c>
      <c r="KV34" s="67">
        <f t="shared" si="762"/>
        <v>0</v>
      </c>
      <c r="KW34" s="64">
        <f t="shared" si="763"/>
        <v>0</v>
      </c>
      <c r="KX34" s="72"/>
      <c r="KY34" s="73"/>
      <c r="KZ34" s="74"/>
      <c r="LA34" s="75"/>
      <c r="LB34" s="73"/>
      <c r="LC34" s="74"/>
      <c r="LD34" s="75"/>
      <c r="LE34" s="73"/>
      <c r="LF34" s="74"/>
      <c r="LG34" s="75"/>
      <c r="LH34" s="73"/>
      <c r="LI34" s="74"/>
      <c r="LJ34" s="76"/>
      <c r="LK34" s="77"/>
      <c r="LL34" s="74"/>
      <c r="LM34" s="62"/>
      <c r="LN34" s="63"/>
      <c r="LO34" s="64">
        <f t="shared" si="764"/>
        <v>0</v>
      </c>
      <c r="LP34" s="65"/>
      <c r="LQ34" s="63"/>
      <c r="LR34" s="64">
        <f t="shared" si="765"/>
        <v>0</v>
      </c>
      <c r="LS34" s="65"/>
      <c r="LT34" s="63"/>
      <c r="LU34" s="64">
        <f t="shared" si="766"/>
        <v>0</v>
      </c>
      <c r="LV34" s="65">
        <v>100</v>
      </c>
      <c r="LW34" s="63"/>
      <c r="LX34" s="64">
        <f t="shared" si="767"/>
        <v>100</v>
      </c>
      <c r="LY34" s="66">
        <f t="shared" si="124"/>
        <v>100</v>
      </c>
      <c r="LZ34" s="67">
        <f t="shared" si="768"/>
        <v>0</v>
      </c>
      <c r="MA34" s="64">
        <f t="shared" si="769"/>
        <v>100</v>
      </c>
      <c r="MB34" s="62"/>
      <c r="MC34" s="63"/>
      <c r="MD34" s="64">
        <f t="shared" si="770"/>
        <v>0</v>
      </c>
      <c r="ME34" s="65">
        <v>1050.2</v>
      </c>
      <c r="MF34" s="63">
        <v>889.11</v>
      </c>
      <c r="MG34" s="64">
        <f t="shared" si="771"/>
        <v>161.09000000000003</v>
      </c>
      <c r="MH34" s="65"/>
      <c r="MI34" s="63"/>
      <c r="MJ34" s="64">
        <f t="shared" si="772"/>
        <v>0</v>
      </c>
      <c r="MK34" s="65">
        <v>100</v>
      </c>
      <c r="ML34" s="63">
        <v>203.67</v>
      </c>
      <c r="MM34" s="64">
        <f t="shared" si="773"/>
        <v>-103.66999999999999</v>
      </c>
      <c r="MN34" s="66">
        <f t="shared" si="131"/>
        <v>1150.2</v>
      </c>
      <c r="MO34" s="67">
        <f t="shared" si="774"/>
        <v>1092.78</v>
      </c>
      <c r="MP34" s="64">
        <f t="shared" si="775"/>
        <v>57.420000000000073</v>
      </c>
      <c r="MQ34" s="62"/>
      <c r="MR34" s="63"/>
      <c r="MS34" s="64">
        <f t="shared" si="776"/>
        <v>0</v>
      </c>
      <c r="MT34" s="65"/>
      <c r="MU34" s="63"/>
      <c r="MV34" s="64">
        <f t="shared" si="777"/>
        <v>0</v>
      </c>
      <c r="MW34" s="65"/>
      <c r="MX34" s="63"/>
      <c r="MY34" s="64">
        <f t="shared" si="778"/>
        <v>0</v>
      </c>
      <c r="MZ34" s="65"/>
      <c r="NA34" s="63"/>
      <c r="NB34" s="64">
        <f t="shared" si="779"/>
        <v>0</v>
      </c>
      <c r="NC34" s="66">
        <f t="shared" si="138"/>
        <v>0</v>
      </c>
      <c r="ND34" s="67">
        <f t="shared" si="780"/>
        <v>0</v>
      </c>
      <c r="NE34" s="64">
        <f t="shared" si="781"/>
        <v>0</v>
      </c>
      <c r="NF34" s="62"/>
      <c r="NG34" s="63"/>
      <c r="NH34" s="64">
        <f t="shared" si="782"/>
        <v>0</v>
      </c>
      <c r="NI34" s="65">
        <v>886.87</v>
      </c>
      <c r="NJ34" s="63">
        <f>1105.51+37.14</f>
        <v>1142.6500000000001</v>
      </c>
      <c r="NK34" s="64">
        <f t="shared" si="783"/>
        <v>-255.78000000000009</v>
      </c>
      <c r="NL34" s="65"/>
      <c r="NM34" s="63"/>
      <c r="NN34" s="64">
        <f t="shared" si="784"/>
        <v>0</v>
      </c>
      <c r="NO34" s="65">
        <v>100</v>
      </c>
      <c r="NP34" s="63"/>
      <c r="NQ34" s="64">
        <f t="shared" si="785"/>
        <v>100</v>
      </c>
      <c r="NR34" s="66">
        <f t="shared" si="145"/>
        <v>986.87</v>
      </c>
      <c r="NS34" s="67">
        <f t="shared" si="786"/>
        <v>1142.6500000000001</v>
      </c>
      <c r="NT34" s="64">
        <f t="shared" si="787"/>
        <v>-155.78000000000009</v>
      </c>
      <c r="NU34" s="62"/>
      <c r="NV34" s="63"/>
      <c r="NW34" s="64">
        <f t="shared" si="788"/>
        <v>0</v>
      </c>
      <c r="NX34" s="65">
        <v>1004.52</v>
      </c>
      <c r="NY34" s="63">
        <v>1075.05</v>
      </c>
      <c r="NZ34" s="64">
        <f t="shared" si="789"/>
        <v>-70.529999999999973</v>
      </c>
      <c r="OA34" s="65"/>
      <c r="OB34" s="63"/>
      <c r="OC34" s="64">
        <f t="shared" si="790"/>
        <v>0</v>
      </c>
      <c r="OD34" s="65">
        <v>100</v>
      </c>
      <c r="OE34" s="63">
        <v>259.91000000000003</v>
      </c>
      <c r="OF34" s="64">
        <f t="shared" si="791"/>
        <v>-159.91000000000003</v>
      </c>
      <c r="OG34" s="66">
        <f t="shared" si="152"/>
        <v>1104.52</v>
      </c>
      <c r="OH34" s="67">
        <f t="shared" si="792"/>
        <v>1334.96</v>
      </c>
      <c r="OI34" s="64">
        <f t="shared" si="793"/>
        <v>-230.44000000000005</v>
      </c>
      <c r="OJ34" s="62"/>
      <c r="OK34" s="63"/>
      <c r="OL34" s="64">
        <f t="shared" si="794"/>
        <v>0</v>
      </c>
      <c r="OM34" s="65"/>
      <c r="ON34" s="63"/>
      <c r="OO34" s="64">
        <f t="shared" si="795"/>
        <v>0</v>
      </c>
      <c r="OP34" s="65"/>
      <c r="OQ34" s="63"/>
      <c r="OR34" s="64">
        <f t="shared" si="796"/>
        <v>0</v>
      </c>
      <c r="OS34" s="65">
        <v>100</v>
      </c>
      <c r="OT34" s="63"/>
      <c r="OU34" s="64">
        <f t="shared" si="797"/>
        <v>100</v>
      </c>
      <c r="OV34" s="66">
        <f t="shared" si="159"/>
        <v>100</v>
      </c>
      <c r="OW34" s="67">
        <f t="shared" si="798"/>
        <v>0</v>
      </c>
      <c r="OX34" s="64">
        <f t="shared" si="799"/>
        <v>100</v>
      </c>
      <c r="OY34" s="62"/>
      <c r="OZ34" s="63"/>
      <c r="PA34" s="64">
        <f t="shared" si="800"/>
        <v>0</v>
      </c>
      <c r="PB34" s="65"/>
      <c r="PC34" s="63"/>
      <c r="PD34" s="64">
        <f t="shared" si="801"/>
        <v>0</v>
      </c>
      <c r="PE34" s="65"/>
      <c r="PF34" s="63"/>
      <c r="PG34" s="64">
        <f t="shared" si="802"/>
        <v>0</v>
      </c>
      <c r="PH34" s="65">
        <v>100</v>
      </c>
      <c r="PI34" s="63">
        <v>97.29</v>
      </c>
      <c r="PJ34" s="64">
        <f t="shared" si="803"/>
        <v>2.7099999999999937</v>
      </c>
      <c r="PK34" s="66">
        <f t="shared" si="166"/>
        <v>100</v>
      </c>
      <c r="PL34" s="67">
        <f t="shared" si="804"/>
        <v>97.29</v>
      </c>
      <c r="PM34" s="64">
        <f t="shared" si="805"/>
        <v>2.7099999999999937</v>
      </c>
      <c r="PN34" s="62">
        <v>1400</v>
      </c>
      <c r="PO34" s="63">
        <v>1400</v>
      </c>
      <c r="PP34" s="64">
        <f t="shared" si="806"/>
        <v>0</v>
      </c>
      <c r="PQ34" s="65"/>
      <c r="PR34" s="63"/>
      <c r="PS34" s="64">
        <f t="shared" si="807"/>
        <v>0</v>
      </c>
      <c r="PT34" s="65"/>
      <c r="PU34" s="63"/>
      <c r="PV34" s="64">
        <f t="shared" si="808"/>
        <v>0</v>
      </c>
      <c r="PW34" s="65">
        <v>100</v>
      </c>
      <c r="PX34" s="63"/>
      <c r="PY34" s="64">
        <f t="shared" si="809"/>
        <v>100</v>
      </c>
      <c r="PZ34" s="66">
        <f t="shared" si="173"/>
        <v>1500</v>
      </c>
      <c r="QA34" s="67">
        <f t="shared" si="810"/>
        <v>1400</v>
      </c>
      <c r="QB34" s="64">
        <f t="shared" si="811"/>
        <v>100</v>
      </c>
      <c r="QC34" s="62"/>
      <c r="QD34" s="63"/>
      <c r="QE34" s="64">
        <f t="shared" si="812"/>
        <v>0</v>
      </c>
      <c r="QF34" s="65"/>
      <c r="QG34" s="63"/>
      <c r="QH34" s="64">
        <f t="shared" si="813"/>
        <v>0</v>
      </c>
      <c r="QI34" s="65"/>
      <c r="QJ34" s="63"/>
      <c r="QK34" s="64">
        <f t="shared" si="814"/>
        <v>0</v>
      </c>
      <c r="QL34" s="65">
        <v>100</v>
      </c>
      <c r="QM34" s="63"/>
      <c r="QN34" s="64">
        <f t="shared" si="815"/>
        <v>100</v>
      </c>
      <c r="QO34" s="66">
        <f t="shared" si="180"/>
        <v>100</v>
      </c>
      <c r="QP34" s="67">
        <f t="shared" si="816"/>
        <v>0</v>
      </c>
      <c r="QQ34" s="64">
        <f t="shared" si="817"/>
        <v>100</v>
      </c>
      <c r="QR34" s="62"/>
      <c r="QS34" s="63"/>
      <c r="QT34" s="64">
        <f t="shared" si="818"/>
        <v>0</v>
      </c>
      <c r="QU34" s="65"/>
      <c r="QV34" s="63"/>
      <c r="QW34" s="64">
        <f t="shared" si="819"/>
        <v>0</v>
      </c>
      <c r="QX34" s="65"/>
      <c r="QY34" s="63"/>
      <c r="QZ34" s="64">
        <f t="shared" si="820"/>
        <v>0</v>
      </c>
      <c r="RA34" s="65"/>
      <c r="RB34" s="63"/>
      <c r="RC34" s="64">
        <f t="shared" si="821"/>
        <v>0</v>
      </c>
      <c r="RD34" s="66">
        <f t="shared" si="187"/>
        <v>0</v>
      </c>
      <c r="RE34" s="67">
        <f t="shared" si="822"/>
        <v>0</v>
      </c>
      <c r="RF34" s="64">
        <f t="shared" si="823"/>
        <v>0</v>
      </c>
      <c r="RG34" s="62"/>
      <c r="RH34" s="63"/>
      <c r="RI34" s="64">
        <f t="shared" si="824"/>
        <v>0</v>
      </c>
      <c r="RJ34" s="65"/>
      <c r="RK34" s="63"/>
      <c r="RL34" s="64">
        <f t="shared" si="825"/>
        <v>0</v>
      </c>
      <c r="RM34" s="65"/>
      <c r="RN34" s="63"/>
      <c r="RO34" s="64">
        <f t="shared" si="826"/>
        <v>0</v>
      </c>
      <c r="RP34" s="65"/>
      <c r="RQ34" s="63"/>
      <c r="RR34" s="64">
        <f t="shared" si="827"/>
        <v>0</v>
      </c>
      <c r="RS34" s="66">
        <f t="shared" si="194"/>
        <v>0</v>
      </c>
      <c r="RT34" s="67">
        <f t="shared" si="828"/>
        <v>0</v>
      </c>
      <c r="RU34" s="64">
        <f t="shared" si="829"/>
        <v>0</v>
      </c>
      <c r="RV34" s="62"/>
      <c r="RW34" s="63"/>
      <c r="RX34" s="64">
        <f t="shared" si="830"/>
        <v>0</v>
      </c>
      <c r="RY34" s="65"/>
      <c r="RZ34" s="63"/>
      <c r="SA34" s="64">
        <f t="shared" si="831"/>
        <v>0</v>
      </c>
      <c r="SB34" s="65"/>
      <c r="SC34" s="63"/>
      <c r="SD34" s="64">
        <f t="shared" si="832"/>
        <v>0</v>
      </c>
      <c r="SE34" s="65">
        <v>100</v>
      </c>
      <c r="SF34" s="63">
        <v>67.34</v>
      </c>
      <c r="SG34" s="64">
        <f t="shared" si="833"/>
        <v>32.659999999999997</v>
      </c>
      <c r="SH34" s="66">
        <f t="shared" si="201"/>
        <v>100</v>
      </c>
      <c r="SI34" s="67">
        <f t="shared" si="834"/>
        <v>67.34</v>
      </c>
      <c r="SJ34" s="64">
        <f t="shared" si="835"/>
        <v>32.659999999999997</v>
      </c>
      <c r="SK34" s="62"/>
      <c r="SL34" s="63"/>
      <c r="SM34" s="64">
        <f t="shared" si="836"/>
        <v>0</v>
      </c>
      <c r="SN34" s="65"/>
      <c r="SO34" s="63"/>
      <c r="SP34" s="64">
        <f t="shared" si="837"/>
        <v>0</v>
      </c>
      <c r="SQ34" s="65"/>
      <c r="SR34" s="63"/>
      <c r="SS34" s="64">
        <f t="shared" si="838"/>
        <v>0</v>
      </c>
      <c r="ST34" s="65">
        <v>100</v>
      </c>
      <c r="SU34" s="63">
        <v>127.18</v>
      </c>
      <c r="SV34" s="64">
        <f t="shared" si="839"/>
        <v>-27.180000000000007</v>
      </c>
      <c r="SW34" s="66">
        <f t="shared" si="208"/>
        <v>100</v>
      </c>
      <c r="SX34" s="67">
        <f t="shared" si="840"/>
        <v>127.18</v>
      </c>
      <c r="SY34" s="64">
        <f t="shared" si="841"/>
        <v>-27.180000000000007</v>
      </c>
      <c r="SZ34" s="62">
        <v>985.33</v>
      </c>
      <c r="TA34" s="63">
        <v>985.33</v>
      </c>
      <c r="TB34" s="64">
        <f t="shared" si="842"/>
        <v>0</v>
      </c>
      <c r="TC34" s="65">
        <v>700.9</v>
      </c>
      <c r="TD34" s="63">
        <v>700.9</v>
      </c>
      <c r="TE34" s="64">
        <f t="shared" si="843"/>
        <v>0</v>
      </c>
      <c r="TF34" s="65"/>
      <c r="TG34" s="63"/>
      <c r="TH34" s="64">
        <f t="shared" si="844"/>
        <v>0</v>
      </c>
      <c r="TI34" s="65">
        <v>100</v>
      </c>
      <c r="TJ34" s="63"/>
      <c r="TK34" s="64">
        <f t="shared" si="845"/>
        <v>100</v>
      </c>
      <c r="TL34" s="66">
        <f t="shared" si="215"/>
        <v>1786.23</v>
      </c>
      <c r="TM34" s="67">
        <f t="shared" si="846"/>
        <v>1686.23</v>
      </c>
      <c r="TN34" s="64">
        <f t="shared" si="847"/>
        <v>100</v>
      </c>
      <c r="TO34" s="62"/>
      <c r="TP34" s="63"/>
      <c r="TQ34" s="64">
        <f t="shared" si="848"/>
        <v>0</v>
      </c>
      <c r="TR34" s="65"/>
      <c r="TS34" s="63"/>
      <c r="TT34" s="64">
        <f t="shared" si="849"/>
        <v>0</v>
      </c>
      <c r="TU34" s="65"/>
      <c r="TV34" s="63"/>
      <c r="TW34" s="64">
        <f t="shared" si="850"/>
        <v>0</v>
      </c>
      <c r="TX34" s="65">
        <v>100</v>
      </c>
      <c r="TY34" s="63">
        <v>144.71</v>
      </c>
      <c r="TZ34" s="64">
        <f t="shared" si="851"/>
        <v>-44.710000000000008</v>
      </c>
      <c r="UA34" s="66">
        <f t="shared" si="222"/>
        <v>100</v>
      </c>
      <c r="UB34" s="67">
        <f t="shared" si="852"/>
        <v>144.71</v>
      </c>
      <c r="UC34" s="64">
        <f t="shared" si="853"/>
        <v>-44.710000000000008</v>
      </c>
      <c r="UD34" s="62">
        <v>1125</v>
      </c>
      <c r="UE34" s="63">
        <v>1125</v>
      </c>
      <c r="UF34" s="64">
        <f t="shared" si="854"/>
        <v>0</v>
      </c>
      <c r="UG34" s="65">
        <v>497.04</v>
      </c>
      <c r="UH34" s="63">
        <v>497.04</v>
      </c>
      <c r="UI34" s="64">
        <f t="shared" si="855"/>
        <v>0</v>
      </c>
      <c r="UJ34" s="65"/>
      <c r="UK34" s="63"/>
      <c r="UL34" s="64">
        <f t="shared" si="856"/>
        <v>0</v>
      </c>
      <c r="UM34" s="65">
        <v>100</v>
      </c>
      <c r="UN34" s="63"/>
      <c r="UO34" s="64">
        <f t="shared" si="857"/>
        <v>100</v>
      </c>
      <c r="UP34" s="66">
        <f t="shared" si="226"/>
        <v>1722.04</v>
      </c>
      <c r="UQ34" s="67">
        <f t="shared" si="858"/>
        <v>1622.04</v>
      </c>
      <c r="UR34" s="64">
        <f t="shared" si="859"/>
        <v>100</v>
      </c>
      <c r="US34" s="130"/>
      <c r="UT34" s="77"/>
      <c r="UU34" s="131"/>
      <c r="UV34" s="76"/>
      <c r="UW34" s="77"/>
      <c r="UX34" s="131"/>
      <c r="UY34" s="76"/>
      <c r="UZ34" s="77"/>
      <c r="VA34" s="131"/>
      <c r="VB34" s="76"/>
      <c r="VC34" s="77"/>
      <c r="VD34" s="131"/>
      <c r="VE34" s="76">
        <f t="shared" si="233"/>
        <v>0</v>
      </c>
      <c r="VF34" s="77">
        <f t="shared" si="860"/>
        <v>0</v>
      </c>
      <c r="VG34" s="131">
        <f t="shared" si="861"/>
        <v>0</v>
      </c>
      <c r="VH34" s="62"/>
      <c r="VI34" s="63"/>
      <c r="VJ34" s="64">
        <f t="shared" si="862"/>
        <v>0</v>
      </c>
      <c r="VK34" s="65"/>
      <c r="VL34" s="63"/>
      <c r="VM34" s="64">
        <f t="shared" si="863"/>
        <v>0</v>
      </c>
      <c r="VN34" s="65"/>
      <c r="VO34" s="63"/>
      <c r="VP34" s="64">
        <f t="shared" si="864"/>
        <v>0</v>
      </c>
      <c r="VQ34" s="65">
        <v>100</v>
      </c>
      <c r="VR34" s="63"/>
      <c r="VS34" s="64">
        <f t="shared" si="865"/>
        <v>100</v>
      </c>
      <c r="VT34" s="66">
        <f t="shared" si="240"/>
        <v>100</v>
      </c>
      <c r="VU34" s="67">
        <f t="shared" si="866"/>
        <v>0</v>
      </c>
      <c r="VV34" s="64">
        <f t="shared" si="867"/>
        <v>100</v>
      </c>
      <c r="VW34" s="74"/>
      <c r="VX34" s="72"/>
      <c r="VY34" s="73"/>
      <c r="VZ34" s="74"/>
      <c r="WA34" s="75"/>
      <c r="WB34" s="73"/>
      <c r="WC34" s="74"/>
      <c r="WD34" s="75"/>
      <c r="WE34" s="73"/>
      <c r="WF34" s="74"/>
      <c r="WG34" s="75"/>
      <c r="WH34" s="73"/>
      <c r="WI34" s="74"/>
      <c r="WJ34" s="76"/>
      <c r="WK34" s="77"/>
      <c r="WL34" s="62">
        <v>1376.01</v>
      </c>
      <c r="WM34" s="63">
        <v>1376.01</v>
      </c>
      <c r="WN34" s="64">
        <f t="shared" si="868"/>
        <v>0</v>
      </c>
      <c r="WO34" s="65">
        <v>418.56</v>
      </c>
      <c r="WP34" s="63"/>
      <c r="WQ34" s="64">
        <f t="shared" si="869"/>
        <v>418.56</v>
      </c>
      <c r="WR34" s="65"/>
      <c r="WS34" s="63"/>
      <c r="WT34" s="64">
        <f t="shared" si="870"/>
        <v>0</v>
      </c>
      <c r="WU34" s="65">
        <v>100</v>
      </c>
      <c r="WV34" s="63"/>
      <c r="WW34" s="64">
        <f t="shared" si="871"/>
        <v>100</v>
      </c>
      <c r="WX34" s="66">
        <f t="shared" si="254"/>
        <v>1894.57</v>
      </c>
      <c r="WY34" s="67">
        <f t="shared" si="872"/>
        <v>1376.01</v>
      </c>
      <c r="WZ34" s="64">
        <f t="shared" si="873"/>
        <v>518.55999999999995</v>
      </c>
      <c r="XA34" s="62"/>
      <c r="XB34" s="63"/>
      <c r="XC34" s="64">
        <f t="shared" si="874"/>
        <v>0</v>
      </c>
      <c r="XD34" s="65"/>
      <c r="XE34" s="63"/>
      <c r="XF34" s="64">
        <f t="shared" si="875"/>
        <v>0</v>
      </c>
      <c r="XG34" s="65"/>
      <c r="XH34" s="63"/>
      <c r="XI34" s="64">
        <f t="shared" si="876"/>
        <v>0</v>
      </c>
      <c r="XJ34" s="65">
        <v>100</v>
      </c>
      <c r="XK34" s="63">
        <v>190.48</v>
      </c>
      <c r="XL34" s="64">
        <f t="shared" si="877"/>
        <v>-90.47999999999999</v>
      </c>
      <c r="XM34" s="66">
        <f t="shared" si="261"/>
        <v>100</v>
      </c>
      <c r="XN34" s="67">
        <f t="shared" si="878"/>
        <v>190.48</v>
      </c>
      <c r="XO34" s="64">
        <f t="shared" si="879"/>
        <v>-90.47999999999999</v>
      </c>
      <c r="XP34" s="62"/>
      <c r="XQ34" s="63"/>
      <c r="XR34" s="64">
        <f t="shared" si="880"/>
        <v>0</v>
      </c>
      <c r="XS34" s="65">
        <v>591.29999999999995</v>
      </c>
      <c r="XT34" s="63">
        <v>779.44</v>
      </c>
      <c r="XU34" s="64">
        <f t="shared" si="881"/>
        <v>-188.1400000000001</v>
      </c>
      <c r="XV34" s="65"/>
      <c r="XW34" s="63"/>
      <c r="XX34" s="64">
        <f t="shared" si="882"/>
        <v>0</v>
      </c>
      <c r="XY34" s="65">
        <v>100</v>
      </c>
      <c r="XZ34" s="63">
        <v>152.22</v>
      </c>
      <c r="YA34" s="64">
        <f t="shared" si="883"/>
        <v>-52.22</v>
      </c>
      <c r="YB34" s="66">
        <f t="shared" si="268"/>
        <v>691.3</v>
      </c>
      <c r="YC34" s="67">
        <f t="shared" si="884"/>
        <v>931.66000000000008</v>
      </c>
      <c r="YD34" s="64">
        <f t="shared" si="885"/>
        <v>-240.36000000000013</v>
      </c>
      <c r="YE34" s="62"/>
      <c r="YF34" s="63"/>
      <c r="YG34" s="64">
        <f t="shared" si="886"/>
        <v>0</v>
      </c>
      <c r="YH34" s="65">
        <v>725.15</v>
      </c>
      <c r="YI34" s="63">
        <v>789.56</v>
      </c>
      <c r="YJ34" s="64">
        <f t="shared" si="887"/>
        <v>-64.409999999999968</v>
      </c>
      <c r="YK34" s="65"/>
      <c r="YL34" s="63"/>
      <c r="YM34" s="64">
        <f t="shared" si="888"/>
        <v>0</v>
      </c>
      <c r="YN34" s="65">
        <v>100</v>
      </c>
      <c r="YO34" s="63">
        <v>134.81</v>
      </c>
      <c r="YP34" s="64">
        <f t="shared" si="889"/>
        <v>-34.81</v>
      </c>
      <c r="YQ34" s="66">
        <f t="shared" si="275"/>
        <v>825.15</v>
      </c>
      <c r="YR34" s="67">
        <f t="shared" si="890"/>
        <v>924.36999999999989</v>
      </c>
      <c r="YS34" s="64">
        <f t="shared" si="891"/>
        <v>-99.219999999999914</v>
      </c>
      <c r="YT34" s="62"/>
      <c r="YU34" s="63"/>
      <c r="YV34" s="64">
        <f t="shared" si="892"/>
        <v>0</v>
      </c>
      <c r="YW34" s="65">
        <v>513.28</v>
      </c>
      <c r="YX34" s="63">
        <v>648.66</v>
      </c>
      <c r="YY34" s="64">
        <f t="shared" si="893"/>
        <v>-135.38</v>
      </c>
      <c r="YZ34" s="65"/>
      <c r="ZA34" s="63"/>
      <c r="ZB34" s="64">
        <f t="shared" si="894"/>
        <v>0</v>
      </c>
      <c r="ZC34" s="65">
        <v>100</v>
      </c>
      <c r="ZD34" s="63">
        <v>230.94</v>
      </c>
      <c r="ZE34" s="64">
        <f t="shared" si="895"/>
        <v>-130.94</v>
      </c>
      <c r="ZF34" s="66">
        <f t="shared" si="282"/>
        <v>613.28</v>
      </c>
      <c r="ZG34" s="67">
        <f t="shared" si="896"/>
        <v>879.59999999999991</v>
      </c>
      <c r="ZH34" s="64">
        <f t="shared" si="897"/>
        <v>-266.31999999999994</v>
      </c>
      <c r="ZI34" s="62">
        <v>1250</v>
      </c>
      <c r="ZJ34" s="63">
        <v>1250</v>
      </c>
      <c r="ZK34" s="64">
        <f t="shared" si="898"/>
        <v>0</v>
      </c>
      <c r="ZL34" s="65"/>
      <c r="ZM34" s="63"/>
      <c r="ZN34" s="64">
        <f t="shared" si="899"/>
        <v>0</v>
      </c>
      <c r="ZO34" s="65"/>
      <c r="ZP34" s="63"/>
      <c r="ZQ34" s="64">
        <f t="shared" si="900"/>
        <v>0</v>
      </c>
      <c r="ZR34" s="65">
        <v>100</v>
      </c>
      <c r="ZS34" s="63"/>
      <c r="ZT34" s="64">
        <f t="shared" si="901"/>
        <v>100</v>
      </c>
      <c r="ZU34" s="66">
        <f t="shared" si="289"/>
        <v>1350</v>
      </c>
      <c r="ZV34" s="67">
        <f t="shared" si="902"/>
        <v>1250</v>
      </c>
      <c r="ZW34" s="64">
        <f t="shared" si="903"/>
        <v>100</v>
      </c>
      <c r="ZX34" s="62">
        <v>24.71</v>
      </c>
      <c r="ZY34" s="63">
        <v>24.71</v>
      </c>
      <c r="ZZ34" s="64">
        <f t="shared" si="904"/>
        <v>0</v>
      </c>
      <c r="AAA34" s="66">
        <f t="shared" si="293"/>
        <v>24.71</v>
      </c>
      <c r="AAB34" s="67">
        <f t="shared" si="293"/>
        <v>24.71</v>
      </c>
      <c r="AAC34" s="64">
        <f t="shared" si="905"/>
        <v>0</v>
      </c>
      <c r="AAD34" s="85">
        <f t="shared" si="295"/>
        <v>62068.08</v>
      </c>
      <c r="AAE34" s="86">
        <f t="shared" si="295"/>
        <v>75412.76999999999</v>
      </c>
      <c r="AAF34" s="87">
        <f t="shared" si="3"/>
        <v>1.2150008506788028</v>
      </c>
      <c r="AAG34" s="88">
        <f t="shared" si="906"/>
        <v>13344.689999999988</v>
      </c>
      <c r="AAH34" s="91"/>
      <c r="AAI34" s="92"/>
      <c r="AAJ34" s="92"/>
      <c r="AAK34" s="60"/>
    </row>
    <row r="35" spans="1:713" s="83" customFormat="1" ht="20" customHeight="1" x14ac:dyDescent="0.2">
      <c r="A35" s="57" t="s">
        <v>32</v>
      </c>
      <c r="B35" s="58" t="s">
        <v>145</v>
      </c>
      <c r="C35" s="59"/>
      <c r="D35" s="59"/>
      <c r="E35" s="60"/>
      <c r="F35" s="61">
        <v>45413</v>
      </c>
      <c r="G35" s="62"/>
      <c r="H35" s="63"/>
      <c r="I35" s="64">
        <f t="shared" si="649"/>
        <v>0</v>
      </c>
      <c r="J35" s="65">
        <v>2755.19</v>
      </c>
      <c r="K35" s="63">
        <v>2755.19</v>
      </c>
      <c r="L35" s="64">
        <f t="shared" si="650"/>
        <v>0</v>
      </c>
      <c r="M35" s="65">
        <v>2500</v>
      </c>
      <c r="N35" s="63"/>
      <c r="O35" s="64">
        <f t="shared" si="651"/>
        <v>2500</v>
      </c>
      <c r="P35" s="65">
        <v>750</v>
      </c>
      <c r="Q35" s="63">
        <v>577.66999999999996</v>
      </c>
      <c r="R35" s="64">
        <f t="shared" si="652"/>
        <v>172.33000000000004</v>
      </c>
      <c r="S35" s="65">
        <v>181</v>
      </c>
      <c r="T35" s="63"/>
      <c r="U35" s="64">
        <f t="shared" si="653"/>
        <v>181</v>
      </c>
      <c r="V35" s="66">
        <f t="shared" si="654"/>
        <v>6186.1900000000005</v>
      </c>
      <c r="W35" s="67">
        <f t="shared" si="654"/>
        <v>3332.86</v>
      </c>
      <c r="X35" s="64">
        <f t="shared" si="655"/>
        <v>2853.3300000000004</v>
      </c>
      <c r="Y35" s="62">
        <v>1100</v>
      </c>
      <c r="Z35" s="63">
        <v>1100</v>
      </c>
      <c r="AA35" s="64">
        <f t="shared" si="656"/>
        <v>0</v>
      </c>
      <c r="AB35" s="65"/>
      <c r="AC35" s="63"/>
      <c r="AD35" s="64">
        <f t="shared" si="657"/>
        <v>0</v>
      </c>
      <c r="AE35" s="65"/>
      <c r="AF35" s="63"/>
      <c r="AG35" s="64">
        <f t="shared" si="658"/>
        <v>0</v>
      </c>
      <c r="AH35" s="65"/>
      <c r="AI35" s="63"/>
      <c r="AJ35" s="64">
        <f t="shared" si="659"/>
        <v>0</v>
      </c>
      <c r="AK35" s="66">
        <f t="shared" si="16"/>
        <v>1100</v>
      </c>
      <c r="AL35" s="67">
        <f t="shared" si="17"/>
        <v>1100</v>
      </c>
      <c r="AM35" s="64">
        <f t="shared" si="660"/>
        <v>0</v>
      </c>
      <c r="AN35" s="62"/>
      <c r="AO35" s="63"/>
      <c r="AP35" s="64">
        <f t="shared" si="907"/>
        <v>0</v>
      </c>
      <c r="AQ35" s="65"/>
      <c r="AR35" s="63"/>
      <c r="AS35" s="64">
        <f t="shared" si="661"/>
        <v>0</v>
      </c>
      <c r="AT35" s="65"/>
      <c r="AU35" s="63"/>
      <c r="AV35" s="64">
        <f t="shared" si="662"/>
        <v>0</v>
      </c>
      <c r="AW35" s="65"/>
      <c r="AX35" s="63"/>
      <c r="AY35" s="64">
        <f t="shared" si="663"/>
        <v>0</v>
      </c>
      <c r="AZ35" s="66">
        <f t="shared" si="23"/>
        <v>0</v>
      </c>
      <c r="BA35" s="67">
        <f t="shared" si="664"/>
        <v>0</v>
      </c>
      <c r="BB35" s="64">
        <f t="shared" si="665"/>
        <v>0</v>
      </c>
      <c r="BC35" s="62"/>
      <c r="BD35" s="63"/>
      <c r="BE35" s="64">
        <f t="shared" si="666"/>
        <v>0</v>
      </c>
      <c r="BF35" s="65"/>
      <c r="BG35" s="63"/>
      <c r="BH35" s="64">
        <f t="shared" si="667"/>
        <v>0</v>
      </c>
      <c r="BI35" s="65"/>
      <c r="BJ35" s="63"/>
      <c r="BK35" s="64">
        <f t="shared" si="668"/>
        <v>0</v>
      </c>
      <c r="BL35" s="65">
        <v>100</v>
      </c>
      <c r="BM35" s="63">
        <v>293.39</v>
      </c>
      <c r="BN35" s="64">
        <f t="shared" si="669"/>
        <v>-193.39</v>
      </c>
      <c r="BO35" s="66">
        <f t="shared" si="30"/>
        <v>100</v>
      </c>
      <c r="BP35" s="67">
        <f t="shared" si="670"/>
        <v>293.39</v>
      </c>
      <c r="BQ35" s="64">
        <f t="shared" si="671"/>
        <v>-193.39</v>
      </c>
      <c r="BR35" s="62">
        <v>789.83</v>
      </c>
      <c r="BS35" s="63">
        <v>819.1</v>
      </c>
      <c r="BT35" s="74"/>
      <c r="BU35" s="75"/>
      <c r="BV35" s="73"/>
      <c r="BW35" s="74"/>
      <c r="BX35" s="75"/>
      <c r="BY35" s="73"/>
      <c r="BZ35" s="74"/>
      <c r="CA35" s="75"/>
      <c r="CB35" s="73"/>
      <c r="CC35" s="74"/>
      <c r="CD35" s="66">
        <f t="shared" si="33"/>
        <v>789.83</v>
      </c>
      <c r="CE35" s="67">
        <f t="shared" si="672"/>
        <v>819.1</v>
      </c>
      <c r="CF35" s="64">
        <f t="shared" si="673"/>
        <v>-29.269999999999982</v>
      </c>
      <c r="CG35" s="62"/>
      <c r="CH35" s="63"/>
      <c r="CI35" s="64">
        <f t="shared" si="674"/>
        <v>0</v>
      </c>
      <c r="CJ35" s="65"/>
      <c r="CK35" s="63"/>
      <c r="CL35" s="64">
        <f t="shared" si="675"/>
        <v>0</v>
      </c>
      <c r="CM35" s="65"/>
      <c r="CN35" s="63"/>
      <c r="CO35" s="64">
        <f t="shared" si="676"/>
        <v>0</v>
      </c>
      <c r="CP35" s="65"/>
      <c r="CQ35" s="63"/>
      <c r="CR35" s="64">
        <f t="shared" si="677"/>
        <v>0</v>
      </c>
      <c r="CS35" s="66">
        <f t="shared" si="40"/>
        <v>0</v>
      </c>
      <c r="CT35" s="67">
        <f t="shared" si="678"/>
        <v>0</v>
      </c>
      <c r="CU35" s="64">
        <f t="shared" si="679"/>
        <v>0</v>
      </c>
      <c r="CV35" s="62">
        <v>2916.7</v>
      </c>
      <c r="CW35" s="63">
        <v>2916.7</v>
      </c>
      <c r="CX35" s="64">
        <f t="shared" si="680"/>
        <v>0</v>
      </c>
      <c r="CY35" s="65"/>
      <c r="CZ35" s="63"/>
      <c r="DA35" s="64">
        <f t="shared" si="681"/>
        <v>0</v>
      </c>
      <c r="DB35" s="65"/>
      <c r="DC35" s="63"/>
      <c r="DD35" s="64">
        <f t="shared" si="682"/>
        <v>0</v>
      </c>
      <c r="DE35" s="65"/>
      <c r="DF35" s="63"/>
      <c r="DG35" s="64">
        <f t="shared" si="683"/>
        <v>0</v>
      </c>
      <c r="DH35" s="66">
        <f t="shared" si="43"/>
        <v>2916.7</v>
      </c>
      <c r="DI35" s="67">
        <f t="shared" si="684"/>
        <v>2916.7</v>
      </c>
      <c r="DJ35" s="64">
        <f t="shared" si="685"/>
        <v>0</v>
      </c>
      <c r="DK35" s="62">
        <v>2400</v>
      </c>
      <c r="DL35" s="63">
        <v>2400</v>
      </c>
      <c r="DM35" s="64">
        <f t="shared" si="686"/>
        <v>0</v>
      </c>
      <c r="DN35" s="65">
        <v>580</v>
      </c>
      <c r="DO35" s="63">
        <v>580</v>
      </c>
      <c r="DP35" s="64">
        <f t="shared" si="687"/>
        <v>0</v>
      </c>
      <c r="DQ35" s="65"/>
      <c r="DR35" s="63"/>
      <c r="DS35" s="64">
        <f t="shared" si="688"/>
        <v>0</v>
      </c>
      <c r="DT35" s="65">
        <v>100</v>
      </c>
      <c r="DU35" s="63">
        <v>82.15</v>
      </c>
      <c r="DV35" s="64">
        <f t="shared" si="689"/>
        <v>17.849999999999994</v>
      </c>
      <c r="DW35" s="66">
        <f t="shared" si="46"/>
        <v>3080</v>
      </c>
      <c r="DX35" s="67">
        <f t="shared" si="690"/>
        <v>3062.15</v>
      </c>
      <c r="DY35" s="64">
        <f t="shared" si="691"/>
        <v>17.849999999999909</v>
      </c>
      <c r="DZ35" s="62"/>
      <c r="EA35" s="63"/>
      <c r="EB35" s="64">
        <f t="shared" si="692"/>
        <v>0</v>
      </c>
      <c r="EC35" s="65"/>
      <c r="ED35" s="63"/>
      <c r="EE35" s="64">
        <f t="shared" si="693"/>
        <v>0</v>
      </c>
      <c r="EF35" s="65"/>
      <c r="EG35" s="63"/>
      <c r="EH35" s="64">
        <f t="shared" si="694"/>
        <v>0</v>
      </c>
      <c r="EI35" s="65">
        <v>100</v>
      </c>
      <c r="EJ35" s="63">
        <v>84.71</v>
      </c>
      <c r="EK35" s="64">
        <f t="shared" si="695"/>
        <v>15.290000000000006</v>
      </c>
      <c r="EL35" s="66">
        <f t="shared" si="53"/>
        <v>100</v>
      </c>
      <c r="EM35" s="67">
        <f t="shared" si="696"/>
        <v>84.71</v>
      </c>
      <c r="EN35" s="64">
        <f t="shared" si="697"/>
        <v>15.290000000000006</v>
      </c>
      <c r="EO35" s="62"/>
      <c r="EP35" s="63"/>
      <c r="EQ35" s="64">
        <f t="shared" si="698"/>
        <v>0</v>
      </c>
      <c r="ER35" s="65"/>
      <c r="ES35" s="63"/>
      <c r="ET35" s="64">
        <f t="shared" si="699"/>
        <v>0</v>
      </c>
      <c r="EU35" s="65">
        <v>1000</v>
      </c>
      <c r="EV35" s="63"/>
      <c r="EW35" s="64">
        <f t="shared" si="700"/>
        <v>1000</v>
      </c>
      <c r="EX35" s="65">
        <v>100</v>
      </c>
      <c r="EY35" s="63"/>
      <c r="EZ35" s="64">
        <f t="shared" si="701"/>
        <v>100</v>
      </c>
      <c r="FA35" s="66">
        <f t="shared" si="60"/>
        <v>1100</v>
      </c>
      <c r="FB35" s="67">
        <f t="shared" si="702"/>
        <v>0</v>
      </c>
      <c r="FC35" s="64">
        <f t="shared" si="703"/>
        <v>1100</v>
      </c>
      <c r="FD35" s="62"/>
      <c r="FE35" s="63"/>
      <c r="FF35" s="64">
        <f t="shared" si="704"/>
        <v>0</v>
      </c>
      <c r="FG35" s="65"/>
      <c r="FH35" s="63"/>
      <c r="FI35" s="64">
        <f t="shared" si="705"/>
        <v>0</v>
      </c>
      <c r="FJ35" s="65">
        <v>1000</v>
      </c>
      <c r="FK35" s="63"/>
      <c r="FL35" s="64">
        <f t="shared" si="706"/>
        <v>1000</v>
      </c>
      <c r="FM35" s="65">
        <v>100</v>
      </c>
      <c r="FN35" s="63"/>
      <c r="FO35" s="64">
        <f t="shared" si="707"/>
        <v>100</v>
      </c>
      <c r="FP35" s="66">
        <f t="shared" si="67"/>
        <v>1100</v>
      </c>
      <c r="FQ35" s="67">
        <f t="shared" si="708"/>
        <v>0</v>
      </c>
      <c r="FR35" s="64">
        <f t="shared" si="709"/>
        <v>1100</v>
      </c>
      <c r="FS35" s="62"/>
      <c r="FT35" s="63"/>
      <c r="FU35" s="64">
        <f t="shared" si="710"/>
        <v>0</v>
      </c>
      <c r="FV35" s="65"/>
      <c r="FW35" s="63"/>
      <c r="FX35" s="64">
        <f t="shared" si="711"/>
        <v>0</v>
      </c>
      <c r="FY35" s="65"/>
      <c r="FZ35" s="63"/>
      <c r="GA35" s="64">
        <f t="shared" si="712"/>
        <v>0</v>
      </c>
      <c r="GB35" s="65"/>
      <c r="GC35" s="63"/>
      <c r="GD35" s="64">
        <f t="shared" si="713"/>
        <v>0</v>
      </c>
      <c r="GE35" s="66">
        <f t="shared" si="74"/>
        <v>0</v>
      </c>
      <c r="GF35" s="67">
        <f t="shared" si="714"/>
        <v>0</v>
      </c>
      <c r="GG35" s="64">
        <f t="shared" si="715"/>
        <v>0</v>
      </c>
      <c r="GH35" s="62"/>
      <c r="GI35" s="63"/>
      <c r="GJ35" s="64">
        <f t="shared" si="716"/>
        <v>0</v>
      </c>
      <c r="GK35" s="65"/>
      <c r="GL35" s="63"/>
      <c r="GM35" s="64">
        <f t="shared" si="717"/>
        <v>0</v>
      </c>
      <c r="GN35" s="65"/>
      <c r="GO35" s="63"/>
      <c r="GP35" s="64">
        <f t="shared" si="718"/>
        <v>0</v>
      </c>
      <c r="GQ35" s="65"/>
      <c r="GR35" s="63"/>
      <c r="GS35" s="64">
        <f t="shared" si="719"/>
        <v>0</v>
      </c>
      <c r="GT35" s="66">
        <f t="shared" si="81"/>
        <v>0</v>
      </c>
      <c r="GU35" s="67">
        <f t="shared" si="720"/>
        <v>0</v>
      </c>
      <c r="GV35" s="64">
        <f t="shared" si="721"/>
        <v>0</v>
      </c>
      <c r="GW35" s="62"/>
      <c r="GX35" s="63"/>
      <c r="GY35" s="64">
        <f t="shared" si="722"/>
        <v>0</v>
      </c>
      <c r="GZ35" s="65"/>
      <c r="HA35" s="63"/>
      <c r="HB35" s="64">
        <f t="shared" si="723"/>
        <v>0</v>
      </c>
      <c r="HC35" s="65"/>
      <c r="HD35" s="63"/>
      <c r="HE35" s="64">
        <f t="shared" si="724"/>
        <v>0</v>
      </c>
      <c r="HF35" s="65">
        <v>100</v>
      </c>
      <c r="HG35" s="63"/>
      <c r="HH35" s="64">
        <f t="shared" si="725"/>
        <v>100</v>
      </c>
      <c r="HI35" s="66">
        <f t="shared" si="84"/>
        <v>100</v>
      </c>
      <c r="HJ35" s="67">
        <f t="shared" si="726"/>
        <v>0</v>
      </c>
      <c r="HK35" s="64">
        <f t="shared" si="727"/>
        <v>100</v>
      </c>
      <c r="HL35" s="62"/>
      <c r="HM35" s="63"/>
      <c r="HN35" s="64">
        <f t="shared" si="728"/>
        <v>0</v>
      </c>
      <c r="HO35" s="65"/>
      <c r="HP35" s="63"/>
      <c r="HQ35" s="64">
        <f t="shared" si="729"/>
        <v>0</v>
      </c>
      <c r="HR35" s="65"/>
      <c r="HS35" s="63"/>
      <c r="HT35" s="64">
        <f t="shared" si="730"/>
        <v>0</v>
      </c>
      <c r="HU35" s="65">
        <v>100</v>
      </c>
      <c r="HV35" s="63"/>
      <c r="HW35" s="64">
        <f t="shared" si="731"/>
        <v>100</v>
      </c>
      <c r="HX35" s="66">
        <f t="shared" si="91"/>
        <v>100</v>
      </c>
      <c r="HY35" s="67">
        <f t="shared" si="732"/>
        <v>0</v>
      </c>
      <c r="HZ35" s="64">
        <f t="shared" si="733"/>
        <v>100</v>
      </c>
      <c r="IA35" s="62"/>
      <c r="IB35" s="63"/>
      <c r="IC35" s="64">
        <f t="shared" si="734"/>
        <v>0</v>
      </c>
      <c r="ID35" s="65"/>
      <c r="IE35" s="63"/>
      <c r="IF35" s="64">
        <f t="shared" si="735"/>
        <v>0</v>
      </c>
      <c r="IG35" s="65"/>
      <c r="IH35" s="63"/>
      <c r="II35" s="64">
        <f t="shared" si="736"/>
        <v>0</v>
      </c>
      <c r="IJ35" s="65">
        <v>100</v>
      </c>
      <c r="IK35" s="63"/>
      <c r="IL35" s="64">
        <f t="shared" si="737"/>
        <v>100</v>
      </c>
      <c r="IM35" s="66">
        <f t="shared" si="98"/>
        <v>100</v>
      </c>
      <c r="IN35" s="67">
        <f t="shared" si="738"/>
        <v>0</v>
      </c>
      <c r="IO35" s="64">
        <f t="shared" si="739"/>
        <v>100</v>
      </c>
      <c r="IP35" s="62"/>
      <c r="IQ35" s="63"/>
      <c r="IR35" s="64">
        <f t="shared" si="740"/>
        <v>0</v>
      </c>
      <c r="IS35" s="65"/>
      <c r="IT35" s="63"/>
      <c r="IU35" s="64">
        <f t="shared" si="741"/>
        <v>0</v>
      </c>
      <c r="IV35" s="65"/>
      <c r="IW35" s="63"/>
      <c r="IX35" s="64">
        <f t="shared" si="742"/>
        <v>0</v>
      </c>
      <c r="IY35" s="65"/>
      <c r="IZ35" s="63"/>
      <c r="JA35" s="64">
        <f t="shared" si="743"/>
        <v>0</v>
      </c>
      <c r="JB35" s="66">
        <f t="shared" si="105"/>
        <v>0</v>
      </c>
      <c r="JC35" s="67">
        <f t="shared" si="744"/>
        <v>0</v>
      </c>
      <c r="JD35" s="64">
        <f t="shared" si="745"/>
        <v>0</v>
      </c>
      <c r="JE35" s="62"/>
      <c r="JF35" s="63"/>
      <c r="JG35" s="64">
        <f t="shared" si="746"/>
        <v>0</v>
      </c>
      <c r="JH35" s="65">
        <v>442.35</v>
      </c>
      <c r="JI35" s="65">
        <v>442.35</v>
      </c>
      <c r="JJ35" s="64">
        <f t="shared" si="747"/>
        <v>0</v>
      </c>
      <c r="JK35" s="65"/>
      <c r="JL35" s="63"/>
      <c r="JM35" s="64">
        <f t="shared" si="748"/>
        <v>0</v>
      </c>
      <c r="JN35" s="65">
        <v>100</v>
      </c>
      <c r="JO35" s="63"/>
      <c r="JP35" s="64">
        <f t="shared" si="749"/>
        <v>100</v>
      </c>
      <c r="JQ35" s="66">
        <f t="shared" si="112"/>
        <v>542.35</v>
      </c>
      <c r="JR35" s="67">
        <f t="shared" si="750"/>
        <v>442.35</v>
      </c>
      <c r="JS35" s="64">
        <f t="shared" si="751"/>
        <v>100</v>
      </c>
      <c r="JT35" s="62">
        <v>5615.92</v>
      </c>
      <c r="JU35" s="63">
        <v>6089.32</v>
      </c>
      <c r="JV35" s="64">
        <f t="shared" si="752"/>
        <v>-473.39999999999964</v>
      </c>
      <c r="JW35" s="65"/>
      <c r="JX35" s="63"/>
      <c r="JY35" s="64">
        <f t="shared" si="753"/>
        <v>0</v>
      </c>
      <c r="JZ35" s="65"/>
      <c r="KA35" s="63"/>
      <c r="KB35" s="64">
        <f t="shared" si="754"/>
        <v>0</v>
      </c>
      <c r="KC35" s="65">
        <v>100</v>
      </c>
      <c r="KD35" s="63"/>
      <c r="KE35" s="64">
        <f t="shared" si="755"/>
        <v>100</v>
      </c>
      <c r="KF35" s="66">
        <f t="shared" si="119"/>
        <v>5715.92</v>
      </c>
      <c r="KG35" s="67">
        <f t="shared" si="756"/>
        <v>6089.32</v>
      </c>
      <c r="KH35" s="64">
        <f t="shared" si="757"/>
        <v>-373.39999999999964</v>
      </c>
      <c r="KI35" s="62"/>
      <c r="KJ35" s="63"/>
      <c r="KK35" s="64">
        <f t="shared" si="758"/>
        <v>0</v>
      </c>
      <c r="KL35" s="65"/>
      <c r="KM35" s="63"/>
      <c r="KN35" s="64">
        <f t="shared" si="759"/>
        <v>0</v>
      </c>
      <c r="KO35" s="65"/>
      <c r="KP35" s="63"/>
      <c r="KQ35" s="64">
        <f t="shared" si="760"/>
        <v>0</v>
      </c>
      <c r="KR35" s="65"/>
      <c r="KS35" s="63"/>
      <c r="KT35" s="64">
        <f t="shared" si="761"/>
        <v>0</v>
      </c>
      <c r="KU35" s="66">
        <f t="shared" si="1"/>
        <v>0</v>
      </c>
      <c r="KV35" s="67">
        <f t="shared" si="762"/>
        <v>0</v>
      </c>
      <c r="KW35" s="64">
        <f t="shared" si="763"/>
        <v>0</v>
      </c>
      <c r="KX35" s="72"/>
      <c r="KY35" s="73"/>
      <c r="KZ35" s="74"/>
      <c r="LA35" s="75"/>
      <c r="LB35" s="73"/>
      <c r="LC35" s="74"/>
      <c r="LD35" s="75"/>
      <c r="LE35" s="73"/>
      <c r="LF35" s="74"/>
      <c r="LG35" s="75"/>
      <c r="LH35" s="73"/>
      <c r="LI35" s="74"/>
      <c r="LJ35" s="76"/>
      <c r="LK35" s="77"/>
      <c r="LL35" s="74"/>
      <c r="LM35" s="62"/>
      <c r="LN35" s="63"/>
      <c r="LO35" s="64">
        <f t="shared" si="764"/>
        <v>0</v>
      </c>
      <c r="LP35" s="65"/>
      <c r="LQ35" s="63"/>
      <c r="LR35" s="64">
        <f t="shared" si="765"/>
        <v>0</v>
      </c>
      <c r="LS35" s="65"/>
      <c r="LT35" s="63"/>
      <c r="LU35" s="64">
        <f t="shared" si="766"/>
        <v>0</v>
      </c>
      <c r="LV35" s="65">
        <v>100</v>
      </c>
      <c r="LW35" s="63">
        <v>176.01</v>
      </c>
      <c r="LX35" s="64">
        <f t="shared" si="767"/>
        <v>-76.009999999999991</v>
      </c>
      <c r="LY35" s="66">
        <f t="shared" si="124"/>
        <v>100</v>
      </c>
      <c r="LZ35" s="67">
        <f t="shared" si="768"/>
        <v>176.01</v>
      </c>
      <c r="MA35" s="64">
        <f t="shared" si="769"/>
        <v>-76.009999999999991</v>
      </c>
      <c r="MB35" s="62"/>
      <c r="MC35" s="63"/>
      <c r="MD35" s="64">
        <f t="shared" si="770"/>
        <v>0</v>
      </c>
      <c r="ME35" s="65">
        <v>1050.2</v>
      </c>
      <c r="MF35" s="63">
        <v>889.11</v>
      </c>
      <c r="MG35" s="64">
        <f t="shared" si="771"/>
        <v>161.09000000000003</v>
      </c>
      <c r="MH35" s="65"/>
      <c r="MI35" s="63"/>
      <c r="MJ35" s="64">
        <f t="shared" si="772"/>
        <v>0</v>
      </c>
      <c r="MK35" s="65">
        <v>100</v>
      </c>
      <c r="ML35" s="63"/>
      <c r="MM35" s="64">
        <f t="shared" si="773"/>
        <v>100</v>
      </c>
      <c r="MN35" s="66">
        <f t="shared" si="131"/>
        <v>1150.2</v>
      </c>
      <c r="MO35" s="67">
        <f t="shared" si="774"/>
        <v>889.11</v>
      </c>
      <c r="MP35" s="64">
        <f t="shared" si="775"/>
        <v>261.09000000000003</v>
      </c>
      <c r="MQ35" s="62"/>
      <c r="MR35" s="63"/>
      <c r="MS35" s="64">
        <f t="shared" si="776"/>
        <v>0</v>
      </c>
      <c r="MT35" s="65"/>
      <c r="MU35" s="63"/>
      <c r="MV35" s="64">
        <f t="shared" si="777"/>
        <v>0</v>
      </c>
      <c r="MW35" s="65"/>
      <c r="MX35" s="63"/>
      <c r="MY35" s="64">
        <f t="shared" si="778"/>
        <v>0</v>
      </c>
      <c r="MZ35" s="65"/>
      <c r="NA35" s="63"/>
      <c r="NB35" s="64">
        <f t="shared" si="779"/>
        <v>0</v>
      </c>
      <c r="NC35" s="66">
        <f t="shared" si="138"/>
        <v>0</v>
      </c>
      <c r="ND35" s="67">
        <f t="shared" si="780"/>
        <v>0</v>
      </c>
      <c r="NE35" s="64">
        <f t="shared" si="781"/>
        <v>0</v>
      </c>
      <c r="NF35" s="62"/>
      <c r="NG35" s="63"/>
      <c r="NH35" s="64">
        <f t="shared" si="782"/>
        <v>0</v>
      </c>
      <c r="NI35" s="65">
        <v>886.87</v>
      </c>
      <c r="NJ35" s="63">
        <v>1142.6500000000001</v>
      </c>
      <c r="NK35" s="64">
        <f t="shared" si="783"/>
        <v>-255.78000000000009</v>
      </c>
      <c r="NL35" s="65"/>
      <c r="NM35" s="63"/>
      <c r="NN35" s="64">
        <f t="shared" si="784"/>
        <v>0</v>
      </c>
      <c r="NO35" s="65">
        <v>100</v>
      </c>
      <c r="NP35" s="63">
        <v>165.29</v>
      </c>
      <c r="NQ35" s="64">
        <f t="shared" si="785"/>
        <v>-65.289999999999992</v>
      </c>
      <c r="NR35" s="66">
        <f t="shared" si="145"/>
        <v>986.87</v>
      </c>
      <c r="NS35" s="67">
        <f t="shared" si="786"/>
        <v>1307.94</v>
      </c>
      <c r="NT35" s="64">
        <f t="shared" si="787"/>
        <v>-321.07000000000005</v>
      </c>
      <c r="NU35" s="62"/>
      <c r="NV35" s="63"/>
      <c r="NW35" s="64">
        <f t="shared" si="788"/>
        <v>0</v>
      </c>
      <c r="NX35" s="65">
        <v>1004.52</v>
      </c>
      <c r="NY35" s="63">
        <v>1075.05</v>
      </c>
      <c r="NZ35" s="64">
        <f t="shared" si="789"/>
        <v>-70.529999999999973</v>
      </c>
      <c r="OA35" s="65"/>
      <c r="OB35" s="63"/>
      <c r="OC35" s="64">
        <f t="shared" si="790"/>
        <v>0</v>
      </c>
      <c r="OD35" s="65">
        <v>100</v>
      </c>
      <c r="OE35" s="63">
        <v>64.55</v>
      </c>
      <c r="OF35" s="64">
        <f t="shared" si="791"/>
        <v>35.450000000000003</v>
      </c>
      <c r="OG35" s="66">
        <f t="shared" si="152"/>
        <v>1104.52</v>
      </c>
      <c r="OH35" s="67">
        <f t="shared" si="792"/>
        <v>1139.5999999999999</v>
      </c>
      <c r="OI35" s="64">
        <f t="shared" si="793"/>
        <v>-35.079999999999927</v>
      </c>
      <c r="OJ35" s="62"/>
      <c r="OK35" s="63"/>
      <c r="OL35" s="64">
        <f t="shared" si="794"/>
        <v>0</v>
      </c>
      <c r="OM35" s="65"/>
      <c r="ON35" s="63"/>
      <c r="OO35" s="64">
        <f t="shared" si="795"/>
        <v>0</v>
      </c>
      <c r="OP35" s="65"/>
      <c r="OQ35" s="63"/>
      <c r="OR35" s="64">
        <f t="shared" si="796"/>
        <v>0</v>
      </c>
      <c r="OS35" s="65">
        <v>100</v>
      </c>
      <c r="OT35" s="63">
        <v>216.42</v>
      </c>
      <c r="OU35" s="64">
        <f t="shared" si="797"/>
        <v>-116.41999999999999</v>
      </c>
      <c r="OV35" s="66">
        <f t="shared" si="159"/>
        <v>100</v>
      </c>
      <c r="OW35" s="67">
        <f t="shared" si="798"/>
        <v>216.42</v>
      </c>
      <c r="OX35" s="64">
        <f t="shared" si="799"/>
        <v>-116.41999999999999</v>
      </c>
      <c r="OY35" s="62"/>
      <c r="OZ35" s="63"/>
      <c r="PA35" s="64">
        <f t="shared" si="800"/>
        <v>0</v>
      </c>
      <c r="PB35" s="65"/>
      <c r="PC35" s="63"/>
      <c r="PD35" s="64">
        <f t="shared" si="801"/>
        <v>0</v>
      </c>
      <c r="PE35" s="65"/>
      <c r="PF35" s="63"/>
      <c r="PG35" s="64">
        <f t="shared" si="802"/>
        <v>0</v>
      </c>
      <c r="PH35" s="65">
        <v>100</v>
      </c>
      <c r="PI35" s="63"/>
      <c r="PJ35" s="64">
        <f t="shared" si="803"/>
        <v>100</v>
      </c>
      <c r="PK35" s="66">
        <f t="shared" si="166"/>
        <v>100</v>
      </c>
      <c r="PL35" s="67">
        <f t="shared" si="804"/>
        <v>0</v>
      </c>
      <c r="PM35" s="64">
        <f t="shared" si="805"/>
        <v>100</v>
      </c>
      <c r="PN35" s="62">
        <v>1400</v>
      </c>
      <c r="PO35" s="63">
        <v>1400</v>
      </c>
      <c r="PP35" s="64">
        <f t="shared" si="806"/>
        <v>0</v>
      </c>
      <c r="PQ35" s="65"/>
      <c r="PR35" s="63"/>
      <c r="PS35" s="64">
        <f t="shared" si="807"/>
        <v>0</v>
      </c>
      <c r="PT35" s="65"/>
      <c r="PU35" s="63"/>
      <c r="PV35" s="64">
        <f t="shared" si="808"/>
        <v>0</v>
      </c>
      <c r="PW35" s="65">
        <v>100</v>
      </c>
      <c r="PX35" s="63"/>
      <c r="PY35" s="64">
        <f t="shared" si="809"/>
        <v>100</v>
      </c>
      <c r="PZ35" s="66">
        <f t="shared" si="173"/>
        <v>1500</v>
      </c>
      <c r="QA35" s="67">
        <f t="shared" si="810"/>
        <v>1400</v>
      </c>
      <c r="QB35" s="64">
        <f t="shared" si="811"/>
        <v>100</v>
      </c>
      <c r="QC35" s="62"/>
      <c r="QD35" s="63"/>
      <c r="QE35" s="64">
        <f t="shared" si="812"/>
        <v>0</v>
      </c>
      <c r="QF35" s="65"/>
      <c r="QG35" s="63"/>
      <c r="QH35" s="64">
        <f t="shared" si="813"/>
        <v>0</v>
      </c>
      <c r="QI35" s="65"/>
      <c r="QJ35" s="63"/>
      <c r="QK35" s="64">
        <f t="shared" si="814"/>
        <v>0</v>
      </c>
      <c r="QL35" s="65">
        <v>100</v>
      </c>
      <c r="QM35" s="63"/>
      <c r="QN35" s="64">
        <f t="shared" si="815"/>
        <v>100</v>
      </c>
      <c r="QO35" s="66">
        <f t="shared" si="180"/>
        <v>100</v>
      </c>
      <c r="QP35" s="67">
        <f t="shared" si="816"/>
        <v>0</v>
      </c>
      <c r="QQ35" s="64">
        <f t="shared" si="817"/>
        <v>100</v>
      </c>
      <c r="QR35" s="62"/>
      <c r="QS35" s="63"/>
      <c r="QT35" s="64">
        <f t="shared" si="818"/>
        <v>0</v>
      </c>
      <c r="QU35" s="65"/>
      <c r="QV35" s="63"/>
      <c r="QW35" s="64">
        <f t="shared" si="819"/>
        <v>0</v>
      </c>
      <c r="QX35" s="65"/>
      <c r="QY35" s="63"/>
      <c r="QZ35" s="64">
        <f t="shared" si="820"/>
        <v>0</v>
      </c>
      <c r="RA35" s="65"/>
      <c r="RB35" s="63"/>
      <c r="RC35" s="64">
        <f t="shared" si="821"/>
        <v>0</v>
      </c>
      <c r="RD35" s="66">
        <f t="shared" si="187"/>
        <v>0</v>
      </c>
      <c r="RE35" s="67">
        <f t="shared" si="822"/>
        <v>0</v>
      </c>
      <c r="RF35" s="64">
        <f t="shared" si="823"/>
        <v>0</v>
      </c>
      <c r="RG35" s="62"/>
      <c r="RH35" s="63"/>
      <c r="RI35" s="64">
        <f t="shared" si="824"/>
        <v>0</v>
      </c>
      <c r="RJ35" s="65"/>
      <c r="RK35" s="63"/>
      <c r="RL35" s="64">
        <f t="shared" si="825"/>
        <v>0</v>
      </c>
      <c r="RM35" s="65"/>
      <c r="RN35" s="63"/>
      <c r="RO35" s="64">
        <f t="shared" si="826"/>
        <v>0</v>
      </c>
      <c r="RP35" s="65"/>
      <c r="RQ35" s="63"/>
      <c r="RR35" s="64">
        <f t="shared" si="827"/>
        <v>0</v>
      </c>
      <c r="RS35" s="66">
        <f t="shared" si="194"/>
        <v>0</v>
      </c>
      <c r="RT35" s="67">
        <f t="shared" si="828"/>
        <v>0</v>
      </c>
      <c r="RU35" s="64">
        <f t="shared" si="829"/>
        <v>0</v>
      </c>
      <c r="RV35" s="62"/>
      <c r="RW35" s="63"/>
      <c r="RX35" s="64">
        <f t="shared" si="830"/>
        <v>0</v>
      </c>
      <c r="RY35" s="65"/>
      <c r="RZ35" s="63"/>
      <c r="SA35" s="64">
        <f t="shared" si="831"/>
        <v>0</v>
      </c>
      <c r="SB35" s="65"/>
      <c r="SC35" s="63"/>
      <c r="SD35" s="64">
        <f t="shared" si="832"/>
        <v>0</v>
      </c>
      <c r="SE35" s="65">
        <v>100</v>
      </c>
      <c r="SF35" s="63">
        <v>81.39</v>
      </c>
      <c r="SG35" s="64">
        <f t="shared" si="833"/>
        <v>18.61</v>
      </c>
      <c r="SH35" s="66">
        <f t="shared" si="201"/>
        <v>100</v>
      </c>
      <c r="SI35" s="67">
        <f t="shared" si="834"/>
        <v>81.39</v>
      </c>
      <c r="SJ35" s="64">
        <f t="shared" si="835"/>
        <v>18.61</v>
      </c>
      <c r="SK35" s="62"/>
      <c r="SL35" s="63"/>
      <c r="SM35" s="64">
        <f t="shared" si="836"/>
        <v>0</v>
      </c>
      <c r="SN35" s="65"/>
      <c r="SO35" s="63"/>
      <c r="SP35" s="64">
        <f t="shared" si="837"/>
        <v>0</v>
      </c>
      <c r="SQ35" s="65"/>
      <c r="SR35" s="63"/>
      <c r="SS35" s="64">
        <f t="shared" si="838"/>
        <v>0</v>
      </c>
      <c r="ST35" s="65">
        <v>100</v>
      </c>
      <c r="SU35" s="63"/>
      <c r="SV35" s="64">
        <f t="shared" si="839"/>
        <v>100</v>
      </c>
      <c r="SW35" s="66">
        <f t="shared" si="208"/>
        <v>100</v>
      </c>
      <c r="SX35" s="67">
        <f t="shared" si="840"/>
        <v>0</v>
      </c>
      <c r="SY35" s="64">
        <f t="shared" si="841"/>
        <v>100</v>
      </c>
      <c r="SZ35" s="62">
        <v>985.33</v>
      </c>
      <c r="TA35" s="63">
        <v>985.33</v>
      </c>
      <c r="TB35" s="64">
        <f t="shared" si="842"/>
        <v>0</v>
      </c>
      <c r="TC35" s="65">
        <v>700.9</v>
      </c>
      <c r="TD35" s="63">
        <v>700.9</v>
      </c>
      <c r="TE35" s="64">
        <f t="shared" si="843"/>
        <v>0</v>
      </c>
      <c r="TF35" s="65"/>
      <c r="TG35" s="63"/>
      <c r="TH35" s="64">
        <f t="shared" si="844"/>
        <v>0</v>
      </c>
      <c r="TI35" s="65">
        <v>100</v>
      </c>
      <c r="TJ35" s="63">
        <v>120.42</v>
      </c>
      <c r="TK35" s="64">
        <f t="shared" si="845"/>
        <v>-20.420000000000002</v>
      </c>
      <c r="TL35" s="66">
        <f t="shared" si="215"/>
        <v>1786.23</v>
      </c>
      <c r="TM35" s="67">
        <f t="shared" si="846"/>
        <v>1806.65</v>
      </c>
      <c r="TN35" s="64">
        <f t="shared" si="847"/>
        <v>-20.420000000000073</v>
      </c>
      <c r="TO35" s="62"/>
      <c r="TP35" s="63"/>
      <c r="TQ35" s="64">
        <f t="shared" si="848"/>
        <v>0</v>
      </c>
      <c r="TR35" s="65"/>
      <c r="TS35" s="63"/>
      <c r="TT35" s="64">
        <f t="shared" si="849"/>
        <v>0</v>
      </c>
      <c r="TU35" s="65"/>
      <c r="TV35" s="63"/>
      <c r="TW35" s="64">
        <f t="shared" si="850"/>
        <v>0</v>
      </c>
      <c r="TX35" s="65">
        <v>100</v>
      </c>
      <c r="TY35" s="63">
        <v>70.63</v>
      </c>
      <c r="TZ35" s="64">
        <f t="shared" si="851"/>
        <v>29.370000000000005</v>
      </c>
      <c r="UA35" s="66">
        <f t="shared" si="222"/>
        <v>100</v>
      </c>
      <c r="UB35" s="67">
        <f t="shared" si="852"/>
        <v>70.63</v>
      </c>
      <c r="UC35" s="64">
        <f t="shared" si="853"/>
        <v>29.370000000000005</v>
      </c>
      <c r="UD35" s="62">
        <v>1125</v>
      </c>
      <c r="UE35" s="63">
        <v>1125</v>
      </c>
      <c r="UF35" s="64">
        <f t="shared" si="854"/>
        <v>0</v>
      </c>
      <c r="UG35" s="65">
        <v>497.04</v>
      </c>
      <c r="UH35" s="63">
        <v>497.04</v>
      </c>
      <c r="UI35" s="64">
        <f t="shared" si="855"/>
        <v>0</v>
      </c>
      <c r="UJ35" s="65"/>
      <c r="UK35" s="63"/>
      <c r="UL35" s="64">
        <f t="shared" si="856"/>
        <v>0</v>
      </c>
      <c r="UM35" s="65">
        <v>100</v>
      </c>
      <c r="UN35" s="63">
        <v>179.19</v>
      </c>
      <c r="UO35" s="64">
        <f t="shared" si="857"/>
        <v>-79.19</v>
      </c>
      <c r="UP35" s="66">
        <f t="shared" si="226"/>
        <v>1722.04</v>
      </c>
      <c r="UQ35" s="67">
        <f t="shared" si="858"/>
        <v>1801.23</v>
      </c>
      <c r="UR35" s="64">
        <f t="shared" si="859"/>
        <v>-79.190000000000055</v>
      </c>
      <c r="US35" s="130"/>
      <c r="UT35" s="77"/>
      <c r="UU35" s="131"/>
      <c r="UV35" s="76"/>
      <c r="UW35" s="77"/>
      <c r="UX35" s="131"/>
      <c r="UY35" s="76"/>
      <c r="UZ35" s="77"/>
      <c r="VA35" s="131"/>
      <c r="VB35" s="76"/>
      <c r="VC35" s="77"/>
      <c r="VD35" s="131"/>
      <c r="VE35" s="76">
        <f t="shared" si="233"/>
        <v>0</v>
      </c>
      <c r="VF35" s="77">
        <f t="shared" si="860"/>
        <v>0</v>
      </c>
      <c r="VG35" s="131">
        <f t="shared" si="861"/>
        <v>0</v>
      </c>
      <c r="VH35" s="62"/>
      <c r="VI35" s="63"/>
      <c r="VJ35" s="64">
        <f t="shared" si="862"/>
        <v>0</v>
      </c>
      <c r="VK35" s="65"/>
      <c r="VL35" s="63"/>
      <c r="VM35" s="64">
        <f t="shared" si="863"/>
        <v>0</v>
      </c>
      <c r="VN35" s="65"/>
      <c r="VO35" s="63"/>
      <c r="VP35" s="64">
        <f t="shared" si="864"/>
        <v>0</v>
      </c>
      <c r="VQ35" s="65">
        <v>100</v>
      </c>
      <c r="VR35" s="63"/>
      <c r="VS35" s="64">
        <f t="shared" si="865"/>
        <v>100</v>
      </c>
      <c r="VT35" s="66">
        <f t="shared" si="240"/>
        <v>100</v>
      </c>
      <c r="VU35" s="67">
        <f t="shared" si="866"/>
        <v>0</v>
      </c>
      <c r="VV35" s="64">
        <f t="shared" si="867"/>
        <v>100</v>
      </c>
      <c r="VW35" s="74"/>
      <c r="VX35" s="72"/>
      <c r="VY35" s="73"/>
      <c r="VZ35" s="74"/>
      <c r="WA35" s="75"/>
      <c r="WB35" s="73"/>
      <c r="WC35" s="74"/>
      <c r="WD35" s="75"/>
      <c r="WE35" s="73"/>
      <c r="WF35" s="74"/>
      <c r="WG35" s="75"/>
      <c r="WH35" s="73"/>
      <c r="WI35" s="74"/>
      <c r="WJ35" s="76"/>
      <c r="WK35" s="77"/>
      <c r="WL35" s="62">
        <v>1376.01</v>
      </c>
      <c r="WM35" s="63">
        <v>1376.01</v>
      </c>
      <c r="WN35" s="64">
        <f t="shared" si="868"/>
        <v>0</v>
      </c>
      <c r="WO35" s="65"/>
      <c r="WP35" s="63"/>
      <c r="WQ35" s="64">
        <f t="shared" si="869"/>
        <v>0</v>
      </c>
      <c r="WR35" s="65"/>
      <c r="WS35" s="63"/>
      <c r="WT35" s="64">
        <f t="shared" si="870"/>
        <v>0</v>
      </c>
      <c r="WU35" s="65">
        <v>100</v>
      </c>
      <c r="WV35" s="63">
        <v>120.42</v>
      </c>
      <c r="WW35" s="64">
        <f t="shared" si="871"/>
        <v>-20.420000000000002</v>
      </c>
      <c r="WX35" s="66">
        <f t="shared" si="254"/>
        <v>1476.01</v>
      </c>
      <c r="WY35" s="67">
        <f t="shared" si="872"/>
        <v>1496.43</v>
      </c>
      <c r="WZ35" s="64">
        <f t="shared" si="873"/>
        <v>-20.420000000000073</v>
      </c>
      <c r="XA35" s="62"/>
      <c r="XB35" s="63"/>
      <c r="XC35" s="64">
        <f t="shared" si="874"/>
        <v>0</v>
      </c>
      <c r="XD35" s="65"/>
      <c r="XE35" s="63"/>
      <c r="XF35" s="64">
        <f t="shared" si="875"/>
        <v>0</v>
      </c>
      <c r="XG35" s="65"/>
      <c r="XH35" s="63"/>
      <c r="XI35" s="64">
        <f t="shared" si="876"/>
        <v>0</v>
      </c>
      <c r="XJ35" s="65">
        <v>100</v>
      </c>
      <c r="XK35" s="63">
        <v>121.69</v>
      </c>
      <c r="XL35" s="64">
        <f t="shared" si="877"/>
        <v>-21.689999999999998</v>
      </c>
      <c r="XM35" s="66">
        <f t="shared" si="261"/>
        <v>100</v>
      </c>
      <c r="XN35" s="67">
        <f t="shared" si="878"/>
        <v>121.69</v>
      </c>
      <c r="XO35" s="64">
        <f t="shared" si="879"/>
        <v>-21.689999999999998</v>
      </c>
      <c r="XP35" s="62"/>
      <c r="XQ35" s="63"/>
      <c r="XR35" s="64">
        <f t="shared" si="880"/>
        <v>0</v>
      </c>
      <c r="XS35" s="65">
        <v>591.29999999999995</v>
      </c>
      <c r="XT35" s="63">
        <v>779.44</v>
      </c>
      <c r="XU35" s="64">
        <f t="shared" si="881"/>
        <v>-188.1400000000001</v>
      </c>
      <c r="XV35" s="65"/>
      <c r="XW35" s="63"/>
      <c r="XX35" s="64">
        <f t="shared" si="882"/>
        <v>0</v>
      </c>
      <c r="XY35" s="65">
        <v>100</v>
      </c>
      <c r="XZ35" s="63">
        <v>80.569999999999993</v>
      </c>
      <c r="YA35" s="64">
        <f t="shared" si="883"/>
        <v>19.430000000000007</v>
      </c>
      <c r="YB35" s="66">
        <f t="shared" si="268"/>
        <v>691.3</v>
      </c>
      <c r="YC35" s="67">
        <f t="shared" si="884"/>
        <v>860.01</v>
      </c>
      <c r="YD35" s="64">
        <f t="shared" si="885"/>
        <v>-168.71000000000004</v>
      </c>
      <c r="YE35" s="62"/>
      <c r="YF35" s="63"/>
      <c r="YG35" s="64">
        <f t="shared" si="886"/>
        <v>0</v>
      </c>
      <c r="YH35" s="65">
        <v>725.15</v>
      </c>
      <c r="YI35" s="63">
        <v>789.56</v>
      </c>
      <c r="YJ35" s="64">
        <f t="shared" si="887"/>
        <v>-64.409999999999968</v>
      </c>
      <c r="YK35" s="65"/>
      <c r="YL35" s="63"/>
      <c r="YM35" s="64">
        <f t="shared" si="888"/>
        <v>0</v>
      </c>
      <c r="YN35" s="65">
        <v>100</v>
      </c>
      <c r="YO35" s="63">
        <v>55.72</v>
      </c>
      <c r="YP35" s="64">
        <f t="shared" si="889"/>
        <v>44.28</v>
      </c>
      <c r="YQ35" s="66">
        <f t="shared" si="275"/>
        <v>825.15</v>
      </c>
      <c r="YR35" s="67">
        <f t="shared" si="890"/>
        <v>845.28</v>
      </c>
      <c r="YS35" s="64">
        <f t="shared" si="891"/>
        <v>-20.129999999999995</v>
      </c>
      <c r="YT35" s="62"/>
      <c r="YU35" s="63"/>
      <c r="YV35" s="64">
        <f t="shared" si="892"/>
        <v>0</v>
      </c>
      <c r="YW35" s="65">
        <v>513.28</v>
      </c>
      <c r="YX35" s="63">
        <v>648.66</v>
      </c>
      <c r="YY35" s="64">
        <f t="shared" si="893"/>
        <v>-135.38</v>
      </c>
      <c r="YZ35" s="65"/>
      <c r="ZA35" s="63"/>
      <c r="ZB35" s="64">
        <f t="shared" si="894"/>
        <v>0</v>
      </c>
      <c r="ZC35" s="65">
        <v>100</v>
      </c>
      <c r="ZD35" s="63">
        <v>84.71</v>
      </c>
      <c r="ZE35" s="64">
        <f t="shared" si="895"/>
        <v>15.290000000000006</v>
      </c>
      <c r="ZF35" s="66">
        <f t="shared" si="282"/>
        <v>613.28</v>
      </c>
      <c r="ZG35" s="67">
        <f t="shared" si="896"/>
        <v>733.37</v>
      </c>
      <c r="ZH35" s="64">
        <f t="shared" si="897"/>
        <v>-120.09000000000003</v>
      </c>
      <c r="ZI35" s="62">
        <v>1250</v>
      </c>
      <c r="ZJ35" s="63">
        <v>1250</v>
      </c>
      <c r="ZK35" s="64">
        <f t="shared" si="898"/>
        <v>0</v>
      </c>
      <c r="ZL35" s="65"/>
      <c r="ZM35" s="63"/>
      <c r="ZN35" s="64">
        <f t="shared" si="899"/>
        <v>0</v>
      </c>
      <c r="ZO35" s="65"/>
      <c r="ZP35" s="63"/>
      <c r="ZQ35" s="64">
        <f t="shared" si="900"/>
        <v>0</v>
      </c>
      <c r="ZR35" s="65">
        <v>100</v>
      </c>
      <c r="ZS35" s="63"/>
      <c r="ZT35" s="64">
        <f t="shared" si="901"/>
        <v>100</v>
      </c>
      <c r="ZU35" s="66">
        <f t="shared" si="289"/>
        <v>1350</v>
      </c>
      <c r="ZV35" s="67">
        <f t="shared" si="902"/>
        <v>1250</v>
      </c>
      <c r="ZW35" s="64">
        <f t="shared" si="903"/>
        <v>100</v>
      </c>
      <c r="ZX35" s="62">
        <v>24.71</v>
      </c>
      <c r="ZY35" s="63">
        <v>24.71</v>
      </c>
      <c r="ZZ35" s="64">
        <f t="shared" si="904"/>
        <v>0</v>
      </c>
      <c r="AAA35" s="66">
        <f t="shared" si="293"/>
        <v>24.71</v>
      </c>
      <c r="AAB35" s="67">
        <f t="shared" si="293"/>
        <v>24.71</v>
      </c>
      <c r="AAC35" s="64">
        <f t="shared" si="905"/>
        <v>0</v>
      </c>
      <c r="AAD35" s="85">
        <f t="shared" si="295"/>
        <v>37136.590000000004</v>
      </c>
      <c r="AAE35" s="86">
        <f t="shared" si="295"/>
        <v>32336.34</v>
      </c>
      <c r="AAF35" s="87">
        <f t="shared" si="3"/>
        <v>0.87074068997718956</v>
      </c>
      <c r="AAG35" s="88">
        <f t="shared" si="906"/>
        <v>-4800.2500000000036</v>
      </c>
      <c r="AAH35" s="58" t="s">
        <v>145</v>
      </c>
      <c r="AAI35" s="59"/>
      <c r="AAJ35" s="59"/>
      <c r="AAK35" s="60"/>
    </row>
    <row r="36" spans="1:713" s="83" customFormat="1" ht="20" customHeight="1" x14ac:dyDescent="0.2">
      <c r="A36" s="84" t="s">
        <v>33</v>
      </c>
      <c r="B36" s="58"/>
      <c r="C36" s="59"/>
      <c r="D36" s="59"/>
      <c r="E36" s="60"/>
      <c r="F36" s="61">
        <v>45444</v>
      </c>
      <c r="G36" s="62"/>
      <c r="H36" s="63"/>
      <c r="I36" s="64">
        <f t="shared" si="649"/>
        <v>0</v>
      </c>
      <c r="J36" s="65">
        <v>1811.05</v>
      </c>
      <c r="K36" s="63">
        <v>1811.05</v>
      </c>
      <c r="L36" s="64">
        <f t="shared" si="650"/>
        <v>0</v>
      </c>
      <c r="M36" s="65">
        <v>2500</v>
      </c>
      <c r="N36" s="63">
        <v>3412.18</v>
      </c>
      <c r="O36" s="64">
        <f t="shared" si="651"/>
        <v>-912.17999999999984</v>
      </c>
      <c r="P36" s="65">
        <v>1000</v>
      </c>
      <c r="Q36" s="63">
        <v>899.21</v>
      </c>
      <c r="R36" s="64">
        <f t="shared" si="652"/>
        <v>100.78999999999996</v>
      </c>
      <c r="S36" s="65">
        <v>362</v>
      </c>
      <c r="T36" s="63">
        <v>196.34</v>
      </c>
      <c r="U36" s="64">
        <f t="shared" si="653"/>
        <v>165.66</v>
      </c>
      <c r="V36" s="66">
        <f t="shared" si="654"/>
        <v>5673.05</v>
      </c>
      <c r="W36" s="67">
        <f t="shared" si="654"/>
        <v>6318.78</v>
      </c>
      <c r="X36" s="64">
        <f t="shared" si="655"/>
        <v>-645.72999999999956</v>
      </c>
      <c r="Y36" s="62">
        <v>1100</v>
      </c>
      <c r="Z36" s="63">
        <v>1100</v>
      </c>
      <c r="AA36" s="64">
        <f t="shared" si="656"/>
        <v>0</v>
      </c>
      <c r="AB36" s="65"/>
      <c r="AC36" s="63"/>
      <c r="AD36" s="64">
        <f t="shared" si="657"/>
        <v>0</v>
      </c>
      <c r="AE36" s="65"/>
      <c r="AF36" s="63"/>
      <c r="AG36" s="64">
        <f t="shared" si="658"/>
        <v>0</v>
      </c>
      <c r="AH36" s="65"/>
      <c r="AI36" s="63"/>
      <c r="AJ36" s="64">
        <f t="shared" si="659"/>
        <v>0</v>
      </c>
      <c r="AK36" s="66">
        <f t="shared" si="16"/>
        <v>1100</v>
      </c>
      <c r="AL36" s="67">
        <f t="shared" si="17"/>
        <v>1100</v>
      </c>
      <c r="AM36" s="64">
        <f t="shared" si="660"/>
        <v>0</v>
      </c>
      <c r="AN36" s="62">
        <v>6250</v>
      </c>
      <c r="AO36" s="63">
        <v>6250</v>
      </c>
      <c r="AP36" s="64">
        <f t="shared" si="907"/>
        <v>0</v>
      </c>
      <c r="AQ36" s="65"/>
      <c r="AR36" s="63"/>
      <c r="AS36" s="64">
        <f t="shared" si="661"/>
        <v>0</v>
      </c>
      <c r="AT36" s="65"/>
      <c r="AU36" s="63">
        <v>10000</v>
      </c>
      <c r="AV36" s="64">
        <f t="shared" si="662"/>
        <v>-10000</v>
      </c>
      <c r="AW36" s="65"/>
      <c r="AX36" s="63"/>
      <c r="AY36" s="64">
        <f t="shared" si="663"/>
        <v>0</v>
      </c>
      <c r="AZ36" s="66">
        <f t="shared" si="23"/>
        <v>6250</v>
      </c>
      <c r="BA36" s="67">
        <f t="shared" si="664"/>
        <v>16250</v>
      </c>
      <c r="BB36" s="64">
        <f t="shared" si="665"/>
        <v>-10000</v>
      </c>
      <c r="BC36" s="62">
        <v>6150</v>
      </c>
      <c r="BD36" s="63">
        <v>6150</v>
      </c>
      <c r="BE36" s="64">
        <f t="shared" si="666"/>
        <v>0</v>
      </c>
      <c r="BF36" s="65"/>
      <c r="BG36" s="63"/>
      <c r="BH36" s="64">
        <f t="shared" si="667"/>
        <v>0</v>
      </c>
      <c r="BI36" s="65"/>
      <c r="BJ36" s="63"/>
      <c r="BK36" s="64">
        <f t="shared" si="668"/>
        <v>0</v>
      </c>
      <c r="BL36" s="65">
        <v>100</v>
      </c>
      <c r="BM36" s="63"/>
      <c r="BN36" s="64">
        <f t="shared" si="669"/>
        <v>100</v>
      </c>
      <c r="BO36" s="66">
        <f t="shared" si="30"/>
        <v>6250</v>
      </c>
      <c r="BP36" s="67">
        <f t="shared" si="670"/>
        <v>6150</v>
      </c>
      <c r="BQ36" s="64">
        <f t="shared" si="671"/>
        <v>100</v>
      </c>
      <c r="BR36" s="62">
        <v>789.83</v>
      </c>
      <c r="BS36" s="63">
        <v>819.1</v>
      </c>
      <c r="BT36" s="74"/>
      <c r="BU36" s="75"/>
      <c r="BV36" s="73"/>
      <c r="BW36" s="74"/>
      <c r="BX36" s="75"/>
      <c r="BY36" s="73"/>
      <c r="BZ36" s="74"/>
      <c r="CA36" s="75"/>
      <c r="CB36" s="73"/>
      <c r="CC36" s="74"/>
      <c r="CD36" s="66">
        <f t="shared" si="33"/>
        <v>789.83</v>
      </c>
      <c r="CE36" s="67">
        <f t="shared" si="672"/>
        <v>819.1</v>
      </c>
      <c r="CF36" s="64">
        <f t="shared" si="673"/>
        <v>-29.269999999999982</v>
      </c>
      <c r="CG36" s="62">
        <v>5000</v>
      </c>
      <c r="CH36" s="63">
        <v>6000</v>
      </c>
      <c r="CI36" s="64">
        <f t="shared" si="674"/>
        <v>-1000</v>
      </c>
      <c r="CJ36" s="65"/>
      <c r="CK36" s="63"/>
      <c r="CL36" s="64">
        <f t="shared" si="675"/>
        <v>0</v>
      </c>
      <c r="CM36" s="65"/>
      <c r="CN36" s="63">
        <v>3050</v>
      </c>
      <c r="CO36" s="64">
        <f t="shared" si="676"/>
        <v>-3050</v>
      </c>
      <c r="CP36" s="65"/>
      <c r="CQ36" s="63"/>
      <c r="CR36" s="64">
        <f t="shared" si="677"/>
        <v>0</v>
      </c>
      <c r="CS36" s="66">
        <f t="shared" si="40"/>
        <v>5000</v>
      </c>
      <c r="CT36" s="67">
        <f t="shared" si="678"/>
        <v>9050</v>
      </c>
      <c r="CU36" s="64">
        <f t="shared" si="679"/>
        <v>-4050</v>
      </c>
      <c r="CV36" s="62">
        <v>2916.7</v>
      </c>
      <c r="CW36" s="63">
        <v>2916.7</v>
      </c>
      <c r="CX36" s="64">
        <f t="shared" si="680"/>
        <v>0</v>
      </c>
      <c r="CY36" s="65"/>
      <c r="CZ36" s="63"/>
      <c r="DA36" s="64">
        <f t="shared" si="681"/>
        <v>0</v>
      </c>
      <c r="DB36" s="65"/>
      <c r="DC36" s="63"/>
      <c r="DD36" s="64">
        <f t="shared" si="682"/>
        <v>0</v>
      </c>
      <c r="DE36" s="65"/>
      <c r="DF36" s="63">
        <v>150.79</v>
      </c>
      <c r="DG36" s="64">
        <f t="shared" si="683"/>
        <v>-150.79</v>
      </c>
      <c r="DH36" s="66">
        <f t="shared" si="43"/>
        <v>2916.7</v>
      </c>
      <c r="DI36" s="67">
        <f t="shared" si="684"/>
        <v>3067.49</v>
      </c>
      <c r="DJ36" s="64">
        <f t="shared" si="685"/>
        <v>-150.78999999999996</v>
      </c>
      <c r="DK36" s="62">
        <v>2400</v>
      </c>
      <c r="DL36" s="63">
        <v>2400</v>
      </c>
      <c r="DM36" s="64">
        <f t="shared" si="686"/>
        <v>0</v>
      </c>
      <c r="DN36" s="65">
        <v>580</v>
      </c>
      <c r="DO36" s="63">
        <v>580</v>
      </c>
      <c r="DP36" s="64">
        <f t="shared" si="687"/>
        <v>0</v>
      </c>
      <c r="DQ36" s="65"/>
      <c r="DR36" s="63"/>
      <c r="DS36" s="64">
        <f t="shared" si="688"/>
        <v>0</v>
      </c>
      <c r="DT36" s="65">
        <v>100</v>
      </c>
      <c r="DU36" s="63">
        <v>102.84</v>
      </c>
      <c r="DV36" s="64">
        <f t="shared" si="689"/>
        <v>-2.8400000000000034</v>
      </c>
      <c r="DW36" s="66">
        <f t="shared" si="46"/>
        <v>3080</v>
      </c>
      <c r="DX36" s="67">
        <f t="shared" si="690"/>
        <v>3082.84</v>
      </c>
      <c r="DY36" s="64">
        <f t="shared" si="691"/>
        <v>-2.8400000000001455</v>
      </c>
      <c r="DZ36" s="62"/>
      <c r="EA36" s="63"/>
      <c r="EB36" s="64">
        <f t="shared" si="692"/>
        <v>0</v>
      </c>
      <c r="EC36" s="65"/>
      <c r="ED36" s="63"/>
      <c r="EE36" s="64">
        <f t="shared" si="693"/>
        <v>0</v>
      </c>
      <c r="EF36" s="65"/>
      <c r="EG36" s="63"/>
      <c r="EH36" s="64">
        <f t="shared" si="694"/>
        <v>0</v>
      </c>
      <c r="EI36" s="65">
        <v>100</v>
      </c>
      <c r="EJ36" s="63"/>
      <c r="EK36" s="64">
        <f t="shared" si="695"/>
        <v>100</v>
      </c>
      <c r="EL36" s="66">
        <f t="shared" si="53"/>
        <v>100</v>
      </c>
      <c r="EM36" s="67">
        <f t="shared" si="696"/>
        <v>0</v>
      </c>
      <c r="EN36" s="64">
        <f t="shared" si="697"/>
        <v>100</v>
      </c>
      <c r="EO36" s="62">
        <v>6150</v>
      </c>
      <c r="EP36" s="63">
        <v>6150</v>
      </c>
      <c r="EQ36" s="64">
        <f t="shared" si="698"/>
        <v>0</v>
      </c>
      <c r="ER36" s="65"/>
      <c r="ES36" s="63"/>
      <c r="ET36" s="64">
        <f t="shared" si="699"/>
        <v>0</v>
      </c>
      <c r="EU36" s="65"/>
      <c r="EV36" s="63"/>
      <c r="EW36" s="64">
        <f t="shared" si="700"/>
        <v>0</v>
      </c>
      <c r="EX36" s="65">
        <v>100</v>
      </c>
      <c r="EY36" s="63"/>
      <c r="EZ36" s="64">
        <f t="shared" si="701"/>
        <v>100</v>
      </c>
      <c r="FA36" s="66">
        <f t="shared" si="60"/>
        <v>6250</v>
      </c>
      <c r="FB36" s="67">
        <f t="shared" si="702"/>
        <v>6150</v>
      </c>
      <c r="FC36" s="64">
        <f t="shared" si="703"/>
        <v>100</v>
      </c>
      <c r="FD36" s="62">
        <v>6150</v>
      </c>
      <c r="FE36" s="63">
        <v>6150</v>
      </c>
      <c r="FF36" s="64">
        <f t="shared" si="704"/>
        <v>0</v>
      </c>
      <c r="FG36" s="65"/>
      <c r="FH36" s="63"/>
      <c r="FI36" s="64">
        <f t="shared" si="705"/>
        <v>0</v>
      </c>
      <c r="FJ36" s="65"/>
      <c r="FK36" s="63"/>
      <c r="FL36" s="64">
        <f t="shared" si="706"/>
        <v>0</v>
      </c>
      <c r="FM36" s="65">
        <v>100</v>
      </c>
      <c r="FN36" s="63"/>
      <c r="FO36" s="64">
        <f t="shared" si="707"/>
        <v>100</v>
      </c>
      <c r="FP36" s="66">
        <f t="shared" si="67"/>
        <v>6250</v>
      </c>
      <c r="FQ36" s="67">
        <f t="shared" si="708"/>
        <v>6150</v>
      </c>
      <c r="FR36" s="64">
        <f t="shared" si="709"/>
        <v>100</v>
      </c>
      <c r="FS36" s="62"/>
      <c r="FT36" s="63"/>
      <c r="FU36" s="64">
        <f t="shared" si="710"/>
        <v>0</v>
      </c>
      <c r="FV36" s="65"/>
      <c r="FW36" s="63"/>
      <c r="FX36" s="64">
        <f t="shared" si="711"/>
        <v>0</v>
      </c>
      <c r="FY36" s="65"/>
      <c r="FZ36" s="63"/>
      <c r="GA36" s="64">
        <f t="shared" si="712"/>
        <v>0</v>
      </c>
      <c r="GB36" s="65"/>
      <c r="GC36" s="63"/>
      <c r="GD36" s="64">
        <f t="shared" si="713"/>
        <v>0</v>
      </c>
      <c r="GE36" s="66">
        <f t="shared" si="74"/>
        <v>0</v>
      </c>
      <c r="GF36" s="67">
        <f t="shared" si="714"/>
        <v>0</v>
      </c>
      <c r="GG36" s="64">
        <f t="shared" si="715"/>
        <v>0</v>
      </c>
      <c r="GH36" s="62">
        <v>20000</v>
      </c>
      <c r="GI36" s="63">
        <v>20000</v>
      </c>
      <c r="GJ36" s="64">
        <f t="shared" si="716"/>
        <v>0</v>
      </c>
      <c r="GK36" s="65"/>
      <c r="GL36" s="63"/>
      <c r="GM36" s="64">
        <f t="shared" si="717"/>
        <v>0</v>
      </c>
      <c r="GN36" s="65"/>
      <c r="GO36" s="63"/>
      <c r="GP36" s="64">
        <f t="shared" si="718"/>
        <v>0</v>
      </c>
      <c r="GQ36" s="65"/>
      <c r="GR36" s="63"/>
      <c r="GS36" s="64">
        <f t="shared" si="719"/>
        <v>0</v>
      </c>
      <c r="GT36" s="66">
        <f t="shared" si="81"/>
        <v>20000</v>
      </c>
      <c r="GU36" s="67">
        <f t="shared" si="720"/>
        <v>20000</v>
      </c>
      <c r="GV36" s="64">
        <f t="shared" si="721"/>
        <v>0</v>
      </c>
      <c r="GW36" s="62"/>
      <c r="GX36" s="63"/>
      <c r="GY36" s="64">
        <f t="shared" si="722"/>
        <v>0</v>
      </c>
      <c r="GZ36" s="65"/>
      <c r="HA36" s="63"/>
      <c r="HB36" s="64">
        <f t="shared" si="723"/>
        <v>0</v>
      </c>
      <c r="HC36" s="65"/>
      <c r="HD36" s="63"/>
      <c r="HE36" s="64">
        <f t="shared" si="724"/>
        <v>0</v>
      </c>
      <c r="HF36" s="65">
        <v>100</v>
      </c>
      <c r="HG36" s="63">
        <v>120.47</v>
      </c>
      <c r="HH36" s="64">
        <f t="shared" si="725"/>
        <v>-20.47</v>
      </c>
      <c r="HI36" s="66">
        <f t="shared" si="84"/>
        <v>100</v>
      </c>
      <c r="HJ36" s="67">
        <f t="shared" si="726"/>
        <v>120.47</v>
      </c>
      <c r="HK36" s="64">
        <f t="shared" si="727"/>
        <v>-20.47</v>
      </c>
      <c r="HL36" s="62">
        <v>6150</v>
      </c>
      <c r="HM36" s="63">
        <v>6150</v>
      </c>
      <c r="HN36" s="64">
        <f t="shared" si="728"/>
        <v>0</v>
      </c>
      <c r="HO36" s="65"/>
      <c r="HP36" s="63"/>
      <c r="HQ36" s="64">
        <f t="shared" si="729"/>
        <v>0</v>
      </c>
      <c r="HR36" s="65"/>
      <c r="HS36" s="63"/>
      <c r="HT36" s="64">
        <f t="shared" si="730"/>
        <v>0</v>
      </c>
      <c r="HU36" s="65">
        <v>100</v>
      </c>
      <c r="HV36" s="63"/>
      <c r="HW36" s="64">
        <f t="shared" si="731"/>
        <v>100</v>
      </c>
      <c r="HX36" s="66">
        <f t="shared" si="91"/>
        <v>6250</v>
      </c>
      <c r="HY36" s="67">
        <f t="shared" si="732"/>
        <v>6150</v>
      </c>
      <c r="HZ36" s="64">
        <f t="shared" si="733"/>
        <v>100</v>
      </c>
      <c r="IA36" s="62">
        <f>9864.5</f>
        <v>9864.5</v>
      </c>
      <c r="IB36" s="63">
        <v>9864.5</v>
      </c>
      <c r="IC36" s="64">
        <f t="shared" si="734"/>
        <v>0</v>
      </c>
      <c r="ID36" s="65"/>
      <c r="IE36" s="63"/>
      <c r="IF36" s="64">
        <f t="shared" si="735"/>
        <v>0</v>
      </c>
      <c r="IG36" s="65"/>
      <c r="IH36" s="63"/>
      <c r="II36" s="64">
        <f t="shared" si="736"/>
        <v>0</v>
      </c>
      <c r="IJ36" s="65">
        <v>100</v>
      </c>
      <c r="IK36" s="63">
        <v>142.38999999999999</v>
      </c>
      <c r="IL36" s="64">
        <f t="shared" si="737"/>
        <v>-42.389999999999986</v>
      </c>
      <c r="IM36" s="66">
        <f t="shared" si="98"/>
        <v>9964.5</v>
      </c>
      <c r="IN36" s="67">
        <f t="shared" si="738"/>
        <v>10006.89</v>
      </c>
      <c r="IO36" s="64">
        <f t="shared" si="739"/>
        <v>-42.389999999999418</v>
      </c>
      <c r="IP36" s="62">
        <v>5000</v>
      </c>
      <c r="IQ36" s="63">
        <v>6000</v>
      </c>
      <c r="IR36" s="64">
        <f t="shared" si="740"/>
        <v>-1000</v>
      </c>
      <c r="IS36" s="65"/>
      <c r="IT36" s="63"/>
      <c r="IU36" s="64">
        <f t="shared" si="741"/>
        <v>0</v>
      </c>
      <c r="IV36" s="65"/>
      <c r="IW36" s="63">
        <v>3036.65</v>
      </c>
      <c r="IX36" s="64">
        <f t="shared" si="742"/>
        <v>-3036.65</v>
      </c>
      <c r="IY36" s="65"/>
      <c r="IZ36" s="63"/>
      <c r="JA36" s="64">
        <f t="shared" si="743"/>
        <v>0</v>
      </c>
      <c r="JB36" s="66">
        <f t="shared" si="105"/>
        <v>5000</v>
      </c>
      <c r="JC36" s="67">
        <f t="shared" si="744"/>
        <v>9036.65</v>
      </c>
      <c r="JD36" s="64">
        <f t="shared" si="745"/>
        <v>-4036.6499999999996</v>
      </c>
      <c r="JE36" s="62"/>
      <c r="JF36" s="63"/>
      <c r="JG36" s="64">
        <f t="shared" si="746"/>
        <v>0</v>
      </c>
      <c r="JH36" s="65">
        <v>442.35</v>
      </c>
      <c r="JI36" s="65">
        <v>421.89</v>
      </c>
      <c r="JJ36" s="64">
        <f t="shared" si="747"/>
        <v>20.460000000000036</v>
      </c>
      <c r="JK36" s="65"/>
      <c r="JL36" s="63"/>
      <c r="JM36" s="64">
        <f t="shared" si="748"/>
        <v>0</v>
      </c>
      <c r="JN36" s="65">
        <v>100</v>
      </c>
      <c r="JO36" s="63"/>
      <c r="JP36" s="64">
        <f t="shared" si="749"/>
        <v>100</v>
      </c>
      <c r="JQ36" s="66">
        <f t="shared" si="112"/>
        <v>542.35</v>
      </c>
      <c r="JR36" s="67">
        <f t="shared" si="750"/>
        <v>421.89</v>
      </c>
      <c r="JS36" s="64">
        <f t="shared" si="751"/>
        <v>120.46000000000004</v>
      </c>
      <c r="JT36" s="62">
        <v>5615.92</v>
      </c>
      <c r="JU36" s="63">
        <v>5615.92</v>
      </c>
      <c r="JV36" s="64">
        <f t="shared" si="752"/>
        <v>0</v>
      </c>
      <c r="JW36" s="65"/>
      <c r="JX36" s="63"/>
      <c r="JY36" s="64">
        <f t="shared" si="753"/>
        <v>0</v>
      </c>
      <c r="JZ36" s="65"/>
      <c r="KA36" s="63"/>
      <c r="KB36" s="64">
        <f t="shared" si="754"/>
        <v>0</v>
      </c>
      <c r="KC36" s="65">
        <v>100</v>
      </c>
      <c r="KD36" s="63">
        <v>220.81</v>
      </c>
      <c r="KE36" s="64">
        <f t="shared" si="755"/>
        <v>-120.81</v>
      </c>
      <c r="KF36" s="66">
        <f t="shared" si="119"/>
        <v>5715.92</v>
      </c>
      <c r="KG36" s="67">
        <f t="shared" si="756"/>
        <v>5836.7300000000005</v>
      </c>
      <c r="KH36" s="64">
        <f t="shared" si="757"/>
        <v>-120.8100000000004</v>
      </c>
      <c r="KI36" s="62">
        <v>50000</v>
      </c>
      <c r="KJ36" s="63">
        <v>50000</v>
      </c>
      <c r="KK36" s="64">
        <f t="shared" si="758"/>
        <v>0</v>
      </c>
      <c r="KL36" s="65"/>
      <c r="KM36" s="63"/>
      <c r="KN36" s="64">
        <f t="shared" si="759"/>
        <v>0</v>
      </c>
      <c r="KO36" s="65"/>
      <c r="KP36" s="63"/>
      <c r="KQ36" s="64">
        <f t="shared" si="760"/>
        <v>0</v>
      </c>
      <c r="KR36" s="65"/>
      <c r="KS36" s="63"/>
      <c r="KT36" s="64">
        <f t="shared" si="761"/>
        <v>0</v>
      </c>
      <c r="KU36" s="66">
        <f t="shared" si="1"/>
        <v>50000</v>
      </c>
      <c r="KV36" s="67">
        <f t="shared" si="762"/>
        <v>50000</v>
      </c>
      <c r="KW36" s="64">
        <f t="shared" si="763"/>
        <v>0</v>
      </c>
      <c r="KX36" s="72"/>
      <c r="KY36" s="73"/>
      <c r="KZ36" s="74"/>
      <c r="LA36" s="75"/>
      <c r="LB36" s="73"/>
      <c r="LC36" s="74"/>
      <c r="LD36" s="75"/>
      <c r="LE36" s="73"/>
      <c r="LF36" s="74"/>
      <c r="LG36" s="75"/>
      <c r="LH36" s="73"/>
      <c r="LI36" s="74"/>
      <c r="LJ36" s="76"/>
      <c r="LK36" s="77"/>
      <c r="LL36" s="74"/>
      <c r="LM36" s="62"/>
      <c r="LN36" s="63"/>
      <c r="LO36" s="64">
        <f t="shared" si="764"/>
        <v>0</v>
      </c>
      <c r="LP36" s="65"/>
      <c r="LQ36" s="63"/>
      <c r="LR36" s="64">
        <f t="shared" si="765"/>
        <v>0</v>
      </c>
      <c r="LS36" s="65"/>
      <c r="LT36" s="63"/>
      <c r="LU36" s="64">
        <f t="shared" si="766"/>
        <v>0</v>
      </c>
      <c r="LV36" s="65">
        <v>100</v>
      </c>
      <c r="LW36" s="63"/>
      <c r="LX36" s="64">
        <f t="shared" si="767"/>
        <v>100</v>
      </c>
      <c r="LY36" s="66">
        <f t="shared" si="124"/>
        <v>100</v>
      </c>
      <c r="LZ36" s="67">
        <f t="shared" si="768"/>
        <v>0</v>
      </c>
      <c r="MA36" s="64">
        <f t="shared" si="769"/>
        <v>100</v>
      </c>
      <c r="MB36" s="62">
        <f>6*650</f>
        <v>3900</v>
      </c>
      <c r="MC36" s="63">
        <v>3900</v>
      </c>
      <c r="MD36" s="64">
        <f t="shared" si="770"/>
        <v>0</v>
      </c>
      <c r="ME36" s="65">
        <v>1050.2</v>
      </c>
      <c r="MF36" s="63">
        <v>889.11</v>
      </c>
      <c r="MG36" s="64">
        <f t="shared" si="771"/>
        <v>161.09000000000003</v>
      </c>
      <c r="MH36" s="65"/>
      <c r="MI36" s="63"/>
      <c r="MJ36" s="64">
        <f t="shared" si="772"/>
        <v>0</v>
      </c>
      <c r="MK36" s="65">
        <v>100</v>
      </c>
      <c r="ML36" s="63">
        <f>163.89+3977</f>
        <v>4140.8900000000003</v>
      </c>
      <c r="MM36" s="64">
        <f t="shared" si="773"/>
        <v>-4040.8900000000003</v>
      </c>
      <c r="MN36" s="66">
        <f t="shared" si="131"/>
        <v>5050.2</v>
      </c>
      <c r="MO36" s="67">
        <f t="shared" si="774"/>
        <v>8930</v>
      </c>
      <c r="MP36" s="64">
        <f t="shared" si="775"/>
        <v>-3879.8</v>
      </c>
      <c r="MQ36" s="62">
        <v>8600</v>
      </c>
      <c r="MR36" s="63">
        <v>8600</v>
      </c>
      <c r="MS36" s="64">
        <f t="shared" si="776"/>
        <v>0</v>
      </c>
      <c r="MT36" s="65"/>
      <c r="MU36" s="63"/>
      <c r="MV36" s="64">
        <f t="shared" si="777"/>
        <v>0</v>
      </c>
      <c r="MW36" s="65"/>
      <c r="MX36" s="63"/>
      <c r="MY36" s="64">
        <f t="shared" si="778"/>
        <v>0</v>
      </c>
      <c r="MZ36" s="65"/>
      <c r="NA36" s="63"/>
      <c r="NB36" s="64">
        <f t="shared" si="779"/>
        <v>0</v>
      </c>
      <c r="NC36" s="66">
        <f t="shared" si="138"/>
        <v>8600</v>
      </c>
      <c r="ND36" s="67">
        <f t="shared" si="780"/>
        <v>8600</v>
      </c>
      <c r="NE36" s="64">
        <f t="shared" si="781"/>
        <v>0</v>
      </c>
      <c r="NF36" s="62">
        <v>4000</v>
      </c>
      <c r="NG36" s="63"/>
      <c r="NH36" s="64">
        <f t="shared" si="782"/>
        <v>4000</v>
      </c>
      <c r="NI36" s="65">
        <v>886.87</v>
      </c>
      <c r="NJ36" s="63">
        <v>1068.3699999999999</v>
      </c>
      <c r="NK36" s="64">
        <f t="shared" si="783"/>
        <v>-181.49999999999989</v>
      </c>
      <c r="NL36" s="65"/>
      <c r="NM36" s="63"/>
      <c r="NN36" s="64">
        <f t="shared" si="784"/>
        <v>0</v>
      </c>
      <c r="NO36" s="65">
        <v>100</v>
      </c>
      <c r="NP36" s="63"/>
      <c r="NQ36" s="64">
        <f t="shared" si="785"/>
        <v>100</v>
      </c>
      <c r="NR36" s="66">
        <f t="shared" si="145"/>
        <v>4986.87</v>
      </c>
      <c r="NS36" s="67">
        <f t="shared" si="786"/>
        <v>1068.3699999999999</v>
      </c>
      <c r="NT36" s="64">
        <f t="shared" si="787"/>
        <v>3918.5</v>
      </c>
      <c r="NU36" s="62">
        <f>6*864</f>
        <v>5184</v>
      </c>
      <c r="NV36" s="63">
        <v>5184</v>
      </c>
      <c r="NW36" s="64">
        <f t="shared" si="788"/>
        <v>0</v>
      </c>
      <c r="NX36" s="65">
        <v>1004.52</v>
      </c>
      <c r="NY36" s="63">
        <v>1075.05</v>
      </c>
      <c r="NZ36" s="64">
        <f t="shared" si="789"/>
        <v>-70.529999999999973</v>
      </c>
      <c r="OA36" s="65"/>
      <c r="OB36" s="63"/>
      <c r="OC36" s="64">
        <f t="shared" si="790"/>
        <v>0</v>
      </c>
      <c r="OD36" s="65">
        <v>100</v>
      </c>
      <c r="OE36" s="63"/>
      <c r="OF36" s="64">
        <f t="shared" si="791"/>
        <v>100</v>
      </c>
      <c r="OG36" s="66">
        <f t="shared" si="152"/>
        <v>6288.52</v>
      </c>
      <c r="OH36" s="67">
        <f t="shared" si="792"/>
        <v>6259.05</v>
      </c>
      <c r="OI36" s="64">
        <f t="shared" si="793"/>
        <v>29.470000000000255</v>
      </c>
      <c r="OJ36" s="62"/>
      <c r="OK36" s="63"/>
      <c r="OL36" s="64">
        <f t="shared" si="794"/>
        <v>0</v>
      </c>
      <c r="OM36" s="65"/>
      <c r="ON36" s="63"/>
      <c r="OO36" s="64">
        <f t="shared" si="795"/>
        <v>0</v>
      </c>
      <c r="OP36" s="65"/>
      <c r="OQ36" s="63"/>
      <c r="OR36" s="64">
        <f t="shared" si="796"/>
        <v>0</v>
      </c>
      <c r="OS36" s="65">
        <v>100</v>
      </c>
      <c r="OT36" s="63">
        <v>136.33000000000001</v>
      </c>
      <c r="OU36" s="64">
        <f t="shared" si="797"/>
        <v>-36.330000000000013</v>
      </c>
      <c r="OV36" s="66">
        <f t="shared" si="159"/>
        <v>100</v>
      </c>
      <c r="OW36" s="67">
        <f t="shared" si="798"/>
        <v>136.33000000000001</v>
      </c>
      <c r="OX36" s="64">
        <f t="shared" si="799"/>
        <v>-36.330000000000013</v>
      </c>
      <c r="OY36" s="62"/>
      <c r="OZ36" s="63"/>
      <c r="PA36" s="64">
        <f t="shared" si="800"/>
        <v>0</v>
      </c>
      <c r="PB36" s="65">
        <v>600</v>
      </c>
      <c r="PC36" s="63"/>
      <c r="PD36" s="64">
        <f t="shared" si="801"/>
        <v>600</v>
      </c>
      <c r="PE36" s="65"/>
      <c r="PF36" s="63"/>
      <c r="PG36" s="64">
        <f t="shared" si="802"/>
        <v>0</v>
      </c>
      <c r="PH36" s="65">
        <v>100</v>
      </c>
      <c r="PI36" s="63">
        <v>133.96</v>
      </c>
      <c r="PJ36" s="64">
        <f t="shared" si="803"/>
        <v>-33.960000000000008</v>
      </c>
      <c r="PK36" s="66">
        <f t="shared" si="166"/>
        <v>700</v>
      </c>
      <c r="PL36" s="67">
        <f t="shared" si="804"/>
        <v>133.96</v>
      </c>
      <c r="PM36" s="64">
        <f t="shared" si="805"/>
        <v>566.04</v>
      </c>
      <c r="PN36" s="62">
        <v>1400</v>
      </c>
      <c r="PO36" s="63">
        <v>1400</v>
      </c>
      <c r="PP36" s="64">
        <f t="shared" si="806"/>
        <v>0</v>
      </c>
      <c r="PQ36" s="65"/>
      <c r="PR36" s="63"/>
      <c r="PS36" s="64">
        <f t="shared" si="807"/>
        <v>0</v>
      </c>
      <c r="PT36" s="65"/>
      <c r="PU36" s="63"/>
      <c r="PV36" s="64">
        <f t="shared" si="808"/>
        <v>0</v>
      </c>
      <c r="PW36" s="65">
        <v>100</v>
      </c>
      <c r="PX36" s="63"/>
      <c r="PY36" s="64">
        <f t="shared" si="809"/>
        <v>100</v>
      </c>
      <c r="PZ36" s="66">
        <f t="shared" si="173"/>
        <v>1500</v>
      </c>
      <c r="QA36" s="67">
        <f t="shared" si="810"/>
        <v>1400</v>
      </c>
      <c r="QB36" s="64">
        <f t="shared" si="811"/>
        <v>100</v>
      </c>
      <c r="QC36" s="62"/>
      <c r="QD36" s="63"/>
      <c r="QE36" s="64">
        <f t="shared" si="812"/>
        <v>0</v>
      </c>
      <c r="QF36" s="65"/>
      <c r="QG36" s="63"/>
      <c r="QH36" s="64">
        <f t="shared" si="813"/>
        <v>0</v>
      </c>
      <c r="QI36" s="65"/>
      <c r="QJ36" s="63"/>
      <c r="QK36" s="64">
        <f t="shared" si="814"/>
        <v>0</v>
      </c>
      <c r="QL36" s="65">
        <v>100</v>
      </c>
      <c r="QM36" s="63">
        <v>153.69999999999999</v>
      </c>
      <c r="QN36" s="64">
        <f t="shared" si="815"/>
        <v>-53.699999999999989</v>
      </c>
      <c r="QO36" s="66">
        <f t="shared" si="180"/>
        <v>100</v>
      </c>
      <c r="QP36" s="67">
        <f t="shared" si="816"/>
        <v>153.69999999999999</v>
      </c>
      <c r="QQ36" s="64">
        <f t="shared" si="817"/>
        <v>-53.699999999999989</v>
      </c>
      <c r="QR36" s="62">
        <v>15500</v>
      </c>
      <c r="QS36" s="63">
        <v>15500</v>
      </c>
      <c r="QT36" s="64">
        <f t="shared" si="818"/>
        <v>0</v>
      </c>
      <c r="QU36" s="65"/>
      <c r="QV36" s="63"/>
      <c r="QW36" s="64">
        <f t="shared" si="819"/>
        <v>0</v>
      </c>
      <c r="QX36" s="65"/>
      <c r="QY36" s="63"/>
      <c r="QZ36" s="64">
        <f t="shared" si="820"/>
        <v>0</v>
      </c>
      <c r="RA36" s="65"/>
      <c r="RB36" s="63"/>
      <c r="RC36" s="64">
        <f t="shared" si="821"/>
        <v>0</v>
      </c>
      <c r="RD36" s="66">
        <f t="shared" si="187"/>
        <v>15500</v>
      </c>
      <c r="RE36" s="67">
        <f t="shared" si="822"/>
        <v>15500</v>
      </c>
      <c r="RF36" s="64">
        <f t="shared" si="823"/>
        <v>0</v>
      </c>
      <c r="RG36" s="62"/>
      <c r="RH36" s="63"/>
      <c r="RI36" s="64">
        <f t="shared" si="824"/>
        <v>0</v>
      </c>
      <c r="RJ36" s="65"/>
      <c r="RK36" s="63"/>
      <c r="RL36" s="64">
        <f t="shared" si="825"/>
        <v>0</v>
      </c>
      <c r="RM36" s="65"/>
      <c r="RN36" s="63"/>
      <c r="RO36" s="64">
        <f t="shared" si="826"/>
        <v>0</v>
      </c>
      <c r="RP36" s="65"/>
      <c r="RQ36" s="63"/>
      <c r="RR36" s="64">
        <f t="shared" si="827"/>
        <v>0</v>
      </c>
      <c r="RS36" s="66">
        <f t="shared" si="194"/>
        <v>0</v>
      </c>
      <c r="RT36" s="67">
        <f t="shared" si="828"/>
        <v>0</v>
      </c>
      <c r="RU36" s="64">
        <f t="shared" si="829"/>
        <v>0</v>
      </c>
      <c r="RV36" s="62"/>
      <c r="RW36" s="63"/>
      <c r="RX36" s="64">
        <f t="shared" si="830"/>
        <v>0</v>
      </c>
      <c r="RY36" s="65"/>
      <c r="RZ36" s="63"/>
      <c r="SA36" s="64">
        <f t="shared" si="831"/>
        <v>0</v>
      </c>
      <c r="SB36" s="65"/>
      <c r="SC36" s="63"/>
      <c r="SD36" s="64">
        <f t="shared" si="832"/>
        <v>0</v>
      </c>
      <c r="SE36" s="65">
        <v>100</v>
      </c>
      <c r="SF36" s="63">
        <v>52.39</v>
      </c>
      <c r="SG36" s="64">
        <f t="shared" si="833"/>
        <v>47.61</v>
      </c>
      <c r="SH36" s="66">
        <f t="shared" si="201"/>
        <v>100</v>
      </c>
      <c r="SI36" s="67">
        <f t="shared" si="834"/>
        <v>52.39</v>
      </c>
      <c r="SJ36" s="64">
        <f t="shared" si="835"/>
        <v>47.61</v>
      </c>
      <c r="SK36" s="62"/>
      <c r="SL36" s="63"/>
      <c r="SM36" s="64">
        <f t="shared" si="836"/>
        <v>0</v>
      </c>
      <c r="SN36" s="65"/>
      <c r="SO36" s="63"/>
      <c r="SP36" s="64">
        <f t="shared" si="837"/>
        <v>0</v>
      </c>
      <c r="SQ36" s="65"/>
      <c r="SR36" s="63"/>
      <c r="SS36" s="64">
        <f t="shared" si="838"/>
        <v>0</v>
      </c>
      <c r="ST36" s="65">
        <v>100</v>
      </c>
      <c r="SU36" s="63">
        <v>166.1</v>
      </c>
      <c r="SV36" s="64">
        <f t="shared" si="839"/>
        <v>-66.099999999999994</v>
      </c>
      <c r="SW36" s="66">
        <f t="shared" si="208"/>
        <v>100</v>
      </c>
      <c r="SX36" s="67">
        <f t="shared" si="840"/>
        <v>166.1</v>
      </c>
      <c r="SY36" s="64">
        <f t="shared" si="841"/>
        <v>-66.099999999999994</v>
      </c>
      <c r="SZ36" s="62">
        <v>985.33</v>
      </c>
      <c r="TA36" s="63">
        <v>985.33</v>
      </c>
      <c r="TB36" s="64">
        <f t="shared" si="842"/>
        <v>0</v>
      </c>
      <c r="TC36" s="65">
        <v>700.9</v>
      </c>
      <c r="TD36" s="63">
        <v>700.9</v>
      </c>
      <c r="TE36" s="64">
        <f t="shared" si="843"/>
        <v>0</v>
      </c>
      <c r="TF36" s="65"/>
      <c r="TG36" s="63"/>
      <c r="TH36" s="64">
        <f t="shared" si="844"/>
        <v>0</v>
      </c>
      <c r="TI36" s="65">
        <v>100</v>
      </c>
      <c r="TJ36" s="63"/>
      <c r="TK36" s="64">
        <f t="shared" si="845"/>
        <v>100</v>
      </c>
      <c r="TL36" s="66">
        <f t="shared" si="215"/>
        <v>1786.23</v>
      </c>
      <c r="TM36" s="67">
        <f t="shared" si="846"/>
        <v>1686.23</v>
      </c>
      <c r="TN36" s="64">
        <f t="shared" si="847"/>
        <v>100</v>
      </c>
      <c r="TO36" s="62"/>
      <c r="TP36" s="63"/>
      <c r="TQ36" s="64">
        <f t="shared" si="848"/>
        <v>0</v>
      </c>
      <c r="TR36" s="65"/>
      <c r="TS36" s="63"/>
      <c r="TT36" s="64">
        <f t="shared" si="849"/>
        <v>0</v>
      </c>
      <c r="TU36" s="65"/>
      <c r="TV36" s="63"/>
      <c r="TW36" s="64">
        <f t="shared" si="850"/>
        <v>0</v>
      </c>
      <c r="TX36" s="65">
        <v>100</v>
      </c>
      <c r="TY36" s="63">
        <v>52.39</v>
      </c>
      <c r="TZ36" s="64">
        <f t="shared" si="851"/>
        <v>47.61</v>
      </c>
      <c r="UA36" s="66">
        <f t="shared" si="222"/>
        <v>100</v>
      </c>
      <c r="UB36" s="67">
        <f t="shared" si="852"/>
        <v>52.39</v>
      </c>
      <c r="UC36" s="64">
        <f t="shared" si="853"/>
        <v>47.61</v>
      </c>
      <c r="UD36" s="62">
        <v>1125</v>
      </c>
      <c r="UE36" s="63">
        <v>1125</v>
      </c>
      <c r="UF36" s="64">
        <f t="shared" si="854"/>
        <v>0</v>
      </c>
      <c r="UG36" s="65">
        <v>497.04</v>
      </c>
      <c r="UH36" s="63">
        <v>513.28</v>
      </c>
      <c r="UI36" s="64">
        <f t="shared" si="855"/>
        <v>-16.239999999999952</v>
      </c>
      <c r="UJ36" s="65"/>
      <c r="UK36" s="63"/>
      <c r="UL36" s="64">
        <f t="shared" si="856"/>
        <v>0</v>
      </c>
      <c r="UM36" s="65">
        <v>100</v>
      </c>
      <c r="UN36" s="63"/>
      <c r="UO36" s="64">
        <f t="shared" si="857"/>
        <v>100</v>
      </c>
      <c r="UP36" s="66">
        <f t="shared" si="226"/>
        <v>1722.04</v>
      </c>
      <c r="UQ36" s="67">
        <f t="shared" si="858"/>
        <v>1638.28</v>
      </c>
      <c r="UR36" s="64">
        <f t="shared" si="859"/>
        <v>83.759999999999991</v>
      </c>
      <c r="US36" s="130"/>
      <c r="UT36" s="77"/>
      <c r="UU36" s="131"/>
      <c r="UV36" s="76"/>
      <c r="UW36" s="77"/>
      <c r="UX36" s="131"/>
      <c r="UY36" s="76"/>
      <c r="UZ36" s="77"/>
      <c r="VA36" s="131"/>
      <c r="VB36" s="76"/>
      <c r="VC36" s="77"/>
      <c r="VD36" s="131"/>
      <c r="VE36" s="76">
        <f t="shared" si="233"/>
        <v>0</v>
      </c>
      <c r="VF36" s="77">
        <f t="shared" si="860"/>
        <v>0</v>
      </c>
      <c r="VG36" s="131">
        <f t="shared" si="861"/>
        <v>0</v>
      </c>
      <c r="VH36" s="62"/>
      <c r="VI36" s="63"/>
      <c r="VJ36" s="64">
        <f t="shared" si="862"/>
        <v>0</v>
      </c>
      <c r="VK36" s="65"/>
      <c r="VL36" s="63"/>
      <c r="VM36" s="64">
        <f t="shared" si="863"/>
        <v>0</v>
      </c>
      <c r="VN36" s="65"/>
      <c r="VO36" s="63"/>
      <c r="VP36" s="64">
        <f t="shared" si="864"/>
        <v>0</v>
      </c>
      <c r="VQ36" s="65">
        <v>100</v>
      </c>
      <c r="VR36" s="63">
        <v>115.2</v>
      </c>
      <c r="VS36" s="64">
        <f t="shared" si="865"/>
        <v>-15.200000000000003</v>
      </c>
      <c r="VT36" s="66">
        <f t="shared" si="240"/>
        <v>100</v>
      </c>
      <c r="VU36" s="67">
        <f t="shared" si="866"/>
        <v>115.2</v>
      </c>
      <c r="VV36" s="64">
        <f t="shared" si="867"/>
        <v>-15.200000000000003</v>
      </c>
      <c r="VW36" s="74"/>
      <c r="VX36" s="72"/>
      <c r="VY36" s="73"/>
      <c r="VZ36" s="74"/>
      <c r="WA36" s="75"/>
      <c r="WB36" s="73"/>
      <c r="WC36" s="74"/>
      <c r="WD36" s="75"/>
      <c r="WE36" s="73"/>
      <c r="WF36" s="74"/>
      <c r="WG36" s="75"/>
      <c r="WH36" s="73"/>
      <c r="WI36" s="74"/>
      <c r="WJ36" s="76"/>
      <c r="WK36" s="77"/>
      <c r="WL36" s="62">
        <v>1376.01</v>
      </c>
      <c r="WM36" s="63">
        <v>1376.01</v>
      </c>
      <c r="WN36" s="64">
        <f t="shared" si="868"/>
        <v>0</v>
      </c>
      <c r="WO36" s="65"/>
      <c r="WP36" s="63"/>
      <c r="WQ36" s="64">
        <f t="shared" si="869"/>
        <v>0</v>
      </c>
      <c r="WR36" s="65"/>
      <c r="WS36" s="63"/>
      <c r="WT36" s="64">
        <f t="shared" si="870"/>
        <v>0</v>
      </c>
      <c r="WU36" s="65">
        <v>100</v>
      </c>
      <c r="WV36" s="63">
        <v>110.28</v>
      </c>
      <c r="WW36" s="64">
        <f t="shared" si="871"/>
        <v>-10.280000000000001</v>
      </c>
      <c r="WX36" s="66">
        <f t="shared" si="254"/>
        <v>1476.01</v>
      </c>
      <c r="WY36" s="67">
        <f t="shared" si="872"/>
        <v>1486.29</v>
      </c>
      <c r="WZ36" s="64">
        <f t="shared" si="873"/>
        <v>-10.279999999999973</v>
      </c>
      <c r="XA36" s="62">
        <v>16500</v>
      </c>
      <c r="XB36" s="63"/>
      <c r="XC36" s="64">
        <f t="shared" si="874"/>
        <v>16500</v>
      </c>
      <c r="XD36" s="65"/>
      <c r="XE36" s="63"/>
      <c r="XF36" s="64">
        <f t="shared" si="875"/>
        <v>0</v>
      </c>
      <c r="XG36" s="65"/>
      <c r="XH36" s="63"/>
      <c r="XI36" s="64">
        <f t="shared" si="876"/>
        <v>0</v>
      </c>
      <c r="XJ36" s="65">
        <v>100</v>
      </c>
      <c r="XK36" s="63">
        <v>93.55</v>
      </c>
      <c r="XL36" s="64">
        <f t="shared" si="877"/>
        <v>6.4500000000000028</v>
      </c>
      <c r="XM36" s="66">
        <f t="shared" si="261"/>
        <v>16600</v>
      </c>
      <c r="XN36" s="67">
        <f t="shared" si="878"/>
        <v>93.55</v>
      </c>
      <c r="XO36" s="64">
        <f t="shared" si="879"/>
        <v>16506.45</v>
      </c>
      <c r="XP36" s="62">
        <v>5202</v>
      </c>
      <c r="XQ36" s="63">
        <v>5202</v>
      </c>
      <c r="XR36" s="64">
        <f>XP36-XQ36</f>
        <v>0</v>
      </c>
      <c r="XS36" s="65">
        <v>591.29999999999995</v>
      </c>
      <c r="XT36" s="63">
        <v>779.44</v>
      </c>
      <c r="XU36" s="64">
        <f t="shared" si="881"/>
        <v>-188.1400000000001</v>
      </c>
      <c r="XV36" s="65"/>
      <c r="XW36" s="63"/>
      <c r="XX36" s="64">
        <f t="shared" si="882"/>
        <v>0</v>
      </c>
      <c r="XY36" s="65">
        <v>100</v>
      </c>
      <c r="XZ36" s="63">
        <v>64</v>
      </c>
      <c r="YA36" s="64">
        <f t="shared" si="883"/>
        <v>36</v>
      </c>
      <c r="YB36" s="66">
        <f t="shared" si="268"/>
        <v>5893.3</v>
      </c>
      <c r="YC36" s="67">
        <f t="shared" si="884"/>
        <v>6045.4400000000005</v>
      </c>
      <c r="YD36" s="64">
        <f t="shared" si="885"/>
        <v>-152.14000000000033</v>
      </c>
      <c r="YE36" s="62">
        <v>5340</v>
      </c>
      <c r="YF36" s="63">
        <v>5340</v>
      </c>
      <c r="YG36" s="64">
        <f t="shared" si="886"/>
        <v>0</v>
      </c>
      <c r="YH36" s="65">
        <v>725.15</v>
      </c>
      <c r="YI36" s="63">
        <v>789.56</v>
      </c>
      <c r="YJ36" s="64">
        <f t="shared" si="887"/>
        <v>-64.409999999999968</v>
      </c>
      <c r="YK36" s="65"/>
      <c r="YL36" s="63"/>
      <c r="YM36" s="64">
        <f t="shared" si="888"/>
        <v>0</v>
      </c>
      <c r="YN36" s="65">
        <v>100</v>
      </c>
      <c r="YO36" s="63">
        <v>74.77</v>
      </c>
      <c r="YP36" s="64">
        <f t="shared" si="889"/>
        <v>25.230000000000004</v>
      </c>
      <c r="YQ36" s="66">
        <f t="shared" si="275"/>
        <v>6165.15</v>
      </c>
      <c r="YR36" s="67">
        <f t="shared" si="890"/>
        <v>6204.33</v>
      </c>
      <c r="YS36" s="64">
        <f t="shared" si="891"/>
        <v>-39.180000000000291</v>
      </c>
      <c r="YT36" s="62">
        <v>5592</v>
      </c>
      <c r="YU36" s="63">
        <v>5592</v>
      </c>
      <c r="YV36" s="64">
        <f t="shared" si="892"/>
        <v>0</v>
      </c>
      <c r="YW36" s="65">
        <v>513.28</v>
      </c>
      <c r="YX36" s="63">
        <v>648.66</v>
      </c>
      <c r="YY36" s="64">
        <f t="shared" si="893"/>
        <v>-135.38</v>
      </c>
      <c r="YZ36" s="65"/>
      <c r="ZA36" s="63"/>
      <c r="ZB36" s="64">
        <f t="shared" si="894"/>
        <v>0</v>
      </c>
      <c r="ZC36" s="65">
        <v>100</v>
      </c>
      <c r="ZD36" s="63">
        <v>49.9</v>
      </c>
      <c r="ZE36" s="64">
        <f t="shared" si="895"/>
        <v>50.1</v>
      </c>
      <c r="ZF36" s="66">
        <f t="shared" si="282"/>
        <v>6205.28</v>
      </c>
      <c r="ZG36" s="67">
        <f t="shared" si="896"/>
        <v>6290.5599999999995</v>
      </c>
      <c r="ZH36" s="64">
        <f t="shared" si="897"/>
        <v>-85.279999999999745</v>
      </c>
      <c r="ZI36" s="62">
        <v>1250</v>
      </c>
      <c r="ZJ36" s="63">
        <v>1250</v>
      </c>
      <c r="ZK36" s="64">
        <f t="shared" si="898"/>
        <v>0</v>
      </c>
      <c r="ZL36" s="65"/>
      <c r="ZM36" s="63"/>
      <c r="ZN36" s="64">
        <f t="shared" si="899"/>
        <v>0</v>
      </c>
      <c r="ZO36" s="65"/>
      <c r="ZP36" s="63"/>
      <c r="ZQ36" s="64">
        <f t="shared" si="900"/>
        <v>0</v>
      </c>
      <c r="ZR36" s="65">
        <v>100</v>
      </c>
      <c r="ZS36" s="63">
        <v>543.28</v>
      </c>
      <c r="ZT36" s="64">
        <f t="shared" si="901"/>
        <v>-443.28</v>
      </c>
      <c r="ZU36" s="66">
        <f t="shared" si="289"/>
        <v>1350</v>
      </c>
      <c r="ZV36" s="67">
        <f t="shared" si="902"/>
        <v>1793.28</v>
      </c>
      <c r="ZW36" s="64">
        <f t="shared" si="903"/>
        <v>-443.28</v>
      </c>
      <c r="ZX36" s="62">
        <v>24.71</v>
      </c>
      <c r="ZY36" s="63">
        <v>24.71</v>
      </c>
      <c r="ZZ36" s="64">
        <f t="shared" si="904"/>
        <v>0</v>
      </c>
      <c r="AAA36" s="66">
        <f t="shared" si="293"/>
        <v>24.71</v>
      </c>
      <c r="AAB36" s="67">
        <f t="shared" si="293"/>
        <v>24.71</v>
      </c>
      <c r="AAC36" s="64">
        <f t="shared" si="905"/>
        <v>0</v>
      </c>
      <c r="AAD36" s="85">
        <f t="shared" si="295"/>
        <v>225755.94999999998</v>
      </c>
      <c r="AAE36" s="86">
        <f t="shared" si="295"/>
        <v>227516.28999999998</v>
      </c>
      <c r="AAF36" s="87">
        <f t="shared" si="3"/>
        <v>1.0077975353473518</v>
      </c>
      <c r="AAG36" s="88">
        <f t="shared" si="906"/>
        <v>1760.3399999999965</v>
      </c>
      <c r="AAH36" s="58"/>
      <c r="AAI36" s="59"/>
      <c r="AAJ36" s="59"/>
      <c r="AAK36" s="60"/>
    </row>
    <row r="37" spans="1:713" s="83" customFormat="1" ht="18.75" customHeight="1" x14ac:dyDescent="0.2">
      <c r="A37" s="57" t="s">
        <v>34</v>
      </c>
      <c r="B37" s="89">
        <f>AAH37</f>
        <v>1583831.6499999997</v>
      </c>
      <c r="C37" s="90"/>
      <c r="D37" s="90"/>
      <c r="E37" s="60"/>
      <c r="F37" s="61">
        <v>45474</v>
      </c>
      <c r="G37" s="62">
        <f>371675.99</f>
        <v>371675.99</v>
      </c>
      <c r="H37" s="63">
        <v>407302.2</v>
      </c>
      <c r="I37" s="64">
        <f t="shared" si="649"/>
        <v>-35626.210000000021</v>
      </c>
      <c r="J37" s="65">
        <v>2166.9299999999998</v>
      </c>
      <c r="K37" s="63">
        <v>1510.76</v>
      </c>
      <c r="L37" s="64">
        <f t="shared" si="650"/>
        <v>656.16999999999985</v>
      </c>
      <c r="M37" s="65">
        <v>2500</v>
      </c>
      <c r="N37" s="63"/>
      <c r="O37" s="64">
        <f t="shared" si="651"/>
        <v>2500</v>
      </c>
      <c r="P37" s="65">
        <v>1250</v>
      </c>
      <c r="Q37" s="63">
        <v>1084.9100000000001</v>
      </c>
      <c r="R37" s="64">
        <f t="shared" si="652"/>
        <v>165.08999999999992</v>
      </c>
      <c r="S37" s="65">
        <v>362</v>
      </c>
      <c r="T37" s="63">
        <v>196.34</v>
      </c>
      <c r="U37" s="64">
        <f t="shared" si="653"/>
        <v>165.66</v>
      </c>
      <c r="V37" s="66">
        <f t="shared" si="654"/>
        <v>377954.92</v>
      </c>
      <c r="W37" s="67">
        <f t="shared" si="654"/>
        <v>410094.21</v>
      </c>
      <c r="X37" s="64">
        <f t="shared" si="655"/>
        <v>-32139.290000000037</v>
      </c>
      <c r="Y37" s="62">
        <f>1100+25300-6325</f>
        <v>20075</v>
      </c>
      <c r="Z37" s="63">
        <v>1100</v>
      </c>
      <c r="AA37" s="64">
        <f t="shared" si="656"/>
        <v>18975</v>
      </c>
      <c r="AB37" s="65"/>
      <c r="AC37" s="63"/>
      <c r="AD37" s="64">
        <f t="shared" si="657"/>
        <v>0</v>
      </c>
      <c r="AE37" s="65"/>
      <c r="AF37" s="63"/>
      <c r="AG37" s="64">
        <f t="shared" si="658"/>
        <v>0</v>
      </c>
      <c r="AH37" s="65"/>
      <c r="AI37" s="63"/>
      <c r="AJ37" s="64">
        <f t="shared" si="659"/>
        <v>0</v>
      </c>
      <c r="AK37" s="66">
        <f t="shared" si="16"/>
        <v>20075</v>
      </c>
      <c r="AL37" s="67">
        <f t="shared" si="17"/>
        <v>1100</v>
      </c>
      <c r="AM37" s="64">
        <f t="shared" si="660"/>
        <v>18975</v>
      </c>
      <c r="AN37" s="62">
        <v>6250</v>
      </c>
      <c r="AO37" s="63">
        <v>6250</v>
      </c>
      <c r="AP37" s="64">
        <f t="shared" si="907"/>
        <v>0</v>
      </c>
      <c r="AQ37" s="65"/>
      <c r="AR37" s="63"/>
      <c r="AS37" s="64">
        <f t="shared" si="661"/>
        <v>0</v>
      </c>
      <c r="AT37" s="65"/>
      <c r="AU37" s="63"/>
      <c r="AV37" s="64">
        <f t="shared" si="662"/>
        <v>0</v>
      </c>
      <c r="AW37" s="65"/>
      <c r="AX37" s="63"/>
      <c r="AY37" s="64">
        <f t="shared" si="663"/>
        <v>0</v>
      </c>
      <c r="AZ37" s="66">
        <f t="shared" si="23"/>
        <v>6250</v>
      </c>
      <c r="BA37" s="67">
        <f t="shared" si="664"/>
        <v>6250</v>
      </c>
      <c r="BB37" s="64">
        <f t="shared" si="665"/>
        <v>0</v>
      </c>
      <c r="BC37" s="62"/>
      <c r="BD37" s="63"/>
      <c r="BE37" s="64">
        <f t="shared" si="666"/>
        <v>0</v>
      </c>
      <c r="BF37" s="65"/>
      <c r="BG37" s="63"/>
      <c r="BH37" s="64">
        <f t="shared" si="667"/>
        <v>0</v>
      </c>
      <c r="BI37" s="65"/>
      <c r="BJ37" s="63">
        <v>5000</v>
      </c>
      <c r="BK37" s="64">
        <f t="shared" si="668"/>
        <v>-5000</v>
      </c>
      <c r="BL37" s="65">
        <v>100</v>
      </c>
      <c r="BM37" s="63">
        <v>280.49</v>
      </c>
      <c r="BN37" s="64">
        <f t="shared" si="669"/>
        <v>-180.49</v>
      </c>
      <c r="BO37" s="66">
        <f t="shared" si="30"/>
        <v>100</v>
      </c>
      <c r="BP37" s="67">
        <f t="shared" si="670"/>
        <v>5280.49</v>
      </c>
      <c r="BQ37" s="64">
        <f t="shared" si="671"/>
        <v>-5180.49</v>
      </c>
      <c r="BR37" s="62">
        <v>789.83</v>
      </c>
      <c r="BS37" s="63">
        <v>819.1</v>
      </c>
      <c r="BT37" s="74"/>
      <c r="BU37" s="75"/>
      <c r="BV37" s="73"/>
      <c r="BW37" s="74"/>
      <c r="BX37" s="75"/>
      <c r="BY37" s="73"/>
      <c r="BZ37" s="74"/>
      <c r="CA37" s="75"/>
      <c r="CB37" s="73"/>
      <c r="CC37" s="74"/>
      <c r="CD37" s="66">
        <f t="shared" si="33"/>
        <v>789.83</v>
      </c>
      <c r="CE37" s="67">
        <f t="shared" si="672"/>
        <v>819.1</v>
      </c>
      <c r="CF37" s="64">
        <f t="shared" si="673"/>
        <v>-29.269999999999982</v>
      </c>
      <c r="CG37" s="62">
        <v>5000</v>
      </c>
      <c r="CH37" s="63">
        <v>5000</v>
      </c>
      <c r="CI37" s="64">
        <f t="shared" si="674"/>
        <v>0</v>
      </c>
      <c r="CJ37" s="65"/>
      <c r="CK37" s="63"/>
      <c r="CL37" s="64">
        <f t="shared" si="675"/>
        <v>0</v>
      </c>
      <c r="CM37" s="65"/>
      <c r="CN37" s="63"/>
      <c r="CO37" s="64">
        <f t="shared" si="676"/>
        <v>0</v>
      </c>
      <c r="CP37" s="65"/>
      <c r="CQ37" s="63"/>
      <c r="CR37" s="64">
        <f t="shared" si="677"/>
        <v>0</v>
      </c>
      <c r="CS37" s="66">
        <f t="shared" si="40"/>
        <v>5000</v>
      </c>
      <c r="CT37" s="67">
        <f t="shared" si="678"/>
        <v>5000</v>
      </c>
      <c r="CU37" s="64">
        <f t="shared" si="679"/>
        <v>0</v>
      </c>
      <c r="CV37" s="62">
        <v>2916.7</v>
      </c>
      <c r="CW37" s="63">
        <v>2916.7</v>
      </c>
      <c r="CX37" s="64">
        <f t="shared" si="680"/>
        <v>0</v>
      </c>
      <c r="CY37" s="65"/>
      <c r="CZ37" s="63"/>
      <c r="DA37" s="64">
        <f t="shared" si="681"/>
        <v>0</v>
      </c>
      <c r="DB37" s="65"/>
      <c r="DC37" s="63"/>
      <c r="DD37" s="64">
        <f t="shared" si="682"/>
        <v>0</v>
      </c>
      <c r="DE37" s="65"/>
      <c r="DF37" s="63">
        <v>256.20999999999998</v>
      </c>
      <c r="DG37" s="64">
        <f t="shared" si="683"/>
        <v>-256.20999999999998</v>
      </c>
      <c r="DH37" s="66">
        <f t="shared" si="43"/>
        <v>2916.7</v>
      </c>
      <c r="DI37" s="67">
        <f t="shared" si="684"/>
        <v>3172.91</v>
      </c>
      <c r="DJ37" s="64">
        <f t="shared" si="685"/>
        <v>-256.21000000000004</v>
      </c>
      <c r="DK37" s="62">
        <v>2400</v>
      </c>
      <c r="DL37" s="63">
        <v>2400</v>
      </c>
      <c r="DM37" s="64">
        <f t="shared" si="686"/>
        <v>0</v>
      </c>
      <c r="DN37" s="65">
        <v>580</v>
      </c>
      <c r="DO37" s="63">
        <v>580</v>
      </c>
      <c r="DP37" s="64">
        <f t="shared" si="687"/>
        <v>0</v>
      </c>
      <c r="DQ37" s="65"/>
      <c r="DR37" s="63"/>
      <c r="DS37" s="64">
        <f t="shared" si="688"/>
        <v>0</v>
      </c>
      <c r="DT37" s="65">
        <v>100</v>
      </c>
      <c r="DU37" s="63"/>
      <c r="DV37" s="64">
        <f t="shared" si="689"/>
        <v>100</v>
      </c>
      <c r="DW37" s="66">
        <f t="shared" si="46"/>
        <v>3080</v>
      </c>
      <c r="DX37" s="67">
        <f t="shared" si="690"/>
        <v>2980</v>
      </c>
      <c r="DY37" s="64">
        <f t="shared" si="691"/>
        <v>100</v>
      </c>
      <c r="DZ37" s="62">
        <v>12000</v>
      </c>
      <c r="EA37" s="63">
        <v>12000</v>
      </c>
      <c r="EB37" s="64">
        <f t="shared" si="692"/>
        <v>0</v>
      </c>
      <c r="EC37" s="65"/>
      <c r="ED37" s="63"/>
      <c r="EE37" s="64">
        <f t="shared" si="693"/>
        <v>0</v>
      </c>
      <c r="EF37" s="65"/>
      <c r="EG37" s="63"/>
      <c r="EH37" s="64">
        <f t="shared" si="694"/>
        <v>0</v>
      </c>
      <c r="EI37" s="65">
        <v>100</v>
      </c>
      <c r="EJ37" s="63">
        <v>142.38</v>
      </c>
      <c r="EK37" s="64">
        <f t="shared" si="695"/>
        <v>-42.379999999999995</v>
      </c>
      <c r="EL37" s="66">
        <f t="shared" si="53"/>
        <v>12100</v>
      </c>
      <c r="EM37" s="67">
        <f t="shared" si="696"/>
        <v>12142.38</v>
      </c>
      <c r="EN37" s="64">
        <f t="shared" si="697"/>
        <v>-42.3799999999992</v>
      </c>
      <c r="EO37" s="62"/>
      <c r="EP37" s="63"/>
      <c r="EQ37" s="64">
        <f t="shared" si="698"/>
        <v>0</v>
      </c>
      <c r="ER37" s="65">
        <v>3600</v>
      </c>
      <c r="ES37" s="63"/>
      <c r="ET37" s="64">
        <f t="shared" si="699"/>
        <v>3600</v>
      </c>
      <c r="EU37" s="65"/>
      <c r="EV37" s="63">
        <v>5000</v>
      </c>
      <c r="EW37" s="64">
        <f t="shared" si="700"/>
        <v>-5000</v>
      </c>
      <c r="EX37" s="65">
        <v>100</v>
      </c>
      <c r="EY37" s="63"/>
      <c r="EZ37" s="64">
        <f t="shared" si="701"/>
        <v>100</v>
      </c>
      <c r="FA37" s="66">
        <f t="shared" si="60"/>
        <v>3700</v>
      </c>
      <c r="FB37" s="67">
        <f t="shared" si="702"/>
        <v>5000</v>
      </c>
      <c r="FC37" s="64">
        <f t="shared" si="703"/>
        <v>-1300</v>
      </c>
      <c r="FD37" s="62"/>
      <c r="FE37" s="63"/>
      <c r="FF37" s="64">
        <f t="shared" si="704"/>
        <v>0</v>
      </c>
      <c r="FG37" s="65">
        <v>3600</v>
      </c>
      <c r="FH37" s="63"/>
      <c r="FI37" s="64">
        <f t="shared" si="705"/>
        <v>3600</v>
      </c>
      <c r="FJ37" s="65"/>
      <c r="FK37" s="63">
        <v>5000</v>
      </c>
      <c r="FL37" s="64">
        <f t="shared" si="706"/>
        <v>-5000</v>
      </c>
      <c r="FM37" s="65">
        <v>100</v>
      </c>
      <c r="FN37" s="63"/>
      <c r="FO37" s="64">
        <f t="shared" si="707"/>
        <v>100</v>
      </c>
      <c r="FP37" s="66">
        <f t="shared" si="67"/>
        <v>3700</v>
      </c>
      <c r="FQ37" s="67">
        <f t="shared" si="708"/>
        <v>5000</v>
      </c>
      <c r="FR37" s="64">
        <f t="shared" si="709"/>
        <v>-1300</v>
      </c>
      <c r="FS37" s="62">
        <v>18000</v>
      </c>
      <c r="FT37" s="63">
        <v>20000</v>
      </c>
      <c r="FU37" s="64">
        <f t="shared" si="710"/>
        <v>-2000</v>
      </c>
      <c r="FV37" s="65"/>
      <c r="FW37" s="63"/>
      <c r="FX37" s="64">
        <f t="shared" si="711"/>
        <v>0</v>
      </c>
      <c r="FY37" s="65"/>
      <c r="FZ37" s="63"/>
      <c r="GA37" s="64">
        <f t="shared" si="712"/>
        <v>0</v>
      </c>
      <c r="GB37" s="65"/>
      <c r="GC37" s="63"/>
      <c r="GD37" s="64">
        <f t="shared" si="713"/>
        <v>0</v>
      </c>
      <c r="GE37" s="66">
        <f t="shared" si="74"/>
        <v>18000</v>
      </c>
      <c r="GF37" s="67">
        <f t="shared" si="714"/>
        <v>20000</v>
      </c>
      <c r="GG37" s="64">
        <f t="shared" si="715"/>
        <v>-2000</v>
      </c>
      <c r="GH37" s="62"/>
      <c r="GI37" s="63"/>
      <c r="GJ37" s="64">
        <f t="shared" si="716"/>
        <v>0</v>
      </c>
      <c r="GK37" s="65"/>
      <c r="GL37" s="63"/>
      <c r="GM37" s="64">
        <f t="shared" si="717"/>
        <v>0</v>
      </c>
      <c r="GN37" s="65"/>
      <c r="GO37" s="63"/>
      <c r="GP37" s="64">
        <f t="shared" si="718"/>
        <v>0</v>
      </c>
      <c r="GQ37" s="65"/>
      <c r="GR37" s="63"/>
      <c r="GS37" s="64">
        <f t="shared" si="719"/>
        <v>0</v>
      </c>
      <c r="GT37" s="66">
        <f t="shared" si="81"/>
        <v>0</v>
      </c>
      <c r="GU37" s="67">
        <f t="shared" si="720"/>
        <v>0</v>
      </c>
      <c r="GV37" s="64">
        <f t="shared" si="721"/>
        <v>0</v>
      </c>
      <c r="GW37" s="62">
        <v>7105.27</v>
      </c>
      <c r="GX37" s="63">
        <v>9605.27</v>
      </c>
      <c r="GY37" s="64">
        <f t="shared" si="722"/>
        <v>-2500</v>
      </c>
      <c r="GZ37" s="65"/>
      <c r="HA37" s="63"/>
      <c r="HB37" s="64">
        <f t="shared" si="723"/>
        <v>0</v>
      </c>
      <c r="HC37" s="65"/>
      <c r="HD37" s="63"/>
      <c r="HE37" s="64">
        <f t="shared" si="724"/>
        <v>0</v>
      </c>
      <c r="HF37" s="65">
        <v>100</v>
      </c>
      <c r="HG37" s="63"/>
      <c r="HH37" s="64">
        <f t="shared" si="725"/>
        <v>100</v>
      </c>
      <c r="HI37" s="66">
        <f t="shared" si="84"/>
        <v>7205.27</v>
      </c>
      <c r="HJ37" s="67">
        <f t="shared" si="726"/>
        <v>9605.27</v>
      </c>
      <c r="HK37" s="64">
        <f t="shared" si="727"/>
        <v>-2400</v>
      </c>
      <c r="HL37" s="62"/>
      <c r="HM37" s="63"/>
      <c r="HN37" s="64">
        <f t="shared" si="728"/>
        <v>0</v>
      </c>
      <c r="HO37" s="65">
        <v>4400</v>
      </c>
      <c r="HP37" s="63"/>
      <c r="HQ37" s="64">
        <f t="shared" si="729"/>
        <v>4400</v>
      </c>
      <c r="HR37" s="65"/>
      <c r="HS37" s="63">
        <v>4762.95</v>
      </c>
      <c r="HT37" s="64">
        <f t="shared" si="730"/>
        <v>-4762.95</v>
      </c>
      <c r="HU37" s="65">
        <v>100</v>
      </c>
      <c r="HV37" s="63"/>
      <c r="HW37" s="64">
        <f t="shared" si="731"/>
        <v>100</v>
      </c>
      <c r="HX37" s="66">
        <f t="shared" si="91"/>
        <v>4500</v>
      </c>
      <c r="HY37" s="67">
        <f t="shared" si="732"/>
        <v>4762.95</v>
      </c>
      <c r="HZ37" s="64">
        <f t="shared" si="733"/>
        <v>-262.94999999999982</v>
      </c>
      <c r="IA37" s="62">
        <f>6273</f>
        <v>6273</v>
      </c>
      <c r="IB37" s="63">
        <v>8587.5</v>
      </c>
      <c r="IC37" s="64">
        <f t="shared" si="734"/>
        <v>-2314.5</v>
      </c>
      <c r="ID37" s="65"/>
      <c r="IE37" s="63"/>
      <c r="IF37" s="64">
        <f t="shared" si="735"/>
        <v>0</v>
      </c>
      <c r="IG37" s="65"/>
      <c r="IH37" s="63"/>
      <c r="II37" s="64">
        <f t="shared" si="736"/>
        <v>0</v>
      </c>
      <c r="IJ37" s="65">
        <v>100</v>
      </c>
      <c r="IK37" s="63"/>
      <c r="IL37" s="64">
        <f t="shared" si="737"/>
        <v>100</v>
      </c>
      <c r="IM37" s="66">
        <f t="shared" si="98"/>
        <v>6373</v>
      </c>
      <c r="IN37" s="67">
        <f t="shared" si="738"/>
        <v>8587.5</v>
      </c>
      <c r="IO37" s="64">
        <f t="shared" si="739"/>
        <v>-2214.5</v>
      </c>
      <c r="IP37" s="62">
        <v>5000</v>
      </c>
      <c r="IQ37" s="63">
        <v>5000</v>
      </c>
      <c r="IR37" s="64">
        <f t="shared" si="740"/>
        <v>0</v>
      </c>
      <c r="IS37" s="65"/>
      <c r="IT37" s="63"/>
      <c r="IU37" s="64">
        <f t="shared" si="741"/>
        <v>0</v>
      </c>
      <c r="IV37" s="65"/>
      <c r="IW37" s="63"/>
      <c r="IX37" s="64">
        <f t="shared" si="742"/>
        <v>0</v>
      </c>
      <c r="IY37" s="65"/>
      <c r="IZ37" s="63"/>
      <c r="JA37" s="64">
        <f t="shared" si="743"/>
        <v>0</v>
      </c>
      <c r="JB37" s="66">
        <f t="shared" si="105"/>
        <v>5000</v>
      </c>
      <c r="JC37" s="67">
        <f t="shared" si="744"/>
        <v>5000</v>
      </c>
      <c r="JD37" s="64">
        <f t="shared" si="745"/>
        <v>0</v>
      </c>
      <c r="JE37" s="62">
        <v>22000</v>
      </c>
      <c r="JF37" s="63"/>
      <c r="JG37" s="64">
        <f t="shared" si="746"/>
        <v>22000</v>
      </c>
      <c r="JH37" s="65">
        <v>442.35</v>
      </c>
      <c r="JI37" s="65"/>
      <c r="JJ37" s="64">
        <f t="shared" si="747"/>
        <v>442.35</v>
      </c>
      <c r="JK37" s="65"/>
      <c r="JL37" s="63"/>
      <c r="JM37" s="64">
        <f t="shared" si="748"/>
        <v>0</v>
      </c>
      <c r="JN37" s="65">
        <v>100</v>
      </c>
      <c r="JO37" s="63"/>
      <c r="JP37" s="64">
        <f t="shared" si="749"/>
        <v>100</v>
      </c>
      <c r="JQ37" s="66">
        <f t="shared" si="112"/>
        <v>22542.35</v>
      </c>
      <c r="JR37" s="67">
        <f t="shared" si="750"/>
        <v>0</v>
      </c>
      <c r="JS37" s="64">
        <f t="shared" si="751"/>
        <v>22542.35</v>
      </c>
      <c r="JT37" s="62">
        <v>5615.92</v>
      </c>
      <c r="JU37" s="63">
        <v>5852.62</v>
      </c>
      <c r="JV37" s="64">
        <f t="shared" si="752"/>
        <v>-236.69999999999982</v>
      </c>
      <c r="JW37" s="65"/>
      <c r="JX37" s="63"/>
      <c r="JY37" s="64">
        <f t="shared" si="753"/>
        <v>0</v>
      </c>
      <c r="JZ37" s="65"/>
      <c r="KA37" s="63"/>
      <c r="KB37" s="64">
        <f t="shared" si="754"/>
        <v>0</v>
      </c>
      <c r="KC37" s="65">
        <v>100</v>
      </c>
      <c r="KD37" s="63"/>
      <c r="KE37" s="64">
        <f t="shared" si="755"/>
        <v>100</v>
      </c>
      <c r="KF37" s="66">
        <f t="shared" si="119"/>
        <v>5715.92</v>
      </c>
      <c r="KG37" s="67">
        <f t="shared" si="756"/>
        <v>5852.62</v>
      </c>
      <c r="KH37" s="64">
        <f t="shared" si="757"/>
        <v>-136.69999999999982</v>
      </c>
      <c r="KI37" s="62">
        <v>50000</v>
      </c>
      <c r="KJ37" s="63">
        <f>25000+25000</f>
        <v>50000</v>
      </c>
      <c r="KK37" s="64">
        <f t="shared" si="758"/>
        <v>0</v>
      </c>
      <c r="KL37" s="65"/>
      <c r="KM37" s="63"/>
      <c r="KN37" s="64">
        <f t="shared" si="759"/>
        <v>0</v>
      </c>
      <c r="KO37" s="65"/>
      <c r="KP37" s="63"/>
      <c r="KQ37" s="64">
        <f t="shared" si="760"/>
        <v>0</v>
      </c>
      <c r="KR37" s="65"/>
      <c r="KS37" s="63"/>
      <c r="KT37" s="64">
        <f t="shared" si="761"/>
        <v>0</v>
      </c>
      <c r="KU37" s="66">
        <f t="shared" si="1"/>
        <v>50000</v>
      </c>
      <c r="KV37" s="67">
        <f t="shared" si="762"/>
        <v>50000</v>
      </c>
      <c r="KW37" s="64">
        <f t="shared" si="763"/>
        <v>0</v>
      </c>
      <c r="KX37" s="72"/>
      <c r="KY37" s="73"/>
      <c r="KZ37" s="74"/>
      <c r="LA37" s="75"/>
      <c r="LB37" s="73"/>
      <c r="LC37" s="74"/>
      <c r="LD37" s="75"/>
      <c r="LE37" s="73"/>
      <c r="LF37" s="74"/>
      <c r="LG37" s="75"/>
      <c r="LH37" s="73"/>
      <c r="LI37" s="74"/>
      <c r="LJ37" s="76"/>
      <c r="LK37" s="77"/>
      <c r="LL37" s="74"/>
      <c r="LM37" s="62">
        <v>10000</v>
      </c>
      <c r="LN37" s="63">
        <v>9300</v>
      </c>
      <c r="LO37" s="64">
        <f t="shared" si="764"/>
        <v>700</v>
      </c>
      <c r="LP37" s="65"/>
      <c r="LQ37" s="63"/>
      <c r="LR37" s="64">
        <f t="shared" si="765"/>
        <v>0</v>
      </c>
      <c r="LS37" s="65"/>
      <c r="LT37" s="63"/>
      <c r="LU37" s="64">
        <f t="shared" si="766"/>
        <v>0</v>
      </c>
      <c r="LV37" s="65">
        <v>100</v>
      </c>
      <c r="LW37" s="63">
        <v>212.11</v>
      </c>
      <c r="LX37" s="64">
        <f t="shared" si="767"/>
        <v>-112.11000000000001</v>
      </c>
      <c r="LY37" s="66">
        <f t="shared" si="124"/>
        <v>10100</v>
      </c>
      <c r="LZ37" s="67">
        <f t="shared" si="768"/>
        <v>9512.11</v>
      </c>
      <c r="MA37" s="64">
        <f t="shared" si="769"/>
        <v>587.88999999999942</v>
      </c>
      <c r="MB37" s="62">
        <f>6*650</f>
        <v>3900</v>
      </c>
      <c r="MC37" s="63">
        <v>3900</v>
      </c>
      <c r="MD37" s="64">
        <f t="shared" si="770"/>
        <v>0</v>
      </c>
      <c r="ME37" s="65">
        <v>1050.2</v>
      </c>
      <c r="MF37" s="63">
        <v>889.11</v>
      </c>
      <c r="MG37" s="64">
        <f t="shared" si="771"/>
        <v>161.09000000000003</v>
      </c>
      <c r="MH37" s="65"/>
      <c r="MI37" s="63"/>
      <c r="MJ37" s="64">
        <f t="shared" si="772"/>
        <v>0</v>
      </c>
      <c r="MK37" s="65">
        <v>100</v>
      </c>
      <c r="ML37" s="63"/>
      <c r="MM37" s="64">
        <f t="shared" si="773"/>
        <v>100</v>
      </c>
      <c r="MN37" s="66">
        <f t="shared" si="131"/>
        <v>5050.2</v>
      </c>
      <c r="MO37" s="67">
        <f t="shared" si="774"/>
        <v>4789.1099999999997</v>
      </c>
      <c r="MP37" s="64">
        <f t="shared" si="775"/>
        <v>261.09000000000015</v>
      </c>
      <c r="MQ37" s="62">
        <v>8600</v>
      </c>
      <c r="MR37" s="63">
        <v>8600</v>
      </c>
      <c r="MS37" s="64">
        <f t="shared" si="776"/>
        <v>0</v>
      </c>
      <c r="MT37" s="65"/>
      <c r="MU37" s="63"/>
      <c r="MV37" s="64">
        <f t="shared" si="777"/>
        <v>0</v>
      </c>
      <c r="MW37" s="65"/>
      <c r="MX37" s="63"/>
      <c r="MY37" s="64">
        <f t="shared" si="778"/>
        <v>0</v>
      </c>
      <c r="MZ37" s="65"/>
      <c r="NA37" s="63"/>
      <c r="NB37" s="64">
        <f t="shared" si="779"/>
        <v>0</v>
      </c>
      <c r="NC37" s="66">
        <f t="shared" si="138"/>
        <v>8600</v>
      </c>
      <c r="ND37" s="67">
        <f t="shared" si="780"/>
        <v>8600</v>
      </c>
      <c r="NE37" s="64">
        <f t="shared" si="781"/>
        <v>0</v>
      </c>
      <c r="NF37" s="62">
        <v>6000</v>
      </c>
      <c r="NG37" s="63"/>
      <c r="NH37" s="64">
        <f t="shared" si="782"/>
        <v>6000</v>
      </c>
      <c r="NI37" s="65">
        <v>886.87</v>
      </c>
      <c r="NJ37" s="63">
        <v>1204.04</v>
      </c>
      <c r="NK37" s="64">
        <f t="shared" si="783"/>
        <v>-317.16999999999996</v>
      </c>
      <c r="NL37" s="65"/>
      <c r="NM37" s="63"/>
      <c r="NN37" s="64">
        <f t="shared" si="784"/>
        <v>0</v>
      </c>
      <c r="NO37" s="65">
        <v>100</v>
      </c>
      <c r="NP37" s="63"/>
      <c r="NQ37" s="64">
        <f t="shared" si="785"/>
        <v>100</v>
      </c>
      <c r="NR37" s="66">
        <f t="shared" si="145"/>
        <v>6986.87</v>
      </c>
      <c r="NS37" s="67">
        <f t="shared" si="786"/>
        <v>1204.04</v>
      </c>
      <c r="NT37" s="64">
        <f t="shared" si="787"/>
        <v>5782.83</v>
      </c>
      <c r="NU37" s="62">
        <f>6*864</f>
        <v>5184</v>
      </c>
      <c r="NV37" s="63">
        <v>5184</v>
      </c>
      <c r="NW37" s="64">
        <f t="shared" si="788"/>
        <v>0</v>
      </c>
      <c r="NX37" s="65">
        <v>1004.52</v>
      </c>
      <c r="NY37" s="63">
        <v>1135.2</v>
      </c>
      <c r="NZ37" s="64">
        <f t="shared" si="789"/>
        <v>-130.68000000000006</v>
      </c>
      <c r="OA37" s="65"/>
      <c r="OB37" s="63"/>
      <c r="OC37" s="64">
        <f t="shared" si="790"/>
        <v>0</v>
      </c>
      <c r="OD37" s="65">
        <v>100</v>
      </c>
      <c r="OE37" s="63">
        <v>113.79</v>
      </c>
      <c r="OF37" s="64">
        <f t="shared" si="791"/>
        <v>-13.790000000000006</v>
      </c>
      <c r="OG37" s="66">
        <f t="shared" si="152"/>
        <v>6288.52</v>
      </c>
      <c r="OH37" s="67">
        <f t="shared" si="792"/>
        <v>6432.99</v>
      </c>
      <c r="OI37" s="64">
        <f t="shared" si="793"/>
        <v>-144.46999999999935</v>
      </c>
      <c r="OJ37" s="62"/>
      <c r="OK37" s="63"/>
      <c r="OL37" s="64">
        <f t="shared" si="794"/>
        <v>0</v>
      </c>
      <c r="OM37" s="65"/>
      <c r="ON37" s="63"/>
      <c r="OO37" s="64">
        <f t="shared" si="795"/>
        <v>0</v>
      </c>
      <c r="OP37" s="65"/>
      <c r="OQ37" s="63"/>
      <c r="OR37" s="64">
        <f t="shared" si="796"/>
        <v>0</v>
      </c>
      <c r="OS37" s="65">
        <v>100</v>
      </c>
      <c r="OT37" s="63"/>
      <c r="OU37" s="64">
        <f t="shared" si="797"/>
        <v>100</v>
      </c>
      <c r="OV37" s="66">
        <f t="shared" si="159"/>
        <v>100</v>
      </c>
      <c r="OW37" s="67">
        <f t="shared" si="798"/>
        <v>0</v>
      </c>
      <c r="OX37" s="64">
        <f t="shared" si="799"/>
        <v>100</v>
      </c>
      <c r="OY37" s="62">
        <v>15800</v>
      </c>
      <c r="OZ37" s="63">
        <v>15800</v>
      </c>
      <c r="PA37" s="64">
        <f t="shared" si="800"/>
        <v>0</v>
      </c>
      <c r="PB37" s="65"/>
      <c r="PC37" s="63"/>
      <c r="PD37" s="64">
        <f t="shared" si="801"/>
        <v>0</v>
      </c>
      <c r="PE37" s="65"/>
      <c r="PF37" s="63"/>
      <c r="PG37" s="64">
        <f t="shared" si="802"/>
        <v>0</v>
      </c>
      <c r="PH37" s="65">
        <v>100</v>
      </c>
      <c r="PI37" s="63"/>
      <c r="PJ37" s="64">
        <f t="shared" si="803"/>
        <v>100</v>
      </c>
      <c r="PK37" s="66">
        <f t="shared" si="166"/>
        <v>15900</v>
      </c>
      <c r="PL37" s="67">
        <f t="shared" si="804"/>
        <v>15800</v>
      </c>
      <c r="PM37" s="64">
        <f t="shared" si="805"/>
        <v>100</v>
      </c>
      <c r="PN37" s="62">
        <v>1400</v>
      </c>
      <c r="PO37" s="63">
        <f>1550</f>
        <v>1550</v>
      </c>
      <c r="PP37" s="64">
        <f t="shared" si="806"/>
        <v>-150</v>
      </c>
      <c r="PQ37" s="65"/>
      <c r="PR37" s="63"/>
      <c r="PS37" s="64">
        <f t="shared" si="807"/>
        <v>0</v>
      </c>
      <c r="PT37" s="65"/>
      <c r="PU37" s="63"/>
      <c r="PV37" s="64">
        <f t="shared" si="808"/>
        <v>0</v>
      </c>
      <c r="PW37" s="65">
        <v>100</v>
      </c>
      <c r="PX37" s="63">
        <v>213.8</v>
      </c>
      <c r="PY37" s="64">
        <f t="shared" si="809"/>
        <v>-113.80000000000001</v>
      </c>
      <c r="PZ37" s="66">
        <f t="shared" si="173"/>
        <v>1500</v>
      </c>
      <c r="QA37" s="67">
        <f t="shared" si="810"/>
        <v>1763.8</v>
      </c>
      <c r="QB37" s="64">
        <f t="shared" si="811"/>
        <v>-263.79999999999995</v>
      </c>
      <c r="QC37" s="62">
        <v>7500</v>
      </c>
      <c r="QD37" s="63">
        <v>7500</v>
      </c>
      <c r="QE37" s="64">
        <f t="shared" si="812"/>
        <v>0</v>
      </c>
      <c r="QF37" s="65"/>
      <c r="QG37" s="63"/>
      <c r="QH37" s="64">
        <f t="shared" si="813"/>
        <v>0</v>
      </c>
      <c r="QI37" s="65"/>
      <c r="QJ37" s="63"/>
      <c r="QK37" s="64">
        <f t="shared" si="814"/>
        <v>0</v>
      </c>
      <c r="QL37" s="65">
        <v>100</v>
      </c>
      <c r="QM37" s="63"/>
      <c r="QN37" s="64">
        <f t="shared" si="815"/>
        <v>100</v>
      </c>
      <c r="QO37" s="66">
        <f t="shared" si="180"/>
        <v>7600</v>
      </c>
      <c r="QP37" s="67">
        <f t="shared" si="816"/>
        <v>7500</v>
      </c>
      <c r="QQ37" s="64">
        <f t="shared" si="817"/>
        <v>100</v>
      </c>
      <c r="QR37" s="62"/>
      <c r="QS37" s="63"/>
      <c r="QT37" s="64">
        <f t="shared" si="818"/>
        <v>0</v>
      </c>
      <c r="QU37" s="65"/>
      <c r="QV37" s="63"/>
      <c r="QW37" s="64">
        <f t="shared" si="819"/>
        <v>0</v>
      </c>
      <c r="QX37" s="65"/>
      <c r="QY37" s="63"/>
      <c r="QZ37" s="64">
        <f t="shared" si="820"/>
        <v>0</v>
      </c>
      <c r="RA37" s="65"/>
      <c r="RB37" s="63"/>
      <c r="RC37" s="64">
        <f t="shared" si="821"/>
        <v>0</v>
      </c>
      <c r="RD37" s="66">
        <f t="shared" si="187"/>
        <v>0</v>
      </c>
      <c r="RE37" s="67">
        <f t="shared" si="822"/>
        <v>0</v>
      </c>
      <c r="RF37" s="64">
        <f t="shared" si="823"/>
        <v>0</v>
      </c>
      <c r="RG37" s="62">
        <v>15500</v>
      </c>
      <c r="RH37" s="63">
        <v>15500</v>
      </c>
      <c r="RI37" s="64">
        <f t="shared" si="824"/>
        <v>0</v>
      </c>
      <c r="RJ37" s="65"/>
      <c r="RK37" s="63"/>
      <c r="RL37" s="64">
        <f t="shared" si="825"/>
        <v>0</v>
      </c>
      <c r="RM37" s="65"/>
      <c r="RN37" s="63"/>
      <c r="RO37" s="64">
        <f t="shared" si="826"/>
        <v>0</v>
      </c>
      <c r="RP37" s="65"/>
      <c r="RQ37" s="63"/>
      <c r="RR37" s="64">
        <f t="shared" si="827"/>
        <v>0</v>
      </c>
      <c r="RS37" s="66">
        <f t="shared" si="194"/>
        <v>15500</v>
      </c>
      <c r="RT37" s="67">
        <f t="shared" si="828"/>
        <v>15500</v>
      </c>
      <c r="RU37" s="64">
        <f t="shared" si="829"/>
        <v>0</v>
      </c>
      <c r="RV37" s="62">
        <v>16500</v>
      </c>
      <c r="RW37" s="63">
        <v>9500</v>
      </c>
      <c r="RX37" s="64">
        <f t="shared" si="830"/>
        <v>7000</v>
      </c>
      <c r="RY37" s="65"/>
      <c r="RZ37" s="63"/>
      <c r="SA37" s="64">
        <f t="shared" si="831"/>
        <v>0</v>
      </c>
      <c r="SB37" s="65"/>
      <c r="SC37" s="63"/>
      <c r="SD37" s="64">
        <f t="shared" si="832"/>
        <v>0</v>
      </c>
      <c r="SE37" s="65">
        <v>100</v>
      </c>
      <c r="SF37" s="63">
        <v>52.41</v>
      </c>
      <c r="SG37" s="64">
        <f t="shared" si="833"/>
        <v>47.59</v>
      </c>
      <c r="SH37" s="66">
        <f t="shared" si="201"/>
        <v>16600</v>
      </c>
      <c r="SI37" s="67">
        <f t="shared" si="834"/>
        <v>9552.41</v>
      </c>
      <c r="SJ37" s="64">
        <f t="shared" si="835"/>
        <v>7047.59</v>
      </c>
      <c r="SK37" s="62"/>
      <c r="SL37" s="63"/>
      <c r="SM37" s="64">
        <f t="shared" si="836"/>
        <v>0</v>
      </c>
      <c r="SN37" s="65"/>
      <c r="SO37" s="63"/>
      <c r="SP37" s="64">
        <f t="shared" si="837"/>
        <v>0</v>
      </c>
      <c r="SQ37" s="65"/>
      <c r="SR37" s="63"/>
      <c r="SS37" s="64">
        <f t="shared" si="838"/>
        <v>0</v>
      </c>
      <c r="ST37" s="65">
        <v>100</v>
      </c>
      <c r="SU37" s="63"/>
      <c r="SV37" s="64">
        <f t="shared" si="839"/>
        <v>100</v>
      </c>
      <c r="SW37" s="66">
        <f t="shared" si="208"/>
        <v>100</v>
      </c>
      <c r="SX37" s="67">
        <f t="shared" si="840"/>
        <v>0</v>
      </c>
      <c r="SY37" s="64">
        <f t="shared" si="841"/>
        <v>100</v>
      </c>
      <c r="SZ37" s="62">
        <v>985.33</v>
      </c>
      <c r="TA37" s="63">
        <v>9885.33</v>
      </c>
      <c r="TB37" s="64">
        <f t="shared" si="842"/>
        <v>-8900</v>
      </c>
      <c r="TC37" s="65">
        <v>700.9</v>
      </c>
      <c r="TD37" s="63">
        <v>712.58</v>
      </c>
      <c r="TE37" s="64">
        <f t="shared" si="843"/>
        <v>-11.680000000000064</v>
      </c>
      <c r="TF37" s="65"/>
      <c r="TG37" s="63"/>
      <c r="TH37" s="64">
        <f t="shared" si="844"/>
        <v>0</v>
      </c>
      <c r="TI37" s="65">
        <v>100</v>
      </c>
      <c r="TJ37" s="63">
        <v>125.64</v>
      </c>
      <c r="TK37" s="64">
        <f t="shared" si="845"/>
        <v>-25.64</v>
      </c>
      <c r="TL37" s="66">
        <f t="shared" si="215"/>
        <v>1786.23</v>
      </c>
      <c r="TM37" s="67">
        <f t="shared" si="846"/>
        <v>10723.55</v>
      </c>
      <c r="TN37" s="64">
        <f t="shared" si="847"/>
        <v>-8937.32</v>
      </c>
      <c r="TO37" s="62">
        <v>14000</v>
      </c>
      <c r="TP37" s="63">
        <v>14000</v>
      </c>
      <c r="TQ37" s="64">
        <f t="shared" si="848"/>
        <v>0</v>
      </c>
      <c r="TR37" s="65"/>
      <c r="TS37" s="63"/>
      <c r="TT37" s="64">
        <f t="shared" si="849"/>
        <v>0</v>
      </c>
      <c r="TU37" s="65"/>
      <c r="TV37" s="63"/>
      <c r="TW37" s="64">
        <f t="shared" si="850"/>
        <v>0</v>
      </c>
      <c r="TX37" s="65">
        <v>100</v>
      </c>
      <c r="TY37" s="63">
        <v>84.87</v>
      </c>
      <c r="TZ37" s="64">
        <f t="shared" si="851"/>
        <v>15.129999999999995</v>
      </c>
      <c r="UA37" s="66">
        <f t="shared" si="222"/>
        <v>14100</v>
      </c>
      <c r="UB37" s="67">
        <f t="shared" si="852"/>
        <v>14084.87</v>
      </c>
      <c r="UC37" s="64">
        <f t="shared" si="853"/>
        <v>15.1299999999992</v>
      </c>
      <c r="UD37" s="62">
        <v>6750</v>
      </c>
      <c r="UE37" s="63">
        <v>6750</v>
      </c>
      <c r="UF37" s="64">
        <f t="shared" si="854"/>
        <v>0</v>
      </c>
      <c r="UG37" s="65">
        <v>497.04</v>
      </c>
      <c r="UH37" s="63">
        <v>541.70000000000005</v>
      </c>
      <c r="UI37" s="64">
        <f t="shared" si="855"/>
        <v>-44.660000000000025</v>
      </c>
      <c r="UJ37" s="65"/>
      <c r="UK37" s="63"/>
      <c r="UL37" s="64">
        <f t="shared" si="856"/>
        <v>0</v>
      </c>
      <c r="UM37" s="65">
        <v>100</v>
      </c>
      <c r="UN37" s="63">
        <v>171.03</v>
      </c>
      <c r="UO37" s="64">
        <f t="shared" si="857"/>
        <v>-71.03</v>
      </c>
      <c r="UP37" s="66">
        <f t="shared" si="226"/>
        <v>7347.04</v>
      </c>
      <c r="UQ37" s="67">
        <f t="shared" si="858"/>
        <v>7462.73</v>
      </c>
      <c r="UR37" s="64">
        <f t="shared" si="859"/>
        <v>-115.6899999999996</v>
      </c>
      <c r="US37" s="130"/>
      <c r="UT37" s="77"/>
      <c r="UU37" s="131"/>
      <c r="UV37" s="76"/>
      <c r="UW37" s="77"/>
      <c r="UX37" s="131"/>
      <c r="UY37" s="76"/>
      <c r="UZ37" s="77"/>
      <c r="VA37" s="131"/>
      <c r="VB37" s="76"/>
      <c r="VC37" s="77"/>
      <c r="VD37" s="131"/>
      <c r="VE37" s="76">
        <f t="shared" si="233"/>
        <v>0</v>
      </c>
      <c r="VF37" s="77">
        <f t="shared" si="860"/>
        <v>0</v>
      </c>
      <c r="VG37" s="131">
        <f t="shared" si="861"/>
        <v>0</v>
      </c>
      <c r="VH37" s="62"/>
      <c r="VI37" s="63"/>
      <c r="VJ37" s="64">
        <f t="shared" si="862"/>
        <v>0</v>
      </c>
      <c r="VK37" s="65"/>
      <c r="VL37" s="63"/>
      <c r="VM37" s="64">
        <f t="shared" si="863"/>
        <v>0</v>
      </c>
      <c r="VN37" s="65"/>
      <c r="VO37" s="63"/>
      <c r="VP37" s="64">
        <f t="shared" si="864"/>
        <v>0</v>
      </c>
      <c r="VQ37" s="65">
        <v>100</v>
      </c>
      <c r="VR37" s="63"/>
      <c r="VS37" s="64">
        <f t="shared" si="865"/>
        <v>100</v>
      </c>
      <c r="VT37" s="66">
        <f t="shared" si="240"/>
        <v>100</v>
      </c>
      <c r="VU37" s="67">
        <f t="shared" si="866"/>
        <v>0</v>
      </c>
      <c r="VV37" s="64">
        <f t="shared" si="867"/>
        <v>100</v>
      </c>
      <c r="VW37" s="74"/>
      <c r="VX37" s="72"/>
      <c r="VY37" s="73"/>
      <c r="VZ37" s="74"/>
      <c r="WA37" s="75"/>
      <c r="WB37" s="73"/>
      <c r="WC37" s="74"/>
      <c r="WD37" s="75"/>
      <c r="WE37" s="73"/>
      <c r="WF37" s="74"/>
      <c r="WG37" s="75"/>
      <c r="WH37" s="73"/>
      <c r="WI37" s="74"/>
      <c r="WJ37" s="76"/>
      <c r="WK37" s="77"/>
      <c r="WL37" s="62">
        <v>1376.01</v>
      </c>
      <c r="WM37" s="63">
        <v>1376.01</v>
      </c>
      <c r="WN37" s="64">
        <f t="shared" si="868"/>
        <v>0</v>
      </c>
      <c r="WO37" s="65">
        <v>418.56</v>
      </c>
      <c r="WP37" s="63"/>
      <c r="WQ37" s="64">
        <f t="shared" si="869"/>
        <v>418.56</v>
      </c>
      <c r="WR37" s="65"/>
      <c r="WS37" s="63"/>
      <c r="WT37" s="64">
        <f t="shared" si="870"/>
        <v>0</v>
      </c>
      <c r="WU37" s="65">
        <v>100</v>
      </c>
      <c r="WV37" s="63"/>
      <c r="WW37" s="64">
        <f t="shared" si="871"/>
        <v>100</v>
      </c>
      <c r="WX37" s="66">
        <f t="shared" si="254"/>
        <v>1894.57</v>
      </c>
      <c r="WY37" s="67">
        <f t="shared" si="872"/>
        <v>1376.01</v>
      </c>
      <c r="WZ37" s="64">
        <f t="shared" si="873"/>
        <v>518.55999999999995</v>
      </c>
      <c r="XA37" s="62"/>
      <c r="XB37" s="63">
        <v>9500</v>
      </c>
      <c r="XC37" s="64">
        <f t="shared" si="874"/>
        <v>-9500</v>
      </c>
      <c r="XD37" s="65"/>
      <c r="XE37" s="63"/>
      <c r="XF37" s="64">
        <f t="shared" si="875"/>
        <v>0</v>
      </c>
      <c r="XG37" s="65"/>
      <c r="XH37" s="63"/>
      <c r="XI37" s="64">
        <f t="shared" si="876"/>
        <v>0</v>
      </c>
      <c r="XJ37" s="65">
        <v>100</v>
      </c>
      <c r="XK37" s="63">
        <v>75.849999999999994</v>
      </c>
      <c r="XL37" s="64">
        <f t="shared" si="877"/>
        <v>24.150000000000006</v>
      </c>
      <c r="XM37" s="66">
        <f t="shared" si="261"/>
        <v>100</v>
      </c>
      <c r="XN37" s="67">
        <f t="shared" si="878"/>
        <v>9575.85</v>
      </c>
      <c r="XO37" s="64">
        <f t="shared" si="879"/>
        <v>-9475.85</v>
      </c>
      <c r="XP37" s="62">
        <v>5202</v>
      </c>
      <c r="XQ37" s="63">
        <v>5202</v>
      </c>
      <c r="XR37" s="64">
        <f t="shared" si="880"/>
        <v>0</v>
      </c>
      <c r="XS37" s="65">
        <v>591.29999999999995</v>
      </c>
      <c r="XT37" s="63">
        <v>820.33</v>
      </c>
      <c r="XU37" s="64">
        <f t="shared" si="881"/>
        <v>-229.03000000000009</v>
      </c>
      <c r="XV37" s="65"/>
      <c r="XW37" s="63"/>
      <c r="XX37" s="64">
        <f t="shared" si="882"/>
        <v>0</v>
      </c>
      <c r="XY37" s="65">
        <v>100</v>
      </c>
      <c r="XZ37" s="63">
        <v>59.78</v>
      </c>
      <c r="YA37" s="64">
        <f t="shared" si="883"/>
        <v>40.22</v>
      </c>
      <c r="YB37" s="66">
        <f t="shared" si="268"/>
        <v>5893.3</v>
      </c>
      <c r="YC37" s="67">
        <f t="shared" si="884"/>
        <v>6082.11</v>
      </c>
      <c r="YD37" s="64">
        <f t="shared" si="885"/>
        <v>-188.80999999999949</v>
      </c>
      <c r="YE37" s="62">
        <v>5340</v>
      </c>
      <c r="YF37" s="63">
        <v>5340</v>
      </c>
      <c r="YG37" s="64">
        <f t="shared" si="886"/>
        <v>0</v>
      </c>
      <c r="YH37" s="65">
        <v>725.15</v>
      </c>
      <c r="YI37" s="63">
        <v>836.95</v>
      </c>
      <c r="YJ37" s="64">
        <f t="shared" si="887"/>
        <v>-111.80000000000007</v>
      </c>
      <c r="YK37" s="65"/>
      <c r="YL37" s="63"/>
      <c r="YM37" s="64">
        <f t="shared" si="888"/>
        <v>0</v>
      </c>
      <c r="YN37" s="65">
        <v>100</v>
      </c>
      <c r="YO37" s="63">
        <v>50.98</v>
      </c>
      <c r="YP37" s="64">
        <f t="shared" si="889"/>
        <v>49.02</v>
      </c>
      <c r="YQ37" s="66">
        <f t="shared" si="275"/>
        <v>6165.15</v>
      </c>
      <c r="YR37" s="67">
        <f t="shared" si="890"/>
        <v>6227.9299999999994</v>
      </c>
      <c r="YS37" s="64">
        <f t="shared" si="891"/>
        <v>-62.779999999999745</v>
      </c>
      <c r="YT37" s="62">
        <v>5592</v>
      </c>
      <c r="YU37" s="63">
        <v>5592</v>
      </c>
      <c r="YV37" s="64">
        <f t="shared" si="892"/>
        <v>0</v>
      </c>
      <c r="YW37" s="65">
        <v>513.28</v>
      </c>
      <c r="YX37" s="63">
        <v>680.54</v>
      </c>
      <c r="YY37" s="64">
        <f t="shared" si="893"/>
        <v>-167.26</v>
      </c>
      <c r="YZ37" s="65"/>
      <c r="ZA37" s="63"/>
      <c r="ZB37" s="64">
        <f t="shared" si="894"/>
        <v>0</v>
      </c>
      <c r="ZC37" s="65">
        <v>100</v>
      </c>
      <c r="ZD37" s="63">
        <v>62.56</v>
      </c>
      <c r="ZE37" s="64">
        <f t="shared" si="895"/>
        <v>37.44</v>
      </c>
      <c r="ZF37" s="66">
        <f t="shared" si="282"/>
        <v>6205.28</v>
      </c>
      <c r="ZG37" s="67">
        <f t="shared" si="896"/>
        <v>6335.1</v>
      </c>
      <c r="ZH37" s="64">
        <f t="shared" si="897"/>
        <v>-129.82000000000062</v>
      </c>
      <c r="ZI37" s="62">
        <v>1250</v>
      </c>
      <c r="ZJ37" s="63">
        <f>1250</f>
        <v>1250</v>
      </c>
      <c r="ZK37" s="64">
        <f t="shared" si="898"/>
        <v>0</v>
      </c>
      <c r="ZL37" s="65"/>
      <c r="ZM37" s="63"/>
      <c r="ZN37" s="64">
        <f t="shared" si="899"/>
        <v>0</v>
      </c>
      <c r="ZO37" s="65"/>
      <c r="ZP37" s="63"/>
      <c r="ZQ37" s="64">
        <f t="shared" si="900"/>
        <v>0</v>
      </c>
      <c r="ZR37" s="65">
        <v>100</v>
      </c>
      <c r="ZS37" s="63">
        <v>638.95000000000005</v>
      </c>
      <c r="ZT37" s="64">
        <f t="shared" si="901"/>
        <v>-538.95000000000005</v>
      </c>
      <c r="ZU37" s="66">
        <f t="shared" si="289"/>
        <v>1350</v>
      </c>
      <c r="ZV37" s="67">
        <f t="shared" si="902"/>
        <v>1888.95</v>
      </c>
      <c r="ZW37" s="64">
        <f t="shared" si="903"/>
        <v>-538.95000000000005</v>
      </c>
      <c r="ZX37" s="62">
        <v>24.71</v>
      </c>
      <c r="ZY37" s="63">
        <f>24.71</f>
        <v>24.71</v>
      </c>
      <c r="ZZ37" s="64">
        <f t="shared" si="904"/>
        <v>0</v>
      </c>
      <c r="AAA37" s="66">
        <f t="shared" si="293"/>
        <v>24.71</v>
      </c>
      <c r="AAB37" s="67">
        <f t="shared" si="293"/>
        <v>24.71</v>
      </c>
      <c r="AAC37" s="64">
        <f t="shared" si="905"/>
        <v>0</v>
      </c>
      <c r="AAD37" s="85">
        <f t="shared" si="295"/>
        <v>694270.15</v>
      </c>
      <c r="AAE37" s="86">
        <f t="shared" si="295"/>
        <v>705058.99</v>
      </c>
      <c r="AAF37" s="87">
        <f t="shared" si="3"/>
        <v>1.0155398298486547</v>
      </c>
      <c r="AAG37" s="88">
        <f t="shared" si="906"/>
        <v>10788.839999999967</v>
      </c>
      <c r="AAH37" s="89">
        <f>W43+AL43+BA43+BP43+CE43+CT43+DI43+DX43+EM43+FB43+FQ43+GF43+GU43+HJ43+HY43+IN43+JC43+JR43+KG43+KV43+LZ43+MO43+ND43+NS43+OH43+OW43+PL43+QA43+QP43+RE43+RT43+SI43+TM43+UB43+UQ43+VF43+VU43+WJ43+WY43+XN43+YC43+YR43+ZG43+ZV43+AAB43</f>
        <v>1583831.6499999997</v>
      </c>
      <c r="AAI37" s="92"/>
      <c r="AAJ37" s="92"/>
      <c r="AAK37" s="60"/>
    </row>
    <row r="38" spans="1:713" s="83" customFormat="1" ht="20" customHeight="1" thickBot="1" x14ac:dyDescent="0.25">
      <c r="A38" s="84" t="s">
        <v>35</v>
      </c>
      <c r="B38" s="93"/>
      <c r="C38" s="90"/>
      <c r="D38" s="90"/>
      <c r="E38" s="60"/>
      <c r="F38" s="61">
        <v>45505</v>
      </c>
      <c r="G38" s="62"/>
      <c r="H38" s="63"/>
      <c r="I38" s="64">
        <f t="shared" si="649"/>
        <v>0</v>
      </c>
      <c r="J38" s="65">
        <v>2157.52</v>
      </c>
      <c r="K38" s="63">
        <f>2184.57</f>
        <v>2184.5700000000002</v>
      </c>
      <c r="L38" s="64">
        <f t="shared" si="650"/>
        <v>-27.050000000000182</v>
      </c>
      <c r="M38" s="65">
        <v>2500</v>
      </c>
      <c r="N38" s="63"/>
      <c r="O38" s="64">
        <f t="shared" si="651"/>
        <v>2500</v>
      </c>
      <c r="P38" s="65">
        <v>1500</v>
      </c>
      <c r="Q38" s="63">
        <v>1534.52</v>
      </c>
      <c r="R38" s="64">
        <f t="shared" si="652"/>
        <v>-34.519999999999982</v>
      </c>
      <c r="S38" s="65">
        <v>362</v>
      </c>
      <c r="T38" s="63"/>
      <c r="U38" s="64">
        <f t="shared" si="653"/>
        <v>362</v>
      </c>
      <c r="V38" s="66">
        <f t="shared" si="654"/>
        <v>6519.52</v>
      </c>
      <c r="W38" s="67">
        <f t="shared" si="654"/>
        <v>3719.09</v>
      </c>
      <c r="X38" s="64">
        <f t="shared" si="655"/>
        <v>2800.4300000000003</v>
      </c>
      <c r="Y38" s="62">
        <v>1100</v>
      </c>
      <c r="Z38" s="63">
        <v>1100</v>
      </c>
      <c r="AA38" s="64">
        <f t="shared" si="656"/>
        <v>0</v>
      </c>
      <c r="AB38" s="65"/>
      <c r="AC38" s="63"/>
      <c r="AD38" s="64">
        <f t="shared" si="657"/>
        <v>0</v>
      </c>
      <c r="AE38" s="65"/>
      <c r="AF38" s="63"/>
      <c r="AG38" s="64">
        <f t="shared" si="658"/>
        <v>0</v>
      </c>
      <c r="AH38" s="65"/>
      <c r="AI38" s="63"/>
      <c r="AJ38" s="64">
        <f t="shared" si="659"/>
        <v>0</v>
      </c>
      <c r="AK38" s="66">
        <f t="shared" si="16"/>
        <v>1100</v>
      </c>
      <c r="AL38" s="67">
        <f t="shared" si="17"/>
        <v>1100</v>
      </c>
      <c r="AM38" s="64">
        <f t="shared" si="660"/>
        <v>0</v>
      </c>
      <c r="AN38" s="62">
        <v>6250</v>
      </c>
      <c r="AO38" s="63">
        <v>6250</v>
      </c>
      <c r="AP38" s="64">
        <f t="shared" si="907"/>
        <v>0</v>
      </c>
      <c r="AQ38" s="65"/>
      <c r="AR38" s="63"/>
      <c r="AS38" s="64">
        <f t="shared" si="661"/>
        <v>0</v>
      </c>
      <c r="AT38" s="65"/>
      <c r="AU38" s="63"/>
      <c r="AV38" s="64">
        <f t="shared" si="662"/>
        <v>0</v>
      </c>
      <c r="AW38" s="65"/>
      <c r="AX38" s="63"/>
      <c r="AY38" s="64">
        <f t="shared" si="663"/>
        <v>0</v>
      </c>
      <c r="AZ38" s="66">
        <f t="shared" si="23"/>
        <v>6250</v>
      </c>
      <c r="BA38" s="67">
        <f t="shared" si="664"/>
        <v>6250</v>
      </c>
      <c r="BB38" s="64">
        <f t="shared" si="665"/>
        <v>0</v>
      </c>
      <c r="BC38" s="62">
        <v>6150</v>
      </c>
      <c r="BD38" s="63">
        <v>6150</v>
      </c>
      <c r="BE38" s="64">
        <f t="shared" si="666"/>
        <v>0</v>
      </c>
      <c r="BF38" s="65"/>
      <c r="BG38" s="63"/>
      <c r="BH38" s="64">
        <f t="shared" si="667"/>
        <v>0</v>
      </c>
      <c r="BI38" s="65"/>
      <c r="BJ38" s="63"/>
      <c r="BK38" s="64">
        <f t="shared" si="668"/>
        <v>0</v>
      </c>
      <c r="BL38" s="65">
        <v>100</v>
      </c>
      <c r="BM38" s="63"/>
      <c r="BN38" s="64">
        <f t="shared" si="669"/>
        <v>100</v>
      </c>
      <c r="BO38" s="66">
        <f t="shared" si="30"/>
        <v>6250</v>
      </c>
      <c r="BP38" s="67">
        <f t="shared" si="670"/>
        <v>6150</v>
      </c>
      <c r="BQ38" s="64">
        <f t="shared" si="671"/>
        <v>100</v>
      </c>
      <c r="BR38" s="62">
        <v>789.83</v>
      </c>
      <c r="BS38" s="63">
        <v>819.1</v>
      </c>
      <c r="BT38" s="74"/>
      <c r="BU38" s="75"/>
      <c r="BV38" s="73"/>
      <c r="BW38" s="74"/>
      <c r="BX38" s="75"/>
      <c r="BY38" s="73"/>
      <c r="BZ38" s="74"/>
      <c r="CA38" s="75"/>
      <c r="CB38" s="73"/>
      <c r="CC38" s="74"/>
      <c r="CD38" s="66">
        <f t="shared" si="33"/>
        <v>789.83</v>
      </c>
      <c r="CE38" s="67">
        <f t="shared" si="672"/>
        <v>819.1</v>
      </c>
      <c r="CF38" s="64">
        <f t="shared" si="673"/>
        <v>-29.269999999999982</v>
      </c>
      <c r="CG38" s="62">
        <v>5000</v>
      </c>
      <c r="CH38" s="63">
        <v>5000</v>
      </c>
      <c r="CI38" s="64">
        <f t="shared" si="674"/>
        <v>0</v>
      </c>
      <c r="CJ38" s="65"/>
      <c r="CK38" s="63"/>
      <c r="CL38" s="64">
        <f t="shared" si="675"/>
        <v>0</v>
      </c>
      <c r="CM38" s="65"/>
      <c r="CN38" s="63"/>
      <c r="CO38" s="64">
        <f t="shared" si="676"/>
        <v>0</v>
      </c>
      <c r="CP38" s="65"/>
      <c r="CQ38" s="63"/>
      <c r="CR38" s="64">
        <f t="shared" si="677"/>
        <v>0</v>
      </c>
      <c r="CS38" s="66">
        <f t="shared" si="40"/>
        <v>5000</v>
      </c>
      <c r="CT38" s="67">
        <f t="shared" si="678"/>
        <v>5000</v>
      </c>
      <c r="CU38" s="64">
        <f t="shared" si="679"/>
        <v>0</v>
      </c>
      <c r="CV38" s="62">
        <v>2916.7</v>
      </c>
      <c r="CW38" s="63">
        <v>2916.7</v>
      </c>
      <c r="CX38" s="64">
        <f t="shared" si="680"/>
        <v>0</v>
      </c>
      <c r="CY38" s="65"/>
      <c r="CZ38" s="63"/>
      <c r="DA38" s="64">
        <f t="shared" si="681"/>
        <v>0</v>
      </c>
      <c r="DB38" s="65"/>
      <c r="DC38" s="63"/>
      <c r="DD38" s="64">
        <f t="shared" si="682"/>
        <v>0</v>
      </c>
      <c r="DE38" s="65"/>
      <c r="DF38" s="63"/>
      <c r="DG38" s="64">
        <f t="shared" si="683"/>
        <v>0</v>
      </c>
      <c r="DH38" s="66">
        <f t="shared" si="43"/>
        <v>2916.7</v>
      </c>
      <c r="DI38" s="67">
        <f t="shared" si="684"/>
        <v>2916.7</v>
      </c>
      <c r="DJ38" s="64">
        <f t="shared" si="685"/>
        <v>0</v>
      </c>
      <c r="DK38" s="62">
        <v>2400</v>
      </c>
      <c r="DL38" s="63">
        <v>2400</v>
      </c>
      <c r="DM38" s="64">
        <f t="shared" si="686"/>
        <v>0</v>
      </c>
      <c r="DN38" s="65">
        <v>580</v>
      </c>
      <c r="DO38" s="63">
        <v>580</v>
      </c>
      <c r="DP38" s="64">
        <f t="shared" si="687"/>
        <v>0</v>
      </c>
      <c r="DQ38" s="65"/>
      <c r="DR38" s="63">
        <v>132</v>
      </c>
      <c r="DS38" s="64">
        <f t="shared" si="688"/>
        <v>-132</v>
      </c>
      <c r="DT38" s="65">
        <v>100</v>
      </c>
      <c r="DU38" s="63">
        <v>121.12</v>
      </c>
      <c r="DV38" s="64">
        <f t="shared" si="689"/>
        <v>-21.120000000000005</v>
      </c>
      <c r="DW38" s="66">
        <f t="shared" si="46"/>
        <v>3080</v>
      </c>
      <c r="DX38" s="67">
        <f t="shared" si="690"/>
        <v>3233.12</v>
      </c>
      <c r="DY38" s="64">
        <f t="shared" si="691"/>
        <v>-153.11999999999989</v>
      </c>
      <c r="DZ38" s="62">
        <v>12000</v>
      </c>
      <c r="EA38" s="63">
        <v>12000</v>
      </c>
      <c r="EB38" s="64">
        <f t="shared" si="692"/>
        <v>0</v>
      </c>
      <c r="EC38" s="65"/>
      <c r="ED38" s="63"/>
      <c r="EE38" s="64">
        <f t="shared" si="693"/>
        <v>0</v>
      </c>
      <c r="EF38" s="65"/>
      <c r="EG38" s="63"/>
      <c r="EH38" s="64">
        <f t="shared" si="694"/>
        <v>0</v>
      </c>
      <c r="EI38" s="65">
        <v>100</v>
      </c>
      <c r="EJ38" s="63"/>
      <c r="EK38" s="64">
        <f t="shared" si="695"/>
        <v>100</v>
      </c>
      <c r="EL38" s="66">
        <f t="shared" si="53"/>
        <v>12100</v>
      </c>
      <c r="EM38" s="67">
        <f t="shared" si="696"/>
        <v>12000</v>
      </c>
      <c r="EN38" s="64">
        <f t="shared" si="697"/>
        <v>100</v>
      </c>
      <c r="EO38" s="62">
        <v>6150</v>
      </c>
      <c r="EP38" s="63">
        <v>6150</v>
      </c>
      <c r="EQ38" s="64">
        <f t="shared" si="698"/>
        <v>0</v>
      </c>
      <c r="ER38" s="65"/>
      <c r="ES38" s="63"/>
      <c r="ET38" s="64">
        <f t="shared" si="699"/>
        <v>0</v>
      </c>
      <c r="EU38" s="65"/>
      <c r="EV38" s="63"/>
      <c r="EW38" s="64">
        <f t="shared" si="700"/>
        <v>0</v>
      </c>
      <c r="EX38" s="65">
        <v>100</v>
      </c>
      <c r="EY38" s="63"/>
      <c r="EZ38" s="64">
        <f t="shared" si="701"/>
        <v>100</v>
      </c>
      <c r="FA38" s="66">
        <f t="shared" si="60"/>
        <v>6250</v>
      </c>
      <c r="FB38" s="67">
        <f t="shared" si="702"/>
        <v>6150</v>
      </c>
      <c r="FC38" s="64">
        <f t="shared" si="703"/>
        <v>100</v>
      </c>
      <c r="FD38" s="62">
        <v>6150</v>
      </c>
      <c r="FE38" s="63">
        <v>6150</v>
      </c>
      <c r="FF38" s="64">
        <f t="shared" si="704"/>
        <v>0</v>
      </c>
      <c r="FG38" s="65"/>
      <c r="FH38" s="63"/>
      <c r="FI38" s="64">
        <f t="shared" si="705"/>
        <v>0</v>
      </c>
      <c r="FJ38" s="65"/>
      <c r="FK38" s="63"/>
      <c r="FL38" s="64">
        <f t="shared" si="706"/>
        <v>0</v>
      </c>
      <c r="FM38" s="65">
        <v>100</v>
      </c>
      <c r="FN38" s="63"/>
      <c r="FO38" s="64">
        <f t="shared" si="707"/>
        <v>100</v>
      </c>
      <c r="FP38" s="66">
        <f t="shared" si="67"/>
        <v>6250</v>
      </c>
      <c r="FQ38" s="67">
        <f t="shared" si="708"/>
        <v>6150</v>
      </c>
      <c r="FR38" s="64">
        <f t="shared" si="709"/>
        <v>100</v>
      </c>
      <c r="FS38" s="62"/>
      <c r="FT38" s="63"/>
      <c r="FU38" s="64">
        <f t="shared" si="710"/>
        <v>0</v>
      </c>
      <c r="FV38" s="65"/>
      <c r="FW38" s="63"/>
      <c r="FX38" s="64">
        <f t="shared" si="711"/>
        <v>0</v>
      </c>
      <c r="FY38" s="65"/>
      <c r="FZ38" s="63">
        <v>4742.41</v>
      </c>
      <c r="GA38" s="64">
        <f t="shared" si="712"/>
        <v>-4742.41</v>
      </c>
      <c r="GB38" s="65"/>
      <c r="GC38" s="63"/>
      <c r="GD38" s="64">
        <f t="shared" si="713"/>
        <v>0</v>
      </c>
      <c r="GE38" s="66">
        <f t="shared" si="74"/>
        <v>0</v>
      </c>
      <c r="GF38" s="67">
        <f t="shared" si="714"/>
        <v>4742.41</v>
      </c>
      <c r="GG38" s="64">
        <f t="shared" si="715"/>
        <v>-4742.41</v>
      </c>
      <c r="GH38" s="62"/>
      <c r="GI38" s="63"/>
      <c r="GJ38" s="64">
        <f t="shared" si="716"/>
        <v>0</v>
      </c>
      <c r="GK38" s="65"/>
      <c r="GL38" s="63"/>
      <c r="GM38" s="64">
        <f t="shared" si="717"/>
        <v>0</v>
      </c>
      <c r="GN38" s="65"/>
      <c r="GO38" s="63">
        <v>4742.3999999999996</v>
      </c>
      <c r="GP38" s="64">
        <f t="shared" si="718"/>
        <v>-4742.3999999999996</v>
      </c>
      <c r="GQ38" s="65"/>
      <c r="GR38" s="63"/>
      <c r="GS38" s="64">
        <f t="shared" si="719"/>
        <v>0</v>
      </c>
      <c r="GT38" s="66">
        <f t="shared" si="81"/>
        <v>0</v>
      </c>
      <c r="GU38" s="67">
        <f t="shared" si="720"/>
        <v>4742.3999999999996</v>
      </c>
      <c r="GV38" s="64">
        <f t="shared" si="721"/>
        <v>-4742.3999999999996</v>
      </c>
      <c r="GW38" s="62">
        <v>7105.27</v>
      </c>
      <c r="GX38" s="63">
        <v>9605.27</v>
      </c>
      <c r="GY38" s="64">
        <f t="shared" si="722"/>
        <v>-2500</v>
      </c>
      <c r="GZ38" s="65"/>
      <c r="HA38" s="63"/>
      <c r="HB38" s="64">
        <f t="shared" si="723"/>
        <v>0</v>
      </c>
      <c r="HC38" s="65"/>
      <c r="HD38" s="63"/>
      <c r="HE38" s="64">
        <f t="shared" si="724"/>
        <v>0</v>
      </c>
      <c r="HF38" s="65">
        <v>100</v>
      </c>
      <c r="HG38" s="63"/>
      <c r="HH38" s="64">
        <f t="shared" si="725"/>
        <v>100</v>
      </c>
      <c r="HI38" s="66">
        <f t="shared" si="84"/>
        <v>7205.27</v>
      </c>
      <c r="HJ38" s="67">
        <f t="shared" si="726"/>
        <v>9605.27</v>
      </c>
      <c r="HK38" s="64">
        <f t="shared" si="727"/>
        <v>-2400</v>
      </c>
      <c r="HL38" s="62">
        <v>6150</v>
      </c>
      <c r="HM38" s="63">
        <v>6150</v>
      </c>
      <c r="HN38" s="64">
        <f t="shared" si="728"/>
        <v>0</v>
      </c>
      <c r="HO38" s="65"/>
      <c r="HP38" s="63"/>
      <c r="HQ38" s="64">
        <f t="shared" si="729"/>
        <v>0</v>
      </c>
      <c r="HR38" s="65"/>
      <c r="HS38" s="63"/>
      <c r="HT38" s="64">
        <f t="shared" si="730"/>
        <v>0</v>
      </c>
      <c r="HU38" s="65">
        <v>100</v>
      </c>
      <c r="HV38" s="63"/>
      <c r="HW38" s="64">
        <f t="shared" si="731"/>
        <v>100</v>
      </c>
      <c r="HX38" s="66">
        <f t="shared" si="91"/>
        <v>6250</v>
      </c>
      <c r="HY38" s="67">
        <f t="shared" si="732"/>
        <v>6150</v>
      </c>
      <c r="HZ38" s="64">
        <f t="shared" si="733"/>
        <v>100</v>
      </c>
      <c r="IA38" s="62">
        <f>9864.5</f>
        <v>9864.5</v>
      </c>
      <c r="IB38" s="63">
        <v>9864.5</v>
      </c>
      <c r="IC38" s="64">
        <f t="shared" si="734"/>
        <v>0</v>
      </c>
      <c r="ID38" s="65"/>
      <c r="IE38" s="63"/>
      <c r="IF38" s="64">
        <f t="shared" si="735"/>
        <v>0</v>
      </c>
      <c r="IG38" s="65"/>
      <c r="IH38" s="63"/>
      <c r="II38" s="64">
        <f t="shared" si="736"/>
        <v>0</v>
      </c>
      <c r="IJ38" s="65">
        <v>100</v>
      </c>
      <c r="IK38" s="63">
        <v>182.88</v>
      </c>
      <c r="IL38" s="64">
        <f t="shared" si="737"/>
        <v>-82.88</v>
      </c>
      <c r="IM38" s="66">
        <f t="shared" si="98"/>
        <v>9964.5</v>
      </c>
      <c r="IN38" s="67">
        <f t="shared" si="738"/>
        <v>10047.379999999999</v>
      </c>
      <c r="IO38" s="64">
        <f t="shared" si="739"/>
        <v>-82.8799999999992</v>
      </c>
      <c r="IP38" s="62">
        <v>5000</v>
      </c>
      <c r="IQ38" s="63">
        <v>5000</v>
      </c>
      <c r="IR38" s="64">
        <f t="shared" si="740"/>
        <v>0</v>
      </c>
      <c r="IS38" s="65"/>
      <c r="IT38" s="63"/>
      <c r="IU38" s="64">
        <f t="shared" si="741"/>
        <v>0</v>
      </c>
      <c r="IV38" s="65">
        <v>2739.5</v>
      </c>
      <c r="IW38" s="63"/>
      <c r="IX38" s="64">
        <f t="shared" si="742"/>
        <v>2739.5</v>
      </c>
      <c r="IY38" s="65"/>
      <c r="IZ38" s="63"/>
      <c r="JA38" s="64">
        <f t="shared" si="743"/>
        <v>0</v>
      </c>
      <c r="JB38" s="66">
        <f t="shared" si="105"/>
        <v>7739.5</v>
      </c>
      <c r="JC38" s="67">
        <f t="shared" si="744"/>
        <v>5000</v>
      </c>
      <c r="JD38" s="64">
        <f t="shared" si="745"/>
        <v>2739.5</v>
      </c>
      <c r="JE38" s="62"/>
      <c r="JF38" s="63"/>
      <c r="JG38" s="64">
        <f t="shared" si="746"/>
        <v>0</v>
      </c>
      <c r="JH38" s="65">
        <v>442.35</v>
      </c>
      <c r="JI38" s="65"/>
      <c r="JJ38" s="64">
        <f t="shared" si="747"/>
        <v>442.35</v>
      </c>
      <c r="JK38" s="65"/>
      <c r="JL38" s="63"/>
      <c r="JM38" s="64">
        <f t="shared" si="748"/>
        <v>0</v>
      </c>
      <c r="JN38" s="65">
        <v>100</v>
      </c>
      <c r="JO38" s="63">
        <v>201.78</v>
      </c>
      <c r="JP38" s="64">
        <f t="shared" si="749"/>
        <v>-101.78</v>
      </c>
      <c r="JQ38" s="66">
        <f t="shared" si="112"/>
        <v>542.35</v>
      </c>
      <c r="JR38" s="67">
        <f t="shared" si="750"/>
        <v>201.78</v>
      </c>
      <c r="JS38" s="64">
        <f t="shared" si="751"/>
        <v>340.57000000000005</v>
      </c>
      <c r="JT38" s="62">
        <v>5615.92</v>
      </c>
      <c r="JU38" s="63">
        <v>5852.62</v>
      </c>
      <c r="JV38" s="64">
        <f t="shared" si="752"/>
        <v>-236.69999999999982</v>
      </c>
      <c r="JW38" s="65"/>
      <c r="JX38" s="63"/>
      <c r="JY38" s="64">
        <f t="shared" si="753"/>
        <v>0</v>
      </c>
      <c r="JZ38" s="65"/>
      <c r="KA38" s="63"/>
      <c r="KB38" s="64">
        <f t="shared" si="754"/>
        <v>0</v>
      </c>
      <c r="KC38" s="65">
        <v>100</v>
      </c>
      <c r="KD38" s="63">
        <v>198.08</v>
      </c>
      <c r="KE38" s="64">
        <f t="shared" si="755"/>
        <v>-98.080000000000013</v>
      </c>
      <c r="KF38" s="66">
        <f t="shared" si="119"/>
        <v>5715.92</v>
      </c>
      <c r="KG38" s="67">
        <f t="shared" si="756"/>
        <v>6050.7</v>
      </c>
      <c r="KH38" s="64">
        <f t="shared" si="757"/>
        <v>-334.77999999999975</v>
      </c>
      <c r="KI38" s="62"/>
      <c r="KJ38" s="63"/>
      <c r="KK38" s="64">
        <f t="shared" si="758"/>
        <v>0</v>
      </c>
      <c r="KL38" s="65"/>
      <c r="KM38" s="63"/>
      <c r="KN38" s="64">
        <f t="shared" si="759"/>
        <v>0</v>
      </c>
      <c r="KO38" s="65"/>
      <c r="KP38" s="63"/>
      <c r="KQ38" s="64">
        <f t="shared" si="760"/>
        <v>0</v>
      </c>
      <c r="KR38" s="65"/>
      <c r="KS38" s="63"/>
      <c r="KT38" s="64">
        <f t="shared" si="761"/>
        <v>0</v>
      </c>
      <c r="KU38" s="66">
        <f t="shared" si="1"/>
        <v>0</v>
      </c>
      <c r="KV38" s="67">
        <f t="shared" si="762"/>
        <v>0</v>
      </c>
      <c r="KW38" s="64">
        <f t="shared" si="763"/>
        <v>0</v>
      </c>
      <c r="KX38" s="72"/>
      <c r="KY38" s="73"/>
      <c r="KZ38" s="74"/>
      <c r="LA38" s="75"/>
      <c r="LB38" s="73"/>
      <c r="LC38" s="74"/>
      <c r="LD38" s="75"/>
      <c r="LE38" s="73"/>
      <c r="LF38" s="74"/>
      <c r="LG38" s="75"/>
      <c r="LH38" s="73"/>
      <c r="LI38" s="74"/>
      <c r="LJ38" s="76"/>
      <c r="LK38" s="77"/>
      <c r="LL38" s="74"/>
      <c r="LM38" s="62">
        <v>10000</v>
      </c>
      <c r="LN38" s="63">
        <v>9300</v>
      </c>
      <c r="LO38" s="64">
        <f t="shared" si="764"/>
        <v>700</v>
      </c>
      <c r="LP38" s="65"/>
      <c r="LQ38" s="63">
        <f>1097.28</f>
        <v>1097.28</v>
      </c>
      <c r="LR38" s="64">
        <f t="shared" si="765"/>
        <v>-1097.28</v>
      </c>
      <c r="LS38" s="65"/>
      <c r="LT38" s="63">
        <v>214.27</v>
      </c>
      <c r="LU38" s="64">
        <f t="shared" si="766"/>
        <v>-214.27</v>
      </c>
      <c r="LV38" s="65">
        <v>100</v>
      </c>
      <c r="LW38" s="63"/>
      <c r="LX38" s="64">
        <f t="shared" si="767"/>
        <v>100</v>
      </c>
      <c r="LY38" s="66">
        <f t="shared" si="124"/>
        <v>10100</v>
      </c>
      <c r="LZ38" s="67">
        <f t="shared" si="768"/>
        <v>10611.550000000001</v>
      </c>
      <c r="MA38" s="64">
        <f t="shared" si="769"/>
        <v>-511.55000000000109</v>
      </c>
      <c r="MB38" s="62"/>
      <c r="MC38" s="63"/>
      <c r="MD38" s="64">
        <f t="shared" si="770"/>
        <v>0</v>
      </c>
      <c r="ME38" s="65">
        <v>1050.2</v>
      </c>
      <c r="MF38" s="63">
        <v>889.11</v>
      </c>
      <c r="MG38" s="64">
        <f t="shared" si="771"/>
        <v>161.09000000000003</v>
      </c>
      <c r="MH38" s="65"/>
      <c r="MI38" s="63"/>
      <c r="MJ38" s="64">
        <f t="shared" si="772"/>
        <v>0</v>
      </c>
      <c r="MK38" s="65">
        <v>100</v>
      </c>
      <c r="ML38" s="63">
        <v>354.76</v>
      </c>
      <c r="MM38" s="64">
        <f t="shared" si="773"/>
        <v>-254.76</v>
      </c>
      <c r="MN38" s="66">
        <f t="shared" si="131"/>
        <v>1150.2</v>
      </c>
      <c r="MO38" s="67">
        <f t="shared" si="774"/>
        <v>1243.8699999999999</v>
      </c>
      <c r="MP38" s="64">
        <f t="shared" si="775"/>
        <v>-93.669999999999845</v>
      </c>
      <c r="MQ38" s="62"/>
      <c r="MR38" s="63"/>
      <c r="MS38" s="64">
        <f t="shared" si="776"/>
        <v>0</v>
      </c>
      <c r="MT38" s="65"/>
      <c r="MU38" s="63"/>
      <c r="MV38" s="64">
        <f t="shared" si="777"/>
        <v>0</v>
      </c>
      <c r="MW38" s="65"/>
      <c r="MX38" s="63"/>
      <c r="MY38" s="64">
        <f t="shared" si="778"/>
        <v>0</v>
      </c>
      <c r="MZ38" s="65"/>
      <c r="NA38" s="63"/>
      <c r="NB38" s="64">
        <f t="shared" si="779"/>
        <v>0</v>
      </c>
      <c r="NC38" s="66">
        <f t="shared" si="138"/>
        <v>0</v>
      </c>
      <c r="ND38" s="67">
        <f t="shared" si="780"/>
        <v>0</v>
      </c>
      <c r="NE38" s="64">
        <f t="shared" si="781"/>
        <v>0</v>
      </c>
      <c r="NF38" s="62"/>
      <c r="NG38" s="63">
        <v>8000</v>
      </c>
      <c r="NH38" s="64">
        <f t="shared" si="782"/>
        <v>-8000</v>
      </c>
      <c r="NI38" s="65">
        <v>886.87</v>
      </c>
      <c r="NJ38" s="63">
        <v>1204.04</v>
      </c>
      <c r="NK38" s="64">
        <f t="shared" si="783"/>
        <v>-317.16999999999996</v>
      </c>
      <c r="NL38" s="65"/>
      <c r="NM38" s="63"/>
      <c r="NN38" s="64">
        <f t="shared" si="784"/>
        <v>0</v>
      </c>
      <c r="NO38" s="65">
        <v>100</v>
      </c>
      <c r="NP38" s="63">
        <v>275.73</v>
      </c>
      <c r="NQ38" s="64">
        <f t="shared" si="785"/>
        <v>-175.73000000000002</v>
      </c>
      <c r="NR38" s="66">
        <f t="shared" si="145"/>
        <v>986.87</v>
      </c>
      <c r="NS38" s="67">
        <f t="shared" si="786"/>
        <v>9479.77</v>
      </c>
      <c r="NT38" s="64">
        <f t="shared" si="787"/>
        <v>-8492.9</v>
      </c>
      <c r="NU38" s="62"/>
      <c r="NV38" s="63"/>
      <c r="NW38" s="64">
        <f t="shared" si="788"/>
        <v>0</v>
      </c>
      <c r="NX38" s="65">
        <v>1004.52</v>
      </c>
      <c r="NY38" s="63">
        <v>1135.2</v>
      </c>
      <c r="NZ38" s="64">
        <f t="shared" si="789"/>
        <v>-130.68000000000006</v>
      </c>
      <c r="OA38" s="65"/>
      <c r="OB38" s="63"/>
      <c r="OC38" s="64">
        <f t="shared" si="790"/>
        <v>0</v>
      </c>
      <c r="OD38" s="65">
        <v>100</v>
      </c>
      <c r="OE38" s="63">
        <v>183.95</v>
      </c>
      <c r="OF38" s="64">
        <f t="shared" si="791"/>
        <v>-83.949999999999989</v>
      </c>
      <c r="OG38" s="66">
        <f t="shared" si="152"/>
        <v>1104.52</v>
      </c>
      <c r="OH38" s="67">
        <f t="shared" si="792"/>
        <v>1319.15</v>
      </c>
      <c r="OI38" s="64">
        <f t="shared" si="793"/>
        <v>-214.63000000000011</v>
      </c>
      <c r="OJ38" s="62"/>
      <c r="OK38" s="63"/>
      <c r="OL38" s="64">
        <f t="shared" si="794"/>
        <v>0</v>
      </c>
      <c r="OM38" s="65"/>
      <c r="ON38" s="63"/>
      <c r="OO38" s="64">
        <f t="shared" si="795"/>
        <v>0</v>
      </c>
      <c r="OP38" s="65"/>
      <c r="OQ38" s="63"/>
      <c r="OR38" s="64">
        <f t="shared" si="796"/>
        <v>0</v>
      </c>
      <c r="OS38" s="65">
        <v>100</v>
      </c>
      <c r="OT38" s="63">
        <v>145.37</v>
      </c>
      <c r="OU38" s="64">
        <f t="shared" si="797"/>
        <v>-45.370000000000005</v>
      </c>
      <c r="OV38" s="66">
        <f t="shared" si="159"/>
        <v>100</v>
      </c>
      <c r="OW38" s="67">
        <f t="shared" si="798"/>
        <v>145.37</v>
      </c>
      <c r="OX38" s="64">
        <f t="shared" si="799"/>
        <v>-45.370000000000005</v>
      </c>
      <c r="OY38" s="62"/>
      <c r="OZ38" s="63"/>
      <c r="PA38" s="64">
        <f t="shared" si="800"/>
        <v>0</v>
      </c>
      <c r="PB38" s="65"/>
      <c r="PC38" s="63"/>
      <c r="PD38" s="64">
        <f t="shared" si="801"/>
        <v>0</v>
      </c>
      <c r="PE38" s="65"/>
      <c r="PF38" s="63"/>
      <c r="PG38" s="64">
        <f t="shared" si="802"/>
        <v>0</v>
      </c>
      <c r="PH38" s="65">
        <v>100</v>
      </c>
      <c r="PI38" s="63">
        <v>131.61000000000001</v>
      </c>
      <c r="PJ38" s="64">
        <f t="shared" si="803"/>
        <v>-31.610000000000014</v>
      </c>
      <c r="PK38" s="66">
        <f t="shared" si="166"/>
        <v>100</v>
      </c>
      <c r="PL38" s="67">
        <f t="shared" si="804"/>
        <v>131.61000000000001</v>
      </c>
      <c r="PM38" s="64">
        <f t="shared" si="805"/>
        <v>-31.610000000000014</v>
      </c>
      <c r="PN38" s="62">
        <v>1550</v>
      </c>
      <c r="PO38" s="63">
        <v>1550</v>
      </c>
      <c r="PP38" s="64">
        <f t="shared" si="806"/>
        <v>0</v>
      </c>
      <c r="PQ38" s="65"/>
      <c r="PR38" s="63"/>
      <c r="PS38" s="64">
        <f t="shared" si="807"/>
        <v>0</v>
      </c>
      <c r="PT38" s="65"/>
      <c r="PU38" s="63"/>
      <c r="PV38" s="64">
        <f t="shared" si="808"/>
        <v>0</v>
      </c>
      <c r="PW38" s="65">
        <v>100</v>
      </c>
      <c r="PX38" s="63"/>
      <c r="PY38" s="64">
        <f t="shared" si="809"/>
        <v>100</v>
      </c>
      <c r="PZ38" s="66">
        <f t="shared" si="173"/>
        <v>1650</v>
      </c>
      <c r="QA38" s="67">
        <f t="shared" si="810"/>
        <v>1550</v>
      </c>
      <c r="QB38" s="64">
        <f t="shared" si="811"/>
        <v>100</v>
      </c>
      <c r="QC38" s="62">
        <v>7500</v>
      </c>
      <c r="QD38" s="63">
        <v>7500</v>
      </c>
      <c r="QE38" s="64">
        <f t="shared" si="812"/>
        <v>0</v>
      </c>
      <c r="QF38" s="65"/>
      <c r="QG38" s="63"/>
      <c r="QH38" s="64">
        <f t="shared" si="813"/>
        <v>0</v>
      </c>
      <c r="QI38" s="65"/>
      <c r="QJ38" s="63"/>
      <c r="QK38" s="64">
        <f t="shared" si="814"/>
        <v>0</v>
      </c>
      <c r="QL38" s="65">
        <v>100</v>
      </c>
      <c r="QM38" s="63">
        <v>159.88999999999999</v>
      </c>
      <c r="QN38" s="64">
        <f t="shared" si="815"/>
        <v>-59.889999999999986</v>
      </c>
      <c r="QO38" s="66">
        <f t="shared" si="180"/>
        <v>7600</v>
      </c>
      <c r="QP38" s="67">
        <f t="shared" si="816"/>
        <v>7659.89</v>
      </c>
      <c r="QQ38" s="64">
        <f t="shared" si="817"/>
        <v>-59.890000000000327</v>
      </c>
      <c r="QR38" s="62"/>
      <c r="QS38" s="63"/>
      <c r="QT38" s="64">
        <f t="shared" si="818"/>
        <v>0</v>
      </c>
      <c r="QU38" s="65"/>
      <c r="QV38" s="63"/>
      <c r="QW38" s="64">
        <f t="shared" si="819"/>
        <v>0</v>
      </c>
      <c r="QX38" s="65"/>
      <c r="QY38" s="63">
        <v>5635.05</v>
      </c>
      <c r="QZ38" s="64">
        <f t="shared" si="820"/>
        <v>-5635.05</v>
      </c>
      <c r="RA38" s="65"/>
      <c r="RB38" s="63"/>
      <c r="RC38" s="64">
        <f t="shared" si="821"/>
        <v>0</v>
      </c>
      <c r="RD38" s="66">
        <f t="shared" si="187"/>
        <v>0</v>
      </c>
      <c r="RE38" s="67">
        <f t="shared" si="822"/>
        <v>5635.05</v>
      </c>
      <c r="RF38" s="64">
        <f t="shared" si="823"/>
        <v>-5635.05</v>
      </c>
      <c r="RG38" s="62"/>
      <c r="RH38" s="63"/>
      <c r="RI38" s="64">
        <f t="shared" si="824"/>
        <v>0</v>
      </c>
      <c r="RJ38" s="65"/>
      <c r="RK38" s="63"/>
      <c r="RL38" s="64">
        <f t="shared" si="825"/>
        <v>0</v>
      </c>
      <c r="RM38" s="65"/>
      <c r="RN38" s="63">
        <v>5500</v>
      </c>
      <c r="RO38" s="64">
        <f t="shared" si="826"/>
        <v>-5500</v>
      </c>
      <c r="RP38" s="65"/>
      <c r="RQ38" s="63"/>
      <c r="RR38" s="64">
        <f t="shared" si="827"/>
        <v>0</v>
      </c>
      <c r="RS38" s="66">
        <f t="shared" si="194"/>
        <v>0</v>
      </c>
      <c r="RT38" s="67">
        <f t="shared" si="828"/>
        <v>5500</v>
      </c>
      <c r="RU38" s="64">
        <f t="shared" si="829"/>
        <v>-5500</v>
      </c>
      <c r="RV38" s="62"/>
      <c r="RW38" s="63"/>
      <c r="RX38" s="64">
        <f t="shared" si="830"/>
        <v>0</v>
      </c>
      <c r="RY38" s="65"/>
      <c r="RZ38" s="63"/>
      <c r="SA38" s="64">
        <f t="shared" si="831"/>
        <v>0</v>
      </c>
      <c r="SB38" s="65"/>
      <c r="SC38" s="63"/>
      <c r="SD38" s="64">
        <f t="shared" si="832"/>
        <v>0</v>
      </c>
      <c r="SE38" s="65">
        <v>100</v>
      </c>
      <c r="SF38" s="63">
        <f>163.86+92.87</f>
        <v>256.73</v>
      </c>
      <c r="SG38" s="64">
        <f t="shared" si="833"/>
        <v>-156.73000000000002</v>
      </c>
      <c r="SH38" s="66">
        <f t="shared" si="201"/>
        <v>100</v>
      </c>
      <c r="SI38" s="67">
        <f t="shared" si="834"/>
        <v>256.73</v>
      </c>
      <c r="SJ38" s="64">
        <f t="shared" si="835"/>
        <v>-156.73000000000002</v>
      </c>
      <c r="SK38" s="62">
        <v>17000</v>
      </c>
      <c r="SL38" s="63">
        <v>17000</v>
      </c>
      <c r="SM38" s="64">
        <f t="shared" si="836"/>
        <v>0</v>
      </c>
      <c r="SN38" s="65"/>
      <c r="SO38" s="63"/>
      <c r="SP38" s="64">
        <f t="shared" si="837"/>
        <v>0</v>
      </c>
      <c r="SQ38" s="65"/>
      <c r="SR38" s="63"/>
      <c r="SS38" s="64">
        <f t="shared" si="838"/>
        <v>0</v>
      </c>
      <c r="ST38" s="65">
        <v>100</v>
      </c>
      <c r="SU38" s="63">
        <v>174.4</v>
      </c>
      <c r="SV38" s="64">
        <f t="shared" si="839"/>
        <v>-74.400000000000006</v>
      </c>
      <c r="SW38" s="66">
        <f t="shared" si="208"/>
        <v>17100</v>
      </c>
      <c r="SX38" s="67">
        <f t="shared" si="840"/>
        <v>17174.400000000001</v>
      </c>
      <c r="SY38" s="64">
        <f t="shared" si="841"/>
        <v>-74.400000000001455</v>
      </c>
      <c r="SZ38" s="62">
        <v>985.33</v>
      </c>
      <c r="TA38" s="63">
        <v>985.33</v>
      </c>
      <c r="TB38" s="64">
        <f t="shared" si="842"/>
        <v>0</v>
      </c>
      <c r="TC38" s="65">
        <v>700.9</v>
      </c>
      <c r="TD38" s="63">
        <v>712.58</v>
      </c>
      <c r="TE38" s="64">
        <f t="shared" si="843"/>
        <v>-11.680000000000064</v>
      </c>
      <c r="TF38" s="65"/>
      <c r="TG38" s="63"/>
      <c r="TH38" s="64">
        <f t="shared" si="844"/>
        <v>0</v>
      </c>
      <c r="TI38" s="65">
        <v>100</v>
      </c>
      <c r="TJ38" s="63"/>
      <c r="TK38" s="64">
        <f t="shared" si="845"/>
        <v>100</v>
      </c>
      <c r="TL38" s="66">
        <f t="shared" si="215"/>
        <v>1786.23</v>
      </c>
      <c r="TM38" s="67">
        <f t="shared" si="846"/>
        <v>1697.91</v>
      </c>
      <c r="TN38" s="64">
        <f t="shared" si="847"/>
        <v>88.319999999999936</v>
      </c>
      <c r="TO38" s="62"/>
      <c r="TP38" s="63"/>
      <c r="TQ38" s="64">
        <f t="shared" si="848"/>
        <v>0</v>
      </c>
      <c r="TR38" s="65"/>
      <c r="TS38" s="63"/>
      <c r="TT38" s="64">
        <f t="shared" si="849"/>
        <v>0</v>
      </c>
      <c r="TU38" s="65"/>
      <c r="TV38" s="63"/>
      <c r="TW38" s="64">
        <f t="shared" si="850"/>
        <v>0</v>
      </c>
      <c r="TX38" s="65">
        <v>100</v>
      </c>
      <c r="TY38" s="63">
        <v>115.83</v>
      </c>
      <c r="TZ38" s="64">
        <f t="shared" si="851"/>
        <v>-15.829999999999998</v>
      </c>
      <c r="UA38" s="66">
        <f t="shared" si="222"/>
        <v>100</v>
      </c>
      <c r="UB38" s="67">
        <f t="shared" si="852"/>
        <v>115.83</v>
      </c>
      <c r="UC38" s="64">
        <f t="shared" si="853"/>
        <v>-15.829999999999998</v>
      </c>
      <c r="UD38" s="62"/>
      <c r="UE38" s="63"/>
      <c r="UF38" s="64">
        <f t="shared" si="854"/>
        <v>0</v>
      </c>
      <c r="UG38" s="65">
        <v>497.04</v>
      </c>
      <c r="UH38" s="63">
        <v>517.34</v>
      </c>
      <c r="UI38" s="64">
        <f t="shared" si="855"/>
        <v>-20.300000000000011</v>
      </c>
      <c r="UJ38" s="65"/>
      <c r="UK38" s="63"/>
      <c r="UL38" s="64">
        <f t="shared" si="856"/>
        <v>0</v>
      </c>
      <c r="UM38" s="65">
        <v>100</v>
      </c>
      <c r="UN38" s="63"/>
      <c r="UO38" s="64">
        <f t="shared" si="857"/>
        <v>100</v>
      </c>
      <c r="UP38" s="66">
        <f t="shared" si="226"/>
        <v>597.04</v>
      </c>
      <c r="UQ38" s="67">
        <f t="shared" si="858"/>
        <v>517.34</v>
      </c>
      <c r="UR38" s="64">
        <f t="shared" si="859"/>
        <v>79.699999999999932</v>
      </c>
      <c r="US38" s="130"/>
      <c r="UT38" s="77"/>
      <c r="UU38" s="131"/>
      <c r="UV38" s="76"/>
      <c r="UW38" s="77"/>
      <c r="UX38" s="131"/>
      <c r="UY38" s="76"/>
      <c r="UZ38" s="77"/>
      <c r="VA38" s="131"/>
      <c r="VB38" s="76"/>
      <c r="VC38" s="77">
        <v>2415.04</v>
      </c>
      <c r="VD38" s="131"/>
      <c r="VE38" s="76">
        <f t="shared" si="233"/>
        <v>0</v>
      </c>
      <c r="VF38" s="77">
        <f t="shared" si="860"/>
        <v>2415.04</v>
      </c>
      <c r="VG38" s="131">
        <f t="shared" si="861"/>
        <v>-2415.04</v>
      </c>
      <c r="VH38" s="62"/>
      <c r="VI38" s="63"/>
      <c r="VJ38" s="64">
        <f t="shared" si="862"/>
        <v>0</v>
      </c>
      <c r="VK38" s="65"/>
      <c r="VL38" s="63"/>
      <c r="VM38" s="64">
        <f t="shared" si="863"/>
        <v>0</v>
      </c>
      <c r="VN38" s="65"/>
      <c r="VO38" s="63"/>
      <c r="VP38" s="64">
        <f t="shared" si="864"/>
        <v>0</v>
      </c>
      <c r="VQ38" s="65">
        <v>100</v>
      </c>
      <c r="VR38" s="63">
        <v>144.78</v>
      </c>
      <c r="VS38" s="64">
        <f t="shared" si="865"/>
        <v>-44.78</v>
      </c>
      <c r="VT38" s="66">
        <f t="shared" si="240"/>
        <v>100</v>
      </c>
      <c r="VU38" s="67">
        <f t="shared" si="866"/>
        <v>144.78</v>
      </c>
      <c r="VV38" s="64">
        <f t="shared" si="867"/>
        <v>-44.78</v>
      </c>
      <c r="VW38" s="74"/>
      <c r="VX38" s="72"/>
      <c r="VY38" s="73"/>
      <c r="VZ38" s="74"/>
      <c r="WA38" s="75"/>
      <c r="WB38" s="73"/>
      <c r="WC38" s="74"/>
      <c r="WD38" s="75"/>
      <c r="WE38" s="73"/>
      <c r="WF38" s="74"/>
      <c r="WG38" s="75"/>
      <c r="WH38" s="73"/>
      <c r="WI38" s="74"/>
      <c r="WJ38" s="76"/>
      <c r="WK38" s="77"/>
      <c r="WL38" s="62">
        <v>1376.01</v>
      </c>
      <c r="WM38" s="63">
        <v>1376.01</v>
      </c>
      <c r="WN38" s="64">
        <f t="shared" si="868"/>
        <v>0</v>
      </c>
      <c r="WO38" s="65"/>
      <c r="WP38" s="63"/>
      <c r="WQ38" s="64">
        <f t="shared" si="869"/>
        <v>0</v>
      </c>
      <c r="WR38" s="65"/>
      <c r="WS38" s="63"/>
      <c r="WT38" s="64">
        <f t="shared" si="870"/>
        <v>0</v>
      </c>
      <c r="WU38" s="65">
        <v>100</v>
      </c>
      <c r="WV38" s="63">
        <v>135.99</v>
      </c>
      <c r="WW38" s="64">
        <f t="shared" si="871"/>
        <v>-35.990000000000009</v>
      </c>
      <c r="WX38" s="66">
        <f t="shared" si="254"/>
        <v>1476.01</v>
      </c>
      <c r="WY38" s="67">
        <f t="shared" si="872"/>
        <v>1512</v>
      </c>
      <c r="WZ38" s="64">
        <f t="shared" si="873"/>
        <v>-35.990000000000009</v>
      </c>
      <c r="XA38" s="62"/>
      <c r="XB38" s="63"/>
      <c r="XC38" s="64">
        <f t="shared" si="874"/>
        <v>0</v>
      </c>
      <c r="XD38" s="65"/>
      <c r="XE38" s="63"/>
      <c r="XF38" s="64">
        <f t="shared" si="875"/>
        <v>0</v>
      </c>
      <c r="XG38" s="65"/>
      <c r="XH38" s="63"/>
      <c r="XI38" s="64">
        <f t="shared" si="876"/>
        <v>0</v>
      </c>
      <c r="XJ38" s="65">
        <v>100</v>
      </c>
      <c r="XK38" s="63">
        <v>121.6</v>
      </c>
      <c r="XL38" s="64">
        <f t="shared" si="877"/>
        <v>-21.599999999999994</v>
      </c>
      <c r="XM38" s="66">
        <f t="shared" si="261"/>
        <v>100</v>
      </c>
      <c r="XN38" s="67">
        <f t="shared" si="878"/>
        <v>121.6</v>
      </c>
      <c r="XO38" s="64">
        <f t="shared" si="879"/>
        <v>-21.599999999999994</v>
      </c>
      <c r="XP38" s="62"/>
      <c r="XQ38" s="63"/>
      <c r="XR38" s="64">
        <f t="shared" si="880"/>
        <v>0</v>
      </c>
      <c r="XS38" s="65">
        <v>591.29999999999995</v>
      </c>
      <c r="XT38" s="63">
        <v>820.33</v>
      </c>
      <c r="XU38" s="64">
        <f t="shared" si="881"/>
        <v>-229.03000000000009</v>
      </c>
      <c r="XV38" s="65"/>
      <c r="XW38" s="63"/>
      <c r="XX38" s="64">
        <f t="shared" si="882"/>
        <v>0</v>
      </c>
      <c r="XY38" s="65">
        <v>100</v>
      </c>
      <c r="XZ38" s="63">
        <v>78.63</v>
      </c>
      <c r="YA38" s="64">
        <f t="shared" si="883"/>
        <v>21.370000000000005</v>
      </c>
      <c r="YB38" s="66">
        <f t="shared" si="268"/>
        <v>691.3</v>
      </c>
      <c r="YC38" s="67">
        <f t="shared" si="884"/>
        <v>898.96</v>
      </c>
      <c r="YD38" s="64">
        <f t="shared" si="885"/>
        <v>-207.66000000000008</v>
      </c>
      <c r="YE38" s="62"/>
      <c r="YF38" s="63"/>
      <c r="YG38" s="64">
        <f t="shared" si="886"/>
        <v>0</v>
      </c>
      <c r="YH38" s="65">
        <v>725.15</v>
      </c>
      <c r="YI38" s="63">
        <v>836.95</v>
      </c>
      <c r="YJ38" s="64">
        <f t="shared" si="887"/>
        <v>-111.80000000000007</v>
      </c>
      <c r="YK38" s="65"/>
      <c r="YL38" s="63"/>
      <c r="YM38" s="64">
        <f t="shared" si="888"/>
        <v>0</v>
      </c>
      <c r="YN38" s="65">
        <v>100</v>
      </c>
      <c r="YO38" s="63">
        <v>85.2</v>
      </c>
      <c r="YP38" s="64">
        <f t="shared" si="889"/>
        <v>14.799999999999997</v>
      </c>
      <c r="YQ38" s="66">
        <f t="shared" si="275"/>
        <v>825.15</v>
      </c>
      <c r="YR38" s="67">
        <f t="shared" si="890"/>
        <v>922.15000000000009</v>
      </c>
      <c r="YS38" s="64">
        <f t="shared" si="891"/>
        <v>-97.000000000000114</v>
      </c>
      <c r="YT38" s="62"/>
      <c r="YU38" s="63"/>
      <c r="YV38" s="64">
        <f t="shared" si="892"/>
        <v>0</v>
      </c>
      <c r="YW38" s="65">
        <v>513.28</v>
      </c>
      <c r="YX38" s="63">
        <v>680.54</v>
      </c>
      <c r="YY38" s="64">
        <f t="shared" si="893"/>
        <v>-167.26</v>
      </c>
      <c r="YZ38" s="65"/>
      <c r="ZA38" s="63"/>
      <c r="ZB38" s="64">
        <f t="shared" si="894"/>
        <v>0</v>
      </c>
      <c r="ZC38" s="65">
        <v>100</v>
      </c>
      <c r="ZD38" s="63">
        <v>66.599999999999994</v>
      </c>
      <c r="ZE38" s="64">
        <f t="shared" si="895"/>
        <v>33.400000000000006</v>
      </c>
      <c r="ZF38" s="66">
        <f t="shared" si="282"/>
        <v>613.28</v>
      </c>
      <c r="ZG38" s="67">
        <f t="shared" si="896"/>
        <v>747.14</v>
      </c>
      <c r="ZH38" s="64">
        <f t="shared" si="897"/>
        <v>-133.86000000000001</v>
      </c>
      <c r="ZI38" s="62">
        <v>1250</v>
      </c>
      <c r="ZJ38" s="63">
        <v>1250</v>
      </c>
      <c r="ZK38" s="64">
        <f t="shared" si="898"/>
        <v>0</v>
      </c>
      <c r="ZL38" s="65"/>
      <c r="ZM38" s="63"/>
      <c r="ZN38" s="64">
        <f t="shared" si="899"/>
        <v>0</v>
      </c>
      <c r="ZO38" s="65"/>
      <c r="ZP38" s="63"/>
      <c r="ZQ38" s="64">
        <f t="shared" si="900"/>
        <v>0</v>
      </c>
      <c r="ZR38" s="65">
        <v>100</v>
      </c>
      <c r="ZS38" s="63"/>
      <c r="ZT38" s="64">
        <f t="shared" si="901"/>
        <v>100</v>
      </c>
      <c r="ZU38" s="66">
        <f t="shared" si="289"/>
        <v>1350</v>
      </c>
      <c r="ZV38" s="67">
        <f t="shared" si="902"/>
        <v>1250</v>
      </c>
      <c r="ZW38" s="64">
        <f t="shared" si="903"/>
        <v>100</v>
      </c>
      <c r="ZX38" s="62">
        <v>24.71</v>
      </c>
      <c r="ZY38" s="63">
        <v>24.71</v>
      </c>
      <c r="ZZ38" s="64">
        <f t="shared" si="904"/>
        <v>0</v>
      </c>
      <c r="AAA38" s="66">
        <f t="shared" si="293"/>
        <v>24.71</v>
      </c>
      <c r="AAB38" s="67">
        <f t="shared" si="293"/>
        <v>24.71</v>
      </c>
      <c r="AAC38" s="64">
        <f t="shared" si="905"/>
        <v>0</v>
      </c>
      <c r="AAD38" s="85">
        <f t="shared" si="295"/>
        <v>141554.18999999997</v>
      </c>
      <c r="AAE38" s="86">
        <f t="shared" si="295"/>
        <v>171078.09000000003</v>
      </c>
      <c r="AAF38" s="87">
        <f t="shared" si="3"/>
        <v>1.2085695944429484</v>
      </c>
      <c r="AAG38" s="88">
        <f t="shared" si="906"/>
        <v>29523.900000000052</v>
      </c>
      <c r="AAH38" s="89"/>
      <c r="AAI38" s="92"/>
      <c r="AAJ38" s="92"/>
      <c r="AAK38" s="60"/>
    </row>
    <row r="39" spans="1:713" s="83" customFormat="1" ht="38.25" customHeight="1" thickTop="1" thickBot="1" x14ac:dyDescent="0.25">
      <c r="A39" s="57" t="s">
        <v>36</v>
      </c>
      <c r="B39" s="94">
        <f>B37/B33</f>
        <v>1.0565576382967818</v>
      </c>
      <c r="C39" s="95"/>
      <c r="D39" s="95"/>
      <c r="E39" s="60"/>
      <c r="F39" s="132">
        <v>45536</v>
      </c>
      <c r="G39" s="133"/>
      <c r="H39" s="134"/>
      <c r="I39" s="135">
        <f t="shared" si="649"/>
        <v>0</v>
      </c>
      <c r="J39" s="136">
        <v>2154.35</v>
      </c>
      <c r="K39" s="134">
        <v>2350</v>
      </c>
      <c r="L39" s="135">
        <f t="shared" si="650"/>
        <v>-195.65000000000009</v>
      </c>
      <c r="M39" s="136">
        <v>2500</v>
      </c>
      <c r="N39" s="134">
        <v>4088.09</v>
      </c>
      <c r="O39" s="135">
        <f t="shared" si="651"/>
        <v>-1588.0900000000001</v>
      </c>
      <c r="P39" s="136">
        <v>1500</v>
      </c>
      <c r="Q39" s="134">
        <v>1671.36</v>
      </c>
      <c r="R39" s="135">
        <f t="shared" si="652"/>
        <v>-171.3599999999999</v>
      </c>
      <c r="S39" s="136">
        <v>362</v>
      </c>
      <c r="T39" s="134">
        <v>196.34</v>
      </c>
      <c r="U39" s="135">
        <f t="shared" si="653"/>
        <v>165.66</v>
      </c>
      <c r="V39" s="137">
        <f t="shared" si="654"/>
        <v>6516.35</v>
      </c>
      <c r="W39" s="138">
        <f t="shared" si="654"/>
        <v>8305.7899999999991</v>
      </c>
      <c r="X39" s="135">
        <f t="shared" si="655"/>
        <v>-1789.4399999999987</v>
      </c>
      <c r="Y39" s="133">
        <v>1100</v>
      </c>
      <c r="Z39" s="134">
        <v>1100</v>
      </c>
      <c r="AA39" s="135">
        <f t="shared" si="656"/>
        <v>0</v>
      </c>
      <c r="AB39" s="136"/>
      <c r="AC39" s="134"/>
      <c r="AD39" s="135">
        <f t="shared" si="657"/>
        <v>0</v>
      </c>
      <c r="AE39" s="136"/>
      <c r="AF39" s="134"/>
      <c r="AG39" s="135">
        <f t="shared" si="658"/>
        <v>0</v>
      </c>
      <c r="AH39" s="136"/>
      <c r="AI39" s="134"/>
      <c r="AJ39" s="135">
        <f t="shared" si="659"/>
        <v>0</v>
      </c>
      <c r="AK39" s="137">
        <f t="shared" si="16"/>
        <v>1100</v>
      </c>
      <c r="AL39" s="138">
        <f t="shared" si="17"/>
        <v>1100</v>
      </c>
      <c r="AM39" s="135">
        <f t="shared" si="660"/>
        <v>0</v>
      </c>
      <c r="AN39" s="133">
        <v>6250</v>
      </c>
      <c r="AO39" s="134">
        <v>6250</v>
      </c>
      <c r="AP39" s="135">
        <f t="shared" si="907"/>
        <v>0</v>
      </c>
      <c r="AQ39" s="136"/>
      <c r="AR39" s="134"/>
      <c r="AS39" s="135">
        <f t="shared" si="661"/>
        <v>0</v>
      </c>
      <c r="AT39" s="136"/>
      <c r="AU39" s="134"/>
      <c r="AV39" s="135">
        <f t="shared" si="662"/>
        <v>0</v>
      </c>
      <c r="AW39" s="136"/>
      <c r="AX39" s="134"/>
      <c r="AY39" s="135">
        <f t="shared" si="663"/>
        <v>0</v>
      </c>
      <c r="AZ39" s="137">
        <f t="shared" si="23"/>
        <v>6250</v>
      </c>
      <c r="BA39" s="138">
        <f t="shared" si="664"/>
        <v>6250</v>
      </c>
      <c r="BB39" s="135">
        <f t="shared" si="665"/>
        <v>0</v>
      </c>
      <c r="BC39" s="133"/>
      <c r="BD39" s="134"/>
      <c r="BE39" s="135">
        <f t="shared" si="666"/>
        <v>0</v>
      </c>
      <c r="BF39" s="136"/>
      <c r="BG39" s="134"/>
      <c r="BH39" s="135">
        <f t="shared" si="667"/>
        <v>0</v>
      </c>
      <c r="BI39" s="136"/>
      <c r="BJ39" s="63">
        <v>936.86</v>
      </c>
      <c r="BK39" s="135">
        <f t="shared" si="668"/>
        <v>-936.86</v>
      </c>
      <c r="BL39" s="136">
        <v>100</v>
      </c>
      <c r="BM39" s="134"/>
      <c r="BN39" s="135">
        <f t="shared" si="669"/>
        <v>100</v>
      </c>
      <c r="BO39" s="137">
        <f t="shared" si="30"/>
        <v>100</v>
      </c>
      <c r="BP39" s="138">
        <f t="shared" si="670"/>
        <v>936.86</v>
      </c>
      <c r="BQ39" s="135">
        <f t="shared" si="671"/>
        <v>-836.86</v>
      </c>
      <c r="BR39" s="133">
        <v>819.1</v>
      </c>
      <c r="BS39" s="134">
        <v>819.1</v>
      </c>
      <c r="BT39" s="139"/>
      <c r="BU39" s="140"/>
      <c r="BV39" s="141"/>
      <c r="BW39" s="139"/>
      <c r="BX39" s="140"/>
      <c r="BY39" s="141"/>
      <c r="BZ39" s="139"/>
      <c r="CA39" s="140"/>
      <c r="CB39" s="141"/>
      <c r="CC39" s="139"/>
      <c r="CD39" s="137">
        <f t="shared" si="33"/>
        <v>819.1</v>
      </c>
      <c r="CE39" s="138">
        <f t="shared" si="672"/>
        <v>819.1</v>
      </c>
      <c r="CF39" s="135">
        <f t="shared" si="673"/>
        <v>0</v>
      </c>
      <c r="CG39" s="133">
        <v>5000</v>
      </c>
      <c r="CH39" s="134">
        <v>5000</v>
      </c>
      <c r="CI39" s="135">
        <f t="shared" si="674"/>
        <v>0</v>
      </c>
      <c r="CJ39" s="136"/>
      <c r="CK39" s="134"/>
      <c r="CL39" s="135">
        <f t="shared" si="675"/>
        <v>0</v>
      </c>
      <c r="CM39" s="136"/>
      <c r="CN39" s="134"/>
      <c r="CO39" s="135">
        <f t="shared" si="676"/>
        <v>0</v>
      </c>
      <c r="CP39" s="136"/>
      <c r="CQ39" s="134"/>
      <c r="CR39" s="135">
        <f t="shared" si="677"/>
        <v>0</v>
      </c>
      <c r="CS39" s="137">
        <f t="shared" si="40"/>
        <v>5000</v>
      </c>
      <c r="CT39" s="138">
        <f t="shared" si="678"/>
        <v>5000</v>
      </c>
      <c r="CU39" s="135">
        <f t="shared" si="679"/>
        <v>0</v>
      </c>
      <c r="CV39" s="133">
        <v>2916.7</v>
      </c>
      <c r="CW39" s="134">
        <v>2916.7</v>
      </c>
      <c r="CX39" s="135">
        <f t="shared" si="680"/>
        <v>0</v>
      </c>
      <c r="CY39" s="136"/>
      <c r="CZ39" s="134"/>
      <c r="DA39" s="135">
        <f t="shared" si="681"/>
        <v>0</v>
      </c>
      <c r="DB39" s="136"/>
      <c r="DC39" s="134"/>
      <c r="DD39" s="135">
        <f t="shared" si="682"/>
        <v>0</v>
      </c>
      <c r="DE39" s="136"/>
      <c r="DF39" s="134">
        <v>271.06</v>
      </c>
      <c r="DG39" s="135">
        <f t="shared" si="683"/>
        <v>-271.06</v>
      </c>
      <c r="DH39" s="137">
        <f t="shared" si="43"/>
        <v>2916.7</v>
      </c>
      <c r="DI39" s="138">
        <f t="shared" si="684"/>
        <v>3187.7599999999998</v>
      </c>
      <c r="DJ39" s="135">
        <f t="shared" si="685"/>
        <v>-271.05999999999995</v>
      </c>
      <c r="DK39" s="133">
        <v>2400</v>
      </c>
      <c r="DL39" s="134">
        <v>2400</v>
      </c>
      <c r="DM39" s="135">
        <f t="shared" si="686"/>
        <v>0</v>
      </c>
      <c r="DN39" s="136">
        <v>580</v>
      </c>
      <c r="DO39" s="134">
        <v>580</v>
      </c>
      <c r="DP39" s="135">
        <f t="shared" si="687"/>
        <v>0</v>
      </c>
      <c r="DQ39" s="136"/>
      <c r="DR39" s="134"/>
      <c r="DS39" s="135">
        <f t="shared" si="688"/>
        <v>0</v>
      </c>
      <c r="DT39" s="136">
        <v>100</v>
      </c>
      <c r="DU39" s="134">
        <v>33.08</v>
      </c>
      <c r="DV39" s="135">
        <f t="shared" si="689"/>
        <v>66.92</v>
      </c>
      <c r="DW39" s="137">
        <f t="shared" si="46"/>
        <v>3080</v>
      </c>
      <c r="DX39" s="138">
        <f t="shared" si="690"/>
        <v>3013.08</v>
      </c>
      <c r="DY39" s="135">
        <f t="shared" si="691"/>
        <v>66.920000000000073</v>
      </c>
      <c r="DZ39" s="133"/>
      <c r="EA39" s="134"/>
      <c r="EB39" s="135">
        <f t="shared" si="692"/>
        <v>0</v>
      </c>
      <c r="EC39" s="136"/>
      <c r="ED39" s="134"/>
      <c r="EE39" s="135">
        <f t="shared" si="693"/>
        <v>0</v>
      </c>
      <c r="EF39" s="136"/>
      <c r="EG39" s="134"/>
      <c r="EH39" s="135">
        <f t="shared" si="694"/>
        <v>0</v>
      </c>
      <c r="EI39" s="136">
        <v>100</v>
      </c>
      <c r="EJ39" s="134"/>
      <c r="EK39" s="135">
        <f t="shared" si="695"/>
        <v>100</v>
      </c>
      <c r="EL39" s="137">
        <f t="shared" si="53"/>
        <v>100</v>
      </c>
      <c r="EM39" s="138">
        <f t="shared" si="696"/>
        <v>0</v>
      </c>
      <c r="EN39" s="135">
        <f t="shared" si="697"/>
        <v>100</v>
      </c>
      <c r="EO39" s="133"/>
      <c r="EP39" s="134"/>
      <c r="EQ39" s="135">
        <f t="shared" si="698"/>
        <v>0</v>
      </c>
      <c r="ER39" s="136"/>
      <c r="ES39" s="134"/>
      <c r="ET39" s="135">
        <f t="shared" si="699"/>
        <v>0</v>
      </c>
      <c r="EU39" s="136"/>
      <c r="EV39" s="63">
        <v>936.86</v>
      </c>
      <c r="EW39" s="135">
        <f t="shared" si="700"/>
        <v>-936.86</v>
      </c>
      <c r="EX39" s="136">
        <v>100</v>
      </c>
      <c r="EY39" s="134"/>
      <c r="EZ39" s="135">
        <f t="shared" si="701"/>
        <v>100</v>
      </c>
      <c r="FA39" s="137">
        <f t="shared" si="60"/>
        <v>100</v>
      </c>
      <c r="FB39" s="138">
        <f t="shared" si="702"/>
        <v>936.86</v>
      </c>
      <c r="FC39" s="135">
        <f t="shared" si="703"/>
        <v>-836.86</v>
      </c>
      <c r="FD39" s="133"/>
      <c r="FE39" s="134"/>
      <c r="FF39" s="135">
        <f t="shared" si="704"/>
        <v>0</v>
      </c>
      <c r="FG39" s="136"/>
      <c r="FH39" s="134"/>
      <c r="FI39" s="135">
        <f t="shared" si="705"/>
        <v>0</v>
      </c>
      <c r="FJ39" s="136"/>
      <c r="FK39" s="63">
        <v>936.86</v>
      </c>
      <c r="FL39" s="135">
        <f t="shared" si="706"/>
        <v>-936.86</v>
      </c>
      <c r="FM39" s="136">
        <v>100</v>
      </c>
      <c r="FN39" s="134"/>
      <c r="FO39" s="135">
        <f t="shared" si="707"/>
        <v>100</v>
      </c>
      <c r="FP39" s="137">
        <f t="shared" si="67"/>
        <v>100</v>
      </c>
      <c r="FQ39" s="138">
        <f t="shared" si="708"/>
        <v>936.86</v>
      </c>
      <c r="FR39" s="135">
        <f t="shared" si="709"/>
        <v>-836.86</v>
      </c>
      <c r="FS39" s="133"/>
      <c r="FT39" s="134"/>
      <c r="FU39" s="135">
        <f t="shared" si="710"/>
        <v>0</v>
      </c>
      <c r="FV39" s="136"/>
      <c r="FW39" s="134"/>
      <c r="FX39" s="135">
        <f t="shared" si="711"/>
        <v>0</v>
      </c>
      <c r="FY39" s="136"/>
      <c r="FZ39" s="134"/>
      <c r="GA39" s="135">
        <f t="shared" si="712"/>
        <v>0</v>
      </c>
      <c r="GB39" s="136"/>
      <c r="GC39" s="134"/>
      <c r="GD39" s="135">
        <f t="shared" si="713"/>
        <v>0</v>
      </c>
      <c r="GE39" s="137">
        <f t="shared" si="74"/>
        <v>0</v>
      </c>
      <c r="GF39" s="138">
        <f t="shared" si="714"/>
        <v>0</v>
      </c>
      <c r="GG39" s="135">
        <f t="shared" si="715"/>
        <v>0</v>
      </c>
      <c r="GH39" s="133"/>
      <c r="GI39" s="134"/>
      <c r="GJ39" s="135">
        <f t="shared" si="716"/>
        <v>0</v>
      </c>
      <c r="GK39" s="136"/>
      <c r="GL39" s="134"/>
      <c r="GM39" s="135">
        <f t="shared" si="717"/>
        <v>0</v>
      </c>
      <c r="GN39" s="136"/>
      <c r="GO39" s="134">
        <v>1980</v>
      </c>
      <c r="GP39" s="135">
        <f t="shared" si="718"/>
        <v>-1980</v>
      </c>
      <c r="GQ39" s="136"/>
      <c r="GR39" s="134"/>
      <c r="GS39" s="135">
        <f t="shared" si="719"/>
        <v>0</v>
      </c>
      <c r="GT39" s="137">
        <f t="shared" si="81"/>
        <v>0</v>
      </c>
      <c r="GU39" s="138">
        <f t="shared" si="720"/>
        <v>1980</v>
      </c>
      <c r="GV39" s="135">
        <f t="shared" si="721"/>
        <v>-1980</v>
      </c>
      <c r="GW39" s="133"/>
      <c r="GX39" s="134"/>
      <c r="GY39" s="135">
        <f t="shared" si="722"/>
        <v>0</v>
      </c>
      <c r="GZ39" s="136"/>
      <c r="HA39" s="134"/>
      <c r="HB39" s="135">
        <f t="shared" si="723"/>
        <v>0</v>
      </c>
      <c r="HC39" s="136"/>
      <c r="HD39" s="134"/>
      <c r="HE39" s="135">
        <f t="shared" si="724"/>
        <v>0</v>
      </c>
      <c r="HF39" s="136">
        <v>100</v>
      </c>
      <c r="HG39" s="134">
        <v>159.88999999999999</v>
      </c>
      <c r="HH39" s="135">
        <f t="shared" si="725"/>
        <v>-59.889999999999986</v>
      </c>
      <c r="HI39" s="137">
        <f t="shared" si="84"/>
        <v>100</v>
      </c>
      <c r="HJ39" s="138">
        <f t="shared" si="726"/>
        <v>159.88999999999999</v>
      </c>
      <c r="HK39" s="135">
        <f t="shared" si="727"/>
        <v>-59.889999999999986</v>
      </c>
      <c r="HL39" s="133"/>
      <c r="HM39" s="134"/>
      <c r="HN39" s="135">
        <f t="shared" si="728"/>
        <v>0</v>
      </c>
      <c r="HO39" s="136"/>
      <c r="HP39" s="134"/>
      <c r="HQ39" s="135">
        <f t="shared" si="729"/>
        <v>0</v>
      </c>
      <c r="HR39" s="136"/>
      <c r="HS39" s="63">
        <v>936.86</v>
      </c>
      <c r="HT39" s="135">
        <f t="shared" si="730"/>
        <v>-936.86</v>
      </c>
      <c r="HU39" s="136">
        <v>100</v>
      </c>
      <c r="HV39" s="134"/>
      <c r="HW39" s="135">
        <f t="shared" si="731"/>
        <v>100</v>
      </c>
      <c r="HX39" s="137">
        <f t="shared" si="91"/>
        <v>100</v>
      </c>
      <c r="HY39" s="138">
        <f t="shared" si="732"/>
        <v>936.86</v>
      </c>
      <c r="HZ39" s="135">
        <f t="shared" si="733"/>
        <v>-836.86</v>
      </c>
      <c r="IA39" s="133"/>
      <c r="IB39" s="134"/>
      <c r="IC39" s="135">
        <f t="shared" si="734"/>
        <v>0</v>
      </c>
      <c r="ID39" s="136"/>
      <c r="IE39" s="134"/>
      <c r="IF39" s="135">
        <f t="shared" si="735"/>
        <v>0</v>
      </c>
      <c r="IG39" s="136"/>
      <c r="IH39" s="134"/>
      <c r="II39" s="135">
        <f t="shared" si="736"/>
        <v>0</v>
      </c>
      <c r="IJ39" s="136">
        <v>100</v>
      </c>
      <c r="IK39" s="134"/>
      <c r="IL39" s="135">
        <f t="shared" si="737"/>
        <v>100</v>
      </c>
      <c r="IM39" s="137">
        <f t="shared" si="98"/>
        <v>100</v>
      </c>
      <c r="IN39" s="138">
        <f t="shared" si="738"/>
        <v>0</v>
      </c>
      <c r="IO39" s="135">
        <f t="shared" si="739"/>
        <v>100</v>
      </c>
      <c r="IP39" s="133">
        <v>5000</v>
      </c>
      <c r="IQ39" s="134">
        <v>5000</v>
      </c>
      <c r="IR39" s="135">
        <f t="shared" si="740"/>
        <v>0</v>
      </c>
      <c r="IS39" s="136"/>
      <c r="IT39" s="134"/>
      <c r="IU39" s="135">
        <f t="shared" si="741"/>
        <v>0</v>
      </c>
      <c r="IV39" s="136"/>
      <c r="IW39" s="134"/>
      <c r="IX39" s="135">
        <f t="shared" si="742"/>
        <v>0</v>
      </c>
      <c r="IY39" s="136"/>
      <c r="IZ39" s="134"/>
      <c r="JA39" s="135">
        <f t="shared" si="743"/>
        <v>0</v>
      </c>
      <c r="JB39" s="137">
        <f t="shared" si="105"/>
        <v>5000</v>
      </c>
      <c r="JC39" s="138">
        <f t="shared" si="744"/>
        <v>5000</v>
      </c>
      <c r="JD39" s="135">
        <f t="shared" si="745"/>
        <v>0</v>
      </c>
      <c r="JE39" s="133"/>
      <c r="JF39" s="134">
        <v>15000</v>
      </c>
      <c r="JG39" s="135">
        <f t="shared" si="746"/>
        <v>-15000</v>
      </c>
      <c r="JH39" s="136">
        <v>442.35</v>
      </c>
      <c r="JI39" s="134"/>
      <c r="JJ39" s="135">
        <f t="shared" si="747"/>
        <v>442.35</v>
      </c>
      <c r="JK39" s="136"/>
      <c r="JL39" s="134"/>
      <c r="JM39" s="135">
        <f t="shared" si="748"/>
        <v>0</v>
      </c>
      <c r="JN39" s="136">
        <v>100</v>
      </c>
      <c r="JO39" s="134">
        <v>101.91</v>
      </c>
      <c r="JP39" s="135">
        <f t="shared" si="749"/>
        <v>-1.9099999999999966</v>
      </c>
      <c r="JQ39" s="137">
        <f t="shared" si="112"/>
        <v>542.35</v>
      </c>
      <c r="JR39" s="138">
        <f t="shared" si="750"/>
        <v>15101.91</v>
      </c>
      <c r="JS39" s="135">
        <f t="shared" si="751"/>
        <v>-14559.56</v>
      </c>
      <c r="JT39" s="133">
        <v>5615.92</v>
      </c>
      <c r="JU39" s="134">
        <v>5852.62</v>
      </c>
      <c r="JV39" s="135">
        <f t="shared" si="752"/>
        <v>-236.69999999999982</v>
      </c>
      <c r="JW39" s="136"/>
      <c r="JX39" s="134"/>
      <c r="JY39" s="135">
        <f t="shared" si="753"/>
        <v>0</v>
      </c>
      <c r="JZ39" s="136"/>
      <c r="KA39" s="134"/>
      <c r="KB39" s="135">
        <f t="shared" si="754"/>
        <v>0</v>
      </c>
      <c r="KC39" s="136">
        <v>100</v>
      </c>
      <c r="KD39" s="134"/>
      <c r="KE39" s="135">
        <f t="shared" si="755"/>
        <v>100</v>
      </c>
      <c r="KF39" s="137">
        <f t="shared" si="119"/>
        <v>5715.92</v>
      </c>
      <c r="KG39" s="138">
        <f t="shared" si="756"/>
        <v>5852.62</v>
      </c>
      <c r="KH39" s="135">
        <f t="shared" si="757"/>
        <v>-136.69999999999982</v>
      </c>
      <c r="KI39" s="133"/>
      <c r="KJ39" s="134"/>
      <c r="KK39" s="135">
        <f t="shared" si="758"/>
        <v>0</v>
      </c>
      <c r="KL39" s="136"/>
      <c r="KM39" s="134"/>
      <c r="KN39" s="135">
        <f t="shared" si="759"/>
        <v>0</v>
      </c>
      <c r="KO39" s="136"/>
      <c r="KP39" s="134"/>
      <c r="KQ39" s="135">
        <f t="shared" si="760"/>
        <v>0</v>
      </c>
      <c r="KR39" s="136"/>
      <c r="KS39" s="134"/>
      <c r="KT39" s="135">
        <f t="shared" si="761"/>
        <v>0</v>
      </c>
      <c r="KU39" s="137">
        <f t="shared" si="1"/>
        <v>0</v>
      </c>
      <c r="KV39" s="138">
        <f t="shared" si="762"/>
        <v>0</v>
      </c>
      <c r="KW39" s="135">
        <f t="shared" si="763"/>
        <v>0</v>
      </c>
      <c r="KX39" s="72"/>
      <c r="KY39" s="73"/>
      <c r="KZ39" s="74"/>
      <c r="LA39" s="75"/>
      <c r="LB39" s="73"/>
      <c r="LC39" s="74"/>
      <c r="LD39" s="75"/>
      <c r="LE39" s="73"/>
      <c r="LF39" s="74"/>
      <c r="LG39" s="75"/>
      <c r="LH39" s="73"/>
      <c r="LI39" s="139"/>
      <c r="LJ39" s="142"/>
      <c r="LK39" s="143"/>
      <c r="LL39" s="139"/>
      <c r="LM39" s="133"/>
      <c r="LN39" s="134"/>
      <c r="LO39" s="135">
        <f t="shared" si="764"/>
        <v>0</v>
      </c>
      <c r="LP39" s="136"/>
      <c r="LQ39" s="134">
        <v>214.27</v>
      </c>
      <c r="LR39" s="135">
        <f t="shared" si="765"/>
        <v>-214.27</v>
      </c>
      <c r="LS39" s="136"/>
      <c r="LT39" s="134"/>
      <c r="LU39" s="135">
        <f t="shared" si="766"/>
        <v>0</v>
      </c>
      <c r="LV39" s="136">
        <v>100</v>
      </c>
      <c r="LW39" s="134">
        <v>257.93</v>
      </c>
      <c r="LX39" s="135">
        <f t="shared" si="767"/>
        <v>-157.93</v>
      </c>
      <c r="LY39" s="137">
        <f t="shared" si="124"/>
        <v>100</v>
      </c>
      <c r="LZ39" s="138">
        <f t="shared" si="768"/>
        <v>472.20000000000005</v>
      </c>
      <c r="MA39" s="135">
        <f t="shared" si="769"/>
        <v>-372.20000000000005</v>
      </c>
      <c r="MB39" s="133"/>
      <c r="MC39" s="134"/>
      <c r="MD39" s="135">
        <f t="shared" si="770"/>
        <v>0</v>
      </c>
      <c r="ME39" s="136">
        <v>1057.42</v>
      </c>
      <c r="MF39" s="134">
        <v>889.11</v>
      </c>
      <c r="MG39" s="135">
        <f t="shared" si="771"/>
        <v>168.31000000000006</v>
      </c>
      <c r="MH39" s="136"/>
      <c r="MI39" s="134"/>
      <c r="MJ39" s="135">
        <f t="shared" si="772"/>
        <v>0</v>
      </c>
      <c r="MK39" s="136">
        <v>100</v>
      </c>
      <c r="ML39" s="134"/>
      <c r="MM39" s="135">
        <f t="shared" si="773"/>
        <v>100</v>
      </c>
      <c r="MN39" s="137">
        <f t="shared" si="131"/>
        <v>1157.42</v>
      </c>
      <c r="MO39" s="138">
        <f t="shared" si="774"/>
        <v>889.11</v>
      </c>
      <c r="MP39" s="135">
        <f t="shared" si="775"/>
        <v>268.31000000000006</v>
      </c>
      <c r="MQ39" s="133"/>
      <c r="MR39" s="134"/>
      <c r="MS39" s="135">
        <f t="shared" si="776"/>
        <v>0</v>
      </c>
      <c r="MT39" s="136"/>
      <c r="MU39" s="134"/>
      <c r="MV39" s="135">
        <f t="shared" si="777"/>
        <v>0</v>
      </c>
      <c r="MW39" s="136"/>
      <c r="MX39" s="134"/>
      <c r="MY39" s="135">
        <f t="shared" si="778"/>
        <v>0</v>
      </c>
      <c r="MZ39" s="136"/>
      <c r="NA39" s="134"/>
      <c r="NB39" s="135">
        <f t="shared" si="779"/>
        <v>0</v>
      </c>
      <c r="NC39" s="137">
        <f t="shared" si="138"/>
        <v>0</v>
      </c>
      <c r="ND39" s="138">
        <f t="shared" si="780"/>
        <v>0</v>
      </c>
      <c r="NE39" s="135">
        <f t="shared" si="781"/>
        <v>0</v>
      </c>
      <c r="NF39" s="133"/>
      <c r="NG39" s="134"/>
      <c r="NH39" s="135">
        <f t="shared" si="782"/>
        <v>0</v>
      </c>
      <c r="NI39" s="136">
        <v>886.87</v>
      </c>
      <c r="NJ39" s="134">
        <v>1204.04</v>
      </c>
      <c r="NK39" s="135">
        <f t="shared" si="783"/>
        <v>-317.16999999999996</v>
      </c>
      <c r="NL39" s="136"/>
      <c r="NM39" s="134"/>
      <c r="NN39" s="135">
        <f t="shared" si="784"/>
        <v>0</v>
      </c>
      <c r="NO39" s="136">
        <v>100</v>
      </c>
      <c r="NP39" s="134">
        <v>302.19</v>
      </c>
      <c r="NQ39" s="135">
        <f t="shared" si="785"/>
        <v>-202.19</v>
      </c>
      <c r="NR39" s="137">
        <f t="shared" si="145"/>
        <v>986.87</v>
      </c>
      <c r="NS39" s="138">
        <f t="shared" si="786"/>
        <v>1506.23</v>
      </c>
      <c r="NT39" s="135">
        <f t="shared" si="787"/>
        <v>-519.36</v>
      </c>
      <c r="NU39" s="133"/>
      <c r="NV39" s="134"/>
      <c r="NW39" s="135">
        <f t="shared" si="788"/>
        <v>0</v>
      </c>
      <c r="NX39" s="136">
        <v>1004.52</v>
      </c>
      <c r="NY39" s="134">
        <v>1135.2</v>
      </c>
      <c r="NZ39" s="135">
        <f t="shared" si="789"/>
        <v>-130.68000000000006</v>
      </c>
      <c r="OA39" s="136"/>
      <c r="OB39" s="134"/>
      <c r="OC39" s="135">
        <f t="shared" si="790"/>
        <v>0</v>
      </c>
      <c r="OD39" s="136">
        <v>100</v>
      </c>
      <c r="OE39" s="134">
        <v>189.42</v>
      </c>
      <c r="OF39" s="135">
        <f t="shared" si="791"/>
        <v>-89.419999999999987</v>
      </c>
      <c r="OG39" s="137">
        <f t="shared" si="152"/>
        <v>1104.52</v>
      </c>
      <c r="OH39" s="138">
        <f t="shared" si="792"/>
        <v>1324.6200000000001</v>
      </c>
      <c r="OI39" s="135">
        <f t="shared" si="793"/>
        <v>-220.10000000000014</v>
      </c>
      <c r="OJ39" s="133"/>
      <c r="OK39" s="134"/>
      <c r="OL39" s="135">
        <f t="shared" si="794"/>
        <v>0</v>
      </c>
      <c r="OM39" s="136"/>
      <c r="ON39" s="134"/>
      <c r="OO39" s="135">
        <f t="shared" si="795"/>
        <v>0</v>
      </c>
      <c r="OP39" s="136"/>
      <c r="OQ39" s="134"/>
      <c r="OR39" s="135">
        <f t="shared" si="796"/>
        <v>0</v>
      </c>
      <c r="OS39" s="136">
        <v>100</v>
      </c>
      <c r="OT39" s="134"/>
      <c r="OU39" s="135">
        <f t="shared" si="797"/>
        <v>100</v>
      </c>
      <c r="OV39" s="137">
        <f t="shared" si="159"/>
        <v>100</v>
      </c>
      <c r="OW39" s="138">
        <f t="shared" si="798"/>
        <v>0</v>
      </c>
      <c r="OX39" s="135">
        <f t="shared" si="799"/>
        <v>100</v>
      </c>
      <c r="OY39" s="133"/>
      <c r="OZ39" s="134"/>
      <c r="PA39" s="135">
        <f t="shared" si="800"/>
        <v>0</v>
      </c>
      <c r="PB39" s="136"/>
      <c r="PC39" s="134"/>
      <c r="PD39" s="135">
        <f t="shared" si="801"/>
        <v>0</v>
      </c>
      <c r="PE39" s="136"/>
      <c r="PF39" s="134"/>
      <c r="PG39" s="135">
        <f t="shared" si="802"/>
        <v>0</v>
      </c>
      <c r="PH39" s="136">
        <v>100</v>
      </c>
      <c r="PI39" s="134"/>
      <c r="PJ39" s="135">
        <f t="shared" si="803"/>
        <v>100</v>
      </c>
      <c r="PK39" s="137">
        <f t="shared" si="166"/>
        <v>100</v>
      </c>
      <c r="PL39" s="138">
        <f t="shared" si="804"/>
        <v>0</v>
      </c>
      <c r="PM39" s="135">
        <f t="shared" si="805"/>
        <v>100</v>
      </c>
      <c r="PN39" s="133">
        <v>1550</v>
      </c>
      <c r="PO39" s="134">
        <v>1550</v>
      </c>
      <c r="PP39" s="135">
        <f t="shared" si="806"/>
        <v>0</v>
      </c>
      <c r="PQ39" s="136"/>
      <c r="PR39" s="134"/>
      <c r="PS39" s="135">
        <f t="shared" si="807"/>
        <v>0</v>
      </c>
      <c r="PT39" s="136"/>
      <c r="PU39" s="134"/>
      <c r="PV39" s="135">
        <f t="shared" si="808"/>
        <v>0</v>
      </c>
      <c r="PW39" s="136">
        <v>100</v>
      </c>
      <c r="PX39" s="134">
        <v>247.67</v>
      </c>
      <c r="PY39" s="135">
        <f t="shared" si="809"/>
        <v>-147.66999999999999</v>
      </c>
      <c r="PZ39" s="137">
        <f t="shared" si="173"/>
        <v>1650</v>
      </c>
      <c r="QA39" s="138">
        <f t="shared" si="810"/>
        <v>1797.67</v>
      </c>
      <c r="QB39" s="135">
        <f t="shared" si="811"/>
        <v>-147.67000000000007</v>
      </c>
      <c r="QC39" s="133"/>
      <c r="QD39" s="134"/>
      <c r="QE39" s="135">
        <f t="shared" si="812"/>
        <v>0</v>
      </c>
      <c r="QF39" s="136"/>
      <c r="QG39" s="134"/>
      <c r="QH39" s="135">
        <f t="shared" si="813"/>
        <v>0</v>
      </c>
      <c r="QI39" s="136"/>
      <c r="QJ39" s="134"/>
      <c r="QK39" s="135">
        <f t="shared" si="814"/>
        <v>0</v>
      </c>
      <c r="QL39" s="136">
        <v>100</v>
      </c>
      <c r="QM39" s="134">
        <v>163.86</v>
      </c>
      <c r="QN39" s="135">
        <f t="shared" si="815"/>
        <v>-63.860000000000014</v>
      </c>
      <c r="QO39" s="137">
        <f t="shared" si="180"/>
        <v>100</v>
      </c>
      <c r="QP39" s="138">
        <f t="shared" si="816"/>
        <v>163.86</v>
      </c>
      <c r="QQ39" s="135">
        <f t="shared" si="817"/>
        <v>-63.860000000000014</v>
      </c>
      <c r="QR39" s="133"/>
      <c r="QS39" s="134"/>
      <c r="QT39" s="135">
        <f t="shared" si="818"/>
        <v>0</v>
      </c>
      <c r="QU39" s="136"/>
      <c r="QV39" s="134"/>
      <c r="QW39" s="135">
        <f t="shared" si="819"/>
        <v>0</v>
      </c>
      <c r="QX39" s="136"/>
      <c r="QY39" s="134"/>
      <c r="QZ39" s="135">
        <f t="shared" si="820"/>
        <v>0</v>
      </c>
      <c r="RA39" s="136"/>
      <c r="RB39" s="134"/>
      <c r="RC39" s="135">
        <f t="shared" si="821"/>
        <v>0</v>
      </c>
      <c r="RD39" s="137">
        <f t="shared" si="187"/>
        <v>0</v>
      </c>
      <c r="RE39" s="138">
        <f t="shared" si="822"/>
        <v>0</v>
      </c>
      <c r="RF39" s="135">
        <f t="shared" si="823"/>
        <v>0</v>
      </c>
      <c r="RG39" s="133"/>
      <c r="RH39" s="134"/>
      <c r="RI39" s="135">
        <f t="shared" si="824"/>
        <v>0</v>
      </c>
      <c r="RJ39" s="136"/>
      <c r="RK39" s="134"/>
      <c r="RL39" s="135">
        <f t="shared" si="825"/>
        <v>0</v>
      </c>
      <c r="RM39" s="136"/>
      <c r="RN39" s="134"/>
      <c r="RO39" s="135">
        <f t="shared" si="826"/>
        <v>0</v>
      </c>
      <c r="RP39" s="136"/>
      <c r="RQ39" s="134"/>
      <c r="RR39" s="135">
        <f t="shared" si="827"/>
        <v>0</v>
      </c>
      <c r="RS39" s="137">
        <f t="shared" si="194"/>
        <v>0</v>
      </c>
      <c r="RT39" s="138">
        <f t="shared" si="828"/>
        <v>0</v>
      </c>
      <c r="RU39" s="135">
        <f t="shared" si="829"/>
        <v>0</v>
      </c>
      <c r="RV39" s="133"/>
      <c r="RW39" s="134"/>
      <c r="RX39" s="135">
        <f t="shared" si="830"/>
        <v>0</v>
      </c>
      <c r="RY39" s="136"/>
      <c r="RZ39" s="134"/>
      <c r="SA39" s="135">
        <f t="shared" si="831"/>
        <v>0</v>
      </c>
      <c r="SB39" s="136"/>
      <c r="SC39" s="134"/>
      <c r="SD39" s="135">
        <f t="shared" si="832"/>
        <v>0</v>
      </c>
      <c r="SE39" s="136">
        <v>100</v>
      </c>
      <c r="SF39" s="134">
        <v>127.87</v>
      </c>
      <c r="SG39" s="135">
        <f t="shared" si="833"/>
        <v>-27.870000000000005</v>
      </c>
      <c r="SH39" s="137">
        <f t="shared" si="201"/>
        <v>100</v>
      </c>
      <c r="SI39" s="138">
        <f t="shared" si="834"/>
        <v>127.87</v>
      </c>
      <c r="SJ39" s="135">
        <f t="shared" si="835"/>
        <v>-27.870000000000005</v>
      </c>
      <c r="SK39" s="133"/>
      <c r="SL39" s="134"/>
      <c r="SM39" s="135">
        <f t="shared" si="836"/>
        <v>0</v>
      </c>
      <c r="SN39" s="136"/>
      <c r="SO39" s="134"/>
      <c r="SP39" s="135">
        <f t="shared" si="837"/>
        <v>0</v>
      </c>
      <c r="SQ39" s="136"/>
      <c r="SR39" s="134"/>
      <c r="SS39" s="135">
        <f t="shared" si="838"/>
        <v>0</v>
      </c>
      <c r="ST39" s="136">
        <v>100</v>
      </c>
      <c r="SU39" s="134"/>
      <c r="SV39" s="135">
        <f t="shared" si="839"/>
        <v>100</v>
      </c>
      <c r="SW39" s="137">
        <f t="shared" si="208"/>
        <v>100</v>
      </c>
      <c r="SX39" s="138">
        <f t="shared" si="840"/>
        <v>0</v>
      </c>
      <c r="SY39" s="135">
        <f t="shared" si="841"/>
        <v>100</v>
      </c>
      <c r="SZ39" s="133">
        <v>985.33</v>
      </c>
      <c r="TA39" s="134">
        <v>985.33</v>
      </c>
      <c r="TB39" s="135">
        <f t="shared" si="842"/>
        <v>0</v>
      </c>
      <c r="TC39" s="136">
        <v>700.9</v>
      </c>
      <c r="TD39" s="134">
        <v>712.58</v>
      </c>
      <c r="TE39" s="135">
        <f t="shared" si="843"/>
        <v>-11.680000000000064</v>
      </c>
      <c r="TF39" s="136"/>
      <c r="TG39" s="134"/>
      <c r="TH39" s="135">
        <f t="shared" si="844"/>
        <v>0</v>
      </c>
      <c r="TI39" s="136">
        <v>100</v>
      </c>
      <c r="TJ39" s="134"/>
      <c r="TK39" s="135">
        <f t="shared" si="845"/>
        <v>100</v>
      </c>
      <c r="TL39" s="137">
        <f t="shared" si="215"/>
        <v>1786.23</v>
      </c>
      <c r="TM39" s="138">
        <f t="shared" si="846"/>
        <v>1697.91</v>
      </c>
      <c r="TN39" s="135">
        <f t="shared" si="847"/>
        <v>88.319999999999936</v>
      </c>
      <c r="TO39" s="133"/>
      <c r="TP39" s="134"/>
      <c r="TQ39" s="135">
        <f t="shared" si="848"/>
        <v>0</v>
      </c>
      <c r="TR39" s="136"/>
      <c r="TS39" s="134"/>
      <c r="TT39" s="135">
        <f t="shared" si="849"/>
        <v>0</v>
      </c>
      <c r="TU39" s="136"/>
      <c r="TV39" s="134"/>
      <c r="TW39" s="135">
        <f t="shared" si="850"/>
        <v>0</v>
      </c>
      <c r="TX39" s="136">
        <v>100</v>
      </c>
      <c r="TY39" s="134">
        <v>87.39</v>
      </c>
      <c r="TZ39" s="135">
        <f t="shared" si="851"/>
        <v>12.61</v>
      </c>
      <c r="UA39" s="137">
        <f t="shared" si="222"/>
        <v>100</v>
      </c>
      <c r="UB39" s="138">
        <f t="shared" si="852"/>
        <v>87.39</v>
      </c>
      <c r="UC39" s="135">
        <f t="shared" si="853"/>
        <v>12.61</v>
      </c>
      <c r="UD39" s="133"/>
      <c r="UE39" s="134"/>
      <c r="UF39" s="135">
        <f t="shared" si="854"/>
        <v>0</v>
      </c>
      <c r="UG39" s="136">
        <v>497.04</v>
      </c>
      <c r="UH39" s="134">
        <v>517.34</v>
      </c>
      <c r="UI39" s="135">
        <f t="shared" si="855"/>
        <v>-20.300000000000011</v>
      </c>
      <c r="UJ39" s="136"/>
      <c r="UK39" s="134"/>
      <c r="UL39" s="135">
        <f t="shared" si="856"/>
        <v>0</v>
      </c>
      <c r="UM39" s="136">
        <v>100</v>
      </c>
      <c r="UN39" s="134"/>
      <c r="UO39" s="135">
        <f t="shared" si="857"/>
        <v>100</v>
      </c>
      <c r="UP39" s="137">
        <f t="shared" si="226"/>
        <v>597.04</v>
      </c>
      <c r="UQ39" s="138">
        <f t="shared" si="858"/>
        <v>517.34</v>
      </c>
      <c r="UR39" s="135">
        <f t="shared" si="859"/>
        <v>79.699999999999932</v>
      </c>
      <c r="US39" s="144"/>
      <c r="UT39" s="143"/>
      <c r="UU39" s="145"/>
      <c r="UV39" s="142"/>
      <c r="UW39" s="143"/>
      <c r="UX39" s="145"/>
      <c r="UY39" s="142"/>
      <c r="UZ39" s="143"/>
      <c r="VA39" s="145"/>
      <c r="VB39" s="142"/>
      <c r="VC39" s="143"/>
      <c r="VD39" s="145"/>
      <c r="VE39" s="142">
        <f t="shared" si="233"/>
        <v>0</v>
      </c>
      <c r="VF39" s="143">
        <f t="shared" si="860"/>
        <v>0</v>
      </c>
      <c r="VG39" s="145">
        <f t="shared" si="861"/>
        <v>0</v>
      </c>
      <c r="VH39" s="133"/>
      <c r="VI39" s="134"/>
      <c r="VJ39" s="135">
        <f t="shared" si="862"/>
        <v>0</v>
      </c>
      <c r="VK39" s="136"/>
      <c r="VL39" s="134"/>
      <c r="VM39" s="135">
        <f t="shared" si="863"/>
        <v>0</v>
      </c>
      <c r="VN39" s="136"/>
      <c r="VO39" s="134"/>
      <c r="VP39" s="135">
        <f t="shared" si="864"/>
        <v>0</v>
      </c>
      <c r="VQ39" s="136">
        <v>100</v>
      </c>
      <c r="VR39" s="134">
        <v>236.35</v>
      </c>
      <c r="VS39" s="135">
        <f t="shared" si="865"/>
        <v>-136.35</v>
      </c>
      <c r="VT39" s="137">
        <f t="shared" si="240"/>
        <v>100</v>
      </c>
      <c r="VU39" s="138">
        <f t="shared" si="866"/>
        <v>236.35</v>
      </c>
      <c r="VV39" s="135">
        <f t="shared" si="867"/>
        <v>-136.35</v>
      </c>
      <c r="VW39" s="74"/>
      <c r="VX39" s="72"/>
      <c r="VY39" s="73"/>
      <c r="VZ39" s="74"/>
      <c r="WA39" s="75"/>
      <c r="WB39" s="73"/>
      <c r="WC39" s="74"/>
      <c r="WD39" s="75"/>
      <c r="WE39" s="73"/>
      <c r="WF39" s="74"/>
      <c r="WG39" s="75"/>
      <c r="WH39" s="73"/>
      <c r="WI39" s="74"/>
      <c r="WJ39" s="76"/>
      <c r="WK39" s="77"/>
      <c r="WL39" s="133">
        <v>1376.01</v>
      </c>
      <c r="WM39" s="134">
        <v>1376.01</v>
      </c>
      <c r="WN39" s="135">
        <f t="shared" si="868"/>
        <v>0</v>
      </c>
      <c r="WO39" s="136"/>
      <c r="WP39" s="134"/>
      <c r="WQ39" s="135">
        <f t="shared" si="869"/>
        <v>0</v>
      </c>
      <c r="WR39" s="136"/>
      <c r="WS39" s="134"/>
      <c r="WT39" s="135">
        <f t="shared" si="870"/>
        <v>0</v>
      </c>
      <c r="WU39" s="136">
        <v>100</v>
      </c>
      <c r="WV39" s="134"/>
      <c r="WW39" s="135">
        <f t="shared" si="871"/>
        <v>100</v>
      </c>
      <c r="WX39" s="137">
        <f t="shared" si="254"/>
        <v>1476.01</v>
      </c>
      <c r="WY39" s="138">
        <f t="shared" si="872"/>
        <v>1376.01</v>
      </c>
      <c r="WZ39" s="135">
        <f t="shared" si="873"/>
        <v>100</v>
      </c>
      <c r="XA39" s="133"/>
      <c r="XB39" s="134"/>
      <c r="XC39" s="135">
        <f t="shared" si="874"/>
        <v>0</v>
      </c>
      <c r="XD39" s="136"/>
      <c r="XE39" s="134"/>
      <c r="XF39" s="135">
        <f t="shared" si="875"/>
        <v>0</v>
      </c>
      <c r="XG39" s="136"/>
      <c r="XH39" s="134"/>
      <c r="XI39" s="135">
        <f t="shared" si="876"/>
        <v>0</v>
      </c>
      <c r="XJ39" s="136">
        <v>100</v>
      </c>
      <c r="XK39" s="134">
        <v>128.15</v>
      </c>
      <c r="XL39" s="135">
        <f t="shared" si="877"/>
        <v>-28.150000000000006</v>
      </c>
      <c r="XM39" s="137">
        <f t="shared" si="261"/>
        <v>100</v>
      </c>
      <c r="XN39" s="138">
        <f t="shared" si="878"/>
        <v>128.15</v>
      </c>
      <c r="XO39" s="135">
        <f t="shared" si="879"/>
        <v>-28.150000000000006</v>
      </c>
      <c r="XP39" s="133"/>
      <c r="XQ39" s="134"/>
      <c r="XR39" s="135">
        <f t="shared" si="880"/>
        <v>0</v>
      </c>
      <c r="XS39" s="136">
        <v>591.29999999999995</v>
      </c>
      <c r="XT39" s="134">
        <v>820.33</v>
      </c>
      <c r="XU39" s="135">
        <f t="shared" si="881"/>
        <v>-229.03000000000009</v>
      </c>
      <c r="XV39" s="136"/>
      <c r="XW39" s="134"/>
      <c r="XX39" s="135">
        <f t="shared" si="882"/>
        <v>0</v>
      </c>
      <c r="XY39" s="136">
        <v>100</v>
      </c>
      <c r="XZ39" s="134">
        <v>70.98</v>
      </c>
      <c r="YA39" s="135">
        <f t="shared" si="883"/>
        <v>29.019999999999996</v>
      </c>
      <c r="YB39" s="137">
        <f t="shared" si="268"/>
        <v>691.3</v>
      </c>
      <c r="YC39" s="138">
        <f t="shared" si="884"/>
        <v>891.31000000000006</v>
      </c>
      <c r="YD39" s="135">
        <f t="shared" si="885"/>
        <v>-200.0100000000001</v>
      </c>
      <c r="YE39" s="133"/>
      <c r="YF39" s="134"/>
      <c r="YG39" s="135">
        <f t="shared" si="886"/>
        <v>0</v>
      </c>
      <c r="YH39" s="136">
        <v>725.15</v>
      </c>
      <c r="YI39" s="134">
        <v>836.95</v>
      </c>
      <c r="YJ39" s="135">
        <f t="shared" si="887"/>
        <v>-111.80000000000007</v>
      </c>
      <c r="YK39" s="136"/>
      <c r="YL39" s="134"/>
      <c r="YM39" s="135">
        <f t="shared" si="888"/>
        <v>0</v>
      </c>
      <c r="YN39" s="136">
        <v>100</v>
      </c>
      <c r="YO39" s="134">
        <v>79.73</v>
      </c>
      <c r="YP39" s="135">
        <f t="shared" si="889"/>
        <v>20.269999999999996</v>
      </c>
      <c r="YQ39" s="137">
        <f t="shared" si="275"/>
        <v>825.15</v>
      </c>
      <c r="YR39" s="138">
        <f t="shared" si="890"/>
        <v>916.68000000000006</v>
      </c>
      <c r="YS39" s="135">
        <f t="shared" si="891"/>
        <v>-91.530000000000086</v>
      </c>
      <c r="YT39" s="133"/>
      <c r="YU39" s="134"/>
      <c r="YV39" s="135">
        <f t="shared" si="892"/>
        <v>0</v>
      </c>
      <c r="YW39" s="136">
        <v>513.28</v>
      </c>
      <c r="YX39" s="134">
        <v>680.54</v>
      </c>
      <c r="YY39" s="135">
        <f t="shared" si="893"/>
        <v>-167.26</v>
      </c>
      <c r="YZ39" s="136"/>
      <c r="ZA39" s="134"/>
      <c r="ZB39" s="135">
        <f t="shared" si="894"/>
        <v>0</v>
      </c>
      <c r="ZC39" s="136">
        <v>100</v>
      </c>
      <c r="ZD39" s="134">
        <v>68.790000000000006</v>
      </c>
      <c r="ZE39" s="135">
        <f t="shared" si="895"/>
        <v>31.209999999999994</v>
      </c>
      <c r="ZF39" s="137">
        <f t="shared" si="282"/>
        <v>613.28</v>
      </c>
      <c r="ZG39" s="138">
        <f t="shared" si="896"/>
        <v>749.32999999999993</v>
      </c>
      <c r="ZH39" s="135">
        <f t="shared" si="897"/>
        <v>-136.04999999999995</v>
      </c>
      <c r="ZI39" s="133">
        <v>1250</v>
      </c>
      <c r="ZJ39" s="134">
        <v>1250</v>
      </c>
      <c r="ZK39" s="135">
        <f t="shared" si="898"/>
        <v>0</v>
      </c>
      <c r="ZL39" s="136"/>
      <c r="ZM39" s="134"/>
      <c r="ZN39" s="135">
        <f t="shared" si="899"/>
        <v>0</v>
      </c>
      <c r="ZO39" s="136"/>
      <c r="ZP39" s="134"/>
      <c r="ZQ39" s="135">
        <f t="shared" si="900"/>
        <v>0</v>
      </c>
      <c r="ZR39" s="136">
        <v>100</v>
      </c>
      <c r="ZS39" s="134">
        <v>407.28</v>
      </c>
      <c r="ZT39" s="135">
        <f t="shared" si="901"/>
        <v>-307.27999999999997</v>
      </c>
      <c r="ZU39" s="137">
        <f t="shared" si="289"/>
        <v>1350</v>
      </c>
      <c r="ZV39" s="138">
        <f t="shared" si="902"/>
        <v>1657.28</v>
      </c>
      <c r="ZW39" s="135">
        <f t="shared" si="903"/>
        <v>-307.27999999999997</v>
      </c>
      <c r="ZX39" s="133">
        <v>24.71</v>
      </c>
      <c r="ZY39" s="134">
        <v>24.71</v>
      </c>
      <c r="ZZ39" s="135">
        <f t="shared" si="904"/>
        <v>0</v>
      </c>
      <c r="AAA39" s="137">
        <f t="shared" si="293"/>
        <v>24.71</v>
      </c>
      <c r="AAB39" s="138">
        <f t="shared" si="293"/>
        <v>24.71</v>
      </c>
      <c r="AAC39" s="135">
        <f t="shared" si="905"/>
        <v>0</v>
      </c>
      <c r="AAD39" s="146">
        <f t="shared" si="295"/>
        <v>50778.239999999998</v>
      </c>
      <c r="AAE39" s="147">
        <f t="shared" si="295"/>
        <v>74056.900000000009</v>
      </c>
      <c r="AAF39" s="148">
        <f t="shared" si="3"/>
        <v>1.4584377087508353</v>
      </c>
      <c r="AAG39" s="149">
        <f t="shared" si="906"/>
        <v>23278.660000000011</v>
      </c>
      <c r="AAH39" s="94">
        <f>AAH37/AAH33</f>
        <v>1.0565576382967818</v>
      </c>
      <c r="AAI39" s="95"/>
      <c r="AAJ39" s="95"/>
      <c r="AAK39" s="60"/>
    </row>
    <row r="40" spans="1:713" s="83" customFormat="1" ht="20" customHeight="1" thickTop="1" x14ac:dyDescent="0.2">
      <c r="A40" s="84" t="s">
        <v>37</v>
      </c>
      <c r="B40" s="94"/>
      <c r="C40" s="95"/>
      <c r="D40" s="95"/>
      <c r="E40" s="60"/>
      <c r="F40" s="61">
        <v>45566</v>
      </c>
      <c r="G40" s="62"/>
      <c r="H40" s="63"/>
      <c r="I40" s="64">
        <f t="shared" si="649"/>
        <v>0</v>
      </c>
      <c r="J40" s="65">
        <v>1991.8</v>
      </c>
      <c r="K40" s="63">
        <v>2462.15</v>
      </c>
      <c r="L40" s="64">
        <f t="shared" si="650"/>
        <v>-470.35000000000014</v>
      </c>
      <c r="M40" s="65">
        <v>2500</v>
      </c>
      <c r="N40" s="63"/>
      <c r="O40" s="64">
        <f t="shared" si="651"/>
        <v>2500</v>
      </c>
      <c r="P40" s="65">
        <v>1000</v>
      </c>
      <c r="Q40" s="63">
        <v>723.27</v>
      </c>
      <c r="R40" s="64">
        <f t="shared" si="652"/>
        <v>276.73</v>
      </c>
      <c r="S40" s="65">
        <v>181</v>
      </c>
      <c r="T40" s="63">
        <v>245.43</v>
      </c>
      <c r="U40" s="64">
        <f t="shared" si="653"/>
        <v>-64.430000000000007</v>
      </c>
      <c r="V40" s="66">
        <f t="shared" si="654"/>
        <v>5672.8</v>
      </c>
      <c r="W40" s="67">
        <f t="shared" si="654"/>
        <v>3430.85</v>
      </c>
      <c r="X40" s="64">
        <f t="shared" si="655"/>
        <v>2241.9500000000003</v>
      </c>
      <c r="Y40" s="72"/>
      <c r="Z40" s="73"/>
      <c r="AA40" s="74"/>
      <c r="AB40" s="75"/>
      <c r="AC40" s="73"/>
      <c r="AD40" s="74"/>
      <c r="AE40" s="75"/>
      <c r="AF40" s="73"/>
      <c r="AG40" s="74"/>
      <c r="AH40" s="75"/>
      <c r="AI40" s="73"/>
      <c r="AJ40" s="74"/>
      <c r="AK40" s="76"/>
      <c r="AL40" s="77"/>
      <c r="AM40" s="64">
        <f t="shared" si="660"/>
        <v>0</v>
      </c>
      <c r="AN40" s="62"/>
      <c r="AO40" s="63"/>
      <c r="AP40" s="64">
        <f t="shared" si="907"/>
        <v>0</v>
      </c>
      <c r="AQ40" s="65"/>
      <c r="AR40" s="63"/>
      <c r="AS40" s="64">
        <f t="shared" si="661"/>
        <v>0</v>
      </c>
      <c r="AT40" s="65"/>
      <c r="AU40" s="63"/>
      <c r="AV40" s="64">
        <f t="shared" si="662"/>
        <v>0</v>
      </c>
      <c r="AW40" s="65"/>
      <c r="AX40" s="63"/>
      <c r="AY40" s="64">
        <f t="shared" si="663"/>
        <v>0</v>
      </c>
      <c r="AZ40" s="66">
        <f t="shared" si="23"/>
        <v>0</v>
      </c>
      <c r="BA40" s="67">
        <f t="shared" si="664"/>
        <v>0</v>
      </c>
      <c r="BB40" s="64">
        <f t="shared" si="665"/>
        <v>0</v>
      </c>
      <c r="BC40" s="62">
        <v>6150</v>
      </c>
      <c r="BD40" s="62">
        <v>6150</v>
      </c>
      <c r="BE40" s="64">
        <f t="shared" si="666"/>
        <v>0</v>
      </c>
      <c r="BF40" s="65"/>
      <c r="BG40" s="63"/>
      <c r="BH40" s="64">
        <f t="shared" si="667"/>
        <v>0</v>
      </c>
      <c r="BI40" s="65"/>
      <c r="BJ40" s="63">
        <v>936.86</v>
      </c>
      <c r="BK40" s="64">
        <f t="shared" si="668"/>
        <v>-936.86</v>
      </c>
      <c r="BL40" s="65">
        <v>100</v>
      </c>
      <c r="BM40" s="63"/>
      <c r="BN40" s="64">
        <f t="shared" si="669"/>
        <v>100</v>
      </c>
      <c r="BO40" s="66">
        <f t="shared" si="30"/>
        <v>6250</v>
      </c>
      <c r="BP40" s="67">
        <f t="shared" si="670"/>
        <v>7086.86</v>
      </c>
      <c r="BQ40" s="64">
        <f t="shared" si="671"/>
        <v>-836.85999999999967</v>
      </c>
      <c r="BR40" s="75"/>
      <c r="BS40" s="73"/>
      <c r="BT40" s="74"/>
      <c r="BU40" s="75"/>
      <c r="BV40" s="73"/>
      <c r="BW40" s="74"/>
      <c r="BX40" s="75"/>
      <c r="BY40" s="73"/>
      <c r="BZ40" s="74"/>
      <c r="CA40" s="75"/>
      <c r="CB40" s="73"/>
      <c r="CC40" s="74"/>
      <c r="CD40" s="66">
        <f t="shared" si="33"/>
        <v>0</v>
      </c>
      <c r="CE40" s="67">
        <f t="shared" si="672"/>
        <v>0</v>
      </c>
      <c r="CF40" s="64">
        <f t="shared" si="673"/>
        <v>0</v>
      </c>
      <c r="CG40" s="62"/>
      <c r="CH40" s="63"/>
      <c r="CI40" s="64">
        <f t="shared" si="674"/>
        <v>0</v>
      </c>
      <c r="CJ40" s="65"/>
      <c r="CK40" s="63"/>
      <c r="CL40" s="64">
        <f t="shared" si="675"/>
        <v>0</v>
      </c>
      <c r="CM40" s="65"/>
      <c r="CN40" s="63"/>
      <c r="CO40" s="64">
        <f t="shared" si="676"/>
        <v>0</v>
      </c>
      <c r="CP40" s="65"/>
      <c r="CQ40" s="63"/>
      <c r="CR40" s="64">
        <f t="shared" si="677"/>
        <v>0</v>
      </c>
      <c r="CS40" s="66">
        <f t="shared" si="40"/>
        <v>0</v>
      </c>
      <c r="CT40" s="67">
        <f t="shared" si="678"/>
        <v>0</v>
      </c>
      <c r="CU40" s="64">
        <f t="shared" si="679"/>
        <v>0</v>
      </c>
      <c r="CV40" s="62">
        <v>2916.7</v>
      </c>
      <c r="CW40" s="63">
        <v>2916.7</v>
      </c>
      <c r="CX40" s="64">
        <f t="shared" si="680"/>
        <v>0</v>
      </c>
      <c r="CY40" s="65"/>
      <c r="CZ40" s="63"/>
      <c r="DA40" s="64">
        <f t="shared" si="681"/>
        <v>0</v>
      </c>
      <c r="DB40" s="65"/>
      <c r="DC40" s="63"/>
      <c r="DD40" s="64">
        <f t="shared" si="682"/>
        <v>0</v>
      </c>
      <c r="DE40" s="65"/>
      <c r="DF40" s="63"/>
      <c r="DG40" s="64">
        <f t="shared" si="683"/>
        <v>0</v>
      </c>
      <c r="DH40" s="66">
        <f t="shared" si="43"/>
        <v>2916.7</v>
      </c>
      <c r="DI40" s="67">
        <f t="shared" si="684"/>
        <v>2916.7</v>
      </c>
      <c r="DJ40" s="64">
        <f t="shared" si="685"/>
        <v>0</v>
      </c>
      <c r="DK40" s="62">
        <v>2400</v>
      </c>
      <c r="DL40" s="63">
        <v>2400</v>
      </c>
      <c r="DM40" s="64">
        <f t="shared" si="686"/>
        <v>0</v>
      </c>
      <c r="DN40" s="65">
        <v>580</v>
      </c>
      <c r="DO40" s="63">
        <v>613.08000000000004</v>
      </c>
      <c r="DP40" s="64">
        <f t="shared" si="687"/>
        <v>-33.080000000000041</v>
      </c>
      <c r="DQ40" s="65"/>
      <c r="DR40" s="63"/>
      <c r="DS40" s="64">
        <f t="shared" si="688"/>
        <v>0</v>
      </c>
      <c r="DT40" s="65">
        <v>100</v>
      </c>
      <c r="DU40" s="63">
        <v>277.62</v>
      </c>
      <c r="DV40" s="64">
        <f t="shared" si="689"/>
        <v>-177.62</v>
      </c>
      <c r="DW40" s="66">
        <f t="shared" si="46"/>
        <v>3080</v>
      </c>
      <c r="DX40" s="67">
        <f t="shared" si="690"/>
        <v>3290.7</v>
      </c>
      <c r="DY40" s="64">
        <f t="shared" si="691"/>
        <v>-210.69999999999982</v>
      </c>
      <c r="DZ40" s="62"/>
      <c r="EA40" s="63"/>
      <c r="EB40" s="64">
        <f t="shared" si="692"/>
        <v>0</v>
      </c>
      <c r="EC40" s="65"/>
      <c r="ED40" s="63"/>
      <c r="EE40" s="64">
        <f t="shared" si="693"/>
        <v>0</v>
      </c>
      <c r="EF40" s="65"/>
      <c r="EG40" s="63"/>
      <c r="EH40" s="64">
        <f t="shared" si="694"/>
        <v>0</v>
      </c>
      <c r="EI40" s="65">
        <v>100</v>
      </c>
      <c r="EJ40" s="63">
        <v>181.22</v>
      </c>
      <c r="EK40" s="64">
        <f t="shared" si="695"/>
        <v>-81.22</v>
      </c>
      <c r="EL40" s="66">
        <f t="shared" si="53"/>
        <v>100</v>
      </c>
      <c r="EM40" s="67">
        <f t="shared" si="696"/>
        <v>181.22</v>
      </c>
      <c r="EN40" s="64">
        <f t="shared" si="697"/>
        <v>-81.22</v>
      </c>
      <c r="EO40" s="62">
        <v>6150</v>
      </c>
      <c r="EP40" s="62">
        <v>6150</v>
      </c>
      <c r="EQ40" s="64">
        <f t="shared" si="698"/>
        <v>0</v>
      </c>
      <c r="ER40" s="65"/>
      <c r="ES40" s="63"/>
      <c r="ET40" s="64">
        <f t="shared" si="699"/>
        <v>0</v>
      </c>
      <c r="EU40" s="65"/>
      <c r="EV40" s="63">
        <v>936.86</v>
      </c>
      <c r="EW40" s="64">
        <f t="shared" si="700"/>
        <v>-936.86</v>
      </c>
      <c r="EX40" s="65">
        <v>100</v>
      </c>
      <c r="EY40" s="63"/>
      <c r="EZ40" s="64">
        <f t="shared" si="701"/>
        <v>100</v>
      </c>
      <c r="FA40" s="66">
        <f t="shared" si="60"/>
        <v>6250</v>
      </c>
      <c r="FB40" s="67">
        <f t="shared" si="702"/>
        <v>7086.86</v>
      </c>
      <c r="FC40" s="64">
        <f t="shared" si="703"/>
        <v>-836.85999999999967</v>
      </c>
      <c r="FD40" s="62">
        <v>6150</v>
      </c>
      <c r="FE40" s="62">
        <v>6150</v>
      </c>
      <c r="FF40" s="64">
        <f t="shared" si="704"/>
        <v>0</v>
      </c>
      <c r="FG40" s="65"/>
      <c r="FH40" s="63"/>
      <c r="FI40" s="64">
        <f t="shared" si="705"/>
        <v>0</v>
      </c>
      <c r="FJ40" s="65"/>
      <c r="FK40" s="63">
        <v>936.86</v>
      </c>
      <c r="FL40" s="64">
        <f t="shared" si="706"/>
        <v>-936.86</v>
      </c>
      <c r="FM40" s="65">
        <v>100</v>
      </c>
      <c r="FN40" s="63"/>
      <c r="FO40" s="64">
        <f t="shared" si="707"/>
        <v>100</v>
      </c>
      <c r="FP40" s="66">
        <f t="shared" si="67"/>
        <v>6250</v>
      </c>
      <c r="FQ40" s="67">
        <f t="shared" si="708"/>
        <v>7086.86</v>
      </c>
      <c r="FR40" s="64">
        <f t="shared" si="709"/>
        <v>-836.85999999999967</v>
      </c>
      <c r="FS40" s="62"/>
      <c r="FT40" s="63"/>
      <c r="FU40" s="64">
        <f t="shared" si="710"/>
        <v>0</v>
      </c>
      <c r="FV40" s="65"/>
      <c r="FW40" s="63"/>
      <c r="FX40" s="64">
        <f t="shared" si="711"/>
        <v>0</v>
      </c>
      <c r="FY40" s="65"/>
      <c r="FZ40" s="63"/>
      <c r="GA40" s="64">
        <f t="shared" si="712"/>
        <v>0</v>
      </c>
      <c r="GB40" s="65"/>
      <c r="GC40" s="63">
        <v>234.95</v>
      </c>
      <c r="GD40" s="64">
        <f t="shared" si="713"/>
        <v>-234.95</v>
      </c>
      <c r="GE40" s="66">
        <f t="shared" si="74"/>
        <v>0</v>
      </c>
      <c r="GF40" s="67">
        <f t="shared" si="714"/>
        <v>234.95</v>
      </c>
      <c r="GG40" s="64">
        <f t="shared" si="715"/>
        <v>-234.95</v>
      </c>
      <c r="GH40" s="62"/>
      <c r="GI40" s="63"/>
      <c r="GJ40" s="64">
        <f t="shared" si="716"/>
        <v>0</v>
      </c>
      <c r="GK40" s="65"/>
      <c r="GL40" s="63"/>
      <c r="GM40" s="64">
        <f t="shared" si="717"/>
        <v>0</v>
      </c>
      <c r="GN40" s="65"/>
      <c r="GO40" s="63"/>
      <c r="GP40" s="64">
        <f t="shared" si="718"/>
        <v>0</v>
      </c>
      <c r="GQ40" s="65"/>
      <c r="GR40" s="63">
        <v>217.13</v>
      </c>
      <c r="GS40" s="64">
        <f t="shared" si="719"/>
        <v>-217.13</v>
      </c>
      <c r="GT40" s="66">
        <f t="shared" si="81"/>
        <v>0</v>
      </c>
      <c r="GU40" s="67">
        <f t="shared" si="720"/>
        <v>217.13</v>
      </c>
      <c r="GV40" s="64">
        <f t="shared" si="721"/>
        <v>-217.13</v>
      </c>
      <c r="GW40" s="62"/>
      <c r="GX40" s="63"/>
      <c r="GY40" s="64">
        <f t="shared" si="722"/>
        <v>0</v>
      </c>
      <c r="GZ40" s="65"/>
      <c r="HA40" s="63"/>
      <c r="HB40" s="64">
        <f t="shared" si="723"/>
        <v>0</v>
      </c>
      <c r="HC40" s="65"/>
      <c r="HD40" s="63"/>
      <c r="HE40" s="64">
        <f t="shared" si="724"/>
        <v>0</v>
      </c>
      <c r="HF40" s="65">
        <v>100</v>
      </c>
      <c r="HG40" s="63"/>
      <c r="HH40" s="64">
        <f t="shared" si="725"/>
        <v>100</v>
      </c>
      <c r="HI40" s="66">
        <f t="shared" si="84"/>
        <v>100</v>
      </c>
      <c r="HJ40" s="67">
        <f t="shared" si="726"/>
        <v>0</v>
      </c>
      <c r="HK40" s="64">
        <f t="shared" si="727"/>
        <v>100</v>
      </c>
      <c r="HL40" s="62">
        <v>6150</v>
      </c>
      <c r="HM40" s="63">
        <v>6150</v>
      </c>
      <c r="HN40" s="64">
        <f t="shared" si="728"/>
        <v>0</v>
      </c>
      <c r="HO40" s="65"/>
      <c r="HP40" s="63"/>
      <c r="HQ40" s="64">
        <f t="shared" si="729"/>
        <v>0</v>
      </c>
      <c r="HR40" s="65"/>
      <c r="HS40" s="63">
        <v>936.86</v>
      </c>
      <c r="HT40" s="64">
        <f t="shared" si="730"/>
        <v>-936.86</v>
      </c>
      <c r="HU40" s="65">
        <v>100</v>
      </c>
      <c r="HV40" s="63"/>
      <c r="HW40" s="64">
        <f t="shared" si="731"/>
        <v>100</v>
      </c>
      <c r="HX40" s="66">
        <f t="shared" si="91"/>
        <v>6250</v>
      </c>
      <c r="HY40" s="67">
        <f t="shared" si="732"/>
        <v>7086.86</v>
      </c>
      <c r="HZ40" s="64">
        <f t="shared" si="733"/>
        <v>-836.85999999999967</v>
      </c>
      <c r="IA40" s="62"/>
      <c r="IB40" s="63"/>
      <c r="IC40" s="64">
        <f t="shared" si="734"/>
        <v>0</v>
      </c>
      <c r="ID40" s="65"/>
      <c r="IE40" s="63"/>
      <c r="IF40" s="64">
        <f t="shared" si="735"/>
        <v>0</v>
      </c>
      <c r="IG40" s="65"/>
      <c r="IH40" s="63"/>
      <c r="II40" s="64">
        <f t="shared" si="736"/>
        <v>0</v>
      </c>
      <c r="IJ40" s="65">
        <v>100</v>
      </c>
      <c r="IK40" s="63"/>
      <c r="IL40" s="64">
        <f t="shared" si="737"/>
        <v>100</v>
      </c>
      <c r="IM40" s="66">
        <f t="shared" si="98"/>
        <v>100</v>
      </c>
      <c r="IN40" s="67">
        <f t="shared" si="738"/>
        <v>0</v>
      </c>
      <c r="IO40" s="64">
        <f t="shared" si="739"/>
        <v>100</v>
      </c>
      <c r="IP40" s="62"/>
      <c r="IQ40" s="63"/>
      <c r="IR40" s="64">
        <f t="shared" si="740"/>
        <v>0</v>
      </c>
      <c r="IS40" s="65"/>
      <c r="IT40" s="63"/>
      <c r="IU40" s="64">
        <f t="shared" si="741"/>
        <v>0</v>
      </c>
      <c r="IV40" s="65"/>
      <c r="IW40" s="63"/>
      <c r="IX40" s="64">
        <f t="shared" si="742"/>
        <v>0</v>
      </c>
      <c r="IY40" s="65"/>
      <c r="IZ40" s="63"/>
      <c r="JA40" s="64">
        <f t="shared" si="743"/>
        <v>0</v>
      </c>
      <c r="JB40" s="66">
        <f t="shared" si="105"/>
        <v>0</v>
      </c>
      <c r="JC40" s="67">
        <f t="shared" si="744"/>
        <v>0</v>
      </c>
      <c r="JD40" s="64">
        <f t="shared" si="745"/>
        <v>0</v>
      </c>
      <c r="JE40" s="72"/>
      <c r="JF40" s="150"/>
      <c r="JG40" s="74"/>
      <c r="JH40" s="75"/>
      <c r="JI40" s="150"/>
      <c r="JJ40" s="74"/>
      <c r="JK40" s="75"/>
      <c r="JL40" s="150"/>
      <c r="JM40" s="74"/>
      <c r="JN40" s="75"/>
      <c r="JO40" s="150"/>
      <c r="JP40" s="64">
        <f t="shared" si="749"/>
        <v>0</v>
      </c>
      <c r="JQ40" s="66">
        <f t="shared" si="112"/>
        <v>0</v>
      </c>
      <c r="JR40" s="67">
        <f t="shared" si="750"/>
        <v>0</v>
      </c>
      <c r="JS40" s="64">
        <f t="shared" si="751"/>
        <v>0</v>
      </c>
      <c r="JT40" s="72"/>
      <c r="JU40" s="73"/>
      <c r="JV40" s="74"/>
      <c r="JW40" s="75"/>
      <c r="JX40" s="73"/>
      <c r="JY40" s="74"/>
      <c r="JZ40" s="75"/>
      <c r="KA40" s="73"/>
      <c r="KB40" s="74"/>
      <c r="KC40" s="75"/>
      <c r="KD40" s="73"/>
      <c r="KE40" s="64">
        <f t="shared" si="755"/>
        <v>0</v>
      </c>
      <c r="KF40" s="66">
        <f t="shared" si="119"/>
        <v>0</v>
      </c>
      <c r="KG40" s="67">
        <f t="shared" si="756"/>
        <v>0</v>
      </c>
      <c r="KH40" s="64">
        <f t="shared" si="757"/>
        <v>0</v>
      </c>
      <c r="KI40" s="62"/>
      <c r="KJ40" s="63"/>
      <c r="KK40" s="64">
        <f t="shared" si="758"/>
        <v>0</v>
      </c>
      <c r="KL40" s="65"/>
      <c r="KM40" s="63"/>
      <c r="KN40" s="64">
        <f t="shared" si="759"/>
        <v>0</v>
      </c>
      <c r="KO40" s="65"/>
      <c r="KP40" s="63"/>
      <c r="KQ40" s="64">
        <f t="shared" si="760"/>
        <v>0</v>
      </c>
      <c r="KR40" s="65"/>
      <c r="KS40" s="63"/>
      <c r="KT40" s="64">
        <f t="shared" si="761"/>
        <v>0</v>
      </c>
      <c r="KU40" s="66">
        <f t="shared" si="1"/>
        <v>0</v>
      </c>
      <c r="KV40" s="67">
        <f t="shared" si="762"/>
        <v>0</v>
      </c>
      <c r="KW40" s="64">
        <f t="shared" si="763"/>
        <v>0</v>
      </c>
      <c r="KX40" s="72"/>
      <c r="KY40" s="73"/>
      <c r="KZ40" s="74"/>
      <c r="LA40" s="75"/>
      <c r="LB40" s="73"/>
      <c r="LC40" s="74"/>
      <c r="LD40" s="75"/>
      <c r="LE40" s="73"/>
      <c r="LF40" s="74"/>
      <c r="LG40" s="75"/>
      <c r="LH40" s="73"/>
      <c r="LI40" s="74"/>
      <c r="LJ40" s="76"/>
      <c r="LK40" s="77"/>
      <c r="LL40" s="74"/>
      <c r="LM40" s="62"/>
      <c r="LN40" s="63">
        <v>429.25</v>
      </c>
      <c r="LO40" s="64">
        <f t="shared" si="764"/>
        <v>-429.25</v>
      </c>
      <c r="LP40" s="65"/>
      <c r="LQ40" s="63"/>
      <c r="LR40" s="64">
        <f t="shared" si="765"/>
        <v>0</v>
      </c>
      <c r="LS40" s="65"/>
      <c r="LT40" s="63"/>
      <c r="LU40" s="64">
        <f t="shared" si="766"/>
        <v>0</v>
      </c>
      <c r="LV40" s="65">
        <v>100</v>
      </c>
      <c r="LW40" s="63"/>
      <c r="LX40" s="64">
        <f t="shared" si="767"/>
        <v>100</v>
      </c>
      <c r="LY40" s="66">
        <f t="shared" si="124"/>
        <v>100</v>
      </c>
      <c r="LZ40" s="67">
        <f t="shared" si="768"/>
        <v>429.25</v>
      </c>
      <c r="MA40" s="64">
        <f t="shared" si="769"/>
        <v>-329.25</v>
      </c>
      <c r="MB40" s="62"/>
      <c r="MC40" s="63"/>
      <c r="MD40" s="64">
        <f t="shared" si="770"/>
        <v>0</v>
      </c>
      <c r="ME40" s="65">
        <v>1057.42</v>
      </c>
      <c r="MF40" s="63">
        <v>889.11</v>
      </c>
      <c r="MG40" s="64">
        <f t="shared" si="771"/>
        <v>168.31000000000006</v>
      </c>
      <c r="MH40" s="65"/>
      <c r="MI40" s="63"/>
      <c r="MJ40" s="64">
        <f t="shared" si="772"/>
        <v>0</v>
      </c>
      <c r="MK40" s="65">
        <v>100</v>
      </c>
      <c r="ML40" s="63">
        <v>466.37</v>
      </c>
      <c r="MM40" s="64">
        <f t="shared" si="773"/>
        <v>-366.37</v>
      </c>
      <c r="MN40" s="66">
        <f t="shared" si="131"/>
        <v>1157.42</v>
      </c>
      <c r="MO40" s="67">
        <f t="shared" si="774"/>
        <v>1355.48</v>
      </c>
      <c r="MP40" s="64">
        <f t="shared" si="775"/>
        <v>-198.05999999999995</v>
      </c>
      <c r="MQ40" s="62"/>
      <c r="MR40" s="63"/>
      <c r="MS40" s="64">
        <f t="shared" si="776"/>
        <v>0</v>
      </c>
      <c r="MT40" s="65"/>
      <c r="MU40" s="63"/>
      <c r="MV40" s="64">
        <f t="shared" si="777"/>
        <v>0</v>
      </c>
      <c r="MW40" s="65"/>
      <c r="MX40" s="63"/>
      <c r="MY40" s="64">
        <f t="shared" si="778"/>
        <v>0</v>
      </c>
      <c r="MZ40" s="65"/>
      <c r="NA40" s="63"/>
      <c r="NB40" s="64">
        <f t="shared" si="779"/>
        <v>0</v>
      </c>
      <c r="NC40" s="66">
        <f t="shared" si="138"/>
        <v>0</v>
      </c>
      <c r="ND40" s="67">
        <f t="shared" si="780"/>
        <v>0</v>
      </c>
      <c r="NE40" s="64">
        <f t="shared" si="781"/>
        <v>0</v>
      </c>
      <c r="NF40" s="62"/>
      <c r="NG40" s="63"/>
      <c r="NH40" s="64">
        <f t="shared" si="782"/>
        <v>0</v>
      </c>
      <c r="NI40" s="65">
        <v>886.87</v>
      </c>
      <c r="NJ40" s="63">
        <v>1204</v>
      </c>
      <c r="NK40" s="64">
        <f t="shared" si="783"/>
        <v>-317.13</v>
      </c>
      <c r="NL40" s="65"/>
      <c r="NM40" s="63"/>
      <c r="NN40" s="64">
        <f t="shared" si="784"/>
        <v>0</v>
      </c>
      <c r="NO40" s="65">
        <v>100</v>
      </c>
      <c r="NP40" s="63"/>
      <c r="NQ40" s="64">
        <f t="shared" si="785"/>
        <v>100</v>
      </c>
      <c r="NR40" s="66">
        <f t="shared" si="145"/>
        <v>986.87</v>
      </c>
      <c r="NS40" s="67">
        <f t="shared" si="786"/>
        <v>1204</v>
      </c>
      <c r="NT40" s="64">
        <f t="shared" si="787"/>
        <v>-217.13</v>
      </c>
      <c r="NU40" s="62"/>
      <c r="NV40" s="63"/>
      <c r="NW40" s="64">
        <f t="shared" si="788"/>
        <v>0</v>
      </c>
      <c r="NX40" s="65">
        <v>1004.52</v>
      </c>
      <c r="NY40" s="63">
        <v>1135.2</v>
      </c>
      <c r="NZ40" s="64">
        <f t="shared" si="789"/>
        <v>-130.68000000000006</v>
      </c>
      <c r="OA40" s="65"/>
      <c r="OB40" s="63"/>
      <c r="OC40" s="64">
        <f t="shared" si="790"/>
        <v>0</v>
      </c>
      <c r="OD40" s="65">
        <v>100</v>
      </c>
      <c r="OE40" s="63">
        <v>52.66</v>
      </c>
      <c r="OF40" s="64">
        <f t="shared" si="791"/>
        <v>47.34</v>
      </c>
      <c r="OG40" s="66">
        <f t="shared" si="152"/>
        <v>1104.52</v>
      </c>
      <c r="OH40" s="67">
        <f t="shared" si="792"/>
        <v>1187.8600000000001</v>
      </c>
      <c r="OI40" s="64">
        <f t="shared" si="793"/>
        <v>-83.340000000000146</v>
      </c>
      <c r="OJ40" s="62"/>
      <c r="OK40" s="63"/>
      <c r="OL40" s="64">
        <f t="shared" si="794"/>
        <v>0</v>
      </c>
      <c r="OM40" s="65"/>
      <c r="ON40" s="63"/>
      <c r="OO40" s="64">
        <f t="shared" si="795"/>
        <v>0</v>
      </c>
      <c r="OP40" s="65"/>
      <c r="OQ40" s="63"/>
      <c r="OR40" s="64">
        <f t="shared" si="796"/>
        <v>0</v>
      </c>
      <c r="OS40" s="65">
        <v>100</v>
      </c>
      <c r="OT40" s="63"/>
      <c r="OU40" s="64">
        <f t="shared" si="797"/>
        <v>100</v>
      </c>
      <c r="OV40" s="66">
        <f t="shared" si="159"/>
        <v>100</v>
      </c>
      <c r="OW40" s="67">
        <f t="shared" si="798"/>
        <v>0</v>
      </c>
      <c r="OX40" s="64">
        <f t="shared" si="799"/>
        <v>100</v>
      </c>
      <c r="OY40" s="62"/>
      <c r="OZ40" s="63"/>
      <c r="PA40" s="64">
        <f t="shared" si="800"/>
        <v>0</v>
      </c>
      <c r="PB40" s="65"/>
      <c r="PC40" s="63"/>
      <c r="PD40" s="64">
        <f t="shared" si="801"/>
        <v>0</v>
      </c>
      <c r="PE40" s="65"/>
      <c r="PF40" s="63"/>
      <c r="PG40" s="64">
        <f t="shared" si="802"/>
        <v>0</v>
      </c>
      <c r="PH40" s="65">
        <v>100</v>
      </c>
      <c r="PI40" s="63">
        <v>187.9</v>
      </c>
      <c r="PJ40" s="64">
        <f t="shared" si="803"/>
        <v>-87.9</v>
      </c>
      <c r="PK40" s="66">
        <f t="shared" si="166"/>
        <v>100</v>
      </c>
      <c r="PL40" s="67">
        <f t="shared" si="804"/>
        <v>187.9</v>
      </c>
      <c r="PM40" s="64">
        <f t="shared" si="805"/>
        <v>-87.9</v>
      </c>
      <c r="PN40" s="62">
        <v>1550</v>
      </c>
      <c r="PO40" s="63">
        <v>1550</v>
      </c>
      <c r="PP40" s="64">
        <f t="shared" si="806"/>
        <v>0</v>
      </c>
      <c r="PQ40" s="65"/>
      <c r="PR40" s="63"/>
      <c r="PS40" s="64">
        <f t="shared" si="807"/>
        <v>0</v>
      </c>
      <c r="PT40" s="65"/>
      <c r="PU40" s="63"/>
      <c r="PV40" s="64">
        <f t="shared" si="808"/>
        <v>0</v>
      </c>
      <c r="PW40" s="65">
        <v>100</v>
      </c>
      <c r="PX40" s="63"/>
      <c r="PY40" s="64">
        <f t="shared" si="809"/>
        <v>100</v>
      </c>
      <c r="PZ40" s="66">
        <f t="shared" si="173"/>
        <v>1650</v>
      </c>
      <c r="QA40" s="67">
        <f t="shared" si="810"/>
        <v>1550</v>
      </c>
      <c r="QB40" s="64">
        <f t="shared" si="811"/>
        <v>100</v>
      </c>
      <c r="QC40" s="62"/>
      <c r="QD40" s="63"/>
      <c r="QE40" s="64">
        <f t="shared" si="812"/>
        <v>0</v>
      </c>
      <c r="QF40" s="65"/>
      <c r="QG40" s="63"/>
      <c r="QH40" s="64">
        <f t="shared" si="813"/>
        <v>0</v>
      </c>
      <c r="QI40" s="65"/>
      <c r="QJ40" s="63"/>
      <c r="QK40" s="64">
        <f t="shared" si="814"/>
        <v>0</v>
      </c>
      <c r="QL40" s="65">
        <v>100</v>
      </c>
      <c r="QM40" s="63"/>
      <c r="QN40" s="64">
        <f t="shared" si="815"/>
        <v>100</v>
      </c>
      <c r="QO40" s="66">
        <f t="shared" si="180"/>
        <v>100</v>
      </c>
      <c r="QP40" s="67">
        <f t="shared" si="816"/>
        <v>0</v>
      </c>
      <c r="QQ40" s="64">
        <f t="shared" si="817"/>
        <v>100</v>
      </c>
      <c r="QR40" s="62"/>
      <c r="QS40" s="63"/>
      <c r="QT40" s="64">
        <f t="shared" si="818"/>
        <v>0</v>
      </c>
      <c r="QU40" s="65"/>
      <c r="QV40" s="63"/>
      <c r="QW40" s="64">
        <f t="shared" si="819"/>
        <v>0</v>
      </c>
      <c r="QX40" s="65"/>
      <c r="QY40" s="63"/>
      <c r="QZ40" s="64">
        <f t="shared" si="820"/>
        <v>0</v>
      </c>
      <c r="RA40" s="65"/>
      <c r="RB40" s="63"/>
      <c r="RC40" s="64">
        <f t="shared" si="821"/>
        <v>0</v>
      </c>
      <c r="RD40" s="66">
        <f t="shared" si="187"/>
        <v>0</v>
      </c>
      <c r="RE40" s="67">
        <f t="shared" si="822"/>
        <v>0</v>
      </c>
      <c r="RF40" s="74">
        <f t="shared" si="823"/>
        <v>0</v>
      </c>
      <c r="RG40" s="72"/>
      <c r="RH40" s="73"/>
      <c r="RI40" s="74">
        <f t="shared" si="824"/>
        <v>0</v>
      </c>
      <c r="RJ40" s="75"/>
      <c r="RK40" s="73"/>
      <c r="RL40" s="74">
        <f t="shared" si="825"/>
        <v>0</v>
      </c>
      <c r="RM40" s="75"/>
      <c r="RN40" s="73"/>
      <c r="RO40" s="74">
        <f t="shared" si="826"/>
        <v>0</v>
      </c>
      <c r="RP40" s="76"/>
      <c r="RQ40" s="77">
        <v>217.13</v>
      </c>
      <c r="RR40" s="74">
        <f t="shared" si="827"/>
        <v>-217.13</v>
      </c>
      <c r="RS40" s="76">
        <f t="shared" si="194"/>
        <v>0</v>
      </c>
      <c r="RT40" s="77">
        <f t="shared" si="828"/>
        <v>217.13</v>
      </c>
      <c r="RU40" s="64">
        <f t="shared" si="829"/>
        <v>-217.13</v>
      </c>
      <c r="RV40" s="62"/>
      <c r="RW40" s="63"/>
      <c r="RX40" s="64">
        <f t="shared" si="830"/>
        <v>0</v>
      </c>
      <c r="RY40" s="65"/>
      <c r="RZ40" s="63"/>
      <c r="SA40" s="64">
        <f t="shared" si="831"/>
        <v>0</v>
      </c>
      <c r="SB40" s="65"/>
      <c r="SC40" s="63"/>
      <c r="SD40" s="64">
        <f t="shared" si="832"/>
        <v>0</v>
      </c>
      <c r="SE40" s="65">
        <v>100</v>
      </c>
      <c r="SF40" s="63">
        <v>53.48</v>
      </c>
      <c r="SG40" s="64">
        <f t="shared" si="833"/>
        <v>46.52</v>
      </c>
      <c r="SH40" s="66">
        <f t="shared" si="201"/>
        <v>100</v>
      </c>
      <c r="SI40" s="67">
        <f t="shared" si="834"/>
        <v>53.48</v>
      </c>
      <c r="SJ40" s="64">
        <f t="shared" si="835"/>
        <v>46.52</v>
      </c>
      <c r="SK40" s="62"/>
      <c r="SL40" s="63"/>
      <c r="SM40" s="64">
        <f t="shared" si="836"/>
        <v>0</v>
      </c>
      <c r="SN40" s="65"/>
      <c r="SO40" s="63"/>
      <c r="SP40" s="64">
        <f t="shared" si="837"/>
        <v>0</v>
      </c>
      <c r="SQ40" s="65"/>
      <c r="SR40" s="63"/>
      <c r="SS40" s="64">
        <f t="shared" si="838"/>
        <v>0</v>
      </c>
      <c r="ST40" s="65">
        <v>100</v>
      </c>
      <c r="SU40" s="63">
        <v>254.46</v>
      </c>
      <c r="SV40" s="64">
        <f t="shared" si="839"/>
        <v>-154.46</v>
      </c>
      <c r="SW40" s="66">
        <f t="shared" si="208"/>
        <v>100</v>
      </c>
      <c r="SX40" s="67">
        <f t="shared" si="840"/>
        <v>254.46</v>
      </c>
      <c r="SY40" s="64">
        <f t="shared" si="841"/>
        <v>-154.46</v>
      </c>
      <c r="SZ40" s="62">
        <v>985.33</v>
      </c>
      <c r="TA40" s="63">
        <v>985.33</v>
      </c>
      <c r="TB40" s="64">
        <f t="shared" si="842"/>
        <v>0</v>
      </c>
      <c r="TC40" s="65">
        <v>700.9</v>
      </c>
      <c r="TD40" s="63">
        <v>712.58</v>
      </c>
      <c r="TE40" s="64">
        <f t="shared" si="843"/>
        <v>-11.680000000000064</v>
      </c>
      <c r="TF40" s="65"/>
      <c r="TG40" s="63"/>
      <c r="TH40" s="64">
        <f t="shared" si="844"/>
        <v>0</v>
      </c>
      <c r="TI40" s="65">
        <v>100</v>
      </c>
      <c r="TJ40" s="63">
        <v>213.06</v>
      </c>
      <c r="TK40" s="64">
        <f t="shared" si="845"/>
        <v>-113.06</v>
      </c>
      <c r="TL40" s="66">
        <f t="shared" si="215"/>
        <v>1786.23</v>
      </c>
      <c r="TM40" s="67">
        <f t="shared" si="846"/>
        <v>1910.97</v>
      </c>
      <c r="TN40" s="64">
        <f t="shared" si="847"/>
        <v>-124.74000000000001</v>
      </c>
      <c r="TO40" s="62"/>
      <c r="TP40" s="63"/>
      <c r="TQ40" s="64">
        <f t="shared" si="848"/>
        <v>0</v>
      </c>
      <c r="TR40" s="65"/>
      <c r="TS40" s="63"/>
      <c r="TT40" s="64">
        <f t="shared" si="849"/>
        <v>0</v>
      </c>
      <c r="TU40" s="65"/>
      <c r="TV40" s="63"/>
      <c r="TW40" s="64">
        <f t="shared" si="850"/>
        <v>0</v>
      </c>
      <c r="TX40" s="65">
        <v>100</v>
      </c>
      <c r="TY40" s="63">
        <v>79.73</v>
      </c>
      <c r="TZ40" s="64">
        <f t="shared" si="851"/>
        <v>20.269999999999996</v>
      </c>
      <c r="UA40" s="66">
        <f t="shared" si="222"/>
        <v>100</v>
      </c>
      <c r="UB40" s="67">
        <f t="shared" si="852"/>
        <v>79.73</v>
      </c>
      <c r="UC40" s="64">
        <f t="shared" si="853"/>
        <v>20.269999999999996</v>
      </c>
      <c r="UD40" s="62"/>
      <c r="UE40" s="63"/>
      <c r="UF40" s="64">
        <f t="shared" si="854"/>
        <v>0</v>
      </c>
      <c r="UG40" s="65">
        <v>497.04</v>
      </c>
      <c r="UH40" s="63">
        <v>517.34</v>
      </c>
      <c r="UI40" s="64">
        <f t="shared" si="855"/>
        <v>-20.300000000000011</v>
      </c>
      <c r="UJ40" s="65"/>
      <c r="UK40" s="63"/>
      <c r="UL40" s="64">
        <f t="shared" si="856"/>
        <v>0</v>
      </c>
      <c r="UM40" s="65">
        <v>100</v>
      </c>
      <c r="UN40" s="63"/>
      <c r="UO40" s="64">
        <f t="shared" si="857"/>
        <v>100</v>
      </c>
      <c r="UP40" s="66">
        <f t="shared" si="226"/>
        <v>597.04</v>
      </c>
      <c r="UQ40" s="67">
        <f t="shared" si="858"/>
        <v>517.34</v>
      </c>
      <c r="UR40" s="64">
        <f t="shared" si="859"/>
        <v>79.699999999999932</v>
      </c>
      <c r="US40" s="130"/>
      <c r="UT40" s="77"/>
      <c r="UU40" s="131"/>
      <c r="UV40" s="76"/>
      <c r="UW40" s="77"/>
      <c r="UX40" s="131"/>
      <c r="UY40" s="76"/>
      <c r="UZ40" s="77"/>
      <c r="VA40" s="131"/>
      <c r="VB40" s="76"/>
      <c r="VC40" s="77"/>
      <c r="VD40" s="131"/>
      <c r="VE40" s="76">
        <f t="shared" si="233"/>
        <v>0</v>
      </c>
      <c r="VF40" s="77">
        <f t="shared" si="860"/>
        <v>0</v>
      </c>
      <c r="VG40" s="131">
        <f t="shared" si="861"/>
        <v>0</v>
      </c>
      <c r="VH40" s="62"/>
      <c r="VI40" s="63"/>
      <c r="VJ40" s="64">
        <f t="shared" si="862"/>
        <v>0</v>
      </c>
      <c r="VK40" s="65"/>
      <c r="VL40" s="63"/>
      <c r="VM40" s="64">
        <f t="shared" si="863"/>
        <v>0</v>
      </c>
      <c r="VN40" s="65"/>
      <c r="VO40" s="63"/>
      <c r="VP40" s="64">
        <f t="shared" si="864"/>
        <v>0</v>
      </c>
      <c r="VQ40" s="65">
        <v>100</v>
      </c>
      <c r="VR40" s="63"/>
      <c r="VS40" s="64">
        <f t="shared" si="865"/>
        <v>100</v>
      </c>
      <c r="VT40" s="66">
        <f t="shared" si="240"/>
        <v>100</v>
      </c>
      <c r="VU40" s="67">
        <f t="shared" si="866"/>
        <v>0</v>
      </c>
      <c r="VV40" s="64">
        <f t="shared" si="867"/>
        <v>100</v>
      </c>
      <c r="VW40" s="74"/>
      <c r="VX40" s="72"/>
      <c r="VY40" s="73"/>
      <c r="VZ40" s="74"/>
      <c r="WA40" s="75"/>
      <c r="WB40" s="73"/>
      <c r="WC40" s="74"/>
      <c r="WD40" s="75"/>
      <c r="WE40" s="73"/>
      <c r="WF40" s="74"/>
      <c r="WG40" s="75"/>
      <c r="WH40" s="73"/>
      <c r="WI40" s="74"/>
      <c r="WJ40" s="76"/>
      <c r="WK40" s="77"/>
      <c r="WL40" s="62">
        <v>1376.01</v>
      </c>
      <c r="WM40" s="63">
        <v>1376.01</v>
      </c>
      <c r="WN40" s="64">
        <f t="shared" si="868"/>
        <v>0</v>
      </c>
      <c r="WO40" s="65">
        <v>418.56</v>
      </c>
      <c r="WP40" s="63"/>
      <c r="WQ40" s="64">
        <f t="shared" si="869"/>
        <v>418.56</v>
      </c>
      <c r="WR40" s="65"/>
      <c r="WS40" s="63"/>
      <c r="WT40" s="64">
        <f t="shared" si="870"/>
        <v>0</v>
      </c>
      <c r="WU40" s="65">
        <v>100</v>
      </c>
      <c r="WV40" s="63">
        <v>225.8</v>
      </c>
      <c r="WW40" s="64">
        <f t="shared" si="871"/>
        <v>-125.80000000000001</v>
      </c>
      <c r="WX40" s="66">
        <f t="shared" si="254"/>
        <v>1894.57</v>
      </c>
      <c r="WY40" s="67">
        <f t="shared" si="872"/>
        <v>1601.81</v>
      </c>
      <c r="WZ40" s="64">
        <f t="shared" si="873"/>
        <v>292.76</v>
      </c>
      <c r="XA40" s="62"/>
      <c r="XB40" s="63"/>
      <c r="XC40" s="64">
        <f t="shared" si="874"/>
        <v>0</v>
      </c>
      <c r="XD40" s="65"/>
      <c r="XE40" s="63"/>
      <c r="XF40" s="64">
        <f t="shared" si="875"/>
        <v>0</v>
      </c>
      <c r="XG40" s="65"/>
      <c r="XH40" s="63"/>
      <c r="XI40" s="64">
        <f t="shared" si="876"/>
        <v>0</v>
      </c>
      <c r="XJ40" s="65">
        <v>100</v>
      </c>
      <c r="XK40" s="63">
        <v>105.18</v>
      </c>
      <c r="XL40" s="64">
        <f t="shared" si="877"/>
        <v>-5.1800000000000068</v>
      </c>
      <c r="XM40" s="66">
        <f t="shared" si="261"/>
        <v>100</v>
      </c>
      <c r="XN40" s="67">
        <f t="shared" si="878"/>
        <v>105.18</v>
      </c>
      <c r="XO40" s="64">
        <f t="shared" si="879"/>
        <v>-5.1800000000000068</v>
      </c>
      <c r="XP40" s="62"/>
      <c r="XQ40" s="63"/>
      <c r="XR40" s="64">
        <f t="shared" si="880"/>
        <v>0</v>
      </c>
      <c r="XS40" s="65">
        <v>591.29999999999995</v>
      </c>
      <c r="XT40" s="63">
        <v>820.33</v>
      </c>
      <c r="XU40" s="64">
        <f t="shared" si="881"/>
        <v>-229.03000000000009</v>
      </c>
      <c r="XV40" s="65"/>
      <c r="XW40" s="63"/>
      <c r="XX40" s="64">
        <f t="shared" si="882"/>
        <v>0</v>
      </c>
      <c r="XY40" s="65">
        <v>100</v>
      </c>
      <c r="XZ40" s="63">
        <v>74.25</v>
      </c>
      <c r="YA40" s="64">
        <f t="shared" si="883"/>
        <v>25.75</v>
      </c>
      <c r="YB40" s="66">
        <f t="shared" si="268"/>
        <v>691.3</v>
      </c>
      <c r="YC40" s="67">
        <f t="shared" si="884"/>
        <v>894.58</v>
      </c>
      <c r="YD40" s="64">
        <f t="shared" si="885"/>
        <v>-203.28000000000009</v>
      </c>
      <c r="YE40" s="62"/>
      <c r="YF40" s="63"/>
      <c r="YG40" s="64">
        <f t="shared" si="886"/>
        <v>0</v>
      </c>
      <c r="YH40" s="65">
        <v>725.15</v>
      </c>
      <c r="YI40" s="63">
        <v>836.95</v>
      </c>
      <c r="YJ40" s="64">
        <f t="shared" si="887"/>
        <v>-111.80000000000007</v>
      </c>
      <c r="YK40" s="65"/>
      <c r="YL40" s="63"/>
      <c r="YM40" s="64">
        <f t="shared" si="888"/>
        <v>0</v>
      </c>
      <c r="YN40" s="65">
        <v>100</v>
      </c>
      <c r="YO40" s="63">
        <v>76.459999999999994</v>
      </c>
      <c r="YP40" s="64">
        <f t="shared" si="889"/>
        <v>23.540000000000006</v>
      </c>
      <c r="YQ40" s="66">
        <f t="shared" si="275"/>
        <v>825.15</v>
      </c>
      <c r="YR40" s="67">
        <f t="shared" si="890"/>
        <v>913.41000000000008</v>
      </c>
      <c r="YS40" s="64">
        <f t="shared" si="891"/>
        <v>-88.260000000000105</v>
      </c>
      <c r="YT40" s="62"/>
      <c r="YU40" s="63"/>
      <c r="YV40" s="64">
        <f t="shared" si="892"/>
        <v>0</v>
      </c>
      <c r="YW40" s="65">
        <v>513.28</v>
      </c>
      <c r="YX40" s="63">
        <v>680.54</v>
      </c>
      <c r="YY40" s="64">
        <f t="shared" si="893"/>
        <v>-167.26</v>
      </c>
      <c r="YZ40" s="65"/>
      <c r="ZA40" s="63"/>
      <c r="ZB40" s="64">
        <f t="shared" si="894"/>
        <v>0</v>
      </c>
      <c r="ZC40" s="65">
        <v>100</v>
      </c>
      <c r="ZD40" s="63">
        <v>72.08</v>
      </c>
      <c r="ZE40" s="64">
        <f t="shared" si="895"/>
        <v>27.92</v>
      </c>
      <c r="ZF40" s="66">
        <f t="shared" si="282"/>
        <v>613.28</v>
      </c>
      <c r="ZG40" s="67">
        <f t="shared" si="896"/>
        <v>752.62</v>
      </c>
      <c r="ZH40" s="64">
        <f t="shared" si="897"/>
        <v>-139.34000000000003</v>
      </c>
      <c r="ZI40" s="62">
        <v>1250</v>
      </c>
      <c r="ZJ40" s="63">
        <v>1250</v>
      </c>
      <c r="ZK40" s="64">
        <f t="shared" si="898"/>
        <v>0</v>
      </c>
      <c r="ZL40" s="65"/>
      <c r="ZM40" s="63"/>
      <c r="ZN40" s="64">
        <f t="shared" si="899"/>
        <v>0</v>
      </c>
      <c r="ZO40" s="65"/>
      <c r="ZP40" s="63"/>
      <c r="ZQ40" s="64">
        <f t="shared" si="900"/>
        <v>0</v>
      </c>
      <c r="ZR40" s="65">
        <v>100</v>
      </c>
      <c r="ZS40" s="63"/>
      <c r="ZT40" s="64">
        <f t="shared" si="901"/>
        <v>100</v>
      </c>
      <c r="ZU40" s="66">
        <f t="shared" si="289"/>
        <v>1350</v>
      </c>
      <c r="ZV40" s="67">
        <f t="shared" si="902"/>
        <v>1250</v>
      </c>
      <c r="ZW40" s="64">
        <f t="shared" si="903"/>
        <v>100</v>
      </c>
      <c r="ZX40" s="62">
        <v>24.71</v>
      </c>
      <c r="ZY40" s="63">
        <v>24.71</v>
      </c>
      <c r="ZZ40" s="64">
        <f t="shared" si="904"/>
        <v>0</v>
      </c>
      <c r="AAA40" s="66">
        <f t="shared" si="293"/>
        <v>24.71</v>
      </c>
      <c r="AAB40" s="67">
        <f t="shared" si="293"/>
        <v>24.71</v>
      </c>
      <c r="AAC40" s="64">
        <f t="shared" si="905"/>
        <v>0</v>
      </c>
      <c r="AAD40" s="85">
        <f t="shared" si="295"/>
        <v>50525.880000000005</v>
      </c>
      <c r="AAE40" s="86">
        <f t="shared" si="295"/>
        <v>53084.189999999995</v>
      </c>
      <c r="AAF40" s="87">
        <f t="shared" si="3"/>
        <v>1.0506336554652782</v>
      </c>
      <c r="AAG40" s="88">
        <f t="shared" si="906"/>
        <v>2558.3099999999904</v>
      </c>
      <c r="AAH40" s="94"/>
      <c r="AAI40" s="95"/>
      <c r="AAJ40" s="95"/>
      <c r="AAK40" s="60"/>
    </row>
    <row r="41" spans="1:713" s="83" customFormat="1" ht="20" customHeight="1" x14ac:dyDescent="0.2">
      <c r="A41" s="57" t="s">
        <v>38</v>
      </c>
      <c r="B41" s="96">
        <f>B37-B33</f>
        <v>84782.669999999693</v>
      </c>
      <c r="C41" s="97"/>
      <c r="D41" s="97"/>
      <c r="E41" s="60"/>
      <c r="F41" s="61">
        <v>45597</v>
      </c>
      <c r="G41" s="62"/>
      <c r="H41" s="63"/>
      <c r="I41" s="64">
        <f t="shared" si="649"/>
        <v>0</v>
      </c>
      <c r="J41" s="65">
        <v>2613.14</v>
      </c>
      <c r="K41" s="63">
        <v>3316.82</v>
      </c>
      <c r="L41" s="64">
        <f t="shared" si="650"/>
        <v>-703.68000000000029</v>
      </c>
      <c r="M41" s="65">
        <v>2500</v>
      </c>
      <c r="N41" s="63">
        <v>1709.85</v>
      </c>
      <c r="O41" s="64">
        <f t="shared" si="651"/>
        <v>790.15000000000009</v>
      </c>
      <c r="P41" s="65">
        <v>1000</v>
      </c>
      <c r="Q41" s="63">
        <v>469.15</v>
      </c>
      <c r="R41" s="64">
        <f t="shared" si="652"/>
        <v>530.85</v>
      </c>
      <c r="S41" s="65">
        <v>181</v>
      </c>
      <c r="T41" s="63"/>
      <c r="U41" s="64">
        <f t="shared" si="653"/>
        <v>181</v>
      </c>
      <c r="V41" s="66">
        <f t="shared" si="654"/>
        <v>6294.1399999999994</v>
      </c>
      <c r="W41" s="67">
        <f t="shared" si="654"/>
        <v>5495.82</v>
      </c>
      <c r="X41" s="64">
        <f t="shared" si="655"/>
        <v>798.31999999999971</v>
      </c>
      <c r="Y41" s="72"/>
      <c r="Z41" s="73"/>
      <c r="AA41" s="74"/>
      <c r="AB41" s="75"/>
      <c r="AC41" s="73"/>
      <c r="AD41" s="74"/>
      <c r="AE41" s="75"/>
      <c r="AF41" s="73"/>
      <c r="AG41" s="74"/>
      <c r="AH41" s="75"/>
      <c r="AI41" s="73"/>
      <c r="AJ41" s="74"/>
      <c r="AK41" s="76"/>
      <c r="AL41" s="77"/>
      <c r="AM41" s="64">
        <f t="shared" si="660"/>
        <v>0</v>
      </c>
      <c r="AN41" s="62"/>
      <c r="AO41" s="63"/>
      <c r="AP41" s="64">
        <f t="shared" si="907"/>
        <v>0</v>
      </c>
      <c r="AQ41" s="65"/>
      <c r="AR41" s="63"/>
      <c r="AS41" s="64">
        <f t="shared" si="661"/>
        <v>0</v>
      </c>
      <c r="AT41" s="65"/>
      <c r="AU41" s="63"/>
      <c r="AV41" s="64">
        <f t="shared" si="662"/>
        <v>0</v>
      </c>
      <c r="AW41" s="65"/>
      <c r="AX41" s="63"/>
      <c r="AY41" s="64">
        <f t="shared" si="663"/>
        <v>0</v>
      </c>
      <c r="AZ41" s="66">
        <f t="shared" si="23"/>
        <v>0</v>
      </c>
      <c r="BA41" s="67">
        <f t="shared" si="664"/>
        <v>0</v>
      </c>
      <c r="BB41" s="64">
        <f t="shared" si="665"/>
        <v>0</v>
      </c>
      <c r="BC41" s="62"/>
      <c r="BD41" s="62"/>
      <c r="BE41" s="64">
        <f t="shared" si="666"/>
        <v>0</v>
      </c>
      <c r="BF41" s="65"/>
      <c r="BG41" s="63"/>
      <c r="BH41" s="64">
        <f t="shared" si="667"/>
        <v>0</v>
      </c>
      <c r="BI41" s="65"/>
      <c r="BJ41" s="63">
        <v>936.86</v>
      </c>
      <c r="BK41" s="64">
        <f t="shared" si="668"/>
        <v>-936.86</v>
      </c>
      <c r="BL41" s="65">
        <v>100</v>
      </c>
      <c r="BM41" s="63"/>
      <c r="BN41" s="64">
        <f t="shared" si="669"/>
        <v>100</v>
      </c>
      <c r="BO41" s="66">
        <f t="shared" si="30"/>
        <v>100</v>
      </c>
      <c r="BP41" s="67">
        <f t="shared" si="670"/>
        <v>936.86</v>
      </c>
      <c r="BQ41" s="64">
        <f t="shared" si="671"/>
        <v>-836.86</v>
      </c>
      <c r="BR41" s="75"/>
      <c r="BS41" s="73"/>
      <c r="BT41" s="74"/>
      <c r="BU41" s="75"/>
      <c r="BV41" s="73"/>
      <c r="BW41" s="74"/>
      <c r="BX41" s="75"/>
      <c r="BY41" s="73"/>
      <c r="BZ41" s="74"/>
      <c r="CA41" s="75"/>
      <c r="CB41" s="73"/>
      <c r="CC41" s="74"/>
      <c r="CD41" s="66">
        <f t="shared" si="33"/>
        <v>0</v>
      </c>
      <c r="CE41" s="67">
        <f t="shared" si="672"/>
        <v>0</v>
      </c>
      <c r="CF41" s="64">
        <f t="shared" si="673"/>
        <v>0</v>
      </c>
      <c r="CG41" s="62"/>
      <c r="CH41" s="63"/>
      <c r="CI41" s="64">
        <f t="shared" si="674"/>
        <v>0</v>
      </c>
      <c r="CJ41" s="65"/>
      <c r="CK41" s="63"/>
      <c r="CL41" s="64">
        <f t="shared" si="675"/>
        <v>0</v>
      </c>
      <c r="CM41" s="65"/>
      <c r="CN41" s="63"/>
      <c r="CO41" s="64">
        <f t="shared" si="676"/>
        <v>0</v>
      </c>
      <c r="CP41" s="65"/>
      <c r="CQ41" s="63"/>
      <c r="CR41" s="64">
        <f t="shared" si="677"/>
        <v>0</v>
      </c>
      <c r="CS41" s="66">
        <f t="shared" si="40"/>
        <v>0</v>
      </c>
      <c r="CT41" s="67">
        <f t="shared" si="678"/>
        <v>0</v>
      </c>
      <c r="CU41" s="64">
        <f t="shared" si="679"/>
        <v>0</v>
      </c>
      <c r="CV41" s="62">
        <v>2916.7</v>
      </c>
      <c r="CW41" s="63">
        <v>2916.7</v>
      </c>
      <c r="CX41" s="64">
        <f t="shared" si="680"/>
        <v>0</v>
      </c>
      <c r="CY41" s="65"/>
      <c r="CZ41" s="63"/>
      <c r="DA41" s="64">
        <f t="shared" si="681"/>
        <v>0</v>
      </c>
      <c r="DB41" s="65"/>
      <c r="DC41" s="63"/>
      <c r="DD41" s="64">
        <f t="shared" si="682"/>
        <v>0</v>
      </c>
      <c r="DE41" s="65"/>
      <c r="DF41" s="63"/>
      <c r="DG41" s="64">
        <f t="shared" si="683"/>
        <v>0</v>
      </c>
      <c r="DH41" s="66">
        <f t="shared" si="43"/>
        <v>2916.7</v>
      </c>
      <c r="DI41" s="67">
        <f t="shared" si="684"/>
        <v>2916.7</v>
      </c>
      <c r="DJ41" s="64">
        <f t="shared" si="685"/>
        <v>0</v>
      </c>
      <c r="DK41" s="62">
        <v>2400</v>
      </c>
      <c r="DL41" s="63">
        <v>2400</v>
      </c>
      <c r="DM41" s="64">
        <f t="shared" si="686"/>
        <v>0</v>
      </c>
      <c r="DN41" s="65">
        <v>580</v>
      </c>
      <c r="DO41" s="63">
        <v>613.08000000000004</v>
      </c>
      <c r="DP41" s="64">
        <f t="shared" si="687"/>
        <v>-33.080000000000041</v>
      </c>
      <c r="DQ41" s="65"/>
      <c r="DR41" s="63"/>
      <c r="DS41" s="64">
        <f t="shared" si="688"/>
        <v>0</v>
      </c>
      <c r="DT41" s="65">
        <v>100</v>
      </c>
      <c r="DU41" s="63"/>
      <c r="DV41" s="64">
        <f t="shared" si="689"/>
        <v>100</v>
      </c>
      <c r="DW41" s="66">
        <f t="shared" si="46"/>
        <v>3080</v>
      </c>
      <c r="DX41" s="67">
        <f t="shared" si="690"/>
        <v>3013.08</v>
      </c>
      <c r="DY41" s="64">
        <f t="shared" si="691"/>
        <v>66.920000000000073</v>
      </c>
      <c r="DZ41" s="62"/>
      <c r="EA41" s="63"/>
      <c r="EB41" s="64">
        <f t="shared" si="692"/>
        <v>0</v>
      </c>
      <c r="EC41" s="65"/>
      <c r="ED41" s="63"/>
      <c r="EE41" s="64">
        <f t="shared" si="693"/>
        <v>0</v>
      </c>
      <c r="EF41" s="65"/>
      <c r="EG41" s="63"/>
      <c r="EH41" s="64">
        <f t="shared" si="694"/>
        <v>0</v>
      </c>
      <c r="EI41" s="65">
        <v>100</v>
      </c>
      <c r="EJ41" s="63"/>
      <c r="EK41" s="64">
        <f t="shared" si="695"/>
        <v>100</v>
      </c>
      <c r="EL41" s="66">
        <f t="shared" si="53"/>
        <v>100</v>
      </c>
      <c r="EM41" s="67">
        <f t="shared" si="696"/>
        <v>0</v>
      </c>
      <c r="EN41" s="64">
        <f t="shared" si="697"/>
        <v>100</v>
      </c>
      <c r="EO41" s="62"/>
      <c r="EP41" s="62"/>
      <c r="EQ41" s="64">
        <f t="shared" si="698"/>
        <v>0</v>
      </c>
      <c r="ER41" s="65"/>
      <c r="ES41" s="63"/>
      <c r="ET41" s="64">
        <f t="shared" si="699"/>
        <v>0</v>
      </c>
      <c r="EU41" s="65"/>
      <c r="EV41" s="63">
        <v>936.86</v>
      </c>
      <c r="EW41" s="64">
        <f t="shared" si="700"/>
        <v>-936.86</v>
      </c>
      <c r="EX41" s="65">
        <v>100</v>
      </c>
      <c r="EY41" s="63"/>
      <c r="EZ41" s="64">
        <f t="shared" si="701"/>
        <v>100</v>
      </c>
      <c r="FA41" s="66">
        <f t="shared" si="60"/>
        <v>100</v>
      </c>
      <c r="FB41" s="67">
        <f t="shared" si="702"/>
        <v>936.86</v>
      </c>
      <c r="FC41" s="64">
        <f t="shared" si="703"/>
        <v>-836.86</v>
      </c>
      <c r="FD41" s="62"/>
      <c r="FE41" s="62"/>
      <c r="FF41" s="64">
        <f t="shared" si="704"/>
        <v>0</v>
      </c>
      <c r="FG41" s="65"/>
      <c r="FH41" s="63"/>
      <c r="FI41" s="64">
        <f t="shared" si="705"/>
        <v>0</v>
      </c>
      <c r="FJ41" s="65"/>
      <c r="FK41" s="63">
        <v>936.86</v>
      </c>
      <c r="FL41" s="64">
        <f t="shared" si="706"/>
        <v>-936.86</v>
      </c>
      <c r="FM41" s="65">
        <v>100</v>
      </c>
      <c r="FN41" s="63"/>
      <c r="FO41" s="64">
        <f t="shared" si="707"/>
        <v>100</v>
      </c>
      <c r="FP41" s="66">
        <f t="shared" si="67"/>
        <v>100</v>
      </c>
      <c r="FQ41" s="67">
        <f t="shared" si="708"/>
        <v>936.86</v>
      </c>
      <c r="FR41" s="64">
        <f t="shared" si="709"/>
        <v>-836.86</v>
      </c>
      <c r="FS41" s="62"/>
      <c r="FT41" s="63"/>
      <c r="FU41" s="64">
        <f t="shared" si="710"/>
        <v>0</v>
      </c>
      <c r="FV41" s="65"/>
      <c r="FW41" s="63">
        <v>485.35</v>
      </c>
      <c r="FX41" s="64">
        <f t="shared" si="711"/>
        <v>-485.35</v>
      </c>
      <c r="FY41" s="65"/>
      <c r="FZ41" s="63"/>
      <c r="GA41" s="64">
        <f t="shared" si="712"/>
        <v>0</v>
      </c>
      <c r="GB41" s="65"/>
      <c r="GC41" s="63">
        <v>229.47</v>
      </c>
      <c r="GD41" s="64">
        <f t="shared" si="713"/>
        <v>-229.47</v>
      </c>
      <c r="GE41" s="66">
        <f t="shared" si="74"/>
        <v>0</v>
      </c>
      <c r="GF41" s="67">
        <f t="shared" si="714"/>
        <v>714.82</v>
      </c>
      <c r="GG41" s="64">
        <f t="shared" si="715"/>
        <v>-714.82</v>
      </c>
      <c r="GH41" s="62"/>
      <c r="GI41" s="63"/>
      <c r="GJ41" s="64">
        <f t="shared" si="716"/>
        <v>0</v>
      </c>
      <c r="GK41" s="65"/>
      <c r="GL41" s="63">
        <v>660.33</v>
      </c>
      <c r="GM41" s="64">
        <f t="shared" si="717"/>
        <v>-660.33</v>
      </c>
      <c r="GN41" s="65"/>
      <c r="GO41" s="63"/>
      <c r="GP41" s="64">
        <f t="shared" si="718"/>
        <v>0</v>
      </c>
      <c r="GQ41" s="65"/>
      <c r="GR41" s="63">
        <v>234.95</v>
      </c>
      <c r="GS41" s="64">
        <f t="shared" si="719"/>
        <v>-234.95</v>
      </c>
      <c r="GT41" s="66">
        <f t="shared" si="81"/>
        <v>0</v>
      </c>
      <c r="GU41" s="67">
        <f t="shared" si="720"/>
        <v>895.28</v>
      </c>
      <c r="GV41" s="64">
        <f t="shared" si="721"/>
        <v>-895.28</v>
      </c>
      <c r="GW41" s="62"/>
      <c r="GX41" s="63"/>
      <c r="GY41" s="64">
        <f t="shared" si="722"/>
        <v>0</v>
      </c>
      <c r="GZ41" s="65"/>
      <c r="HA41" s="63"/>
      <c r="HB41" s="64">
        <f t="shared" si="723"/>
        <v>0</v>
      </c>
      <c r="HC41" s="65"/>
      <c r="HD41" s="63"/>
      <c r="HE41" s="64">
        <f t="shared" si="724"/>
        <v>0</v>
      </c>
      <c r="HF41" s="65">
        <v>100</v>
      </c>
      <c r="HG41" s="63"/>
      <c r="HH41" s="64">
        <f t="shared" si="725"/>
        <v>100</v>
      </c>
      <c r="HI41" s="66">
        <f t="shared" si="84"/>
        <v>100</v>
      </c>
      <c r="HJ41" s="67">
        <f t="shared" si="726"/>
        <v>0</v>
      </c>
      <c r="HK41" s="64">
        <f t="shared" si="727"/>
        <v>100</v>
      </c>
      <c r="HL41" s="62"/>
      <c r="HM41" s="63"/>
      <c r="HN41" s="64">
        <f t="shared" si="728"/>
        <v>0</v>
      </c>
      <c r="HO41" s="65"/>
      <c r="HP41" s="63"/>
      <c r="HQ41" s="64">
        <f t="shared" si="729"/>
        <v>0</v>
      </c>
      <c r="HR41" s="65"/>
      <c r="HS41" s="63">
        <v>936.86</v>
      </c>
      <c r="HT41" s="64">
        <f t="shared" si="730"/>
        <v>-936.86</v>
      </c>
      <c r="HU41" s="65">
        <v>100</v>
      </c>
      <c r="HV41" s="63"/>
      <c r="HW41" s="64">
        <f t="shared" si="731"/>
        <v>100</v>
      </c>
      <c r="HX41" s="66">
        <f t="shared" si="91"/>
        <v>100</v>
      </c>
      <c r="HY41" s="67">
        <f t="shared" si="732"/>
        <v>936.86</v>
      </c>
      <c r="HZ41" s="64">
        <f t="shared" si="733"/>
        <v>-836.86</v>
      </c>
      <c r="IA41" s="62"/>
      <c r="IB41" s="63"/>
      <c r="IC41" s="64">
        <f t="shared" si="734"/>
        <v>0</v>
      </c>
      <c r="ID41" s="65"/>
      <c r="IE41" s="63"/>
      <c r="IF41" s="64">
        <f t="shared" si="735"/>
        <v>0</v>
      </c>
      <c r="IG41" s="65"/>
      <c r="IH41" s="63"/>
      <c r="II41" s="64">
        <f t="shared" si="736"/>
        <v>0</v>
      </c>
      <c r="IJ41" s="65">
        <v>100</v>
      </c>
      <c r="IK41" s="63"/>
      <c r="IL41" s="64">
        <f t="shared" si="737"/>
        <v>100</v>
      </c>
      <c r="IM41" s="66">
        <f t="shared" si="98"/>
        <v>100</v>
      </c>
      <c r="IN41" s="67">
        <f t="shared" si="738"/>
        <v>0</v>
      </c>
      <c r="IO41" s="64">
        <f t="shared" si="739"/>
        <v>100</v>
      </c>
      <c r="IP41" s="62"/>
      <c r="IQ41" s="63"/>
      <c r="IR41" s="64">
        <f t="shared" si="740"/>
        <v>0</v>
      </c>
      <c r="IS41" s="65"/>
      <c r="IT41" s="63"/>
      <c r="IU41" s="64">
        <f t="shared" si="741"/>
        <v>0</v>
      </c>
      <c r="IV41" s="65"/>
      <c r="IW41" s="63"/>
      <c r="IX41" s="64">
        <f t="shared" si="742"/>
        <v>0</v>
      </c>
      <c r="IY41" s="65"/>
      <c r="IZ41" s="63"/>
      <c r="JA41" s="64">
        <f t="shared" si="743"/>
        <v>0</v>
      </c>
      <c r="JB41" s="66">
        <f t="shared" si="105"/>
        <v>0</v>
      </c>
      <c r="JC41" s="67">
        <f t="shared" si="744"/>
        <v>0</v>
      </c>
      <c r="JD41" s="64">
        <f t="shared" si="745"/>
        <v>0</v>
      </c>
      <c r="JE41" s="72"/>
      <c r="JF41" s="150"/>
      <c r="JG41" s="74"/>
      <c r="JH41" s="75"/>
      <c r="JI41" s="150"/>
      <c r="JJ41" s="74"/>
      <c r="JK41" s="75"/>
      <c r="JL41" s="150"/>
      <c r="JM41" s="74"/>
      <c r="JN41" s="75"/>
      <c r="JO41" s="150"/>
      <c r="JP41" s="64">
        <f t="shared" si="749"/>
        <v>0</v>
      </c>
      <c r="JQ41" s="66">
        <f t="shared" si="112"/>
        <v>0</v>
      </c>
      <c r="JR41" s="67">
        <f t="shared" si="750"/>
        <v>0</v>
      </c>
      <c r="JS41" s="64">
        <f t="shared" si="751"/>
        <v>0</v>
      </c>
      <c r="JT41" s="72"/>
      <c r="JU41" s="73"/>
      <c r="JV41" s="74"/>
      <c r="JW41" s="75"/>
      <c r="JX41" s="73"/>
      <c r="JY41" s="74"/>
      <c r="JZ41" s="75"/>
      <c r="KA41" s="73"/>
      <c r="KB41" s="74"/>
      <c r="KC41" s="75"/>
      <c r="KD41" s="73"/>
      <c r="KE41" s="64">
        <f t="shared" si="755"/>
        <v>0</v>
      </c>
      <c r="KF41" s="66">
        <f t="shared" si="119"/>
        <v>0</v>
      </c>
      <c r="KG41" s="67">
        <f t="shared" si="756"/>
        <v>0</v>
      </c>
      <c r="KH41" s="64">
        <f t="shared" si="757"/>
        <v>0</v>
      </c>
      <c r="KI41" s="62"/>
      <c r="KJ41" s="63"/>
      <c r="KK41" s="64">
        <f t="shared" si="758"/>
        <v>0</v>
      </c>
      <c r="KL41" s="65"/>
      <c r="KM41" s="63"/>
      <c r="KN41" s="64">
        <f t="shared" si="759"/>
        <v>0</v>
      </c>
      <c r="KO41" s="65"/>
      <c r="KP41" s="63"/>
      <c r="KQ41" s="64">
        <f t="shared" si="760"/>
        <v>0</v>
      </c>
      <c r="KR41" s="65"/>
      <c r="KS41" s="63"/>
      <c r="KT41" s="64">
        <f t="shared" si="761"/>
        <v>0</v>
      </c>
      <c r="KU41" s="66">
        <f t="shared" si="1"/>
        <v>0</v>
      </c>
      <c r="KV41" s="67">
        <f t="shared" si="762"/>
        <v>0</v>
      </c>
      <c r="KW41" s="64">
        <f t="shared" si="763"/>
        <v>0</v>
      </c>
      <c r="KX41" s="72"/>
      <c r="KY41" s="73"/>
      <c r="KZ41" s="74"/>
      <c r="LA41" s="75"/>
      <c r="LB41" s="73"/>
      <c r="LC41" s="74"/>
      <c r="LD41" s="75"/>
      <c r="LE41" s="73"/>
      <c r="LF41" s="74"/>
      <c r="LG41" s="75"/>
      <c r="LH41" s="73"/>
      <c r="LI41" s="74"/>
      <c r="LJ41" s="76"/>
      <c r="LK41" s="77"/>
      <c r="LL41" s="74"/>
      <c r="LM41" s="62"/>
      <c r="LN41" s="63">
        <v>429.25</v>
      </c>
      <c r="LO41" s="64">
        <f t="shared" si="764"/>
        <v>-429.25</v>
      </c>
      <c r="LP41" s="65"/>
      <c r="LQ41" s="63"/>
      <c r="LR41" s="64">
        <f t="shared" si="765"/>
        <v>0</v>
      </c>
      <c r="LS41" s="65"/>
      <c r="LT41" s="63"/>
      <c r="LU41" s="64">
        <f t="shared" si="766"/>
        <v>0</v>
      </c>
      <c r="LV41" s="65">
        <v>100</v>
      </c>
      <c r="LW41" s="63"/>
      <c r="LX41" s="64">
        <f t="shared" si="767"/>
        <v>100</v>
      </c>
      <c r="LY41" s="66">
        <f t="shared" si="124"/>
        <v>100</v>
      </c>
      <c r="LZ41" s="67">
        <f t="shared" si="768"/>
        <v>429.25</v>
      </c>
      <c r="MA41" s="64">
        <f t="shared" si="769"/>
        <v>-329.25</v>
      </c>
      <c r="MB41" s="62"/>
      <c r="MC41" s="63"/>
      <c r="MD41" s="64">
        <f t="shared" si="770"/>
        <v>0</v>
      </c>
      <c r="ME41" s="65">
        <v>1057.42</v>
      </c>
      <c r="MF41" s="63">
        <v>889.11</v>
      </c>
      <c r="MG41" s="64">
        <f t="shared" si="771"/>
        <v>168.31000000000006</v>
      </c>
      <c r="MH41" s="65"/>
      <c r="MI41" s="63"/>
      <c r="MJ41" s="64">
        <f t="shared" si="772"/>
        <v>0</v>
      </c>
      <c r="MK41" s="65">
        <v>100</v>
      </c>
      <c r="ML41" s="63"/>
      <c r="MM41" s="64">
        <f t="shared" si="773"/>
        <v>100</v>
      </c>
      <c r="MN41" s="66">
        <f t="shared" si="131"/>
        <v>1157.42</v>
      </c>
      <c r="MO41" s="67">
        <f t="shared" si="774"/>
        <v>889.11</v>
      </c>
      <c r="MP41" s="64">
        <f t="shared" si="775"/>
        <v>268.31000000000006</v>
      </c>
      <c r="MQ41" s="62"/>
      <c r="MR41" s="63"/>
      <c r="MS41" s="64">
        <f t="shared" si="776"/>
        <v>0</v>
      </c>
      <c r="MT41" s="65"/>
      <c r="MU41" s="63"/>
      <c r="MV41" s="64">
        <f t="shared" si="777"/>
        <v>0</v>
      </c>
      <c r="MW41" s="65"/>
      <c r="MX41" s="63"/>
      <c r="MY41" s="64">
        <f t="shared" si="778"/>
        <v>0</v>
      </c>
      <c r="MZ41" s="65"/>
      <c r="NA41" s="63"/>
      <c r="NB41" s="64">
        <f t="shared" si="779"/>
        <v>0</v>
      </c>
      <c r="NC41" s="66">
        <f t="shared" si="138"/>
        <v>0</v>
      </c>
      <c r="ND41" s="67">
        <f t="shared" si="780"/>
        <v>0</v>
      </c>
      <c r="NE41" s="64">
        <f t="shared" si="781"/>
        <v>0</v>
      </c>
      <c r="NF41" s="62"/>
      <c r="NG41" s="63"/>
      <c r="NH41" s="64">
        <f t="shared" si="782"/>
        <v>0</v>
      </c>
      <c r="NI41" s="65">
        <v>886.87</v>
      </c>
      <c r="NJ41" s="63">
        <v>1204</v>
      </c>
      <c r="NK41" s="64">
        <f t="shared" si="783"/>
        <v>-317.13</v>
      </c>
      <c r="NL41" s="65"/>
      <c r="NM41" s="63"/>
      <c r="NN41" s="64">
        <f t="shared" si="784"/>
        <v>0</v>
      </c>
      <c r="NO41" s="65">
        <v>100</v>
      </c>
      <c r="NP41" s="63"/>
      <c r="NQ41" s="64">
        <f t="shared" si="785"/>
        <v>100</v>
      </c>
      <c r="NR41" s="66">
        <f t="shared" si="145"/>
        <v>986.87</v>
      </c>
      <c r="NS41" s="67">
        <f t="shared" si="786"/>
        <v>1204</v>
      </c>
      <c r="NT41" s="64">
        <f t="shared" si="787"/>
        <v>-217.13</v>
      </c>
      <c r="NU41" s="62"/>
      <c r="NV41" s="63"/>
      <c r="NW41" s="64">
        <f t="shared" si="788"/>
        <v>0</v>
      </c>
      <c r="NX41" s="65">
        <v>1004.52</v>
      </c>
      <c r="NY41" s="63">
        <v>1135.2</v>
      </c>
      <c r="NZ41" s="64">
        <f t="shared" si="789"/>
        <v>-130.68000000000006</v>
      </c>
      <c r="OA41" s="65"/>
      <c r="OB41" s="63"/>
      <c r="OC41" s="64">
        <f t="shared" si="790"/>
        <v>0</v>
      </c>
      <c r="OD41" s="65">
        <v>100</v>
      </c>
      <c r="OE41" s="63">
        <v>80</v>
      </c>
      <c r="OF41" s="64">
        <f t="shared" si="791"/>
        <v>20</v>
      </c>
      <c r="OG41" s="66">
        <f t="shared" si="152"/>
        <v>1104.52</v>
      </c>
      <c r="OH41" s="67">
        <f t="shared" si="792"/>
        <v>1215.2</v>
      </c>
      <c r="OI41" s="64">
        <f t="shared" si="793"/>
        <v>-110.68000000000006</v>
      </c>
      <c r="OJ41" s="62">
        <v>16000</v>
      </c>
      <c r="OK41" s="63">
        <v>17500</v>
      </c>
      <c r="OL41" s="64">
        <f t="shared" si="794"/>
        <v>-1500</v>
      </c>
      <c r="OM41" s="65"/>
      <c r="ON41" s="63"/>
      <c r="OO41" s="64">
        <f t="shared" si="795"/>
        <v>0</v>
      </c>
      <c r="OP41" s="65">
        <v>1200</v>
      </c>
      <c r="OQ41" s="63"/>
      <c r="OR41" s="64">
        <f t="shared" si="796"/>
        <v>1200</v>
      </c>
      <c r="OS41" s="65">
        <v>100</v>
      </c>
      <c r="OT41" s="63"/>
      <c r="OU41" s="64">
        <f t="shared" si="797"/>
        <v>100</v>
      </c>
      <c r="OV41" s="66">
        <f t="shared" si="159"/>
        <v>17300</v>
      </c>
      <c r="OW41" s="67">
        <f t="shared" si="798"/>
        <v>17500</v>
      </c>
      <c r="OX41" s="64">
        <f t="shared" si="799"/>
        <v>-200</v>
      </c>
      <c r="OY41" s="62"/>
      <c r="OZ41" s="63"/>
      <c r="PA41" s="64">
        <f t="shared" si="800"/>
        <v>0</v>
      </c>
      <c r="PB41" s="65"/>
      <c r="PC41" s="63"/>
      <c r="PD41" s="64">
        <f t="shared" si="801"/>
        <v>0</v>
      </c>
      <c r="PE41" s="65"/>
      <c r="PF41" s="63"/>
      <c r="PG41" s="64">
        <f t="shared" si="802"/>
        <v>0</v>
      </c>
      <c r="PH41" s="65">
        <v>100</v>
      </c>
      <c r="PI41" s="63"/>
      <c r="PJ41" s="64">
        <f t="shared" si="803"/>
        <v>100</v>
      </c>
      <c r="PK41" s="66">
        <f t="shared" si="166"/>
        <v>100</v>
      </c>
      <c r="PL41" s="67">
        <f t="shared" si="804"/>
        <v>0</v>
      </c>
      <c r="PM41" s="64">
        <f t="shared" si="805"/>
        <v>100</v>
      </c>
      <c r="PN41" s="62">
        <v>1550</v>
      </c>
      <c r="PO41" s="63">
        <v>1550</v>
      </c>
      <c r="PP41" s="64">
        <f t="shared" si="806"/>
        <v>0</v>
      </c>
      <c r="PQ41" s="65"/>
      <c r="PR41" s="63"/>
      <c r="PS41" s="64">
        <f t="shared" si="807"/>
        <v>0</v>
      </c>
      <c r="PT41" s="65"/>
      <c r="PU41" s="63"/>
      <c r="PV41" s="64">
        <f t="shared" si="808"/>
        <v>0</v>
      </c>
      <c r="PW41" s="65">
        <v>100</v>
      </c>
      <c r="PX41" s="63"/>
      <c r="PY41" s="64">
        <f t="shared" si="809"/>
        <v>100</v>
      </c>
      <c r="PZ41" s="66">
        <f t="shared" si="173"/>
        <v>1650</v>
      </c>
      <c r="QA41" s="67">
        <f t="shared" si="810"/>
        <v>1550</v>
      </c>
      <c r="QB41" s="64">
        <f t="shared" si="811"/>
        <v>100</v>
      </c>
      <c r="QC41" s="62"/>
      <c r="QD41" s="63"/>
      <c r="QE41" s="64">
        <f t="shared" si="812"/>
        <v>0</v>
      </c>
      <c r="QF41" s="65"/>
      <c r="QG41" s="63"/>
      <c r="QH41" s="64">
        <f t="shared" si="813"/>
        <v>0</v>
      </c>
      <c r="QI41" s="65"/>
      <c r="QJ41" s="63"/>
      <c r="QK41" s="64">
        <f t="shared" si="814"/>
        <v>0</v>
      </c>
      <c r="QL41" s="65">
        <v>100</v>
      </c>
      <c r="QM41" s="63">
        <v>201.95</v>
      </c>
      <c r="QN41" s="64">
        <f t="shared" si="815"/>
        <v>-101.94999999999999</v>
      </c>
      <c r="QO41" s="66">
        <f t="shared" si="180"/>
        <v>100</v>
      </c>
      <c r="QP41" s="67">
        <f t="shared" si="816"/>
        <v>201.95</v>
      </c>
      <c r="QQ41" s="64">
        <f t="shared" si="817"/>
        <v>-101.94999999999999</v>
      </c>
      <c r="QR41" s="62"/>
      <c r="QS41" s="63"/>
      <c r="QT41" s="64">
        <f t="shared" si="818"/>
        <v>0</v>
      </c>
      <c r="QU41" s="65"/>
      <c r="QV41" s="63">
        <v>602.79999999999995</v>
      </c>
      <c r="QW41" s="64">
        <f t="shared" si="819"/>
        <v>-602.79999999999995</v>
      </c>
      <c r="QX41" s="65"/>
      <c r="QY41" s="63"/>
      <c r="QZ41" s="64">
        <f t="shared" si="820"/>
        <v>0</v>
      </c>
      <c r="RA41" s="65"/>
      <c r="RB41" s="63"/>
      <c r="RC41" s="64">
        <f t="shared" si="821"/>
        <v>0</v>
      </c>
      <c r="RD41" s="66">
        <f t="shared" si="187"/>
        <v>0</v>
      </c>
      <c r="RE41" s="67">
        <f t="shared" si="822"/>
        <v>602.79999999999995</v>
      </c>
      <c r="RF41" s="74">
        <f t="shared" si="823"/>
        <v>-602.79999999999995</v>
      </c>
      <c r="RG41" s="72"/>
      <c r="RH41" s="73"/>
      <c r="RI41" s="74">
        <f t="shared" si="824"/>
        <v>0</v>
      </c>
      <c r="RJ41" s="75"/>
      <c r="RK41" s="73"/>
      <c r="RL41" s="74">
        <f t="shared" si="825"/>
        <v>0</v>
      </c>
      <c r="RM41" s="75"/>
      <c r="RN41" s="73"/>
      <c r="RO41" s="74">
        <f t="shared" si="826"/>
        <v>0</v>
      </c>
      <c r="RP41" s="76"/>
      <c r="RQ41" s="77"/>
      <c r="RR41" s="74">
        <f t="shared" si="827"/>
        <v>0</v>
      </c>
      <c r="RS41" s="76">
        <f t="shared" si="194"/>
        <v>0</v>
      </c>
      <c r="RT41" s="77">
        <f t="shared" si="828"/>
        <v>0</v>
      </c>
      <c r="RU41" s="64">
        <f t="shared" si="829"/>
        <v>0</v>
      </c>
      <c r="RV41" s="62"/>
      <c r="RW41" s="63"/>
      <c r="RX41" s="64">
        <f t="shared" si="830"/>
        <v>0</v>
      </c>
      <c r="RY41" s="65"/>
      <c r="RZ41" s="63"/>
      <c r="SA41" s="64">
        <f t="shared" si="831"/>
        <v>0</v>
      </c>
      <c r="SB41" s="65"/>
      <c r="SC41" s="63"/>
      <c r="SD41" s="64">
        <f t="shared" si="832"/>
        <v>0</v>
      </c>
      <c r="SE41" s="65">
        <v>100</v>
      </c>
      <c r="SF41" s="63">
        <v>126.65</v>
      </c>
      <c r="SG41" s="64">
        <f t="shared" si="833"/>
        <v>-26.650000000000006</v>
      </c>
      <c r="SH41" s="66">
        <f t="shared" si="201"/>
        <v>100</v>
      </c>
      <c r="SI41" s="67">
        <f t="shared" si="834"/>
        <v>126.65</v>
      </c>
      <c r="SJ41" s="64">
        <f t="shared" si="835"/>
        <v>-26.650000000000006</v>
      </c>
      <c r="SK41" s="62"/>
      <c r="SL41" s="63"/>
      <c r="SM41" s="64">
        <f t="shared" si="836"/>
        <v>0</v>
      </c>
      <c r="SN41" s="65"/>
      <c r="SO41" s="63"/>
      <c r="SP41" s="64">
        <f t="shared" si="837"/>
        <v>0</v>
      </c>
      <c r="SQ41" s="65"/>
      <c r="SR41" s="63"/>
      <c r="SS41" s="64">
        <f t="shared" si="838"/>
        <v>0</v>
      </c>
      <c r="ST41" s="65">
        <v>100</v>
      </c>
      <c r="SU41" s="63"/>
      <c r="SV41" s="64">
        <f t="shared" si="839"/>
        <v>100</v>
      </c>
      <c r="SW41" s="66">
        <f t="shared" si="208"/>
        <v>100</v>
      </c>
      <c r="SX41" s="67">
        <f t="shared" si="840"/>
        <v>0</v>
      </c>
      <c r="SY41" s="64">
        <f t="shared" si="841"/>
        <v>100</v>
      </c>
      <c r="SZ41" s="62">
        <v>985.33</v>
      </c>
      <c r="TA41" s="63">
        <v>985.33</v>
      </c>
      <c r="TB41" s="64">
        <f t="shared" si="842"/>
        <v>0</v>
      </c>
      <c r="TC41" s="65">
        <v>700.9</v>
      </c>
      <c r="TD41" s="63">
        <v>712.58</v>
      </c>
      <c r="TE41" s="64">
        <f t="shared" si="843"/>
        <v>-11.680000000000064</v>
      </c>
      <c r="TF41" s="65"/>
      <c r="TG41" s="63"/>
      <c r="TH41" s="64">
        <f t="shared" si="844"/>
        <v>0</v>
      </c>
      <c r="TI41" s="65">
        <v>100</v>
      </c>
      <c r="TJ41" s="63">
        <v>173.23</v>
      </c>
      <c r="TK41" s="64">
        <f t="shared" si="845"/>
        <v>-73.22999999999999</v>
      </c>
      <c r="TL41" s="66">
        <f t="shared" si="215"/>
        <v>1786.23</v>
      </c>
      <c r="TM41" s="67">
        <f t="shared" si="846"/>
        <v>1871.14</v>
      </c>
      <c r="TN41" s="64">
        <f t="shared" si="847"/>
        <v>-84.910000000000082</v>
      </c>
      <c r="TO41" s="62"/>
      <c r="TP41" s="63"/>
      <c r="TQ41" s="64">
        <f t="shared" si="848"/>
        <v>0</v>
      </c>
      <c r="TR41" s="65"/>
      <c r="TS41" s="63"/>
      <c r="TT41" s="64">
        <f t="shared" si="849"/>
        <v>0</v>
      </c>
      <c r="TU41" s="65"/>
      <c r="TV41" s="63"/>
      <c r="TW41" s="64">
        <f t="shared" si="850"/>
        <v>0</v>
      </c>
      <c r="TX41" s="65">
        <v>100</v>
      </c>
      <c r="TY41" s="63">
        <v>67.7</v>
      </c>
      <c r="TZ41" s="64">
        <f t="shared" si="851"/>
        <v>32.299999999999997</v>
      </c>
      <c r="UA41" s="66">
        <f t="shared" si="222"/>
        <v>100</v>
      </c>
      <c r="UB41" s="67">
        <f t="shared" si="852"/>
        <v>67.7</v>
      </c>
      <c r="UC41" s="64">
        <f t="shared" si="853"/>
        <v>32.299999999999997</v>
      </c>
      <c r="UD41" s="62"/>
      <c r="UE41" s="63"/>
      <c r="UF41" s="64">
        <f t="shared" si="854"/>
        <v>0</v>
      </c>
      <c r="UG41" s="65">
        <v>497.04</v>
      </c>
      <c r="UH41" s="63">
        <v>517.34</v>
      </c>
      <c r="UI41" s="64">
        <f t="shared" si="855"/>
        <v>-20.300000000000011</v>
      </c>
      <c r="UJ41" s="65"/>
      <c r="UK41" s="63"/>
      <c r="UL41" s="64">
        <f t="shared" si="856"/>
        <v>0</v>
      </c>
      <c r="UM41" s="65">
        <v>100</v>
      </c>
      <c r="UN41" s="63">
        <v>194.57</v>
      </c>
      <c r="UO41" s="64">
        <f t="shared" si="857"/>
        <v>-94.57</v>
      </c>
      <c r="UP41" s="66">
        <f t="shared" si="226"/>
        <v>597.04</v>
      </c>
      <c r="UQ41" s="67">
        <f t="shared" si="858"/>
        <v>711.91000000000008</v>
      </c>
      <c r="UR41" s="64">
        <f t="shared" si="859"/>
        <v>-114.87000000000012</v>
      </c>
      <c r="US41" s="130"/>
      <c r="UT41" s="77"/>
      <c r="UU41" s="131"/>
      <c r="UV41" s="76"/>
      <c r="UW41" s="77"/>
      <c r="UX41" s="131"/>
      <c r="UY41" s="76"/>
      <c r="UZ41" s="77"/>
      <c r="VA41" s="131"/>
      <c r="VB41" s="76"/>
      <c r="VC41" s="77"/>
      <c r="VD41" s="131"/>
      <c r="VE41" s="76">
        <f t="shared" si="233"/>
        <v>0</v>
      </c>
      <c r="VF41" s="77">
        <f t="shared" si="860"/>
        <v>0</v>
      </c>
      <c r="VG41" s="131">
        <f t="shared" si="861"/>
        <v>0</v>
      </c>
      <c r="VH41" s="62"/>
      <c r="VI41" s="63"/>
      <c r="VJ41" s="64">
        <f t="shared" si="862"/>
        <v>0</v>
      </c>
      <c r="VK41" s="65"/>
      <c r="VL41" s="63"/>
      <c r="VM41" s="64">
        <f t="shared" si="863"/>
        <v>0</v>
      </c>
      <c r="VN41" s="65"/>
      <c r="VO41" s="63"/>
      <c r="VP41" s="64">
        <f t="shared" si="864"/>
        <v>0</v>
      </c>
      <c r="VQ41" s="65">
        <v>100</v>
      </c>
      <c r="VR41" s="63"/>
      <c r="VS41" s="64">
        <f t="shared" si="865"/>
        <v>100</v>
      </c>
      <c r="VT41" s="66">
        <f t="shared" si="240"/>
        <v>100</v>
      </c>
      <c r="VU41" s="67">
        <f t="shared" si="866"/>
        <v>0</v>
      </c>
      <c r="VV41" s="64">
        <f t="shared" si="867"/>
        <v>100</v>
      </c>
      <c r="VW41" s="74"/>
      <c r="VX41" s="72"/>
      <c r="VY41" s="73"/>
      <c r="VZ41" s="74"/>
      <c r="WA41" s="75"/>
      <c r="WB41" s="73"/>
      <c r="WC41" s="74"/>
      <c r="WD41" s="75"/>
      <c r="WE41" s="73"/>
      <c r="WF41" s="74"/>
      <c r="WG41" s="75"/>
      <c r="WH41" s="73"/>
      <c r="WI41" s="74"/>
      <c r="WJ41" s="76"/>
      <c r="WK41" s="77"/>
      <c r="WL41" s="62">
        <v>1376.01</v>
      </c>
      <c r="WM41" s="63">
        <v>1376.01</v>
      </c>
      <c r="WN41" s="64">
        <f t="shared" si="868"/>
        <v>0</v>
      </c>
      <c r="WO41" s="65"/>
      <c r="WP41" s="63"/>
      <c r="WQ41" s="64">
        <f t="shared" si="869"/>
        <v>0</v>
      </c>
      <c r="WR41" s="65"/>
      <c r="WS41" s="63"/>
      <c r="WT41" s="64">
        <f t="shared" si="870"/>
        <v>0</v>
      </c>
      <c r="WU41" s="65">
        <v>100</v>
      </c>
      <c r="WV41" s="63"/>
      <c r="WW41" s="64">
        <f t="shared" si="871"/>
        <v>100</v>
      </c>
      <c r="WX41" s="66">
        <f t="shared" si="254"/>
        <v>1476.01</v>
      </c>
      <c r="WY41" s="67">
        <f t="shared" si="872"/>
        <v>1376.01</v>
      </c>
      <c r="WZ41" s="64">
        <f t="shared" si="873"/>
        <v>100</v>
      </c>
      <c r="XA41" s="62"/>
      <c r="XB41" s="63"/>
      <c r="XC41" s="64">
        <f t="shared" si="874"/>
        <v>0</v>
      </c>
      <c r="XD41" s="65"/>
      <c r="XE41" s="63"/>
      <c r="XF41" s="64">
        <f t="shared" si="875"/>
        <v>0</v>
      </c>
      <c r="XG41" s="65"/>
      <c r="XH41" s="63"/>
      <c r="XI41" s="64">
        <f t="shared" si="876"/>
        <v>0</v>
      </c>
      <c r="XJ41" s="65">
        <v>100</v>
      </c>
      <c r="XK41" s="63">
        <v>194.88</v>
      </c>
      <c r="XL41" s="64">
        <f t="shared" si="877"/>
        <v>-94.88</v>
      </c>
      <c r="XM41" s="66">
        <f t="shared" si="261"/>
        <v>100</v>
      </c>
      <c r="XN41" s="67">
        <f t="shared" si="878"/>
        <v>194.88</v>
      </c>
      <c r="XO41" s="64">
        <f t="shared" si="879"/>
        <v>-94.88</v>
      </c>
      <c r="XP41" s="62"/>
      <c r="XQ41" s="63"/>
      <c r="XR41" s="64">
        <f t="shared" si="880"/>
        <v>0</v>
      </c>
      <c r="XS41" s="65">
        <v>591.29999999999995</v>
      </c>
      <c r="XT41" s="63">
        <v>820.33</v>
      </c>
      <c r="XU41" s="64">
        <f t="shared" si="881"/>
        <v>-229.03000000000009</v>
      </c>
      <c r="XV41" s="65"/>
      <c r="XW41" s="63"/>
      <c r="XX41" s="64">
        <f t="shared" si="882"/>
        <v>0</v>
      </c>
      <c r="XY41" s="65">
        <v>100</v>
      </c>
      <c r="XZ41" s="63">
        <v>64.42</v>
      </c>
      <c r="YA41" s="64">
        <f t="shared" si="883"/>
        <v>35.58</v>
      </c>
      <c r="YB41" s="66">
        <f t="shared" si="268"/>
        <v>691.3</v>
      </c>
      <c r="YC41" s="67">
        <f t="shared" si="884"/>
        <v>884.75</v>
      </c>
      <c r="YD41" s="64">
        <f t="shared" si="885"/>
        <v>-193.45000000000005</v>
      </c>
      <c r="YE41" s="62"/>
      <c r="YF41" s="63"/>
      <c r="YG41" s="64">
        <f t="shared" si="886"/>
        <v>0</v>
      </c>
      <c r="YH41" s="65">
        <v>725.15</v>
      </c>
      <c r="YI41" s="63">
        <v>836.95</v>
      </c>
      <c r="YJ41" s="64">
        <f t="shared" si="887"/>
        <v>-111.80000000000007</v>
      </c>
      <c r="YK41" s="65"/>
      <c r="YL41" s="63"/>
      <c r="YM41" s="64">
        <f t="shared" si="888"/>
        <v>0</v>
      </c>
      <c r="YN41" s="65">
        <v>100</v>
      </c>
      <c r="YO41" s="63">
        <v>115.83</v>
      </c>
      <c r="YP41" s="64">
        <f t="shared" si="889"/>
        <v>-15.829999999999998</v>
      </c>
      <c r="YQ41" s="66">
        <f t="shared" si="275"/>
        <v>825.15</v>
      </c>
      <c r="YR41" s="67">
        <f t="shared" si="890"/>
        <v>952.78000000000009</v>
      </c>
      <c r="YS41" s="64">
        <f t="shared" si="891"/>
        <v>-127.63000000000011</v>
      </c>
      <c r="YT41" s="62"/>
      <c r="YU41" s="63"/>
      <c r="YV41" s="64">
        <f t="shared" si="892"/>
        <v>0</v>
      </c>
      <c r="YW41" s="65">
        <v>513.28</v>
      </c>
      <c r="YX41" s="63">
        <v>680.54</v>
      </c>
      <c r="YY41" s="64">
        <f t="shared" si="893"/>
        <v>-167.26</v>
      </c>
      <c r="YZ41" s="65"/>
      <c r="ZA41" s="63"/>
      <c r="ZB41" s="64">
        <f t="shared" si="894"/>
        <v>0</v>
      </c>
      <c r="ZC41" s="65">
        <v>100</v>
      </c>
      <c r="ZD41" s="63">
        <v>90.69</v>
      </c>
      <c r="ZE41" s="64">
        <f t="shared" si="895"/>
        <v>9.3100000000000023</v>
      </c>
      <c r="ZF41" s="66">
        <f t="shared" si="282"/>
        <v>613.28</v>
      </c>
      <c r="ZG41" s="67">
        <f t="shared" si="896"/>
        <v>771.23</v>
      </c>
      <c r="ZH41" s="64">
        <f t="shared" si="897"/>
        <v>-157.95000000000005</v>
      </c>
      <c r="ZI41" s="62">
        <v>1250</v>
      </c>
      <c r="ZJ41" s="63">
        <v>1250</v>
      </c>
      <c r="ZK41" s="64">
        <f t="shared" si="898"/>
        <v>0</v>
      </c>
      <c r="ZL41" s="65"/>
      <c r="ZM41" s="63"/>
      <c r="ZN41" s="64">
        <f t="shared" si="899"/>
        <v>0</v>
      </c>
      <c r="ZO41" s="65"/>
      <c r="ZP41" s="63"/>
      <c r="ZQ41" s="64">
        <f t="shared" si="900"/>
        <v>0</v>
      </c>
      <c r="ZR41" s="65">
        <v>100</v>
      </c>
      <c r="ZS41" s="63">
        <v>449.96</v>
      </c>
      <c r="ZT41" s="64">
        <f t="shared" si="901"/>
        <v>-349.96</v>
      </c>
      <c r="ZU41" s="66">
        <f t="shared" si="289"/>
        <v>1350</v>
      </c>
      <c r="ZV41" s="67">
        <f t="shared" si="902"/>
        <v>1699.96</v>
      </c>
      <c r="ZW41" s="64">
        <f t="shared" si="903"/>
        <v>-349.96000000000004</v>
      </c>
      <c r="ZX41" s="62">
        <v>24.71</v>
      </c>
      <c r="ZY41" s="63">
        <v>24.71</v>
      </c>
      <c r="ZZ41" s="64">
        <f t="shared" si="904"/>
        <v>0</v>
      </c>
      <c r="AAA41" s="66">
        <f t="shared" si="293"/>
        <v>24.71</v>
      </c>
      <c r="AAB41" s="67">
        <f t="shared" si="293"/>
        <v>24.71</v>
      </c>
      <c r="AAC41" s="64">
        <f t="shared" si="905"/>
        <v>0</v>
      </c>
      <c r="AAD41" s="85">
        <f t="shared" si="295"/>
        <v>43328.659999999996</v>
      </c>
      <c r="AAE41" s="86">
        <f t="shared" si="295"/>
        <v>49032.46</v>
      </c>
      <c r="AAF41" s="87">
        <f t="shared" si="3"/>
        <v>1.1316403507516735</v>
      </c>
      <c r="AAG41" s="88">
        <f t="shared" si="906"/>
        <v>5703.8000000000029</v>
      </c>
      <c r="AAH41" s="96">
        <f>AAH37-AAH33</f>
        <v>84782.669999999693</v>
      </c>
      <c r="AAI41" s="97"/>
      <c r="AAJ41" s="97"/>
      <c r="AAK41" s="60"/>
    </row>
    <row r="42" spans="1:713" s="83" customFormat="1" ht="20" customHeight="1" thickBot="1" x14ac:dyDescent="0.25">
      <c r="A42" s="84" t="s">
        <v>39</v>
      </c>
      <c r="B42" s="96"/>
      <c r="C42" s="97"/>
      <c r="D42" s="97"/>
      <c r="E42" s="60"/>
      <c r="F42" s="61">
        <v>45627</v>
      </c>
      <c r="G42" s="62"/>
      <c r="H42" s="63"/>
      <c r="I42" s="64">
        <f t="shared" si="649"/>
        <v>0</v>
      </c>
      <c r="J42" s="65">
        <v>3486.88</v>
      </c>
      <c r="K42" s="63">
        <f>4540.64+4540.64</f>
        <v>9081.2800000000007</v>
      </c>
      <c r="L42" s="64">
        <f t="shared" si="650"/>
        <v>-5594.4000000000005</v>
      </c>
      <c r="M42" s="65">
        <v>2500</v>
      </c>
      <c r="N42" s="63">
        <v>2069.16</v>
      </c>
      <c r="O42" s="64">
        <f t="shared" si="651"/>
        <v>430.84000000000015</v>
      </c>
      <c r="P42" s="65">
        <v>1000</v>
      </c>
      <c r="Q42" s="63">
        <v>254.13</v>
      </c>
      <c r="R42" s="64">
        <f t="shared" si="652"/>
        <v>745.87</v>
      </c>
      <c r="S42" s="65">
        <v>181</v>
      </c>
      <c r="T42" s="63">
        <v>196.34</v>
      </c>
      <c r="U42" s="64">
        <f t="shared" si="653"/>
        <v>-15.340000000000003</v>
      </c>
      <c r="V42" s="66">
        <f t="shared" si="654"/>
        <v>7167.88</v>
      </c>
      <c r="W42" s="67">
        <f t="shared" si="654"/>
        <v>11600.91</v>
      </c>
      <c r="X42" s="64">
        <f t="shared" si="655"/>
        <v>-4433.03</v>
      </c>
      <c r="Y42" s="72"/>
      <c r="Z42" s="73"/>
      <c r="AA42" s="74"/>
      <c r="AB42" s="75"/>
      <c r="AC42" s="73"/>
      <c r="AD42" s="74"/>
      <c r="AE42" s="75"/>
      <c r="AF42" s="73"/>
      <c r="AG42" s="74"/>
      <c r="AH42" s="75"/>
      <c r="AI42" s="73"/>
      <c r="AJ42" s="74"/>
      <c r="AK42" s="76"/>
      <c r="AL42" s="77"/>
      <c r="AM42" s="64">
        <f t="shared" si="660"/>
        <v>0</v>
      </c>
      <c r="AN42" s="62"/>
      <c r="AO42" s="63"/>
      <c r="AP42" s="64">
        <f t="shared" si="907"/>
        <v>0</v>
      </c>
      <c r="AQ42" s="65"/>
      <c r="AR42" s="63"/>
      <c r="AS42" s="64">
        <f t="shared" si="661"/>
        <v>0</v>
      </c>
      <c r="AT42" s="65"/>
      <c r="AU42" s="63"/>
      <c r="AV42" s="64">
        <f t="shared" si="662"/>
        <v>0</v>
      </c>
      <c r="AW42" s="65"/>
      <c r="AX42" s="63"/>
      <c r="AY42" s="64">
        <f t="shared" si="663"/>
        <v>0</v>
      </c>
      <c r="AZ42" s="66">
        <f t="shared" si="23"/>
        <v>0</v>
      </c>
      <c r="BA42" s="67">
        <f t="shared" si="664"/>
        <v>0</v>
      </c>
      <c r="BB42" s="64">
        <f t="shared" si="665"/>
        <v>0</v>
      </c>
      <c r="BC42" s="62">
        <v>6150</v>
      </c>
      <c r="BD42" s="62">
        <v>6150</v>
      </c>
      <c r="BE42" s="64">
        <f t="shared" si="666"/>
        <v>0</v>
      </c>
      <c r="BF42" s="65"/>
      <c r="BG42" s="63"/>
      <c r="BH42" s="64">
        <f t="shared" si="667"/>
        <v>0</v>
      </c>
      <c r="BI42" s="65"/>
      <c r="BJ42" s="63">
        <v>936.86</v>
      </c>
      <c r="BK42" s="64">
        <f t="shared" si="668"/>
        <v>-936.86</v>
      </c>
      <c r="BL42" s="65">
        <v>100</v>
      </c>
      <c r="BM42" s="63"/>
      <c r="BN42" s="64">
        <f t="shared" si="669"/>
        <v>100</v>
      </c>
      <c r="BO42" s="66">
        <f t="shared" si="30"/>
        <v>6250</v>
      </c>
      <c r="BP42" s="67">
        <f t="shared" si="670"/>
        <v>7086.86</v>
      </c>
      <c r="BQ42" s="64">
        <f t="shared" si="671"/>
        <v>-836.85999999999967</v>
      </c>
      <c r="BR42" s="75"/>
      <c r="BS42" s="73"/>
      <c r="BT42" s="74"/>
      <c r="BU42" s="75"/>
      <c r="BV42" s="73"/>
      <c r="BW42" s="74"/>
      <c r="BX42" s="75"/>
      <c r="BY42" s="73"/>
      <c r="BZ42" s="74"/>
      <c r="CA42" s="75"/>
      <c r="CB42" s="73"/>
      <c r="CC42" s="74"/>
      <c r="CD42" s="66">
        <f t="shared" si="33"/>
        <v>0</v>
      </c>
      <c r="CE42" s="67">
        <f t="shared" si="672"/>
        <v>0</v>
      </c>
      <c r="CF42" s="64">
        <f t="shared" si="673"/>
        <v>0</v>
      </c>
      <c r="CG42" s="62"/>
      <c r="CH42" s="63"/>
      <c r="CI42" s="64">
        <f t="shared" si="674"/>
        <v>0</v>
      </c>
      <c r="CJ42" s="65"/>
      <c r="CK42" s="63"/>
      <c r="CL42" s="64">
        <f t="shared" si="675"/>
        <v>0</v>
      </c>
      <c r="CM42" s="65"/>
      <c r="CN42" s="63"/>
      <c r="CO42" s="64">
        <f t="shared" si="676"/>
        <v>0</v>
      </c>
      <c r="CP42" s="65"/>
      <c r="CQ42" s="63"/>
      <c r="CR42" s="64">
        <f t="shared" si="677"/>
        <v>0</v>
      </c>
      <c r="CS42" s="66">
        <f t="shared" si="40"/>
        <v>0</v>
      </c>
      <c r="CT42" s="67">
        <f t="shared" si="678"/>
        <v>0</v>
      </c>
      <c r="CU42" s="64">
        <f t="shared" si="679"/>
        <v>0</v>
      </c>
      <c r="CV42" s="62">
        <v>2916.7</v>
      </c>
      <c r="CW42" s="63">
        <v>2916.7</v>
      </c>
      <c r="CX42" s="64">
        <f t="shared" si="680"/>
        <v>0</v>
      </c>
      <c r="CY42" s="65"/>
      <c r="CZ42" s="63"/>
      <c r="DA42" s="64">
        <f t="shared" si="681"/>
        <v>0</v>
      </c>
      <c r="DB42" s="65"/>
      <c r="DC42" s="63"/>
      <c r="DD42" s="64">
        <f t="shared" si="682"/>
        <v>0</v>
      </c>
      <c r="DE42" s="65"/>
      <c r="DF42" s="63"/>
      <c r="DG42" s="64">
        <f t="shared" si="683"/>
        <v>0</v>
      </c>
      <c r="DH42" s="66">
        <f t="shared" si="43"/>
        <v>2916.7</v>
      </c>
      <c r="DI42" s="67">
        <f t="shared" si="684"/>
        <v>2916.7</v>
      </c>
      <c r="DJ42" s="64">
        <f t="shared" si="685"/>
        <v>0</v>
      </c>
      <c r="DK42" s="62">
        <v>2400</v>
      </c>
      <c r="DL42" s="63">
        <v>2400</v>
      </c>
      <c r="DM42" s="64">
        <f t="shared" si="686"/>
        <v>0</v>
      </c>
      <c r="DN42" s="65">
        <v>580</v>
      </c>
      <c r="DO42" s="63">
        <v>613.08000000000004</v>
      </c>
      <c r="DP42" s="64">
        <f t="shared" si="687"/>
        <v>-33.080000000000041</v>
      </c>
      <c r="DQ42" s="65"/>
      <c r="DR42" s="63">
        <v>300</v>
      </c>
      <c r="DS42" s="64">
        <f t="shared" si="688"/>
        <v>-300</v>
      </c>
      <c r="DT42" s="65">
        <v>100</v>
      </c>
      <c r="DU42" s="63">
        <v>268.87</v>
      </c>
      <c r="DV42" s="64">
        <f t="shared" si="689"/>
        <v>-168.87</v>
      </c>
      <c r="DW42" s="66">
        <f t="shared" si="46"/>
        <v>3080</v>
      </c>
      <c r="DX42" s="67">
        <f t="shared" si="690"/>
        <v>3581.95</v>
      </c>
      <c r="DY42" s="64">
        <f t="shared" si="691"/>
        <v>-501.94999999999982</v>
      </c>
      <c r="DZ42" s="62"/>
      <c r="EA42" s="63"/>
      <c r="EB42" s="64">
        <f t="shared" si="692"/>
        <v>0</v>
      </c>
      <c r="EC42" s="65"/>
      <c r="ED42" s="63"/>
      <c r="EE42" s="64">
        <f t="shared" si="693"/>
        <v>0</v>
      </c>
      <c r="EF42" s="65"/>
      <c r="EG42" s="63"/>
      <c r="EH42" s="64">
        <f t="shared" si="694"/>
        <v>0</v>
      </c>
      <c r="EI42" s="65">
        <v>100</v>
      </c>
      <c r="EJ42" s="63">
        <v>172.23</v>
      </c>
      <c r="EK42" s="64">
        <f t="shared" si="695"/>
        <v>-72.22999999999999</v>
      </c>
      <c r="EL42" s="66">
        <f t="shared" si="53"/>
        <v>100</v>
      </c>
      <c r="EM42" s="67">
        <f t="shared" si="696"/>
        <v>172.23</v>
      </c>
      <c r="EN42" s="64">
        <f t="shared" si="697"/>
        <v>-72.22999999999999</v>
      </c>
      <c r="EO42" s="62">
        <v>6150</v>
      </c>
      <c r="EP42" s="62">
        <v>6150</v>
      </c>
      <c r="EQ42" s="64">
        <f t="shared" si="698"/>
        <v>0</v>
      </c>
      <c r="ER42" s="65"/>
      <c r="ES42" s="63"/>
      <c r="ET42" s="64">
        <f t="shared" si="699"/>
        <v>0</v>
      </c>
      <c r="EU42" s="65"/>
      <c r="EV42" s="63">
        <v>936.86</v>
      </c>
      <c r="EW42" s="64">
        <f t="shared" si="700"/>
        <v>-936.86</v>
      </c>
      <c r="EX42" s="65">
        <v>100</v>
      </c>
      <c r="EY42" s="63"/>
      <c r="EZ42" s="64">
        <f t="shared" si="701"/>
        <v>100</v>
      </c>
      <c r="FA42" s="66">
        <f t="shared" si="60"/>
        <v>6250</v>
      </c>
      <c r="FB42" s="67">
        <f t="shared" si="702"/>
        <v>7086.86</v>
      </c>
      <c r="FC42" s="64">
        <f t="shared" si="703"/>
        <v>-836.85999999999967</v>
      </c>
      <c r="FD42" s="62">
        <v>6150</v>
      </c>
      <c r="FE42" s="62">
        <v>6150</v>
      </c>
      <c r="FF42" s="64">
        <f t="shared" si="704"/>
        <v>0</v>
      </c>
      <c r="FG42" s="65"/>
      <c r="FH42" s="63"/>
      <c r="FI42" s="64">
        <f t="shared" si="705"/>
        <v>0</v>
      </c>
      <c r="FJ42" s="65"/>
      <c r="FK42" s="63">
        <v>936.86</v>
      </c>
      <c r="FL42" s="64">
        <f t="shared" si="706"/>
        <v>-936.86</v>
      </c>
      <c r="FM42" s="65">
        <v>100</v>
      </c>
      <c r="FN42" s="63"/>
      <c r="FO42" s="64">
        <f t="shared" si="707"/>
        <v>100</v>
      </c>
      <c r="FP42" s="66">
        <f t="shared" si="67"/>
        <v>6250</v>
      </c>
      <c r="FQ42" s="67">
        <f t="shared" si="708"/>
        <v>7086.86</v>
      </c>
      <c r="FR42" s="64">
        <f t="shared" si="709"/>
        <v>-836.85999999999967</v>
      </c>
      <c r="FS42" s="62"/>
      <c r="FT42" s="63"/>
      <c r="FU42" s="64">
        <f t="shared" si="710"/>
        <v>0</v>
      </c>
      <c r="FV42" s="65"/>
      <c r="FW42" s="63">
        <v>485.35</v>
      </c>
      <c r="FX42" s="64">
        <f t="shared" si="711"/>
        <v>-485.35</v>
      </c>
      <c r="FY42" s="65"/>
      <c r="FZ42" s="63"/>
      <c r="GA42" s="64">
        <f t="shared" si="712"/>
        <v>0</v>
      </c>
      <c r="GB42" s="65"/>
      <c r="GC42" s="63"/>
      <c r="GD42" s="64">
        <f t="shared" si="713"/>
        <v>0</v>
      </c>
      <c r="GE42" s="66">
        <f t="shared" si="74"/>
        <v>0</v>
      </c>
      <c r="GF42" s="67">
        <f t="shared" si="714"/>
        <v>485.35</v>
      </c>
      <c r="GG42" s="64">
        <f t="shared" si="715"/>
        <v>-485.35</v>
      </c>
      <c r="GH42" s="62"/>
      <c r="GI42" s="63"/>
      <c r="GJ42" s="64">
        <f t="shared" si="716"/>
        <v>0</v>
      </c>
      <c r="GK42" s="65"/>
      <c r="GL42" s="63">
        <v>660.33</v>
      </c>
      <c r="GM42" s="64">
        <f t="shared" si="717"/>
        <v>-660.33</v>
      </c>
      <c r="GN42" s="65"/>
      <c r="GO42" s="63"/>
      <c r="GP42" s="64">
        <f t="shared" si="718"/>
        <v>0</v>
      </c>
      <c r="GQ42" s="65"/>
      <c r="GR42" s="63">
        <v>50.7</v>
      </c>
      <c r="GS42" s="64">
        <f t="shared" si="719"/>
        <v>-50.7</v>
      </c>
      <c r="GT42" s="66">
        <f t="shared" si="81"/>
        <v>0</v>
      </c>
      <c r="GU42" s="67">
        <f t="shared" si="720"/>
        <v>711.03000000000009</v>
      </c>
      <c r="GV42" s="64">
        <f t="shared" si="721"/>
        <v>-711.03000000000009</v>
      </c>
      <c r="GW42" s="62"/>
      <c r="GX42" s="63"/>
      <c r="GY42" s="64">
        <f t="shared" si="722"/>
        <v>0</v>
      </c>
      <c r="GZ42" s="65"/>
      <c r="HA42" s="63"/>
      <c r="HB42" s="64">
        <f t="shared" si="723"/>
        <v>0</v>
      </c>
      <c r="HC42" s="65"/>
      <c r="HD42" s="63"/>
      <c r="HE42" s="64">
        <f t="shared" si="724"/>
        <v>0</v>
      </c>
      <c r="HF42" s="65">
        <v>100</v>
      </c>
      <c r="HG42" s="63">
        <v>92.15</v>
      </c>
      <c r="HH42" s="64">
        <f t="shared" si="725"/>
        <v>7.8499999999999943</v>
      </c>
      <c r="HI42" s="66">
        <f t="shared" si="84"/>
        <v>100</v>
      </c>
      <c r="HJ42" s="67">
        <f t="shared" si="726"/>
        <v>92.15</v>
      </c>
      <c r="HK42" s="64">
        <f t="shared" si="727"/>
        <v>7.8499999999999943</v>
      </c>
      <c r="HL42" s="62">
        <v>6150</v>
      </c>
      <c r="HM42" s="63">
        <v>6150</v>
      </c>
      <c r="HN42" s="64">
        <f t="shared" si="728"/>
        <v>0</v>
      </c>
      <c r="HO42" s="65"/>
      <c r="HP42" s="63"/>
      <c r="HQ42" s="64">
        <f t="shared" si="729"/>
        <v>0</v>
      </c>
      <c r="HR42" s="65"/>
      <c r="HS42" s="63">
        <v>936.86</v>
      </c>
      <c r="HT42" s="64">
        <f t="shared" si="730"/>
        <v>-936.86</v>
      </c>
      <c r="HU42" s="65">
        <v>100</v>
      </c>
      <c r="HV42" s="63"/>
      <c r="HW42" s="64">
        <f t="shared" si="731"/>
        <v>100</v>
      </c>
      <c r="HX42" s="66">
        <f t="shared" si="91"/>
        <v>6250</v>
      </c>
      <c r="HY42" s="67">
        <f t="shared" si="732"/>
        <v>7086.86</v>
      </c>
      <c r="HZ42" s="64">
        <f t="shared" si="733"/>
        <v>-836.85999999999967</v>
      </c>
      <c r="IA42" s="62"/>
      <c r="IB42" s="63"/>
      <c r="IC42" s="64">
        <f t="shared" si="734"/>
        <v>0</v>
      </c>
      <c r="ID42" s="65"/>
      <c r="IE42" s="63"/>
      <c r="IF42" s="64">
        <f t="shared" si="735"/>
        <v>0</v>
      </c>
      <c r="IG42" s="65"/>
      <c r="IH42" s="63"/>
      <c r="II42" s="64">
        <f t="shared" si="736"/>
        <v>0</v>
      </c>
      <c r="IJ42" s="65">
        <v>100</v>
      </c>
      <c r="IK42" s="63">
        <v>134.30000000000001</v>
      </c>
      <c r="IL42" s="64">
        <f t="shared" si="737"/>
        <v>-34.300000000000011</v>
      </c>
      <c r="IM42" s="66">
        <f t="shared" si="98"/>
        <v>100</v>
      </c>
      <c r="IN42" s="67">
        <f t="shared" si="738"/>
        <v>134.30000000000001</v>
      </c>
      <c r="IO42" s="64">
        <f t="shared" si="739"/>
        <v>-34.300000000000011</v>
      </c>
      <c r="IP42" s="62"/>
      <c r="IQ42" s="63"/>
      <c r="IR42" s="64">
        <f t="shared" si="740"/>
        <v>0</v>
      </c>
      <c r="IS42" s="65"/>
      <c r="IT42" s="63"/>
      <c r="IU42" s="64">
        <f t="shared" si="741"/>
        <v>0</v>
      </c>
      <c r="IV42" s="65"/>
      <c r="IW42" s="63"/>
      <c r="IX42" s="64">
        <f t="shared" si="742"/>
        <v>0</v>
      </c>
      <c r="IY42" s="65"/>
      <c r="IZ42" s="63"/>
      <c r="JA42" s="64">
        <f t="shared" si="743"/>
        <v>0</v>
      </c>
      <c r="JB42" s="66">
        <f t="shared" si="105"/>
        <v>0</v>
      </c>
      <c r="JC42" s="67">
        <f t="shared" si="744"/>
        <v>0</v>
      </c>
      <c r="JD42" s="64">
        <f t="shared" si="745"/>
        <v>0</v>
      </c>
      <c r="JE42" s="72"/>
      <c r="JF42" s="150"/>
      <c r="JG42" s="74"/>
      <c r="JH42" s="75"/>
      <c r="JI42" s="150"/>
      <c r="JJ42" s="74"/>
      <c r="JK42" s="75"/>
      <c r="JL42" s="150"/>
      <c r="JM42" s="74"/>
      <c r="JN42" s="75"/>
      <c r="JO42" s="150"/>
      <c r="JP42" s="64">
        <f t="shared" si="749"/>
        <v>0</v>
      </c>
      <c r="JQ42" s="66">
        <f t="shared" si="112"/>
        <v>0</v>
      </c>
      <c r="JR42" s="67">
        <f t="shared" si="750"/>
        <v>0</v>
      </c>
      <c r="JS42" s="64">
        <f t="shared" si="751"/>
        <v>0</v>
      </c>
      <c r="JT42" s="72"/>
      <c r="JU42" s="73"/>
      <c r="JV42" s="74"/>
      <c r="JW42" s="75"/>
      <c r="JX42" s="73"/>
      <c r="JY42" s="74"/>
      <c r="JZ42" s="75"/>
      <c r="KA42" s="73"/>
      <c r="KB42" s="74"/>
      <c r="KC42" s="75"/>
      <c r="KD42" s="73"/>
      <c r="KE42" s="64">
        <f t="shared" si="755"/>
        <v>0</v>
      </c>
      <c r="KF42" s="66">
        <f t="shared" si="119"/>
        <v>0</v>
      </c>
      <c r="KG42" s="67">
        <f t="shared" si="756"/>
        <v>0</v>
      </c>
      <c r="KH42" s="64">
        <f t="shared" si="757"/>
        <v>0</v>
      </c>
      <c r="KI42" s="62"/>
      <c r="KJ42" s="63"/>
      <c r="KK42" s="64">
        <f t="shared" si="758"/>
        <v>0</v>
      </c>
      <c r="KL42" s="65"/>
      <c r="KM42" s="63"/>
      <c r="KN42" s="64">
        <f t="shared" si="759"/>
        <v>0</v>
      </c>
      <c r="KO42" s="65"/>
      <c r="KP42" s="63"/>
      <c r="KQ42" s="64">
        <f t="shared" si="760"/>
        <v>0</v>
      </c>
      <c r="KR42" s="65"/>
      <c r="KS42" s="63"/>
      <c r="KT42" s="64">
        <f t="shared" si="761"/>
        <v>0</v>
      </c>
      <c r="KU42" s="66">
        <f t="shared" si="1"/>
        <v>0</v>
      </c>
      <c r="KV42" s="67">
        <f t="shared" si="762"/>
        <v>0</v>
      </c>
      <c r="KW42" s="64">
        <f t="shared" si="763"/>
        <v>0</v>
      </c>
      <c r="KX42" s="72"/>
      <c r="KY42" s="73"/>
      <c r="KZ42" s="74"/>
      <c r="LA42" s="75"/>
      <c r="LB42" s="73"/>
      <c r="LC42" s="74"/>
      <c r="LD42" s="75"/>
      <c r="LE42" s="73"/>
      <c r="LF42" s="74"/>
      <c r="LG42" s="75"/>
      <c r="LH42" s="73"/>
      <c r="LI42" s="74"/>
      <c r="LJ42" s="76"/>
      <c r="LK42" s="77"/>
      <c r="LL42" s="74"/>
      <c r="LM42" s="62"/>
      <c r="LN42" s="63">
        <v>430</v>
      </c>
      <c r="LO42" s="64">
        <f t="shared" si="764"/>
        <v>-430</v>
      </c>
      <c r="LP42" s="65"/>
      <c r="LQ42" s="63">
        <v>176.87</v>
      </c>
      <c r="LR42" s="64">
        <f t="shared" si="765"/>
        <v>-176.87</v>
      </c>
      <c r="LS42" s="65"/>
      <c r="LT42" s="63"/>
      <c r="LU42" s="64">
        <f t="shared" si="766"/>
        <v>0</v>
      </c>
      <c r="LV42" s="65">
        <v>100</v>
      </c>
      <c r="LW42" s="63">
        <v>429.25</v>
      </c>
      <c r="LX42" s="64">
        <f t="shared" si="767"/>
        <v>-329.25</v>
      </c>
      <c r="LY42" s="66">
        <f t="shared" si="124"/>
        <v>100</v>
      </c>
      <c r="LZ42" s="67">
        <f t="shared" si="768"/>
        <v>1036.1199999999999</v>
      </c>
      <c r="MA42" s="64">
        <f t="shared" si="769"/>
        <v>-936.11999999999989</v>
      </c>
      <c r="MB42" s="62"/>
      <c r="MC42" s="63"/>
      <c r="MD42" s="64">
        <f t="shared" si="770"/>
        <v>0</v>
      </c>
      <c r="ME42" s="65">
        <v>1057.42</v>
      </c>
      <c r="MF42" s="63">
        <v>889.11</v>
      </c>
      <c r="MG42" s="64">
        <f t="shared" si="771"/>
        <v>168.31000000000006</v>
      </c>
      <c r="MH42" s="65"/>
      <c r="MI42" s="63"/>
      <c r="MJ42" s="64">
        <f t="shared" si="772"/>
        <v>0</v>
      </c>
      <c r="MK42" s="65">
        <v>100</v>
      </c>
      <c r="ML42" s="63">
        <v>307.72000000000003</v>
      </c>
      <c r="MM42" s="64">
        <f t="shared" si="773"/>
        <v>-207.72000000000003</v>
      </c>
      <c r="MN42" s="66">
        <f t="shared" si="131"/>
        <v>1157.42</v>
      </c>
      <c r="MO42" s="67">
        <f t="shared" si="774"/>
        <v>1196.83</v>
      </c>
      <c r="MP42" s="64">
        <f t="shared" si="775"/>
        <v>-39.409999999999854</v>
      </c>
      <c r="MQ42" s="62"/>
      <c r="MR42" s="63"/>
      <c r="MS42" s="64">
        <f t="shared" si="776"/>
        <v>0</v>
      </c>
      <c r="MT42" s="65"/>
      <c r="MU42" s="63"/>
      <c r="MV42" s="64">
        <f t="shared" si="777"/>
        <v>0</v>
      </c>
      <c r="MW42" s="65"/>
      <c r="MX42" s="63"/>
      <c r="MY42" s="64">
        <f t="shared" si="778"/>
        <v>0</v>
      </c>
      <c r="MZ42" s="65"/>
      <c r="NA42" s="63"/>
      <c r="NB42" s="64">
        <f t="shared" si="779"/>
        <v>0</v>
      </c>
      <c r="NC42" s="66">
        <f t="shared" si="138"/>
        <v>0</v>
      </c>
      <c r="ND42" s="67">
        <f t="shared" si="780"/>
        <v>0</v>
      </c>
      <c r="NE42" s="64">
        <f t="shared" si="781"/>
        <v>0</v>
      </c>
      <c r="NF42" s="62"/>
      <c r="NG42" s="63"/>
      <c r="NH42" s="64">
        <f t="shared" si="782"/>
        <v>0</v>
      </c>
      <c r="NI42" s="65">
        <v>886.87</v>
      </c>
      <c r="NJ42" s="63">
        <v>1204</v>
      </c>
      <c r="NK42" s="64">
        <f t="shared" si="783"/>
        <v>-317.13</v>
      </c>
      <c r="NL42" s="65"/>
      <c r="NM42" s="63"/>
      <c r="NN42" s="64">
        <f t="shared" si="784"/>
        <v>0</v>
      </c>
      <c r="NO42" s="65">
        <v>100</v>
      </c>
      <c r="NP42" s="63">
        <v>197.76</v>
      </c>
      <c r="NQ42" s="64">
        <f t="shared" si="785"/>
        <v>-97.759999999999991</v>
      </c>
      <c r="NR42" s="66">
        <f t="shared" si="145"/>
        <v>986.87</v>
      </c>
      <c r="NS42" s="67">
        <f t="shared" si="786"/>
        <v>1401.76</v>
      </c>
      <c r="NT42" s="64">
        <f t="shared" si="787"/>
        <v>-414.89</v>
      </c>
      <c r="NU42" s="62"/>
      <c r="NV42" s="63"/>
      <c r="NW42" s="64">
        <f t="shared" si="788"/>
        <v>0</v>
      </c>
      <c r="NX42" s="65">
        <v>1004.52</v>
      </c>
      <c r="NY42" s="63">
        <v>1135.2</v>
      </c>
      <c r="NZ42" s="64">
        <f t="shared" si="789"/>
        <v>-130.68000000000006</v>
      </c>
      <c r="OA42" s="65"/>
      <c r="OB42" s="63"/>
      <c r="OC42" s="64">
        <f t="shared" si="790"/>
        <v>0</v>
      </c>
      <c r="OD42" s="65">
        <v>100</v>
      </c>
      <c r="OE42" s="63">
        <v>62.52</v>
      </c>
      <c r="OF42" s="64">
        <f t="shared" si="791"/>
        <v>37.479999999999997</v>
      </c>
      <c r="OG42" s="66">
        <f t="shared" si="152"/>
        <v>1104.52</v>
      </c>
      <c r="OH42" s="67">
        <f t="shared" si="792"/>
        <v>1197.72</v>
      </c>
      <c r="OI42" s="64">
        <f t="shared" si="793"/>
        <v>-93.200000000000045</v>
      </c>
      <c r="OJ42" s="62"/>
      <c r="OK42" s="63"/>
      <c r="OL42" s="64">
        <f t="shared" si="794"/>
        <v>0</v>
      </c>
      <c r="OM42" s="65"/>
      <c r="ON42" s="63"/>
      <c r="OO42" s="64">
        <f t="shared" si="795"/>
        <v>0</v>
      </c>
      <c r="OP42" s="65"/>
      <c r="OQ42" s="63"/>
      <c r="OR42" s="64">
        <f t="shared" si="796"/>
        <v>0</v>
      </c>
      <c r="OS42" s="65">
        <v>100</v>
      </c>
      <c r="OT42" s="63">
        <v>190.08</v>
      </c>
      <c r="OU42" s="64">
        <f t="shared" si="797"/>
        <v>-90.080000000000013</v>
      </c>
      <c r="OV42" s="66">
        <f t="shared" si="159"/>
        <v>100</v>
      </c>
      <c r="OW42" s="67">
        <f t="shared" si="798"/>
        <v>190.08</v>
      </c>
      <c r="OX42" s="64">
        <f t="shared" si="799"/>
        <v>-90.080000000000013</v>
      </c>
      <c r="OY42" s="62"/>
      <c r="OZ42" s="63"/>
      <c r="PA42" s="64">
        <f t="shared" si="800"/>
        <v>0</v>
      </c>
      <c r="PB42" s="65"/>
      <c r="PC42" s="63"/>
      <c r="PD42" s="64">
        <f t="shared" si="801"/>
        <v>0</v>
      </c>
      <c r="PE42" s="65"/>
      <c r="PF42" s="63"/>
      <c r="PG42" s="64">
        <f t="shared" si="802"/>
        <v>0</v>
      </c>
      <c r="PH42" s="65">
        <v>100</v>
      </c>
      <c r="PI42" s="63">
        <v>123.37</v>
      </c>
      <c r="PJ42" s="64">
        <f t="shared" si="803"/>
        <v>-23.370000000000005</v>
      </c>
      <c r="PK42" s="66">
        <f t="shared" si="166"/>
        <v>100</v>
      </c>
      <c r="PL42" s="67">
        <f t="shared" si="804"/>
        <v>123.37</v>
      </c>
      <c r="PM42" s="64">
        <f t="shared" si="805"/>
        <v>-23.370000000000005</v>
      </c>
      <c r="PN42" s="62">
        <v>1550</v>
      </c>
      <c r="PO42" s="63">
        <v>1550</v>
      </c>
      <c r="PP42" s="64">
        <f t="shared" si="806"/>
        <v>0</v>
      </c>
      <c r="PQ42" s="65"/>
      <c r="PR42" s="63"/>
      <c r="PS42" s="64">
        <f t="shared" si="807"/>
        <v>0</v>
      </c>
      <c r="PT42" s="65"/>
      <c r="PU42" s="63"/>
      <c r="PV42" s="64">
        <f t="shared" si="808"/>
        <v>0</v>
      </c>
      <c r="PW42" s="65">
        <v>100</v>
      </c>
      <c r="PX42" s="63">
        <v>250.83</v>
      </c>
      <c r="PY42" s="64">
        <f t="shared" si="809"/>
        <v>-150.83000000000001</v>
      </c>
      <c r="PZ42" s="66">
        <f t="shared" si="173"/>
        <v>1650</v>
      </c>
      <c r="QA42" s="67">
        <f t="shared" si="810"/>
        <v>1800.83</v>
      </c>
      <c r="QB42" s="64">
        <f t="shared" si="811"/>
        <v>-150.82999999999993</v>
      </c>
      <c r="QC42" s="62"/>
      <c r="QD42" s="63"/>
      <c r="QE42" s="64">
        <f t="shared" si="812"/>
        <v>0</v>
      </c>
      <c r="QF42" s="65"/>
      <c r="QG42" s="63"/>
      <c r="QH42" s="64">
        <f t="shared" si="813"/>
        <v>0</v>
      </c>
      <c r="QI42" s="65"/>
      <c r="QJ42" s="63"/>
      <c r="QK42" s="64">
        <f t="shared" si="814"/>
        <v>0</v>
      </c>
      <c r="QL42" s="65">
        <v>100</v>
      </c>
      <c r="QM42" s="63">
        <v>201.95</v>
      </c>
      <c r="QN42" s="64">
        <f t="shared" si="815"/>
        <v>-101.94999999999999</v>
      </c>
      <c r="QO42" s="66">
        <f t="shared" si="180"/>
        <v>100</v>
      </c>
      <c r="QP42" s="67">
        <f t="shared" si="816"/>
        <v>201.95</v>
      </c>
      <c r="QQ42" s="64">
        <f t="shared" si="817"/>
        <v>-101.94999999999999</v>
      </c>
      <c r="QR42" s="62"/>
      <c r="QS42" s="63"/>
      <c r="QT42" s="64">
        <f t="shared" si="818"/>
        <v>0</v>
      </c>
      <c r="QU42" s="65"/>
      <c r="QV42" s="63">
        <v>602.79999999999995</v>
      </c>
      <c r="QW42" s="64">
        <f t="shared" si="819"/>
        <v>-602.79999999999995</v>
      </c>
      <c r="QX42" s="65"/>
      <c r="QY42" s="63"/>
      <c r="QZ42" s="64">
        <f t="shared" si="820"/>
        <v>0</v>
      </c>
      <c r="RA42" s="65"/>
      <c r="RB42" s="63"/>
      <c r="RC42" s="64">
        <f t="shared" si="821"/>
        <v>0</v>
      </c>
      <c r="RD42" s="66">
        <f t="shared" si="187"/>
        <v>0</v>
      </c>
      <c r="RE42" s="67">
        <f t="shared" si="822"/>
        <v>602.79999999999995</v>
      </c>
      <c r="RF42" s="74">
        <f t="shared" si="823"/>
        <v>-602.79999999999995</v>
      </c>
      <c r="RG42" s="72"/>
      <c r="RH42" s="73"/>
      <c r="RI42" s="74">
        <f t="shared" si="824"/>
        <v>0</v>
      </c>
      <c r="RJ42" s="75"/>
      <c r="RK42" s="73"/>
      <c r="RL42" s="74">
        <f t="shared" si="825"/>
        <v>0</v>
      </c>
      <c r="RM42" s="75"/>
      <c r="RN42" s="73"/>
      <c r="RO42" s="74">
        <f t="shared" si="826"/>
        <v>0</v>
      </c>
      <c r="RP42" s="76"/>
      <c r="RQ42" s="77">
        <f>33.12+33.12</f>
        <v>66.239999999999995</v>
      </c>
      <c r="RR42" s="74">
        <f t="shared" si="827"/>
        <v>-66.239999999999995</v>
      </c>
      <c r="RS42" s="76">
        <f t="shared" si="194"/>
        <v>0</v>
      </c>
      <c r="RT42" s="77">
        <f t="shared" si="828"/>
        <v>66.239999999999995</v>
      </c>
      <c r="RU42" s="64">
        <f t="shared" si="829"/>
        <v>-66.239999999999995</v>
      </c>
      <c r="RV42" s="62"/>
      <c r="RW42" s="63"/>
      <c r="RX42" s="64">
        <f t="shared" si="830"/>
        <v>0</v>
      </c>
      <c r="RY42" s="65"/>
      <c r="RZ42" s="63"/>
      <c r="SA42" s="64">
        <f t="shared" si="831"/>
        <v>0</v>
      </c>
      <c r="SB42" s="65"/>
      <c r="SC42" s="63"/>
      <c r="SD42" s="64">
        <f t="shared" si="832"/>
        <v>0</v>
      </c>
      <c r="SE42" s="65">
        <v>100</v>
      </c>
      <c r="SF42" s="63">
        <v>0</v>
      </c>
      <c r="SG42" s="64">
        <f t="shared" si="833"/>
        <v>100</v>
      </c>
      <c r="SH42" s="66">
        <f t="shared" si="201"/>
        <v>100</v>
      </c>
      <c r="SI42" s="67">
        <f t="shared" si="834"/>
        <v>0</v>
      </c>
      <c r="SJ42" s="64">
        <f t="shared" si="835"/>
        <v>100</v>
      </c>
      <c r="SK42" s="62"/>
      <c r="SL42" s="63"/>
      <c r="SM42" s="64">
        <f t="shared" si="836"/>
        <v>0</v>
      </c>
      <c r="SN42" s="65"/>
      <c r="SO42" s="63"/>
      <c r="SP42" s="64">
        <f t="shared" si="837"/>
        <v>0</v>
      </c>
      <c r="SQ42" s="65"/>
      <c r="SR42" s="63"/>
      <c r="SS42" s="64">
        <f t="shared" si="838"/>
        <v>0</v>
      </c>
      <c r="ST42" s="65">
        <v>100</v>
      </c>
      <c r="SU42" s="63"/>
      <c r="SV42" s="64">
        <f t="shared" si="839"/>
        <v>100</v>
      </c>
      <c r="SW42" s="66">
        <f t="shared" si="208"/>
        <v>100</v>
      </c>
      <c r="SX42" s="67">
        <f t="shared" si="840"/>
        <v>0</v>
      </c>
      <c r="SY42" s="64">
        <f t="shared" si="841"/>
        <v>100</v>
      </c>
      <c r="SZ42" s="62">
        <v>985.33</v>
      </c>
      <c r="TA42" s="63">
        <v>985.33</v>
      </c>
      <c r="TB42" s="64">
        <f t="shared" si="842"/>
        <v>0</v>
      </c>
      <c r="TC42" s="65">
        <v>700.9</v>
      </c>
      <c r="TD42" s="63">
        <v>712.58</v>
      </c>
      <c r="TE42" s="64">
        <f t="shared" si="843"/>
        <v>-11.680000000000064</v>
      </c>
      <c r="TF42" s="65"/>
      <c r="TG42" s="63"/>
      <c r="TH42" s="64">
        <f t="shared" si="844"/>
        <v>0</v>
      </c>
      <c r="TI42" s="65">
        <v>100</v>
      </c>
      <c r="TJ42" s="63"/>
      <c r="TK42" s="64">
        <f t="shared" si="845"/>
        <v>100</v>
      </c>
      <c r="TL42" s="66">
        <f t="shared" si="215"/>
        <v>1786.23</v>
      </c>
      <c r="TM42" s="67">
        <f t="shared" si="846"/>
        <v>1697.91</v>
      </c>
      <c r="TN42" s="64">
        <f t="shared" si="847"/>
        <v>88.319999999999936</v>
      </c>
      <c r="TO42" s="62"/>
      <c r="TP42" s="63"/>
      <c r="TQ42" s="64">
        <f t="shared" si="848"/>
        <v>0</v>
      </c>
      <c r="TR42" s="65"/>
      <c r="TS42" s="63"/>
      <c r="TT42" s="64">
        <f t="shared" si="849"/>
        <v>0</v>
      </c>
      <c r="TU42" s="65"/>
      <c r="TV42" s="63"/>
      <c r="TW42" s="64">
        <f t="shared" si="850"/>
        <v>0</v>
      </c>
      <c r="TX42" s="65">
        <v>100</v>
      </c>
      <c r="TY42" s="63">
        <v>68.790000000000006</v>
      </c>
      <c r="TZ42" s="64">
        <f t="shared" si="851"/>
        <v>31.209999999999994</v>
      </c>
      <c r="UA42" s="66">
        <f t="shared" si="222"/>
        <v>100</v>
      </c>
      <c r="UB42" s="67">
        <f t="shared" si="852"/>
        <v>68.790000000000006</v>
      </c>
      <c r="UC42" s="64">
        <f t="shared" si="853"/>
        <v>31.209999999999994</v>
      </c>
      <c r="UD42" s="62"/>
      <c r="UE42" s="63"/>
      <c r="UF42" s="64">
        <f t="shared" si="854"/>
        <v>0</v>
      </c>
      <c r="UG42" s="65">
        <v>497.04</v>
      </c>
      <c r="UH42" s="63">
        <v>517.34</v>
      </c>
      <c r="UI42" s="64">
        <f t="shared" si="855"/>
        <v>-20.300000000000011</v>
      </c>
      <c r="UJ42" s="65"/>
      <c r="UK42" s="63"/>
      <c r="UL42" s="64">
        <f t="shared" si="856"/>
        <v>0</v>
      </c>
      <c r="UM42" s="65">
        <v>100</v>
      </c>
      <c r="UN42" s="63"/>
      <c r="UO42" s="64">
        <f t="shared" si="857"/>
        <v>100</v>
      </c>
      <c r="UP42" s="66">
        <f t="shared" si="226"/>
        <v>597.04</v>
      </c>
      <c r="UQ42" s="67">
        <f t="shared" si="858"/>
        <v>517.34</v>
      </c>
      <c r="UR42" s="64">
        <f t="shared" si="859"/>
        <v>79.699999999999932</v>
      </c>
      <c r="US42" s="130"/>
      <c r="UT42" s="77"/>
      <c r="UU42" s="131"/>
      <c r="UV42" s="76"/>
      <c r="UW42" s="77"/>
      <c r="UX42" s="131"/>
      <c r="UY42" s="76"/>
      <c r="UZ42" s="77"/>
      <c r="VA42" s="131"/>
      <c r="VB42" s="76"/>
      <c r="VC42" s="77"/>
      <c r="VD42" s="131"/>
      <c r="VE42" s="76">
        <f t="shared" si="233"/>
        <v>0</v>
      </c>
      <c r="VF42" s="77">
        <f t="shared" si="860"/>
        <v>0</v>
      </c>
      <c r="VG42" s="131">
        <f t="shared" si="861"/>
        <v>0</v>
      </c>
      <c r="VH42" s="62"/>
      <c r="VI42" s="63"/>
      <c r="VJ42" s="64">
        <f t="shared" si="862"/>
        <v>0</v>
      </c>
      <c r="VK42" s="65"/>
      <c r="VL42" s="63"/>
      <c r="VM42" s="64">
        <f t="shared" si="863"/>
        <v>0</v>
      </c>
      <c r="VN42" s="65"/>
      <c r="VO42" s="63"/>
      <c r="VP42" s="64">
        <f t="shared" si="864"/>
        <v>0</v>
      </c>
      <c r="VQ42" s="65">
        <v>100</v>
      </c>
      <c r="VR42" s="63">
        <v>149.6</v>
      </c>
      <c r="VS42" s="64">
        <f t="shared" si="865"/>
        <v>-49.599999999999994</v>
      </c>
      <c r="VT42" s="66">
        <f t="shared" si="240"/>
        <v>100</v>
      </c>
      <c r="VU42" s="67">
        <f t="shared" si="866"/>
        <v>149.6</v>
      </c>
      <c r="VV42" s="64">
        <f t="shared" si="867"/>
        <v>-49.599999999999994</v>
      </c>
      <c r="VW42" s="74"/>
      <c r="VX42" s="72"/>
      <c r="VY42" s="73"/>
      <c r="VZ42" s="74"/>
      <c r="WA42" s="75"/>
      <c r="WB42" s="73"/>
      <c r="WC42" s="74"/>
      <c r="WD42" s="75"/>
      <c r="WE42" s="73"/>
      <c r="WF42" s="74"/>
      <c r="WG42" s="75"/>
      <c r="WH42" s="73"/>
      <c r="WI42" s="74"/>
      <c r="WJ42" s="76"/>
      <c r="WK42" s="77"/>
      <c r="WL42" s="62">
        <v>1376.01</v>
      </c>
      <c r="WM42" s="63">
        <v>1376.01</v>
      </c>
      <c r="WN42" s="64">
        <f t="shared" si="868"/>
        <v>0</v>
      </c>
      <c r="WO42" s="65"/>
      <c r="WP42" s="63"/>
      <c r="WQ42" s="64">
        <f t="shared" si="869"/>
        <v>0</v>
      </c>
      <c r="WR42" s="65"/>
      <c r="WS42" s="63"/>
      <c r="WT42" s="64">
        <f t="shared" si="870"/>
        <v>0</v>
      </c>
      <c r="WU42" s="65">
        <v>100</v>
      </c>
      <c r="WV42" s="63">
        <v>143.05000000000001</v>
      </c>
      <c r="WW42" s="64">
        <f t="shared" si="871"/>
        <v>-43.050000000000011</v>
      </c>
      <c r="WX42" s="66">
        <f t="shared" si="254"/>
        <v>1476.01</v>
      </c>
      <c r="WY42" s="67">
        <f t="shared" si="872"/>
        <v>1519.06</v>
      </c>
      <c r="WZ42" s="64">
        <f t="shared" si="873"/>
        <v>-43.049999999999955</v>
      </c>
      <c r="XA42" s="62"/>
      <c r="XB42" s="63"/>
      <c r="XC42" s="64">
        <f t="shared" si="874"/>
        <v>0</v>
      </c>
      <c r="XD42" s="65"/>
      <c r="XE42" s="63"/>
      <c r="XF42" s="64">
        <f t="shared" si="875"/>
        <v>0</v>
      </c>
      <c r="XG42" s="65"/>
      <c r="XH42" s="63"/>
      <c r="XI42" s="64">
        <f t="shared" si="876"/>
        <v>0</v>
      </c>
      <c r="XJ42" s="65">
        <v>100</v>
      </c>
      <c r="XK42" s="63">
        <v>57.58</v>
      </c>
      <c r="XL42" s="64">
        <f t="shared" si="877"/>
        <v>42.42</v>
      </c>
      <c r="XM42" s="66">
        <f t="shared" si="261"/>
        <v>100</v>
      </c>
      <c r="XN42" s="67">
        <f t="shared" si="878"/>
        <v>57.58</v>
      </c>
      <c r="XO42" s="64">
        <f t="shared" si="879"/>
        <v>42.42</v>
      </c>
      <c r="XP42" s="62"/>
      <c r="XQ42" s="63"/>
      <c r="XR42" s="64">
        <f t="shared" si="880"/>
        <v>0</v>
      </c>
      <c r="XS42" s="65">
        <v>591.29999999999995</v>
      </c>
      <c r="XT42" s="63">
        <v>820.33</v>
      </c>
      <c r="XU42" s="64">
        <f t="shared" si="881"/>
        <v>-229.03000000000009</v>
      </c>
      <c r="XV42" s="65"/>
      <c r="XW42" s="63"/>
      <c r="XX42" s="64">
        <f t="shared" si="882"/>
        <v>0</v>
      </c>
      <c r="XY42" s="65">
        <v>100</v>
      </c>
      <c r="XZ42" s="63"/>
      <c r="YA42" s="64">
        <f t="shared" si="883"/>
        <v>100</v>
      </c>
      <c r="YB42" s="66">
        <f t="shared" si="268"/>
        <v>691.3</v>
      </c>
      <c r="YC42" s="67">
        <f t="shared" si="884"/>
        <v>820.33</v>
      </c>
      <c r="YD42" s="64">
        <f t="shared" si="885"/>
        <v>-129.03000000000009</v>
      </c>
      <c r="YE42" s="62"/>
      <c r="YF42" s="63"/>
      <c r="YG42" s="64">
        <f t="shared" si="886"/>
        <v>0</v>
      </c>
      <c r="YH42" s="65">
        <v>725.15</v>
      </c>
      <c r="YI42" s="63">
        <v>836.95</v>
      </c>
      <c r="YJ42" s="64">
        <f t="shared" si="887"/>
        <v>-111.80000000000007</v>
      </c>
      <c r="YK42" s="65"/>
      <c r="YL42" s="63"/>
      <c r="YM42" s="64">
        <f t="shared" si="888"/>
        <v>0</v>
      </c>
      <c r="YN42" s="65">
        <v>100</v>
      </c>
      <c r="YO42" s="63">
        <v>17.5</v>
      </c>
      <c r="YP42" s="64">
        <f t="shared" si="889"/>
        <v>82.5</v>
      </c>
      <c r="YQ42" s="66">
        <f t="shared" si="275"/>
        <v>825.15</v>
      </c>
      <c r="YR42" s="67">
        <f t="shared" si="890"/>
        <v>854.45</v>
      </c>
      <c r="YS42" s="64">
        <f t="shared" si="891"/>
        <v>-29.300000000000068</v>
      </c>
      <c r="YT42" s="62"/>
      <c r="YU42" s="63"/>
      <c r="YV42" s="64">
        <f t="shared" si="892"/>
        <v>0</v>
      </c>
      <c r="YW42" s="65">
        <v>513.28</v>
      </c>
      <c r="YX42" s="63">
        <v>680.54</v>
      </c>
      <c r="YY42" s="64">
        <f t="shared" si="893"/>
        <v>-167.26</v>
      </c>
      <c r="YZ42" s="65"/>
      <c r="ZA42" s="63"/>
      <c r="ZB42" s="64">
        <f t="shared" si="894"/>
        <v>0</v>
      </c>
      <c r="ZC42" s="65">
        <v>100</v>
      </c>
      <c r="ZD42" s="63"/>
      <c r="ZE42" s="64">
        <f t="shared" si="895"/>
        <v>100</v>
      </c>
      <c r="ZF42" s="66">
        <f t="shared" si="282"/>
        <v>613.28</v>
      </c>
      <c r="ZG42" s="67">
        <f t="shared" si="896"/>
        <v>680.54</v>
      </c>
      <c r="ZH42" s="64">
        <f t="shared" si="897"/>
        <v>-67.259999999999991</v>
      </c>
      <c r="ZI42" s="62">
        <v>1250</v>
      </c>
      <c r="ZJ42" s="63">
        <v>1250</v>
      </c>
      <c r="ZK42" s="64">
        <f t="shared" si="898"/>
        <v>0</v>
      </c>
      <c r="ZL42" s="65"/>
      <c r="ZM42" s="63"/>
      <c r="ZN42" s="64">
        <f t="shared" si="899"/>
        <v>0</v>
      </c>
      <c r="ZO42" s="65"/>
      <c r="ZP42" s="63"/>
      <c r="ZQ42" s="64">
        <f t="shared" si="900"/>
        <v>0</v>
      </c>
      <c r="ZR42" s="65">
        <v>100</v>
      </c>
      <c r="ZS42" s="63"/>
      <c r="ZT42" s="64">
        <f t="shared" si="901"/>
        <v>100</v>
      </c>
      <c r="ZU42" s="66">
        <f t="shared" si="289"/>
        <v>1350</v>
      </c>
      <c r="ZV42" s="67">
        <f t="shared" si="902"/>
        <v>1250</v>
      </c>
      <c r="ZW42" s="64">
        <f t="shared" si="903"/>
        <v>100</v>
      </c>
      <c r="ZX42" s="62">
        <v>24.71</v>
      </c>
      <c r="ZY42" s="63">
        <v>24.71</v>
      </c>
      <c r="ZZ42" s="64">
        <f t="shared" si="904"/>
        <v>0</v>
      </c>
      <c r="AAA42" s="66">
        <f t="shared" si="293"/>
        <v>24.71</v>
      </c>
      <c r="AAB42" s="67">
        <f t="shared" si="293"/>
        <v>24.71</v>
      </c>
      <c r="AAC42" s="64">
        <f t="shared" si="905"/>
        <v>0</v>
      </c>
      <c r="AAD42" s="85">
        <f t="shared" si="295"/>
        <v>51602.399999999994</v>
      </c>
      <c r="AAE42" s="98">
        <f t="shared" si="295"/>
        <v>63475.360000000001</v>
      </c>
      <c r="AAF42" s="99">
        <f t="shared" si="3"/>
        <v>1.2300854223834552</v>
      </c>
      <c r="AAG42" s="100">
        <f t="shared" si="906"/>
        <v>11872.960000000006</v>
      </c>
      <c r="AAH42" s="96"/>
      <c r="AAI42" s="97"/>
      <c r="AAJ42" s="97"/>
      <c r="AAK42" s="60"/>
    </row>
    <row r="43" spans="1:713" s="83" customFormat="1" ht="20" customHeight="1" thickBot="1" x14ac:dyDescent="0.25">
      <c r="A43" s="57" t="s">
        <v>40</v>
      </c>
      <c r="F43" s="101" t="s">
        <v>163</v>
      </c>
      <c r="G43" s="102">
        <f>SUM(G31:G42)</f>
        <v>371675.99</v>
      </c>
      <c r="H43" s="103">
        <f t="shared" ref="H43:U43" si="908">SUM(H31:H42)</f>
        <v>407302.2</v>
      </c>
      <c r="I43" s="104">
        <f t="shared" si="908"/>
        <v>-35626.210000000021</v>
      </c>
      <c r="J43" s="103">
        <f t="shared" si="908"/>
        <v>35661.639999999992</v>
      </c>
      <c r="K43" s="105">
        <f>SUM(K31:K42)</f>
        <v>40989.72</v>
      </c>
      <c r="L43" s="104">
        <f t="shared" si="908"/>
        <v>-5328.0800000000017</v>
      </c>
      <c r="M43" s="103">
        <f t="shared" si="908"/>
        <v>28321.18</v>
      </c>
      <c r="N43" s="105">
        <f>SUM(N31:N42)</f>
        <v>21755.19</v>
      </c>
      <c r="O43" s="104">
        <f t="shared" si="908"/>
        <v>6565.99</v>
      </c>
      <c r="P43" s="103">
        <f t="shared" si="908"/>
        <v>11000</v>
      </c>
      <c r="Q43" s="105">
        <f>SUM(Q31:Q42)</f>
        <v>8920.4999999999982</v>
      </c>
      <c r="R43" s="104">
        <f t="shared" si="908"/>
        <v>2079.5</v>
      </c>
      <c r="S43" s="103">
        <f t="shared" si="908"/>
        <v>2896</v>
      </c>
      <c r="T43" s="105">
        <f>SUM(T31:T42)</f>
        <v>1850.69</v>
      </c>
      <c r="U43" s="104">
        <f t="shared" si="908"/>
        <v>1045.31</v>
      </c>
      <c r="V43" s="103">
        <f>SUM(V31:V42)</f>
        <v>449554.81</v>
      </c>
      <c r="W43" s="106">
        <f>SUM(W31:W42)</f>
        <v>480818.3</v>
      </c>
      <c r="X43" s="104">
        <f>SUM(X31:X42)</f>
        <v>-31263.490000000034</v>
      </c>
      <c r="Y43" s="107"/>
      <c r="Z43" s="108"/>
      <c r="AA43" s="109"/>
      <c r="AB43" s="108"/>
      <c r="AC43" s="110"/>
      <c r="AD43" s="109"/>
      <c r="AE43" s="108"/>
      <c r="AF43" s="110"/>
      <c r="AG43" s="109"/>
      <c r="AH43" s="108"/>
      <c r="AI43" s="110"/>
      <c r="AJ43" s="109"/>
      <c r="AK43" s="108"/>
      <c r="AL43" s="111"/>
      <c r="AM43" s="104">
        <f t="shared" ref="AM43:AY43" si="909">SUM(AM31:AM42)</f>
        <v>18975</v>
      </c>
      <c r="AN43" s="102">
        <f t="shared" si="909"/>
        <v>25000</v>
      </c>
      <c r="AO43" s="103">
        <f t="shared" si="909"/>
        <v>25000</v>
      </c>
      <c r="AP43" s="104">
        <f t="shared" si="909"/>
        <v>0</v>
      </c>
      <c r="AQ43" s="103">
        <f t="shared" si="909"/>
        <v>0</v>
      </c>
      <c r="AR43" s="105">
        <f t="shared" si="909"/>
        <v>0</v>
      </c>
      <c r="AS43" s="104">
        <f t="shared" si="909"/>
        <v>0</v>
      </c>
      <c r="AT43" s="103">
        <f t="shared" si="909"/>
        <v>2745</v>
      </c>
      <c r="AU43" s="105">
        <f t="shared" si="909"/>
        <v>13000</v>
      </c>
      <c r="AV43" s="104">
        <f t="shared" si="909"/>
        <v>-10255</v>
      </c>
      <c r="AW43" s="103">
        <f t="shared" si="909"/>
        <v>0</v>
      </c>
      <c r="AX43" s="105">
        <f t="shared" si="909"/>
        <v>0</v>
      </c>
      <c r="AY43" s="104">
        <f t="shared" si="909"/>
        <v>0</v>
      </c>
      <c r="AZ43" s="103">
        <f t="shared" si="23"/>
        <v>27745</v>
      </c>
      <c r="BA43" s="106">
        <f>SUM(BA31:BA42)</f>
        <v>38000</v>
      </c>
      <c r="BB43" s="104">
        <f t="shared" ref="BB43:BN43" si="910">SUM(BB31:BB42)</f>
        <v>-10255</v>
      </c>
      <c r="BC43" s="102">
        <f t="shared" si="910"/>
        <v>36900</v>
      </c>
      <c r="BD43" s="103">
        <f t="shared" si="910"/>
        <v>36900</v>
      </c>
      <c r="BE43" s="104">
        <f t="shared" si="910"/>
        <v>0</v>
      </c>
      <c r="BF43" s="103">
        <f t="shared" si="910"/>
        <v>0</v>
      </c>
      <c r="BG43" s="105">
        <f t="shared" si="910"/>
        <v>0</v>
      </c>
      <c r="BH43" s="104">
        <f t="shared" si="910"/>
        <v>0</v>
      </c>
      <c r="BI43" s="103">
        <f t="shared" si="910"/>
        <v>3000</v>
      </c>
      <c r="BJ43" s="105">
        <f t="shared" si="910"/>
        <v>15334.840000000002</v>
      </c>
      <c r="BK43" s="104">
        <f t="shared" si="910"/>
        <v>-12334.840000000002</v>
      </c>
      <c r="BL43" s="103">
        <f t="shared" si="910"/>
        <v>1200</v>
      </c>
      <c r="BM43" s="105">
        <f t="shared" si="910"/>
        <v>1601.34</v>
      </c>
      <c r="BN43" s="104">
        <f t="shared" si="910"/>
        <v>-401.34000000000003</v>
      </c>
      <c r="BO43" s="103">
        <f t="shared" si="30"/>
        <v>41100</v>
      </c>
      <c r="BP43" s="106">
        <f>SUM(BP31:BP42)</f>
        <v>53836.18</v>
      </c>
      <c r="BQ43" s="104">
        <f t="shared" ref="BQ43:CC43" si="911">SUM(BQ31:BQ42)</f>
        <v>-12736.18</v>
      </c>
      <c r="BR43" s="102">
        <f t="shared" si="911"/>
        <v>7137.7400000000007</v>
      </c>
      <c r="BS43" s="103">
        <f t="shared" si="911"/>
        <v>7284.0900000000011</v>
      </c>
      <c r="BT43" s="104">
        <f t="shared" si="911"/>
        <v>0</v>
      </c>
      <c r="BU43" s="103">
        <f t="shared" si="911"/>
        <v>0</v>
      </c>
      <c r="BV43" s="105">
        <f t="shared" si="911"/>
        <v>0</v>
      </c>
      <c r="BW43" s="104">
        <f t="shared" si="911"/>
        <v>0</v>
      </c>
      <c r="BX43" s="103">
        <f t="shared" si="911"/>
        <v>0</v>
      </c>
      <c r="BY43" s="105">
        <f t="shared" si="911"/>
        <v>0</v>
      </c>
      <c r="BZ43" s="104">
        <f t="shared" si="911"/>
        <v>0</v>
      </c>
      <c r="CA43" s="103">
        <f t="shared" si="911"/>
        <v>0</v>
      </c>
      <c r="CB43" s="105">
        <f t="shared" si="911"/>
        <v>0</v>
      </c>
      <c r="CC43" s="104">
        <f t="shared" si="911"/>
        <v>0</v>
      </c>
      <c r="CD43" s="103">
        <f t="shared" si="33"/>
        <v>7137.7400000000007</v>
      </c>
      <c r="CE43" s="106">
        <f>SUM(CE31:CE42)</f>
        <v>7284.0900000000011</v>
      </c>
      <c r="CF43" s="104">
        <f t="shared" ref="CF43:CR43" si="912">SUM(CF31:CF42)</f>
        <v>-146.34999999999991</v>
      </c>
      <c r="CG43" s="102">
        <f t="shared" si="912"/>
        <v>20000</v>
      </c>
      <c r="CH43" s="103">
        <f t="shared" si="912"/>
        <v>21000</v>
      </c>
      <c r="CI43" s="104">
        <f t="shared" si="912"/>
        <v>-1000</v>
      </c>
      <c r="CJ43" s="103">
        <f t="shared" si="912"/>
        <v>0</v>
      </c>
      <c r="CK43" s="105">
        <f t="shared" si="912"/>
        <v>0</v>
      </c>
      <c r="CL43" s="104">
        <f t="shared" si="912"/>
        <v>0</v>
      </c>
      <c r="CM43" s="103">
        <f>SUM(CM31:CM42)</f>
        <v>2745</v>
      </c>
      <c r="CN43" s="105">
        <f>SUM(CN31:CN42)</f>
        <v>6050</v>
      </c>
      <c r="CO43" s="104">
        <f t="shared" si="912"/>
        <v>-3305</v>
      </c>
      <c r="CP43" s="103">
        <f t="shared" si="912"/>
        <v>0</v>
      </c>
      <c r="CQ43" s="105">
        <f t="shared" si="912"/>
        <v>0</v>
      </c>
      <c r="CR43" s="104">
        <f t="shared" si="912"/>
        <v>0</v>
      </c>
      <c r="CS43" s="103">
        <f t="shared" si="40"/>
        <v>22745</v>
      </c>
      <c r="CT43" s="106">
        <f>SUM(CT31:CT42)</f>
        <v>27050</v>
      </c>
      <c r="CU43" s="104">
        <f t="shared" ref="CU43:DG43" si="913">SUM(CU31:CU42)</f>
        <v>-4305</v>
      </c>
      <c r="CV43" s="102">
        <f t="shared" si="913"/>
        <v>35000.400000000001</v>
      </c>
      <c r="CW43" s="103">
        <f t="shared" si="913"/>
        <v>35000.400000000001</v>
      </c>
      <c r="CX43" s="104">
        <f t="shared" si="913"/>
        <v>0</v>
      </c>
      <c r="CY43" s="103">
        <f t="shared" si="913"/>
        <v>0</v>
      </c>
      <c r="CZ43" s="105">
        <f t="shared" si="913"/>
        <v>0</v>
      </c>
      <c r="DA43" s="104">
        <f t="shared" si="913"/>
        <v>0</v>
      </c>
      <c r="DB43" s="103">
        <f t="shared" si="913"/>
        <v>288.93</v>
      </c>
      <c r="DC43" s="105">
        <f t="shared" si="913"/>
        <v>288.93</v>
      </c>
      <c r="DD43" s="104">
        <f t="shared" si="913"/>
        <v>0</v>
      </c>
      <c r="DE43" s="103">
        <f t="shared" si="913"/>
        <v>0</v>
      </c>
      <c r="DF43" s="105">
        <f t="shared" si="913"/>
        <v>765.1099999999999</v>
      </c>
      <c r="DG43" s="104">
        <f t="shared" si="913"/>
        <v>-765.1099999999999</v>
      </c>
      <c r="DH43" s="103">
        <f t="shared" si="43"/>
        <v>35289.33</v>
      </c>
      <c r="DI43" s="106">
        <f>SUM(DI31:DI42)</f>
        <v>36054.439999999995</v>
      </c>
      <c r="DJ43" s="104">
        <f t="shared" ref="DJ43:DV43" si="914">SUM(DJ31:DJ42)</f>
        <v>-765.11000000000013</v>
      </c>
      <c r="DK43" s="102">
        <f t="shared" si="914"/>
        <v>28800</v>
      </c>
      <c r="DL43" s="103">
        <f t="shared" si="914"/>
        <v>28800</v>
      </c>
      <c r="DM43" s="104">
        <f t="shared" si="914"/>
        <v>0</v>
      </c>
      <c r="DN43" s="103">
        <f t="shared" si="914"/>
        <v>6960</v>
      </c>
      <c r="DO43" s="105">
        <f t="shared" si="914"/>
        <v>7298.32</v>
      </c>
      <c r="DP43" s="104">
        <f t="shared" si="914"/>
        <v>-338.32000000000016</v>
      </c>
      <c r="DQ43" s="103">
        <f t="shared" si="914"/>
        <v>0</v>
      </c>
      <c r="DR43" s="105">
        <f t="shared" si="914"/>
        <v>432</v>
      </c>
      <c r="DS43" s="104">
        <f t="shared" si="914"/>
        <v>-432</v>
      </c>
      <c r="DT43" s="103">
        <f t="shared" si="914"/>
        <v>1200</v>
      </c>
      <c r="DU43" s="105">
        <f t="shared" si="914"/>
        <v>1192.4100000000001</v>
      </c>
      <c r="DV43" s="104">
        <f t="shared" si="914"/>
        <v>7.589999999999975</v>
      </c>
      <c r="DW43" s="103">
        <f t="shared" si="46"/>
        <v>36960</v>
      </c>
      <c r="DX43" s="106">
        <f>SUM(DX31:DX42)</f>
        <v>37722.729999999996</v>
      </c>
      <c r="DY43" s="104">
        <f t="shared" ref="DY43:EK43" si="915">SUM(DY31:DY42)</f>
        <v>-762.72999999999956</v>
      </c>
      <c r="DZ43" s="102">
        <f t="shared" si="915"/>
        <v>24000</v>
      </c>
      <c r="EA43" s="103">
        <f t="shared" si="915"/>
        <v>24000</v>
      </c>
      <c r="EB43" s="104">
        <f t="shared" si="915"/>
        <v>0</v>
      </c>
      <c r="EC43" s="103">
        <f t="shared" si="915"/>
        <v>0</v>
      </c>
      <c r="ED43" s="105">
        <f t="shared" si="915"/>
        <v>0</v>
      </c>
      <c r="EE43" s="104">
        <f t="shared" si="915"/>
        <v>0</v>
      </c>
      <c r="EF43" s="103">
        <f t="shared" si="915"/>
        <v>0</v>
      </c>
      <c r="EG43" s="105">
        <f t="shared" si="915"/>
        <v>0</v>
      </c>
      <c r="EH43" s="104">
        <f t="shared" si="915"/>
        <v>0</v>
      </c>
      <c r="EI43" s="103">
        <f t="shared" si="915"/>
        <v>1200</v>
      </c>
      <c r="EJ43" s="105">
        <f t="shared" si="915"/>
        <v>820.06</v>
      </c>
      <c r="EK43" s="104">
        <f t="shared" si="915"/>
        <v>379.93999999999994</v>
      </c>
      <c r="EL43" s="103">
        <f t="shared" si="53"/>
        <v>25200</v>
      </c>
      <c r="EM43" s="106">
        <f>SUM(EM31:EM42)</f>
        <v>24820.06</v>
      </c>
      <c r="EN43" s="104">
        <f t="shared" ref="EN43:EZ43" si="916">SUM(EN31:EN42)</f>
        <v>379.94000000000074</v>
      </c>
      <c r="EO43" s="102">
        <f t="shared" si="916"/>
        <v>36900</v>
      </c>
      <c r="EP43" s="103">
        <f t="shared" si="916"/>
        <v>36900</v>
      </c>
      <c r="EQ43" s="104">
        <f t="shared" si="916"/>
        <v>0</v>
      </c>
      <c r="ER43" s="103">
        <f t="shared" si="916"/>
        <v>3600</v>
      </c>
      <c r="ES43" s="105">
        <f t="shared" si="916"/>
        <v>0</v>
      </c>
      <c r="ET43" s="104">
        <f t="shared" si="916"/>
        <v>3600</v>
      </c>
      <c r="EU43" s="103">
        <f t="shared" si="916"/>
        <v>1000</v>
      </c>
      <c r="EV43" s="105">
        <f t="shared" si="916"/>
        <v>8747.4399999999987</v>
      </c>
      <c r="EW43" s="104">
        <f t="shared" si="916"/>
        <v>-7747.4399999999987</v>
      </c>
      <c r="EX43" s="103">
        <f t="shared" si="916"/>
        <v>1200</v>
      </c>
      <c r="EY43" s="105">
        <f t="shared" si="916"/>
        <v>100</v>
      </c>
      <c r="EZ43" s="104">
        <f t="shared" si="916"/>
        <v>1100</v>
      </c>
      <c r="FA43" s="103">
        <f t="shared" si="60"/>
        <v>42700</v>
      </c>
      <c r="FB43" s="106">
        <f>SUM(FB31:FB42)</f>
        <v>45747.44</v>
      </c>
      <c r="FC43" s="104">
        <f t="shared" ref="FC43:FO43" si="917">SUM(FC31:FC42)</f>
        <v>-3047.4399999999996</v>
      </c>
      <c r="FD43" s="102">
        <f t="shared" si="917"/>
        <v>36900</v>
      </c>
      <c r="FE43" s="103">
        <f t="shared" si="917"/>
        <v>36900</v>
      </c>
      <c r="FF43" s="104">
        <f t="shared" si="917"/>
        <v>0</v>
      </c>
      <c r="FG43" s="103">
        <f t="shared" si="917"/>
        <v>3600</v>
      </c>
      <c r="FH43" s="105">
        <f t="shared" si="917"/>
        <v>0</v>
      </c>
      <c r="FI43" s="104">
        <f t="shared" si="917"/>
        <v>3600</v>
      </c>
      <c r="FJ43" s="103">
        <f t="shared" si="917"/>
        <v>1000</v>
      </c>
      <c r="FK43" s="105">
        <f t="shared" si="917"/>
        <v>8747.4399999999987</v>
      </c>
      <c r="FL43" s="104">
        <f t="shared" si="917"/>
        <v>-7747.4399999999987</v>
      </c>
      <c r="FM43" s="103">
        <f t="shared" si="917"/>
        <v>1200</v>
      </c>
      <c r="FN43" s="105">
        <f t="shared" si="917"/>
        <v>100</v>
      </c>
      <c r="FO43" s="104">
        <f t="shared" si="917"/>
        <v>1100</v>
      </c>
      <c r="FP43" s="103">
        <f t="shared" si="67"/>
        <v>42700</v>
      </c>
      <c r="FQ43" s="106">
        <f>SUM(FQ31:FQ42)</f>
        <v>45747.44</v>
      </c>
      <c r="FR43" s="104">
        <f t="shared" ref="FR43:GD43" si="918">SUM(FR31:FR42)</f>
        <v>-3047.4399999999996</v>
      </c>
      <c r="FS43" s="102">
        <f t="shared" si="918"/>
        <v>18000</v>
      </c>
      <c r="FT43" s="103">
        <f t="shared" si="918"/>
        <v>20000</v>
      </c>
      <c r="FU43" s="104">
        <f t="shared" si="918"/>
        <v>-2000</v>
      </c>
      <c r="FV43" s="103">
        <f t="shared" si="918"/>
        <v>0</v>
      </c>
      <c r="FW43" s="105">
        <f t="shared" si="918"/>
        <v>970.7</v>
      </c>
      <c r="FX43" s="104">
        <f t="shared" si="918"/>
        <v>-970.7</v>
      </c>
      <c r="FY43" s="103">
        <f t="shared" si="918"/>
        <v>3650</v>
      </c>
      <c r="FZ43" s="105">
        <f t="shared" si="918"/>
        <v>4742.41</v>
      </c>
      <c r="GA43" s="104">
        <f t="shared" si="918"/>
        <v>-1092.4099999999999</v>
      </c>
      <c r="GB43" s="103">
        <f t="shared" si="918"/>
        <v>0</v>
      </c>
      <c r="GC43" s="105">
        <f t="shared" si="918"/>
        <v>464.41999999999996</v>
      </c>
      <c r="GD43" s="104">
        <f t="shared" si="918"/>
        <v>-464.41999999999996</v>
      </c>
      <c r="GE43" s="103">
        <f t="shared" si="74"/>
        <v>21650</v>
      </c>
      <c r="GF43" s="106">
        <f>SUM(GF31:GF42)</f>
        <v>26177.53</v>
      </c>
      <c r="GG43" s="104">
        <f t="shared" ref="GG43:GS43" si="919">SUM(GG31:GG42)</f>
        <v>-4527.53</v>
      </c>
      <c r="GH43" s="102">
        <f t="shared" si="919"/>
        <v>20000</v>
      </c>
      <c r="GI43" s="103">
        <f t="shared" si="919"/>
        <v>20000</v>
      </c>
      <c r="GJ43" s="104">
        <f t="shared" si="919"/>
        <v>0</v>
      </c>
      <c r="GK43" s="103">
        <f t="shared" si="919"/>
        <v>0</v>
      </c>
      <c r="GL43" s="105">
        <f t="shared" si="919"/>
        <v>1320.66</v>
      </c>
      <c r="GM43" s="104">
        <f t="shared" si="919"/>
        <v>-1320.66</v>
      </c>
      <c r="GN43" s="103">
        <f t="shared" si="919"/>
        <v>3650</v>
      </c>
      <c r="GO43" s="105">
        <f t="shared" si="919"/>
        <v>6722.4</v>
      </c>
      <c r="GP43" s="104">
        <f t="shared" si="919"/>
        <v>-3072.3999999999996</v>
      </c>
      <c r="GQ43" s="103">
        <f t="shared" si="919"/>
        <v>0</v>
      </c>
      <c r="GR43" s="105">
        <f t="shared" si="919"/>
        <v>502.78</v>
      </c>
      <c r="GS43" s="104">
        <f t="shared" si="919"/>
        <v>-502.78</v>
      </c>
      <c r="GT43" s="103">
        <f t="shared" si="81"/>
        <v>23650</v>
      </c>
      <c r="GU43" s="106">
        <f>SUM(GU31:GU42)</f>
        <v>28545.84</v>
      </c>
      <c r="GV43" s="104">
        <f t="shared" ref="GV43:HH43" si="920">SUM(GV31:GV42)</f>
        <v>-4895.8399999999992</v>
      </c>
      <c r="GW43" s="102">
        <f t="shared" si="920"/>
        <v>14210.54</v>
      </c>
      <c r="GX43" s="103">
        <f t="shared" si="920"/>
        <v>19210.54</v>
      </c>
      <c r="GY43" s="104">
        <f t="shared" si="920"/>
        <v>-5000</v>
      </c>
      <c r="GZ43" s="103">
        <f t="shared" si="920"/>
        <v>0</v>
      </c>
      <c r="HA43" s="105">
        <f t="shared" si="920"/>
        <v>0</v>
      </c>
      <c r="HB43" s="104">
        <f t="shared" si="920"/>
        <v>0</v>
      </c>
      <c r="HC43" s="103">
        <f t="shared" si="920"/>
        <v>0</v>
      </c>
      <c r="HD43" s="105">
        <f t="shared" si="920"/>
        <v>1000</v>
      </c>
      <c r="HE43" s="104">
        <f t="shared" si="920"/>
        <v>-1000</v>
      </c>
      <c r="HF43" s="103">
        <f t="shared" si="920"/>
        <v>1200</v>
      </c>
      <c r="HG43" s="105">
        <f t="shared" si="920"/>
        <v>531.56999999999994</v>
      </c>
      <c r="HH43" s="104">
        <f t="shared" si="920"/>
        <v>668.43000000000006</v>
      </c>
      <c r="HI43" s="103">
        <f t="shared" si="84"/>
        <v>15410.54</v>
      </c>
      <c r="HJ43" s="106">
        <f>SUM(HJ31:HJ42)</f>
        <v>20742.11</v>
      </c>
      <c r="HK43" s="104">
        <f t="shared" ref="HK43:HW43" si="921">SUM(HK31:HK42)</f>
        <v>-5331.57</v>
      </c>
      <c r="HL43" s="102">
        <f t="shared" si="921"/>
        <v>36900</v>
      </c>
      <c r="HM43" s="103">
        <f t="shared" si="921"/>
        <v>36900</v>
      </c>
      <c r="HN43" s="104">
        <f t="shared" si="921"/>
        <v>0</v>
      </c>
      <c r="HO43" s="103">
        <f t="shared" si="921"/>
        <v>4400</v>
      </c>
      <c r="HP43" s="105">
        <f t="shared" si="921"/>
        <v>0</v>
      </c>
      <c r="HQ43" s="104">
        <f t="shared" si="921"/>
        <v>4400</v>
      </c>
      <c r="HR43" s="103">
        <f t="shared" si="921"/>
        <v>1500</v>
      </c>
      <c r="HS43" s="105">
        <f t="shared" si="921"/>
        <v>8510.39</v>
      </c>
      <c r="HT43" s="104">
        <f t="shared" si="921"/>
        <v>-7010.3899999999985</v>
      </c>
      <c r="HU43" s="103">
        <f t="shared" si="921"/>
        <v>1200</v>
      </c>
      <c r="HV43" s="105">
        <f t="shared" si="921"/>
        <v>283.64</v>
      </c>
      <c r="HW43" s="104">
        <f t="shared" si="921"/>
        <v>916.36</v>
      </c>
      <c r="HX43" s="103">
        <f t="shared" si="91"/>
        <v>44000</v>
      </c>
      <c r="HY43" s="106">
        <f>SUM(HY31:HY42)</f>
        <v>45694.03</v>
      </c>
      <c r="HZ43" s="104">
        <f t="shared" ref="HZ43:IL43" si="922">SUM(HZ31:HZ42)</f>
        <v>-1694.0299999999995</v>
      </c>
      <c r="IA43" s="102">
        <f t="shared" si="922"/>
        <v>26002</v>
      </c>
      <c r="IB43" s="103">
        <f t="shared" si="922"/>
        <v>28316.5</v>
      </c>
      <c r="IC43" s="104">
        <f t="shared" si="922"/>
        <v>-2314.5</v>
      </c>
      <c r="ID43" s="103">
        <f t="shared" si="922"/>
        <v>0</v>
      </c>
      <c r="IE43" s="105">
        <f t="shared" si="922"/>
        <v>0</v>
      </c>
      <c r="IF43" s="104">
        <f t="shared" si="922"/>
        <v>0</v>
      </c>
      <c r="IG43" s="103">
        <f t="shared" si="922"/>
        <v>0</v>
      </c>
      <c r="IH43" s="105">
        <f t="shared" si="922"/>
        <v>1779.93</v>
      </c>
      <c r="II43" s="104">
        <f t="shared" si="922"/>
        <v>-1779.93</v>
      </c>
      <c r="IJ43" s="103">
        <f t="shared" si="922"/>
        <v>1200</v>
      </c>
      <c r="IK43" s="105">
        <f t="shared" si="922"/>
        <v>751.09999999999991</v>
      </c>
      <c r="IL43" s="104">
        <f t="shared" si="922"/>
        <v>448.90000000000003</v>
      </c>
      <c r="IM43" s="103">
        <f t="shared" si="98"/>
        <v>27202</v>
      </c>
      <c r="IN43" s="106">
        <f>SUM(IN31:IN42)</f>
        <v>30847.529999999995</v>
      </c>
      <c r="IO43" s="104">
        <f t="shared" ref="IO43:JA43" si="923">SUM(IO31:IO42)</f>
        <v>-3645.5299999999988</v>
      </c>
      <c r="IP43" s="102">
        <f t="shared" si="923"/>
        <v>20000</v>
      </c>
      <c r="IQ43" s="103">
        <f t="shared" si="923"/>
        <v>21000</v>
      </c>
      <c r="IR43" s="104">
        <f t="shared" si="923"/>
        <v>-1000</v>
      </c>
      <c r="IS43" s="103">
        <f t="shared" si="923"/>
        <v>0</v>
      </c>
      <c r="IT43" s="105">
        <f t="shared" si="923"/>
        <v>0</v>
      </c>
      <c r="IU43" s="104">
        <f t="shared" si="923"/>
        <v>0</v>
      </c>
      <c r="IV43" s="103">
        <f t="shared" si="923"/>
        <v>2739.5</v>
      </c>
      <c r="IW43" s="105">
        <f t="shared" si="923"/>
        <v>3036.65</v>
      </c>
      <c r="IX43" s="104">
        <f t="shared" si="923"/>
        <v>-297.15000000000009</v>
      </c>
      <c r="IY43" s="103">
        <f t="shared" si="923"/>
        <v>0</v>
      </c>
      <c r="IZ43" s="105">
        <f t="shared" si="923"/>
        <v>0</v>
      </c>
      <c r="JA43" s="104">
        <f t="shared" si="923"/>
        <v>0</v>
      </c>
      <c r="JB43" s="103">
        <f t="shared" si="105"/>
        <v>22739.5</v>
      </c>
      <c r="JC43" s="106">
        <f>SUM(JC31:JC42)</f>
        <v>24036.65</v>
      </c>
      <c r="JD43" s="104">
        <f t="shared" ref="JD43:JP43" si="924">SUM(JD31:JD42)</f>
        <v>-1297.1499999999996</v>
      </c>
      <c r="JE43" s="102">
        <f t="shared" si="924"/>
        <v>22000</v>
      </c>
      <c r="JF43" s="103">
        <f t="shared" si="924"/>
        <v>15000</v>
      </c>
      <c r="JG43" s="104">
        <f t="shared" si="924"/>
        <v>7000</v>
      </c>
      <c r="JH43" s="103">
        <f t="shared" si="924"/>
        <v>3981.1499999999996</v>
      </c>
      <c r="JI43" s="105">
        <f t="shared" si="924"/>
        <v>2633.64</v>
      </c>
      <c r="JJ43" s="104">
        <f t="shared" si="924"/>
        <v>1347.5100000000002</v>
      </c>
      <c r="JK43" s="103">
        <f t="shared" si="924"/>
        <v>2100</v>
      </c>
      <c r="JL43" s="105">
        <f t="shared" si="924"/>
        <v>13661.85</v>
      </c>
      <c r="JM43" s="104">
        <f t="shared" si="924"/>
        <v>-11561.85</v>
      </c>
      <c r="JN43" s="103">
        <f t="shared" si="924"/>
        <v>900</v>
      </c>
      <c r="JO43" s="105">
        <f t="shared" si="924"/>
        <v>303.69</v>
      </c>
      <c r="JP43" s="104">
        <f t="shared" si="924"/>
        <v>596.31000000000006</v>
      </c>
      <c r="JQ43" s="103">
        <f t="shared" si="112"/>
        <v>28981.15</v>
      </c>
      <c r="JR43" s="106">
        <f>SUM(JR31:JR42)</f>
        <v>31599.18</v>
      </c>
      <c r="JS43" s="104">
        <f t="shared" ref="JS43:KE43" si="925">SUM(JS31:JS42)</f>
        <v>-2618.0300000000007</v>
      </c>
      <c r="JT43" s="102">
        <f t="shared" si="925"/>
        <v>50543.279999999992</v>
      </c>
      <c r="JU43" s="103">
        <f t="shared" si="925"/>
        <v>51726.780000000006</v>
      </c>
      <c r="JV43" s="104">
        <f t="shared" si="925"/>
        <v>-1183.4999999999991</v>
      </c>
      <c r="JW43" s="103">
        <f t="shared" si="925"/>
        <v>0</v>
      </c>
      <c r="JX43" s="105">
        <f t="shared" si="925"/>
        <v>0</v>
      </c>
      <c r="JY43" s="104">
        <f t="shared" si="925"/>
        <v>0</v>
      </c>
      <c r="JZ43" s="103">
        <f t="shared" si="925"/>
        <v>0</v>
      </c>
      <c r="KA43" s="105">
        <f t="shared" si="925"/>
        <v>1419.03</v>
      </c>
      <c r="KB43" s="104">
        <f t="shared" si="925"/>
        <v>-1419.03</v>
      </c>
      <c r="KC43" s="103">
        <f t="shared" si="925"/>
        <v>900</v>
      </c>
      <c r="KD43" s="105">
        <f t="shared" si="925"/>
        <v>472.71000000000004</v>
      </c>
      <c r="KE43" s="104">
        <f t="shared" si="925"/>
        <v>427.28999999999996</v>
      </c>
      <c r="KF43" s="103">
        <f t="shared" si="119"/>
        <v>51443.279999999992</v>
      </c>
      <c r="KG43" s="106">
        <f>SUM(KG31:KG42)</f>
        <v>53618.520000000004</v>
      </c>
      <c r="KH43" s="104">
        <f t="shared" ref="KH43:KT43" si="926">SUM(KH31:KH42)</f>
        <v>-2175.2399999999989</v>
      </c>
      <c r="KI43" s="102">
        <f t="shared" si="926"/>
        <v>100000</v>
      </c>
      <c r="KJ43" s="103">
        <f t="shared" si="926"/>
        <v>100000</v>
      </c>
      <c r="KK43" s="104">
        <f t="shared" si="926"/>
        <v>0</v>
      </c>
      <c r="KL43" s="103">
        <f t="shared" si="926"/>
        <v>0</v>
      </c>
      <c r="KM43" s="105">
        <f t="shared" si="926"/>
        <v>0</v>
      </c>
      <c r="KN43" s="104">
        <f t="shared" si="926"/>
        <v>0</v>
      </c>
      <c r="KO43" s="103">
        <f t="shared" si="926"/>
        <v>0</v>
      </c>
      <c r="KP43" s="105">
        <f t="shared" si="926"/>
        <v>0</v>
      </c>
      <c r="KQ43" s="104">
        <f t="shared" si="926"/>
        <v>0</v>
      </c>
      <c r="KR43" s="103">
        <f t="shared" si="926"/>
        <v>0</v>
      </c>
      <c r="KS43" s="105">
        <f t="shared" si="926"/>
        <v>0</v>
      </c>
      <c r="KT43" s="104">
        <f t="shared" si="926"/>
        <v>0</v>
      </c>
      <c r="KU43" s="103">
        <f t="shared" si="1"/>
        <v>100000</v>
      </c>
      <c r="KV43" s="106">
        <f>SUM(KV31:KV42)</f>
        <v>100000</v>
      </c>
      <c r="KW43" s="104">
        <f>SUM(KW31:KW42)</f>
        <v>0</v>
      </c>
      <c r="KX43" s="122"/>
      <c r="KY43" s="123"/>
      <c r="KZ43" s="124"/>
      <c r="LA43" s="123"/>
      <c r="LB43" s="125"/>
      <c r="LC43" s="124"/>
      <c r="LD43" s="123"/>
      <c r="LE43" s="125"/>
      <c r="LF43" s="124"/>
      <c r="LG43" s="123"/>
      <c r="LH43" s="125"/>
      <c r="LI43" s="109"/>
      <c r="LJ43" s="108"/>
      <c r="LK43" s="111"/>
      <c r="LL43" s="109"/>
      <c r="LM43" s="102">
        <f t="shared" ref="LM43:LX43" si="927">SUM(LM31:LM42)</f>
        <v>20000</v>
      </c>
      <c r="LN43" s="103">
        <f t="shared" si="927"/>
        <v>19888.5</v>
      </c>
      <c r="LO43" s="104">
        <f t="shared" si="927"/>
        <v>111.5</v>
      </c>
      <c r="LP43" s="103">
        <f t="shared" si="927"/>
        <v>0</v>
      </c>
      <c r="LQ43" s="105">
        <f t="shared" si="927"/>
        <v>1488.42</v>
      </c>
      <c r="LR43" s="104">
        <f t="shared" si="927"/>
        <v>-1488.42</v>
      </c>
      <c r="LS43" s="103">
        <f t="shared" si="927"/>
        <v>0</v>
      </c>
      <c r="LT43" s="105">
        <f t="shared" si="927"/>
        <v>214.27</v>
      </c>
      <c r="LU43" s="104">
        <f t="shared" si="927"/>
        <v>-214.27</v>
      </c>
      <c r="LV43" s="103">
        <f t="shared" si="927"/>
        <v>1200</v>
      </c>
      <c r="LW43" s="105">
        <f t="shared" si="927"/>
        <v>1255.98</v>
      </c>
      <c r="LX43" s="104">
        <f t="shared" si="927"/>
        <v>-55.980000000000018</v>
      </c>
      <c r="LY43" s="103">
        <f t="shared" si="124"/>
        <v>21200</v>
      </c>
      <c r="LZ43" s="106">
        <f>SUM(LZ31:LZ42)</f>
        <v>22847.170000000002</v>
      </c>
      <c r="MA43" s="104">
        <f t="shared" ref="MA43:MM43" si="928">SUM(MA31:MA42)</f>
        <v>-1647.1700000000017</v>
      </c>
      <c r="MB43" s="102">
        <f t="shared" si="928"/>
        <v>7800</v>
      </c>
      <c r="MC43" s="103">
        <f t="shared" si="928"/>
        <v>7800</v>
      </c>
      <c r="MD43" s="104">
        <f t="shared" si="928"/>
        <v>0</v>
      </c>
      <c r="ME43" s="103">
        <f t="shared" si="928"/>
        <v>12631.28</v>
      </c>
      <c r="MF43" s="105">
        <f t="shared" si="928"/>
        <v>9786.59</v>
      </c>
      <c r="MG43" s="104">
        <f t="shared" si="928"/>
        <v>2844.6900000000005</v>
      </c>
      <c r="MH43" s="103">
        <f t="shared" si="928"/>
        <v>0</v>
      </c>
      <c r="MI43" s="105">
        <f t="shared" si="928"/>
        <v>0</v>
      </c>
      <c r="MJ43" s="104">
        <f t="shared" si="928"/>
        <v>0</v>
      </c>
      <c r="MK43" s="103">
        <f t="shared" si="928"/>
        <v>1200</v>
      </c>
      <c r="ML43" s="105">
        <f t="shared" si="928"/>
        <v>5627.2300000000005</v>
      </c>
      <c r="MM43" s="104">
        <f t="shared" si="928"/>
        <v>-4427.2300000000005</v>
      </c>
      <c r="MN43" s="103">
        <f t="shared" si="131"/>
        <v>21631.279999999999</v>
      </c>
      <c r="MO43" s="106">
        <f>SUM(MO31:MO42)</f>
        <v>23213.82</v>
      </c>
      <c r="MP43" s="104">
        <f t="shared" ref="MP43:NB43" si="929">SUM(MP31:MP42)</f>
        <v>-1582.5399999999991</v>
      </c>
      <c r="MQ43" s="102">
        <f t="shared" si="929"/>
        <v>17200</v>
      </c>
      <c r="MR43" s="103">
        <f t="shared" si="929"/>
        <v>17200</v>
      </c>
      <c r="MS43" s="104">
        <f t="shared" si="929"/>
        <v>0</v>
      </c>
      <c r="MT43" s="103">
        <f t="shared" si="929"/>
        <v>0</v>
      </c>
      <c r="MU43" s="105">
        <f t="shared" si="929"/>
        <v>0</v>
      </c>
      <c r="MV43" s="104">
        <f t="shared" si="929"/>
        <v>0</v>
      </c>
      <c r="MW43" s="103">
        <f t="shared" si="929"/>
        <v>0</v>
      </c>
      <c r="MX43" s="105">
        <f t="shared" si="929"/>
        <v>0</v>
      </c>
      <c r="MY43" s="104">
        <f t="shared" si="929"/>
        <v>0</v>
      </c>
      <c r="MZ43" s="103">
        <f t="shared" si="929"/>
        <v>0</v>
      </c>
      <c r="NA43" s="105">
        <f t="shared" si="929"/>
        <v>0</v>
      </c>
      <c r="NB43" s="104">
        <f t="shared" si="929"/>
        <v>0</v>
      </c>
      <c r="NC43" s="103">
        <f t="shared" si="138"/>
        <v>17200</v>
      </c>
      <c r="ND43" s="106">
        <f>SUM(ND31:ND42)</f>
        <v>17200</v>
      </c>
      <c r="NE43" s="104">
        <f t="shared" ref="NE43:NQ43" si="930">SUM(NE31:NE42)</f>
        <v>0</v>
      </c>
      <c r="NF43" s="102">
        <f t="shared" si="930"/>
        <v>10000</v>
      </c>
      <c r="NG43" s="103">
        <f t="shared" si="930"/>
        <v>10000</v>
      </c>
      <c r="NH43" s="104">
        <f t="shared" si="930"/>
        <v>0</v>
      </c>
      <c r="NI43" s="103">
        <f t="shared" si="930"/>
        <v>10642.440000000002</v>
      </c>
      <c r="NJ43" s="105">
        <f t="shared" si="930"/>
        <v>13238.400000000001</v>
      </c>
      <c r="NK43" s="104">
        <f t="shared" si="930"/>
        <v>-2595.9600000000005</v>
      </c>
      <c r="NL43" s="103">
        <f t="shared" si="930"/>
        <v>0</v>
      </c>
      <c r="NM43" s="105">
        <f t="shared" si="930"/>
        <v>0</v>
      </c>
      <c r="NN43" s="104">
        <f t="shared" si="930"/>
        <v>0</v>
      </c>
      <c r="NO43" s="103">
        <f t="shared" si="930"/>
        <v>1200</v>
      </c>
      <c r="NP43" s="105">
        <f t="shared" si="930"/>
        <v>1246.26</v>
      </c>
      <c r="NQ43" s="104">
        <f t="shared" si="930"/>
        <v>-46.259999999999991</v>
      </c>
      <c r="NR43" s="103">
        <f t="shared" si="145"/>
        <v>21842.440000000002</v>
      </c>
      <c r="NS43" s="106">
        <f>SUM(NS31:NS42)</f>
        <v>24484.66</v>
      </c>
      <c r="NT43" s="104">
        <f t="shared" ref="NT43:OF43" si="931">SUM(NT31:NT42)</f>
        <v>-2642.2200000000003</v>
      </c>
      <c r="NU43" s="102">
        <f t="shared" si="931"/>
        <v>10368</v>
      </c>
      <c r="NV43" s="103">
        <f t="shared" si="931"/>
        <v>10368</v>
      </c>
      <c r="NW43" s="104">
        <f t="shared" si="931"/>
        <v>0</v>
      </c>
      <c r="NX43" s="103">
        <f t="shared" si="931"/>
        <v>12054.240000000003</v>
      </c>
      <c r="NY43" s="105">
        <f t="shared" si="931"/>
        <v>13049.910000000003</v>
      </c>
      <c r="NZ43" s="104">
        <f t="shared" si="931"/>
        <v>-995.6700000000003</v>
      </c>
      <c r="OA43" s="103">
        <f t="shared" si="931"/>
        <v>884.31</v>
      </c>
      <c r="OB43" s="105">
        <f t="shared" si="931"/>
        <v>0.88</v>
      </c>
      <c r="OC43" s="104">
        <f t="shared" si="931"/>
        <v>883.43</v>
      </c>
      <c r="OD43" s="103">
        <f t="shared" si="931"/>
        <v>1200</v>
      </c>
      <c r="OE43" s="105">
        <f t="shared" si="931"/>
        <v>1204.8499999999999</v>
      </c>
      <c r="OF43" s="104">
        <f t="shared" si="931"/>
        <v>-4.8500000000000156</v>
      </c>
      <c r="OG43" s="103">
        <f t="shared" si="152"/>
        <v>24506.550000000007</v>
      </c>
      <c r="OH43" s="106">
        <f>SUM(OH31:OH42)</f>
        <v>24623.640000000007</v>
      </c>
      <c r="OI43" s="104">
        <f t="shared" ref="OI43:OU43" si="932">SUM(OI31:OI42)</f>
        <v>-117.08999999999958</v>
      </c>
      <c r="OJ43" s="102">
        <f t="shared" si="932"/>
        <v>16000</v>
      </c>
      <c r="OK43" s="103">
        <f t="shared" si="932"/>
        <v>17500</v>
      </c>
      <c r="OL43" s="104">
        <f t="shared" si="932"/>
        <v>-1500</v>
      </c>
      <c r="OM43" s="103">
        <f t="shared" si="932"/>
        <v>0</v>
      </c>
      <c r="ON43" s="105">
        <f t="shared" si="932"/>
        <v>0</v>
      </c>
      <c r="OO43" s="104">
        <f t="shared" si="932"/>
        <v>0</v>
      </c>
      <c r="OP43" s="103">
        <f t="shared" si="932"/>
        <v>1200</v>
      </c>
      <c r="OQ43" s="105">
        <f t="shared" si="932"/>
        <v>0</v>
      </c>
      <c r="OR43" s="104">
        <f t="shared" si="932"/>
        <v>1200</v>
      </c>
      <c r="OS43" s="103">
        <f t="shared" si="932"/>
        <v>1200</v>
      </c>
      <c r="OT43" s="105">
        <f t="shared" si="932"/>
        <v>789.08</v>
      </c>
      <c r="OU43" s="104">
        <f t="shared" si="932"/>
        <v>410.91999999999996</v>
      </c>
      <c r="OV43" s="103">
        <f t="shared" si="159"/>
        <v>18400</v>
      </c>
      <c r="OW43" s="106">
        <f>SUM(OW31:OW42)</f>
        <v>18289.080000000002</v>
      </c>
      <c r="OX43" s="104">
        <f t="shared" ref="OX43:PJ43" si="933">SUM(OX31:OX42)</f>
        <v>110.91999999999999</v>
      </c>
      <c r="OY43" s="102">
        <f t="shared" si="933"/>
        <v>15800</v>
      </c>
      <c r="OZ43" s="103">
        <f t="shared" si="933"/>
        <v>15800</v>
      </c>
      <c r="PA43" s="104">
        <f t="shared" si="933"/>
        <v>0</v>
      </c>
      <c r="PB43" s="103">
        <f t="shared" si="933"/>
        <v>600</v>
      </c>
      <c r="PC43" s="105">
        <f t="shared" si="933"/>
        <v>0</v>
      </c>
      <c r="PD43" s="104">
        <f t="shared" si="933"/>
        <v>600</v>
      </c>
      <c r="PE43" s="103">
        <f t="shared" si="933"/>
        <v>0</v>
      </c>
      <c r="PF43" s="105">
        <f t="shared" si="933"/>
        <v>0</v>
      </c>
      <c r="PG43" s="104">
        <f t="shared" si="933"/>
        <v>0</v>
      </c>
      <c r="PH43" s="103">
        <f t="shared" si="933"/>
        <v>1200</v>
      </c>
      <c r="PI43" s="105">
        <f t="shared" si="933"/>
        <v>684.85</v>
      </c>
      <c r="PJ43" s="104">
        <f t="shared" si="933"/>
        <v>515.15</v>
      </c>
      <c r="PK43" s="103">
        <f t="shared" si="166"/>
        <v>17600</v>
      </c>
      <c r="PL43" s="106">
        <f>SUM(PL31:PL42)</f>
        <v>16484.849999999999</v>
      </c>
      <c r="PM43" s="104">
        <f t="shared" ref="PM43:PY43" si="934">SUM(PM31:PM42)</f>
        <v>1115.1500000000001</v>
      </c>
      <c r="PN43" s="102">
        <f t="shared" si="934"/>
        <v>17550</v>
      </c>
      <c r="PO43" s="103">
        <f t="shared" si="934"/>
        <v>17700</v>
      </c>
      <c r="PP43" s="104">
        <f t="shared" si="934"/>
        <v>-150</v>
      </c>
      <c r="PQ43" s="103">
        <f t="shared" si="934"/>
        <v>0</v>
      </c>
      <c r="PR43" s="105">
        <f t="shared" si="934"/>
        <v>0</v>
      </c>
      <c r="PS43" s="104">
        <f t="shared" si="934"/>
        <v>0</v>
      </c>
      <c r="PT43" s="103">
        <f t="shared" si="934"/>
        <v>0</v>
      </c>
      <c r="PU43" s="105">
        <f t="shared" si="934"/>
        <v>0</v>
      </c>
      <c r="PV43" s="104">
        <f t="shared" si="934"/>
        <v>0</v>
      </c>
      <c r="PW43" s="103">
        <f t="shared" si="934"/>
        <v>1200</v>
      </c>
      <c r="PX43" s="105">
        <f t="shared" si="934"/>
        <v>1022.9000000000001</v>
      </c>
      <c r="PY43" s="104">
        <f t="shared" si="934"/>
        <v>177.09999999999994</v>
      </c>
      <c r="PZ43" s="103">
        <f t="shared" si="173"/>
        <v>18750</v>
      </c>
      <c r="QA43" s="106">
        <f>SUM(QA31:QA42)</f>
        <v>18722.900000000001</v>
      </c>
      <c r="QB43" s="104">
        <f t="shared" ref="QB43:QN43" si="935">SUM(QB31:QB42)</f>
        <v>27.100000000000136</v>
      </c>
      <c r="QC43" s="102">
        <f t="shared" si="935"/>
        <v>15000</v>
      </c>
      <c r="QD43" s="103">
        <f t="shared" si="935"/>
        <v>15000</v>
      </c>
      <c r="QE43" s="104">
        <f t="shared" si="935"/>
        <v>0</v>
      </c>
      <c r="QF43" s="103">
        <f t="shared" si="935"/>
        <v>0</v>
      </c>
      <c r="QG43" s="105">
        <f t="shared" si="935"/>
        <v>0</v>
      </c>
      <c r="QH43" s="104">
        <f t="shared" si="935"/>
        <v>0</v>
      </c>
      <c r="QI43" s="103">
        <f t="shared" si="935"/>
        <v>0</v>
      </c>
      <c r="QJ43" s="105">
        <f t="shared" si="935"/>
        <v>4498.92</v>
      </c>
      <c r="QK43" s="104">
        <f t="shared" si="935"/>
        <v>-4498.92</v>
      </c>
      <c r="QL43" s="103">
        <f t="shared" si="935"/>
        <v>1200</v>
      </c>
      <c r="QM43" s="105">
        <f t="shared" si="935"/>
        <v>1141.06</v>
      </c>
      <c r="QN43" s="104">
        <f t="shared" si="935"/>
        <v>58.940000000000055</v>
      </c>
      <c r="QO43" s="103">
        <f t="shared" si="180"/>
        <v>16200</v>
      </c>
      <c r="QP43" s="106">
        <f>SUM(QP31:QP42)</f>
        <v>20639.980000000003</v>
      </c>
      <c r="QQ43" s="104">
        <f t="shared" ref="QQ43:RC43" si="936">SUM(QQ31:QQ42)</f>
        <v>-4439.9799999999996</v>
      </c>
      <c r="QR43" s="102">
        <f t="shared" si="936"/>
        <v>15500</v>
      </c>
      <c r="QS43" s="103">
        <f t="shared" si="936"/>
        <v>15500</v>
      </c>
      <c r="QT43" s="104">
        <f t="shared" si="936"/>
        <v>0</v>
      </c>
      <c r="QU43" s="103">
        <f t="shared" si="936"/>
        <v>0</v>
      </c>
      <c r="QV43" s="105">
        <f t="shared" si="936"/>
        <v>1205.5999999999999</v>
      </c>
      <c r="QW43" s="104">
        <f t="shared" si="936"/>
        <v>-1205.5999999999999</v>
      </c>
      <c r="QX43" s="103">
        <f t="shared" si="936"/>
        <v>5000</v>
      </c>
      <c r="QY43" s="105">
        <f t="shared" si="936"/>
        <v>5635.05</v>
      </c>
      <c r="QZ43" s="104">
        <f t="shared" si="936"/>
        <v>-635.05000000000018</v>
      </c>
      <c r="RA43" s="103">
        <f t="shared" si="936"/>
        <v>0</v>
      </c>
      <c r="RB43" s="105">
        <f t="shared" si="936"/>
        <v>0</v>
      </c>
      <c r="RC43" s="104">
        <f t="shared" si="936"/>
        <v>0</v>
      </c>
      <c r="RD43" s="103">
        <f t="shared" si="187"/>
        <v>20500</v>
      </c>
      <c r="RE43" s="106">
        <f>SUM(RE31:RE42)</f>
        <v>22340.649999999998</v>
      </c>
      <c r="RF43" s="104">
        <f t="shared" ref="RF43:RR43" si="937">SUM(RF31:RF42)</f>
        <v>-1840.65</v>
      </c>
      <c r="RG43" s="102">
        <f t="shared" si="937"/>
        <v>15500</v>
      </c>
      <c r="RH43" s="103">
        <f t="shared" si="937"/>
        <v>15500</v>
      </c>
      <c r="RI43" s="104">
        <f t="shared" si="937"/>
        <v>0</v>
      </c>
      <c r="RJ43" s="103">
        <f t="shared" si="937"/>
        <v>0</v>
      </c>
      <c r="RK43" s="105">
        <f t="shared" si="937"/>
        <v>0</v>
      </c>
      <c r="RL43" s="104">
        <f t="shared" si="937"/>
        <v>0</v>
      </c>
      <c r="RM43" s="103">
        <f t="shared" si="937"/>
        <v>5000</v>
      </c>
      <c r="RN43" s="105">
        <f t="shared" si="937"/>
        <v>5500</v>
      </c>
      <c r="RO43" s="104">
        <f t="shared" si="937"/>
        <v>-500</v>
      </c>
      <c r="RP43" s="103">
        <f t="shared" si="937"/>
        <v>0</v>
      </c>
      <c r="RQ43" s="105">
        <f t="shared" si="937"/>
        <v>283.37</v>
      </c>
      <c r="RR43" s="104">
        <f t="shared" si="937"/>
        <v>-283.37</v>
      </c>
      <c r="RS43" s="103">
        <f t="shared" si="194"/>
        <v>20500</v>
      </c>
      <c r="RT43" s="106">
        <f>SUM(RT31:RT42)</f>
        <v>21283.370000000003</v>
      </c>
      <c r="RU43" s="104">
        <f t="shared" ref="RU43:SG43" si="938">SUM(RU31:RU42)</f>
        <v>-783.37</v>
      </c>
      <c r="RV43" s="102">
        <f t="shared" si="938"/>
        <v>16500</v>
      </c>
      <c r="RW43" s="103">
        <f t="shared" si="938"/>
        <v>9500</v>
      </c>
      <c r="RX43" s="104">
        <f t="shared" si="938"/>
        <v>7000</v>
      </c>
      <c r="RY43" s="103">
        <f t="shared" si="938"/>
        <v>0</v>
      </c>
      <c r="RZ43" s="105">
        <f t="shared" si="938"/>
        <v>0</v>
      </c>
      <c r="SA43" s="104">
        <f t="shared" si="938"/>
        <v>0</v>
      </c>
      <c r="SB43" s="103">
        <f t="shared" si="938"/>
        <v>1400</v>
      </c>
      <c r="SC43" s="105">
        <f t="shared" si="938"/>
        <v>0</v>
      </c>
      <c r="SD43" s="104">
        <f t="shared" si="938"/>
        <v>1400</v>
      </c>
      <c r="SE43" s="103">
        <f t="shared" si="938"/>
        <v>1200</v>
      </c>
      <c r="SF43" s="105">
        <f t="shared" si="938"/>
        <v>903.43</v>
      </c>
      <c r="SG43" s="104">
        <f t="shared" si="938"/>
        <v>296.56999999999994</v>
      </c>
      <c r="SH43" s="103">
        <f t="shared" si="201"/>
        <v>19100</v>
      </c>
      <c r="SI43" s="106">
        <f>SUM(SI31:SI42)</f>
        <v>10403.43</v>
      </c>
      <c r="SJ43" s="104">
        <f t="shared" ref="SJ43:SV43" si="939">SUM(SJ31:SJ42)</f>
        <v>8696.57</v>
      </c>
      <c r="SK43" s="102">
        <f t="shared" si="939"/>
        <v>17000</v>
      </c>
      <c r="SL43" s="103">
        <f t="shared" si="939"/>
        <v>17000</v>
      </c>
      <c r="SM43" s="104">
        <f t="shared" si="939"/>
        <v>0</v>
      </c>
      <c r="SN43" s="103">
        <f t="shared" si="939"/>
        <v>0</v>
      </c>
      <c r="SO43" s="105">
        <f t="shared" si="939"/>
        <v>0</v>
      </c>
      <c r="SP43" s="104">
        <f t="shared" si="939"/>
        <v>0</v>
      </c>
      <c r="SQ43" s="103">
        <f t="shared" si="939"/>
        <v>0</v>
      </c>
      <c r="SR43" s="105">
        <f t="shared" si="939"/>
        <v>0</v>
      </c>
      <c r="SS43" s="104">
        <f t="shared" si="939"/>
        <v>0</v>
      </c>
      <c r="ST43" s="103">
        <f t="shared" si="939"/>
        <v>1200</v>
      </c>
      <c r="SU43" s="105">
        <f t="shared" si="939"/>
        <v>749.56000000000006</v>
      </c>
      <c r="SV43" s="104">
        <f t="shared" si="939"/>
        <v>450.43999999999994</v>
      </c>
      <c r="SW43" s="103">
        <f t="shared" si="208"/>
        <v>18200</v>
      </c>
      <c r="SX43" s="106">
        <f>SUM(SX31:SX42)</f>
        <v>17749.560000000001</v>
      </c>
      <c r="SY43" s="104">
        <f t="shared" ref="SY43:TK43" si="940">SUM(SY31:SY42)</f>
        <v>450.43999999999846</v>
      </c>
      <c r="SZ43" s="102">
        <f t="shared" si="940"/>
        <v>11823.960000000001</v>
      </c>
      <c r="TA43" s="103">
        <f t="shared" si="940"/>
        <v>20723.96000000001</v>
      </c>
      <c r="TB43" s="104">
        <f t="shared" si="940"/>
        <v>-8900</v>
      </c>
      <c r="TC43" s="103">
        <f t="shared" si="940"/>
        <v>8410.7999999999975</v>
      </c>
      <c r="TD43" s="105">
        <f t="shared" si="940"/>
        <v>8480.8799999999992</v>
      </c>
      <c r="TE43" s="104">
        <f t="shared" si="940"/>
        <v>-70.080000000000382</v>
      </c>
      <c r="TF43" s="103">
        <f t="shared" si="940"/>
        <v>1800</v>
      </c>
      <c r="TG43" s="105">
        <f t="shared" si="940"/>
        <v>0</v>
      </c>
      <c r="TH43" s="104">
        <f t="shared" si="940"/>
        <v>1800</v>
      </c>
      <c r="TI43" s="103">
        <f t="shared" si="940"/>
        <v>1200</v>
      </c>
      <c r="TJ43" s="105">
        <f t="shared" si="940"/>
        <v>638.04</v>
      </c>
      <c r="TK43" s="104">
        <f t="shared" si="940"/>
        <v>561.96</v>
      </c>
      <c r="TL43" s="103">
        <f t="shared" si="215"/>
        <v>23234.76</v>
      </c>
      <c r="TM43" s="106">
        <f>SUM(TM31:TM42)</f>
        <v>29842.880000000001</v>
      </c>
      <c r="TN43" s="104">
        <f t="shared" ref="TN43:TZ43" si="941">SUM(TN31:TN42)</f>
        <v>-6608.1200000000008</v>
      </c>
      <c r="TO43" s="102">
        <f t="shared" si="941"/>
        <v>14000</v>
      </c>
      <c r="TP43" s="103">
        <f t="shared" si="941"/>
        <v>14000</v>
      </c>
      <c r="TQ43" s="104">
        <f t="shared" si="941"/>
        <v>0</v>
      </c>
      <c r="TR43" s="103">
        <f t="shared" si="941"/>
        <v>0</v>
      </c>
      <c r="TS43" s="105">
        <f t="shared" si="941"/>
        <v>0</v>
      </c>
      <c r="TT43" s="104">
        <f t="shared" si="941"/>
        <v>0</v>
      </c>
      <c r="TU43" s="103">
        <f t="shared" si="941"/>
        <v>0</v>
      </c>
      <c r="TV43" s="105">
        <f t="shared" si="941"/>
        <v>0</v>
      </c>
      <c r="TW43" s="104">
        <f t="shared" si="941"/>
        <v>0</v>
      </c>
      <c r="TX43" s="103">
        <f t="shared" si="941"/>
        <v>1200</v>
      </c>
      <c r="TY43" s="105">
        <f t="shared" si="941"/>
        <v>795.75</v>
      </c>
      <c r="TZ43" s="104">
        <f t="shared" si="941"/>
        <v>404.24999999999994</v>
      </c>
      <c r="UA43" s="103">
        <f t="shared" si="222"/>
        <v>15200</v>
      </c>
      <c r="UB43" s="106">
        <f>SUM(UB31:UB42)</f>
        <v>14795.750000000002</v>
      </c>
      <c r="UC43" s="104">
        <f t="shared" ref="UC43:UO43" si="942">SUM(UC31:UC42)</f>
        <v>404.24999999999915</v>
      </c>
      <c r="UD43" s="102">
        <f t="shared" si="942"/>
        <v>13500</v>
      </c>
      <c r="UE43" s="103">
        <f t="shared" si="942"/>
        <v>13500</v>
      </c>
      <c r="UF43" s="104">
        <f t="shared" si="942"/>
        <v>0</v>
      </c>
      <c r="UG43" s="103">
        <f t="shared" si="942"/>
        <v>5964.4800000000005</v>
      </c>
      <c r="UH43" s="105">
        <f t="shared" si="942"/>
        <v>6126.880000000001</v>
      </c>
      <c r="UI43" s="104">
        <f t="shared" si="942"/>
        <v>-162.40000000000003</v>
      </c>
      <c r="UJ43" s="103">
        <f t="shared" si="942"/>
        <v>0</v>
      </c>
      <c r="UK43" s="105">
        <f t="shared" si="942"/>
        <v>2019.87</v>
      </c>
      <c r="UL43" s="104">
        <f t="shared" si="942"/>
        <v>-2019.87</v>
      </c>
      <c r="UM43" s="103">
        <f t="shared" si="942"/>
        <v>1200</v>
      </c>
      <c r="UN43" s="105">
        <f t="shared" si="942"/>
        <v>672.5</v>
      </c>
      <c r="UO43" s="104">
        <f t="shared" si="942"/>
        <v>527.5</v>
      </c>
      <c r="UP43" s="103">
        <f t="shared" si="226"/>
        <v>20664.48</v>
      </c>
      <c r="UQ43" s="106">
        <f>SUM(UQ31:UQ42)</f>
        <v>22319.249999999996</v>
      </c>
      <c r="UR43" s="104">
        <f t="shared" ref="UR43:VD43" si="943">SUM(UR31:UR42)</f>
        <v>-1654.77</v>
      </c>
      <c r="US43" s="107">
        <f t="shared" si="943"/>
        <v>0</v>
      </c>
      <c r="UT43" s="108">
        <f t="shared" si="943"/>
        <v>0</v>
      </c>
      <c r="UU43" s="109">
        <f t="shared" si="943"/>
        <v>0</v>
      </c>
      <c r="UV43" s="108">
        <f t="shared" si="943"/>
        <v>0</v>
      </c>
      <c r="UW43" s="110">
        <f t="shared" si="943"/>
        <v>0</v>
      </c>
      <c r="UX43" s="109">
        <f t="shared" si="943"/>
        <v>0</v>
      </c>
      <c r="UY43" s="108">
        <f t="shared" si="943"/>
        <v>0</v>
      </c>
      <c r="UZ43" s="110">
        <f t="shared" si="943"/>
        <v>0</v>
      </c>
      <c r="VA43" s="109">
        <f t="shared" si="943"/>
        <v>0</v>
      </c>
      <c r="VB43" s="108">
        <f t="shared" si="943"/>
        <v>300</v>
      </c>
      <c r="VC43" s="110">
        <f t="shared" si="943"/>
        <v>2636.27</v>
      </c>
      <c r="VD43" s="109">
        <f t="shared" si="943"/>
        <v>78.77000000000001</v>
      </c>
      <c r="VE43" s="108">
        <f t="shared" si="233"/>
        <v>300</v>
      </c>
      <c r="VF43" s="111">
        <f>SUM(VF31:VF42)</f>
        <v>2636.27</v>
      </c>
      <c r="VG43" s="109">
        <f t="shared" ref="VG43:VS43" si="944">SUM(VG31:VG42)</f>
        <v>-2336.27</v>
      </c>
      <c r="VH43" s="102">
        <f t="shared" si="944"/>
        <v>0</v>
      </c>
      <c r="VI43" s="103">
        <f t="shared" si="944"/>
        <v>0</v>
      </c>
      <c r="VJ43" s="104">
        <f t="shared" si="944"/>
        <v>0</v>
      </c>
      <c r="VK43" s="103">
        <f t="shared" si="944"/>
        <v>0</v>
      </c>
      <c r="VL43" s="105">
        <f t="shared" si="944"/>
        <v>0</v>
      </c>
      <c r="VM43" s="104">
        <f t="shared" si="944"/>
        <v>0</v>
      </c>
      <c r="VN43" s="103">
        <f t="shared" si="944"/>
        <v>0</v>
      </c>
      <c r="VO43" s="105">
        <f t="shared" si="944"/>
        <v>0</v>
      </c>
      <c r="VP43" s="104">
        <f t="shared" si="944"/>
        <v>0</v>
      </c>
      <c r="VQ43" s="103">
        <f t="shared" si="944"/>
        <v>1200</v>
      </c>
      <c r="VR43" s="105">
        <f t="shared" si="944"/>
        <v>645.93000000000006</v>
      </c>
      <c r="VS43" s="104">
        <f t="shared" si="944"/>
        <v>554.06999999999994</v>
      </c>
      <c r="VT43" s="103">
        <f t="shared" si="240"/>
        <v>1200</v>
      </c>
      <c r="VU43" s="106">
        <f>SUM(VU31:VU42)</f>
        <v>645.93000000000006</v>
      </c>
      <c r="VV43" s="104">
        <f>SUM(VV31:VV42)</f>
        <v>554.06999999999994</v>
      </c>
      <c r="VW43" s="74"/>
      <c r="VX43" s="72"/>
      <c r="VY43" s="73"/>
      <c r="VZ43" s="74"/>
      <c r="WA43" s="75"/>
      <c r="WB43" s="73"/>
      <c r="WC43" s="74"/>
      <c r="WD43" s="75"/>
      <c r="WE43" s="73"/>
      <c r="WF43" s="74"/>
      <c r="WG43" s="75"/>
      <c r="WH43" s="73"/>
      <c r="WI43" s="74"/>
      <c r="WJ43" s="76"/>
      <c r="WK43" s="77"/>
      <c r="WL43" s="102">
        <f t="shared" ref="WL43:WW43" si="945">SUM(WL31:WL42)</f>
        <v>16512.12</v>
      </c>
      <c r="WM43" s="103">
        <f t="shared" si="945"/>
        <v>16512.12</v>
      </c>
      <c r="WN43" s="104">
        <f t="shared" si="945"/>
        <v>0</v>
      </c>
      <c r="WO43" s="103">
        <f t="shared" si="945"/>
        <v>1674.24</v>
      </c>
      <c r="WP43" s="105">
        <f t="shared" si="945"/>
        <v>0</v>
      </c>
      <c r="WQ43" s="104">
        <f t="shared" si="945"/>
        <v>1674.24</v>
      </c>
      <c r="WR43" s="103">
        <f t="shared" si="945"/>
        <v>0</v>
      </c>
      <c r="WS43" s="105">
        <f t="shared" si="945"/>
        <v>0</v>
      </c>
      <c r="WT43" s="104">
        <f t="shared" si="945"/>
        <v>0</v>
      </c>
      <c r="WU43" s="103">
        <f t="shared" si="945"/>
        <v>1200</v>
      </c>
      <c r="WV43" s="105">
        <f t="shared" si="945"/>
        <v>757.03</v>
      </c>
      <c r="WW43" s="104">
        <f t="shared" si="945"/>
        <v>442.96999999999991</v>
      </c>
      <c r="WX43" s="103">
        <f t="shared" si="254"/>
        <v>19386.36</v>
      </c>
      <c r="WY43" s="106">
        <f>SUM(WY31:WY42)</f>
        <v>17269.150000000001</v>
      </c>
      <c r="WZ43" s="104">
        <f t="shared" ref="WZ43:XL43" si="946">SUM(WZ31:WZ42)</f>
        <v>2117.21</v>
      </c>
      <c r="XA43" s="102">
        <f t="shared" si="946"/>
        <v>16500</v>
      </c>
      <c r="XB43" s="103">
        <f t="shared" si="946"/>
        <v>9500</v>
      </c>
      <c r="XC43" s="104">
        <f t="shared" si="946"/>
        <v>7000</v>
      </c>
      <c r="XD43" s="103">
        <f t="shared" si="946"/>
        <v>0</v>
      </c>
      <c r="XE43" s="105">
        <f t="shared" si="946"/>
        <v>0</v>
      </c>
      <c r="XF43" s="104">
        <f t="shared" si="946"/>
        <v>0</v>
      </c>
      <c r="XG43" s="103">
        <f t="shared" si="946"/>
        <v>2500</v>
      </c>
      <c r="XH43" s="105">
        <f t="shared" si="946"/>
        <v>5122.59</v>
      </c>
      <c r="XI43" s="104">
        <f t="shared" si="946"/>
        <v>-2622.59</v>
      </c>
      <c r="XJ43" s="103">
        <f t="shared" si="946"/>
        <v>1200</v>
      </c>
      <c r="XK43" s="105">
        <f t="shared" si="946"/>
        <v>1497.2600000000002</v>
      </c>
      <c r="XL43" s="104">
        <f t="shared" si="946"/>
        <v>-297.25999999999993</v>
      </c>
      <c r="XM43" s="103">
        <f t="shared" si="261"/>
        <v>20200</v>
      </c>
      <c r="XN43" s="106">
        <f>SUM(XN31:XN42)</f>
        <v>16119.849999999999</v>
      </c>
      <c r="XO43" s="104">
        <f t="shared" ref="XO43:YA43" si="947">SUM(XO31:XO42)</f>
        <v>4080.1500000000005</v>
      </c>
      <c r="XP43" s="102">
        <f t="shared" si="947"/>
        <v>10404</v>
      </c>
      <c r="XQ43" s="103">
        <f t="shared" si="947"/>
        <v>10404</v>
      </c>
      <c r="XR43" s="104">
        <f t="shared" si="947"/>
        <v>0</v>
      </c>
      <c r="XS43" s="103">
        <f t="shared" si="947"/>
        <v>7095.6000000000013</v>
      </c>
      <c r="XT43" s="105">
        <f t="shared" si="947"/>
        <v>9034.2000000000007</v>
      </c>
      <c r="XU43" s="104">
        <f t="shared" si="947"/>
        <v>-1938.6000000000013</v>
      </c>
      <c r="XV43" s="103">
        <f t="shared" si="947"/>
        <v>1000</v>
      </c>
      <c r="XW43" s="105">
        <f t="shared" si="947"/>
        <v>1603.63</v>
      </c>
      <c r="XX43" s="104">
        <f t="shared" si="947"/>
        <v>-603.63000000000011</v>
      </c>
      <c r="XY43" s="103">
        <f t="shared" si="947"/>
        <v>1200</v>
      </c>
      <c r="XZ43" s="105">
        <f t="shared" si="947"/>
        <v>645.59999999999991</v>
      </c>
      <c r="YA43" s="104">
        <f t="shared" si="947"/>
        <v>554.40000000000009</v>
      </c>
      <c r="YB43" s="103">
        <f t="shared" si="268"/>
        <v>19699.600000000002</v>
      </c>
      <c r="YC43" s="106">
        <f>SUM(YC31:YC42)</f>
        <v>21687.430000000004</v>
      </c>
      <c r="YD43" s="104">
        <f t="shared" ref="YD43:YP43" si="948">SUM(YD31:YD42)</f>
        <v>-1987.8300000000008</v>
      </c>
      <c r="YE43" s="102">
        <f t="shared" si="948"/>
        <v>10680</v>
      </c>
      <c r="YF43" s="103">
        <f t="shared" si="948"/>
        <v>10680</v>
      </c>
      <c r="YG43" s="104">
        <f t="shared" si="948"/>
        <v>0</v>
      </c>
      <c r="YH43" s="103">
        <f t="shared" si="948"/>
        <v>8701.7999999999975</v>
      </c>
      <c r="YI43" s="105">
        <f t="shared" si="948"/>
        <v>9565.83</v>
      </c>
      <c r="YJ43" s="104">
        <f t="shared" si="948"/>
        <v>-864.03000000000031</v>
      </c>
      <c r="YK43" s="103">
        <f t="shared" si="948"/>
        <v>1000</v>
      </c>
      <c r="YL43" s="105">
        <f t="shared" si="948"/>
        <v>672.71</v>
      </c>
      <c r="YM43" s="104">
        <f t="shared" si="948"/>
        <v>327.28999999999996</v>
      </c>
      <c r="YN43" s="103">
        <f t="shared" si="948"/>
        <v>1200</v>
      </c>
      <c r="YO43" s="105">
        <f t="shared" si="948"/>
        <v>739.8900000000001</v>
      </c>
      <c r="YP43" s="104">
        <f t="shared" si="948"/>
        <v>460.11000000000007</v>
      </c>
      <c r="YQ43" s="103">
        <f t="shared" si="275"/>
        <v>21581.799999999996</v>
      </c>
      <c r="YR43" s="106">
        <f>SUM(YR31:YR42)</f>
        <v>21658.43</v>
      </c>
      <c r="YS43" s="104">
        <f t="shared" ref="YS43:ZE43" si="949">SUM(YS31:YS42)</f>
        <v>-76.63000000000045</v>
      </c>
      <c r="YT43" s="102">
        <f t="shared" si="949"/>
        <v>11184</v>
      </c>
      <c r="YU43" s="103">
        <f t="shared" si="949"/>
        <v>11184</v>
      </c>
      <c r="YV43" s="104">
        <f t="shared" si="949"/>
        <v>0</v>
      </c>
      <c r="YW43" s="103">
        <f t="shared" si="949"/>
        <v>6159.3599999999979</v>
      </c>
      <c r="YX43" s="105">
        <f t="shared" si="949"/>
        <v>7569.0599999999995</v>
      </c>
      <c r="YY43" s="104">
        <f t="shared" si="949"/>
        <v>-1409.6999999999998</v>
      </c>
      <c r="YZ43" s="103">
        <f t="shared" si="949"/>
        <v>1000</v>
      </c>
      <c r="ZA43" s="105">
        <f t="shared" si="949"/>
        <v>0</v>
      </c>
      <c r="ZB43" s="104">
        <f t="shared" si="949"/>
        <v>1000</v>
      </c>
      <c r="ZC43" s="103">
        <f t="shared" si="949"/>
        <v>1200</v>
      </c>
      <c r="ZD43" s="105">
        <f t="shared" si="949"/>
        <v>776.90999999999985</v>
      </c>
      <c r="ZE43" s="104">
        <f t="shared" si="949"/>
        <v>423.09000000000003</v>
      </c>
      <c r="ZF43" s="103">
        <f t="shared" si="282"/>
        <v>19543.359999999997</v>
      </c>
      <c r="ZG43" s="106">
        <f>SUM(ZG31:ZG42)</f>
        <v>19529.97</v>
      </c>
      <c r="ZH43" s="104">
        <f t="shared" ref="ZH43:ZT43" si="950">SUM(ZH31:ZH42)</f>
        <v>13.389999999999759</v>
      </c>
      <c r="ZI43" s="102">
        <f t="shared" si="950"/>
        <v>15000</v>
      </c>
      <c r="ZJ43" s="103">
        <f t="shared" si="950"/>
        <v>15000</v>
      </c>
      <c r="ZK43" s="104">
        <f t="shared" si="950"/>
        <v>0</v>
      </c>
      <c r="ZL43" s="103">
        <f t="shared" si="950"/>
        <v>0</v>
      </c>
      <c r="ZM43" s="105">
        <f t="shared" si="950"/>
        <v>0</v>
      </c>
      <c r="ZN43" s="104">
        <f t="shared" si="950"/>
        <v>0</v>
      </c>
      <c r="ZO43" s="103">
        <f t="shared" si="950"/>
        <v>0</v>
      </c>
      <c r="ZP43" s="105">
        <f t="shared" si="950"/>
        <v>0</v>
      </c>
      <c r="ZQ43" s="104">
        <f t="shared" si="950"/>
        <v>0</v>
      </c>
      <c r="ZR43" s="103">
        <f t="shared" si="950"/>
        <v>1200</v>
      </c>
      <c r="ZS43" s="105">
        <f t="shared" si="950"/>
        <v>3154.6000000000004</v>
      </c>
      <c r="ZT43" s="104">
        <f t="shared" si="950"/>
        <v>-1954.6</v>
      </c>
      <c r="ZU43" s="103">
        <f t="shared" si="289"/>
        <v>16200</v>
      </c>
      <c r="ZV43" s="106">
        <f>SUM(ZV31:ZV42)</f>
        <v>18154.600000000002</v>
      </c>
      <c r="ZW43" s="104">
        <f>SUM(ZW31:ZW42)</f>
        <v>-1954.6</v>
      </c>
      <c r="ZX43" s="102">
        <f>SUM(ZX31:ZX42)</f>
        <v>296.52000000000004</v>
      </c>
      <c r="ZY43" s="103">
        <f>SUM(ZY31:ZY42)</f>
        <v>296.52000000000004</v>
      </c>
      <c r="ZZ43" s="104">
        <f>SUM(ZZ31:ZZ42)</f>
        <v>0</v>
      </c>
      <c r="AAA43" s="103">
        <f t="shared" si="293"/>
        <v>296.52000000000004</v>
      </c>
      <c r="AAB43" s="106">
        <f t="shared" si="293"/>
        <v>296.52000000000004</v>
      </c>
      <c r="AAC43" s="104">
        <f>SUM(AAC31:AAC42)</f>
        <v>0</v>
      </c>
      <c r="AAD43" s="112">
        <f t="shared" si="295"/>
        <v>1499048.98</v>
      </c>
      <c r="AAE43" s="113">
        <f t="shared" si="295"/>
        <v>1601284.69</v>
      </c>
      <c r="AAF43" s="114">
        <f t="shared" si="3"/>
        <v>1.0682003799502269</v>
      </c>
      <c r="AAG43" s="113">
        <f>SUM(AAG31:AAG42)</f>
        <v>83260.710000000021</v>
      </c>
    </row>
    <row r="44" spans="1:713" s="83" customFormat="1" ht="20" customHeight="1" x14ac:dyDescent="0.2">
      <c r="A44" s="84" t="s">
        <v>41</v>
      </c>
      <c r="B44" s="58" t="s">
        <v>136</v>
      </c>
      <c r="C44" s="59"/>
      <c r="D44" s="59"/>
      <c r="E44" s="60">
        <v>2025</v>
      </c>
      <c r="F44" s="61">
        <v>45658</v>
      </c>
      <c r="G44" s="62"/>
      <c r="H44" s="63"/>
      <c r="I44" s="64">
        <f t="shared" ref="I44:I55" si="951">G44-H44</f>
        <v>0</v>
      </c>
      <c r="J44" s="65">
        <v>4812.04</v>
      </c>
      <c r="K44" s="63">
        <v>5060.6099999999997</v>
      </c>
      <c r="L44" s="64">
        <f t="shared" ref="L44:L55" si="952">J44-K44</f>
        <v>-248.56999999999971</v>
      </c>
      <c r="M44" s="65">
        <v>2500</v>
      </c>
      <c r="N44" s="63">
        <v>2464.11</v>
      </c>
      <c r="O44" s="64">
        <f t="shared" ref="O44:O55" si="953">M44-N44</f>
        <v>35.889999999999873</v>
      </c>
      <c r="P44" s="65">
        <v>500</v>
      </c>
      <c r="Q44" s="63">
        <v>410.51</v>
      </c>
      <c r="R44" s="64">
        <f t="shared" ref="R44:R55" si="954">P44-Q44</f>
        <v>89.490000000000009</v>
      </c>
      <c r="S44" s="65">
        <v>181</v>
      </c>
      <c r="T44" s="63">
        <v>245.43</v>
      </c>
      <c r="U44" s="64">
        <f t="shared" ref="U44:U55" si="955">S44-T44</f>
        <v>-64.430000000000007</v>
      </c>
      <c r="V44" s="66">
        <f t="shared" ref="V44:W55" si="956">G44+J44+M44+P44+S44</f>
        <v>7993.04</v>
      </c>
      <c r="W44" s="67">
        <f t="shared" si="956"/>
        <v>8180.66</v>
      </c>
      <c r="X44" s="64">
        <f t="shared" ref="X44:X55" si="957">V44-W44</f>
        <v>-187.61999999999989</v>
      </c>
      <c r="Y44" s="72"/>
      <c r="Z44" s="73"/>
      <c r="AA44" s="74"/>
      <c r="AB44" s="75"/>
      <c r="AC44" s="73"/>
      <c r="AD44" s="74"/>
      <c r="AE44" s="75"/>
      <c r="AF44" s="73"/>
      <c r="AG44" s="74"/>
      <c r="AH44" s="75"/>
      <c r="AI44" s="73"/>
      <c r="AJ44" s="74"/>
      <c r="AK44" s="76"/>
      <c r="AL44" s="77"/>
      <c r="AM44" s="64">
        <f t="shared" ref="AM44:AM55" si="958">AK44-AL44</f>
        <v>0</v>
      </c>
      <c r="AN44" s="62"/>
      <c r="AO44" s="63"/>
      <c r="AP44" s="64">
        <f>AN44-AO44</f>
        <v>0</v>
      </c>
      <c r="AQ44" s="65"/>
      <c r="AR44" s="63"/>
      <c r="AS44" s="64">
        <f t="shared" ref="AS44:AS55" si="959">AQ44-AR44</f>
        <v>0</v>
      </c>
      <c r="AT44" s="65"/>
      <c r="AU44" s="63"/>
      <c r="AV44" s="64">
        <f t="shared" ref="AV44:AV55" si="960">AT44-AU44</f>
        <v>0</v>
      </c>
      <c r="AW44" s="65"/>
      <c r="AX44" s="63"/>
      <c r="AY44" s="64">
        <f t="shared" ref="AY44:AY55" si="961">AW44-AX44</f>
        <v>0</v>
      </c>
      <c r="AZ44" s="66">
        <f t="shared" si="23"/>
        <v>0</v>
      </c>
      <c r="BA44" s="67">
        <f t="shared" ref="BA44:BA55" si="962">AO44+AR44+AU44++AX44</f>
        <v>0</v>
      </c>
      <c r="BB44" s="64">
        <f t="shared" ref="BB44:BB55" si="963">AZ44-BA44</f>
        <v>0</v>
      </c>
      <c r="BC44" s="62"/>
      <c r="BD44" s="63"/>
      <c r="BE44" s="64">
        <f t="shared" ref="BE44:BE55" si="964">BC44-BD44</f>
        <v>0</v>
      </c>
      <c r="BF44" s="65"/>
      <c r="BG44" s="63"/>
      <c r="BH44" s="64">
        <f t="shared" ref="BH44:BH55" si="965">BF44-BG44</f>
        <v>0</v>
      </c>
      <c r="BI44" s="65"/>
      <c r="BJ44" s="63"/>
      <c r="BK44" s="64">
        <f t="shared" ref="BK44:BK55" si="966">BI44-BJ44</f>
        <v>0</v>
      </c>
      <c r="BL44" s="65">
        <v>100</v>
      </c>
      <c r="BM44" s="63"/>
      <c r="BN44" s="64">
        <f t="shared" ref="BN44:BN55" si="967">BL44-BM44</f>
        <v>100</v>
      </c>
      <c r="BO44" s="66">
        <f t="shared" si="30"/>
        <v>100</v>
      </c>
      <c r="BP44" s="67">
        <f t="shared" ref="BP44:BP55" si="968">BD44+BG44+BJ44++BM44</f>
        <v>0</v>
      </c>
      <c r="BQ44" s="64">
        <f t="shared" ref="BQ44:BQ55" si="969">BO44-BP44</f>
        <v>100</v>
      </c>
      <c r="BR44" s="72"/>
      <c r="BS44" s="73"/>
      <c r="BT44" s="74"/>
      <c r="BU44" s="75"/>
      <c r="BV44" s="73"/>
      <c r="BW44" s="74"/>
      <c r="BX44" s="75"/>
      <c r="BY44" s="73"/>
      <c r="BZ44" s="74"/>
      <c r="CA44" s="75"/>
      <c r="CB44" s="73"/>
      <c r="CC44" s="74"/>
      <c r="CD44" s="76"/>
      <c r="CE44" s="77"/>
      <c r="CF44" s="64">
        <f t="shared" ref="CF44:CF55" si="970">CD44-CE44</f>
        <v>0</v>
      </c>
      <c r="CG44" s="62"/>
      <c r="CH44" s="63"/>
      <c r="CI44" s="64">
        <f t="shared" ref="CI44:CI55" si="971">CG44-CH44</f>
        <v>0</v>
      </c>
      <c r="CJ44" s="65"/>
      <c r="CK44" s="63"/>
      <c r="CL44" s="64">
        <f t="shared" ref="CL44:CL55" si="972">CJ44-CK44</f>
        <v>0</v>
      </c>
      <c r="CM44" s="65"/>
      <c r="CN44" s="63"/>
      <c r="CO44" s="64">
        <f t="shared" ref="CO44:CO55" si="973">CM44-CN44</f>
        <v>0</v>
      </c>
      <c r="CP44" s="65"/>
      <c r="CQ44" s="63"/>
      <c r="CR44" s="64">
        <f t="shared" ref="CR44:CR55" si="974">CP44-CQ44</f>
        <v>0</v>
      </c>
      <c r="CS44" s="66">
        <f t="shared" si="40"/>
        <v>0</v>
      </c>
      <c r="CT44" s="67">
        <f t="shared" ref="CT44:CT55" si="975">CH44+CK44+CN44++CQ44</f>
        <v>0</v>
      </c>
      <c r="CU44" s="64">
        <f t="shared" ref="CU44:CU55" si="976">CS44-CT44</f>
        <v>0</v>
      </c>
      <c r="CV44" s="62">
        <v>2916.7</v>
      </c>
      <c r="CW44" s="63">
        <v>2916.7</v>
      </c>
      <c r="CX44" s="64">
        <f t="shared" ref="CX44:CX55" si="977">CV44-CW44</f>
        <v>0</v>
      </c>
      <c r="CY44" s="65">
        <v>429.15</v>
      </c>
      <c r="CZ44" s="63">
        <v>429.15</v>
      </c>
      <c r="DA44" s="64">
        <f t="shared" ref="DA44:DA55" si="978">CY44-CZ44</f>
        <v>0</v>
      </c>
      <c r="DB44" s="65"/>
      <c r="DC44" s="63"/>
      <c r="DD44" s="64">
        <f t="shared" ref="DD44:DD55" si="979">DB44-DC44</f>
        <v>0</v>
      </c>
      <c r="DE44" s="65"/>
      <c r="DF44" s="63"/>
      <c r="DG44" s="64">
        <f t="shared" ref="DG44:DG55" si="980">DE44-DF44</f>
        <v>0</v>
      </c>
      <c r="DH44" s="66">
        <f t="shared" si="43"/>
        <v>3345.85</v>
      </c>
      <c r="DI44" s="67">
        <f t="shared" ref="DI44:DI55" si="981">CW44+CZ44+DC44++DF44</f>
        <v>3345.85</v>
      </c>
      <c r="DJ44" s="64">
        <f t="shared" ref="DJ44:DJ55" si="982">DH44-DI44</f>
        <v>0</v>
      </c>
      <c r="DK44" s="62">
        <v>2400</v>
      </c>
      <c r="DL44" s="63">
        <v>2400</v>
      </c>
      <c r="DM44" s="64">
        <f t="shared" ref="DM44:DM55" si="983">DK44-DL44</f>
        <v>0</v>
      </c>
      <c r="DN44" s="65">
        <v>913.08</v>
      </c>
      <c r="DO44" s="63">
        <v>913.08</v>
      </c>
      <c r="DP44" s="64">
        <f t="shared" ref="DP44:DP55" si="984">DN44-DO44</f>
        <v>0</v>
      </c>
      <c r="DQ44" s="65"/>
      <c r="DR44" s="63"/>
      <c r="DS44" s="64">
        <f t="shared" ref="DS44:DS55" si="985">DQ44-DR44</f>
        <v>0</v>
      </c>
      <c r="DT44" s="65">
        <v>100</v>
      </c>
      <c r="DU44" s="63"/>
      <c r="DV44" s="64">
        <f t="shared" ref="DV44:DV55" si="986">DT44-DU44</f>
        <v>100</v>
      </c>
      <c r="DW44" s="66">
        <f t="shared" si="46"/>
        <v>3413.08</v>
      </c>
      <c r="DX44" s="67">
        <f t="shared" ref="DX44:DX55" si="987">DL44+DO44+DR44++DU44</f>
        <v>3313.08</v>
      </c>
      <c r="DY44" s="64">
        <f t="shared" ref="DY44:DY55" si="988">DW44-DX44</f>
        <v>100</v>
      </c>
      <c r="DZ44" s="62"/>
      <c r="EA44" s="63"/>
      <c r="EB44" s="64">
        <f t="shared" ref="EB44:EB55" si="989">DZ44-EA44</f>
        <v>0</v>
      </c>
      <c r="EC44" s="65"/>
      <c r="ED44" s="63"/>
      <c r="EE44" s="64">
        <f t="shared" ref="EE44:EE55" si="990">EC44-ED44</f>
        <v>0</v>
      </c>
      <c r="EF44" s="65"/>
      <c r="EG44" s="63"/>
      <c r="EH44" s="64">
        <f t="shared" ref="EH44:EH55" si="991">EF44-EG44</f>
        <v>0</v>
      </c>
      <c r="EI44" s="65">
        <v>100</v>
      </c>
      <c r="EJ44" s="63">
        <v>129.43</v>
      </c>
      <c r="EK44" s="64">
        <f t="shared" ref="EK44:EK55" si="992">EI44-EJ44</f>
        <v>-29.430000000000007</v>
      </c>
      <c r="EL44" s="66">
        <f t="shared" si="53"/>
        <v>100</v>
      </c>
      <c r="EM44" s="67">
        <f t="shared" ref="EM44:EM55" si="993">EA44+ED44+EG44++EJ44</f>
        <v>129.43</v>
      </c>
      <c r="EN44" s="64">
        <f t="shared" ref="EN44:EN55" si="994">EL44-EM44</f>
        <v>-29.430000000000007</v>
      </c>
      <c r="EO44" s="62"/>
      <c r="EP44" s="63"/>
      <c r="EQ44" s="64">
        <f t="shared" ref="EQ44:EQ55" si="995">EO44-EP44</f>
        <v>0</v>
      </c>
      <c r="ER44" s="65"/>
      <c r="ES44" s="63"/>
      <c r="ET44" s="64">
        <f t="shared" ref="ET44:ET55" si="996">ER44-ES44</f>
        <v>0</v>
      </c>
      <c r="EU44" s="65"/>
      <c r="EV44" s="63"/>
      <c r="EW44" s="64">
        <f t="shared" ref="EW44:EW55" si="997">EU44-EV44</f>
        <v>0</v>
      </c>
      <c r="EX44" s="65">
        <v>100</v>
      </c>
      <c r="EY44" s="63"/>
      <c r="EZ44" s="64">
        <f t="shared" ref="EZ44:EZ55" si="998">EX44-EY44</f>
        <v>100</v>
      </c>
      <c r="FA44" s="66">
        <f t="shared" si="60"/>
        <v>100</v>
      </c>
      <c r="FB44" s="67">
        <f t="shared" ref="FB44:FB55" si="999">EP44+ES44+EV44++EY44</f>
        <v>0</v>
      </c>
      <c r="FC44" s="64">
        <f t="shared" ref="FC44:FC55" si="1000">FA44-FB44</f>
        <v>100</v>
      </c>
      <c r="FD44" s="62"/>
      <c r="FE44" s="63"/>
      <c r="FF44" s="64">
        <f t="shared" ref="FF44:FF55" si="1001">FD44-FE44</f>
        <v>0</v>
      </c>
      <c r="FG44" s="65"/>
      <c r="FH44" s="63"/>
      <c r="FI44" s="64">
        <f t="shared" ref="FI44:FI55" si="1002">FG44-FH44</f>
        <v>0</v>
      </c>
      <c r="FJ44" s="65"/>
      <c r="FK44" s="63"/>
      <c r="FL44" s="64">
        <f t="shared" ref="FL44:FL55" si="1003">FJ44-FK44</f>
        <v>0</v>
      </c>
      <c r="FM44" s="65">
        <v>100</v>
      </c>
      <c r="FN44" s="63"/>
      <c r="FO44" s="64">
        <f t="shared" ref="FO44:FO55" si="1004">FM44-FN44</f>
        <v>100</v>
      </c>
      <c r="FP44" s="66">
        <f t="shared" si="67"/>
        <v>100</v>
      </c>
      <c r="FQ44" s="67">
        <f t="shared" ref="FQ44:FQ55" si="1005">FE44+FH44+FK44++FN44</f>
        <v>0</v>
      </c>
      <c r="FR44" s="64">
        <f t="shared" ref="FR44:FR55" si="1006">FP44-FQ44</f>
        <v>100</v>
      </c>
      <c r="FS44" s="62"/>
      <c r="FT44" s="63"/>
      <c r="FU44" s="64">
        <f t="shared" ref="FU44:FU55" si="1007">FS44-FT44</f>
        <v>0</v>
      </c>
      <c r="FV44" s="65">
        <v>485.35</v>
      </c>
      <c r="FW44" s="63">
        <v>485.35</v>
      </c>
      <c r="FX44" s="64">
        <f t="shared" ref="FX44:FX55" si="1008">FV44-FW44</f>
        <v>0</v>
      </c>
      <c r="FY44" s="65"/>
      <c r="FZ44" s="63"/>
      <c r="GA44" s="64">
        <f t="shared" ref="GA44:GA55" si="1009">FY44-FZ44</f>
        <v>0</v>
      </c>
      <c r="GB44" s="65"/>
      <c r="GC44" s="63"/>
      <c r="GD44" s="64">
        <f t="shared" ref="GD44:GD55" si="1010">GB44-GC44</f>
        <v>0</v>
      </c>
      <c r="GE44" s="66">
        <f t="shared" si="74"/>
        <v>485.35</v>
      </c>
      <c r="GF44" s="67">
        <f t="shared" ref="GF44:GF55" si="1011">FT44+FW44+FZ44++GC44</f>
        <v>485.35</v>
      </c>
      <c r="GG44" s="64">
        <f t="shared" ref="GG44:GG55" si="1012">GE44-GF44</f>
        <v>0</v>
      </c>
      <c r="GH44" s="62"/>
      <c r="GI44" s="63"/>
      <c r="GJ44" s="64">
        <f t="shared" ref="GJ44:GJ55" si="1013">GH44-GI44</f>
        <v>0</v>
      </c>
      <c r="GK44" s="65">
        <v>660.33</v>
      </c>
      <c r="GL44" s="63">
        <v>660.33</v>
      </c>
      <c r="GM44" s="64">
        <f t="shared" ref="GM44:GM55" si="1014">GK44-GL44</f>
        <v>0</v>
      </c>
      <c r="GN44" s="65"/>
      <c r="GO44" s="63"/>
      <c r="GP44" s="64">
        <f t="shared" ref="GP44:GP55" si="1015">GN44-GO44</f>
        <v>0</v>
      </c>
      <c r="GQ44" s="65"/>
      <c r="GR44" s="63"/>
      <c r="GS44" s="64">
        <f t="shared" ref="GS44:GS55" si="1016">GQ44-GR44</f>
        <v>0</v>
      </c>
      <c r="GT44" s="66">
        <f t="shared" si="81"/>
        <v>660.33</v>
      </c>
      <c r="GU44" s="67">
        <f t="shared" ref="GU44:GU55" si="1017">GI44+GL44+GO44++GR44</f>
        <v>660.33</v>
      </c>
      <c r="GV44" s="64">
        <f t="shared" ref="GV44:GV55" si="1018">GT44-GU44</f>
        <v>0</v>
      </c>
      <c r="GW44" s="62"/>
      <c r="GX44" s="63"/>
      <c r="GY44" s="64">
        <f t="shared" ref="GY44:GY55" si="1019">GW44-GX44</f>
        <v>0</v>
      </c>
      <c r="GZ44" s="65">
        <v>568.25</v>
      </c>
      <c r="HA44" s="63">
        <v>568.25</v>
      </c>
      <c r="HB44" s="64">
        <f t="shared" ref="HB44:HB55" si="1020">GZ44-HA44</f>
        <v>0</v>
      </c>
      <c r="HC44" s="65"/>
      <c r="HD44" s="63"/>
      <c r="HE44" s="64">
        <f t="shared" ref="HE44:HE55" si="1021">HC44-HD44</f>
        <v>0</v>
      </c>
      <c r="HF44" s="65">
        <v>100</v>
      </c>
      <c r="HG44" s="63"/>
      <c r="HH44" s="64">
        <f t="shared" ref="HH44:HH55" si="1022">HF44-HG44</f>
        <v>100</v>
      </c>
      <c r="HI44" s="66">
        <f t="shared" si="84"/>
        <v>668.25</v>
      </c>
      <c r="HJ44" s="67">
        <f t="shared" ref="HJ44:HJ55" si="1023">GX44+HA44+HD44++HG44</f>
        <v>568.25</v>
      </c>
      <c r="HK44" s="64">
        <f t="shared" ref="HK44:HK55" si="1024">HI44-HJ44</f>
        <v>100</v>
      </c>
      <c r="HL44" s="62"/>
      <c r="HM44" s="63"/>
      <c r="HN44" s="64">
        <f t="shared" ref="HN44:HN55" si="1025">HL44-HM44</f>
        <v>0</v>
      </c>
      <c r="HO44" s="65"/>
      <c r="HP44" s="63"/>
      <c r="HQ44" s="64">
        <f t="shared" ref="HQ44:HQ55" si="1026">HO44-HP44</f>
        <v>0</v>
      </c>
      <c r="HR44" s="65"/>
      <c r="HS44" s="63"/>
      <c r="HT44" s="64">
        <f t="shared" ref="HT44:HT55" si="1027">HR44-HS44</f>
        <v>0</v>
      </c>
      <c r="HU44" s="65">
        <v>100</v>
      </c>
      <c r="HV44" s="63"/>
      <c r="HW44" s="64">
        <f t="shared" ref="HW44:HW55" si="1028">HU44-HV44</f>
        <v>100</v>
      </c>
      <c r="HX44" s="66">
        <f t="shared" si="91"/>
        <v>100</v>
      </c>
      <c r="HY44" s="67">
        <f t="shared" ref="HY44:HY55" si="1029">HM44+HP44+HS44++HV44</f>
        <v>0</v>
      </c>
      <c r="HZ44" s="64">
        <f t="shared" ref="HZ44:HZ55" si="1030">HX44-HY44</f>
        <v>100</v>
      </c>
      <c r="IA44" s="62"/>
      <c r="IB44" s="63"/>
      <c r="IC44" s="64">
        <f t="shared" ref="IC44:IC55" si="1031">IA44-IB44</f>
        <v>0</v>
      </c>
      <c r="ID44" s="65"/>
      <c r="IE44" s="63"/>
      <c r="IF44" s="64">
        <f t="shared" ref="IF44:IF55" si="1032">ID44-IE44</f>
        <v>0</v>
      </c>
      <c r="IG44" s="65"/>
      <c r="IH44" s="63"/>
      <c r="II44" s="64">
        <f t="shared" ref="II44:II55" si="1033">IG44-IH44</f>
        <v>0</v>
      </c>
      <c r="IJ44" s="65">
        <v>100</v>
      </c>
      <c r="IK44" s="63"/>
      <c r="IL44" s="64">
        <f t="shared" ref="IL44:IL55" si="1034">IJ44-IK44</f>
        <v>100</v>
      </c>
      <c r="IM44" s="66">
        <f t="shared" si="98"/>
        <v>100</v>
      </c>
      <c r="IN44" s="67">
        <f t="shared" ref="IN44:IN55" si="1035">IB44+IE44+IH44++IK44</f>
        <v>0</v>
      </c>
      <c r="IO44" s="64">
        <f t="shared" ref="IO44:IO55" si="1036">IM44-IN44</f>
        <v>100</v>
      </c>
      <c r="IP44" s="62"/>
      <c r="IQ44" s="63"/>
      <c r="IR44" s="64">
        <f t="shared" ref="IR44:IR55" si="1037">IP44-IQ44</f>
        <v>0</v>
      </c>
      <c r="IS44" s="65"/>
      <c r="IT44" s="63"/>
      <c r="IU44" s="64">
        <f t="shared" ref="IU44:IU55" si="1038">IS44-IT44</f>
        <v>0</v>
      </c>
      <c r="IV44" s="65"/>
      <c r="IW44" s="63"/>
      <c r="IX44" s="64">
        <f t="shared" ref="IX44:IX55" si="1039">IV44-IW44</f>
        <v>0</v>
      </c>
      <c r="IY44" s="65"/>
      <c r="IZ44" s="63"/>
      <c r="JA44" s="64">
        <f t="shared" ref="JA44:JA55" si="1040">IY44-IZ44</f>
        <v>0</v>
      </c>
      <c r="JB44" s="66">
        <f t="shared" si="105"/>
        <v>0</v>
      </c>
      <c r="JC44" s="67">
        <f t="shared" ref="JC44:JC55" si="1041">IQ44+IT44+IW44++IZ44</f>
        <v>0</v>
      </c>
      <c r="JD44" s="64">
        <f t="shared" ref="JD44:JD55" si="1042">JB44-JC44</f>
        <v>0</v>
      </c>
      <c r="JE44" s="72"/>
      <c r="JF44" s="150"/>
      <c r="JG44" s="74"/>
      <c r="JH44" s="75"/>
      <c r="JI44" s="150"/>
      <c r="JJ44" s="74"/>
      <c r="JK44" s="75"/>
      <c r="JL44" s="150"/>
      <c r="JM44" s="74"/>
      <c r="JN44" s="75"/>
      <c r="JO44" s="150"/>
      <c r="JP44" s="74"/>
      <c r="JQ44" s="76"/>
      <c r="JR44" s="77"/>
      <c r="JS44" s="74"/>
      <c r="JT44" s="72"/>
      <c r="JU44" s="73"/>
      <c r="JV44" s="74"/>
      <c r="JW44" s="75"/>
      <c r="JX44" s="73"/>
      <c r="JY44" s="74"/>
      <c r="JZ44" s="75"/>
      <c r="KA44" s="73"/>
      <c r="KB44" s="74"/>
      <c r="KC44" s="75"/>
      <c r="KD44" s="73"/>
      <c r="KE44" s="74"/>
      <c r="KF44" s="76"/>
      <c r="KG44" s="77"/>
      <c r="KH44" s="64">
        <f t="shared" ref="KH44:KH55" si="1043">KF44-KG44</f>
        <v>0</v>
      </c>
      <c r="KI44" s="62"/>
      <c r="KJ44" s="63"/>
      <c r="KK44" s="64">
        <f t="shared" ref="KK44:KK55" si="1044">KI44-KJ44</f>
        <v>0</v>
      </c>
      <c r="KL44" s="65"/>
      <c r="KM44" s="63"/>
      <c r="KN44" s="64">
        <f t="shared" ref="KN44:KN55" si="1045">KL44-KM44</f>
        <v>0</v>
      </c>
      <c r="KO44" s="65"/>
      <c r="KP44" s="63"/>
      <c r="KQ44" s="64">
        <f t="shared" ref="KQ44:KQ55" si="1046">KO44-KP44</f>
        <v>0</v>
      </c>
      <c r="KR44" s="65"/>
      <c r="KS44" s="63"/>
      <c r="KT44" s="64">
        <f t="shared" ref="KT44:KT55" si="1047">KR44-KS44</f>
        <v>0</v>
      </c>
      <c r="KU44" s="66">
        <f t="shared" si="1"/>
        <v>0</v>
      </c>
      <c r="KV44" s="67">
        <f t="shared" ref="KV44:KV55" si="1048">KJ44+KM44+KP44++KS44</f>
        <v>0</v>
      </c>
      <c r="KW44" s="64">
        <f t="shared" ref="KW44:KW55" si="1049">KU44-KV44</f>
        <v>0</v>
      </c>
      <c r="KX44" s="72"/>
      <c r="KY44" s="73"/>
      <c r="KZ44" s="74"/>
      <c r="LA44" s="75"/>
      <c r="LB44" s="73"/>
      <c r="LC44" s="74"/>
      <c r="LD44" s="75"/>
      <c r="LE44" s="73"/>
      <c r="LF44" s="74"/>
      <c r="LG44" s="75"/>
      <c r="LH44" s="73"/>
      <c r="LI44" s="74"/>
      <c r="LJ44" s="76"/>
      <c r="LK44" s="77"/>
      <c r="LL44" s="74"/>
      <c r="LM44" s="62"/>
      <c r="LN44" s="63"/>
      <c r="LO44" s="64">
        <f t="shared" ref="LO44:LO55" si="1050">LM44-LN44</f>
        <v>0</v>
      </c>
      <c r="LP44" s="65"/>
      <c r="LQ44" s="63">
        <v>248.47</v>
      </c>
      <c r="LR44" s="64">
        <f t="shared" ref="LR44:LR55" si="1051">LP44-LQ44</f>
        <v>-248.47</v>
      </c>
      <c r="LS44" s="65"/>
      <c r="LT44" s="63"/>
      <c r="LU44" s="64">
        <f t="shared" ref="LU44:LU55" si="1052">LS44-LT44</f>
        <v>0</v>
      </c>
      <c r="LV44" s="65">
        <v>100</v>
      </c>
      <c r="LW44" s="63">
        <v>321.27999999999997</v>
      </c>
      <c r="LX44" s="64">
        <f t="shared" ref="LX44:LX55" si="1053">LV44-LW44</f>
        <v>-221.27999999999997</v>
      </c>
      <c r="LY44" s="66">
        <f t="shared" si="124"/>
        <v>100</v>
      </c>
      <c r="LZ44" s="67">
        <f t="shared" ref="LZ44:LZ55" si="1054">LN44+LQ44+LT44++LW44</f>
        <v>569.75</v>
      </c>
      <c r="MA44" s="64">
        <f t="shared" ref="MA44:MA55" si="1055">LY44-LZ44</f>
        <v>-469.75</v>
      </c>
      <c r="MB44" s="62"/>
      <c r="MC44" s="63"/>
      <c r="MD44" s="64">
        <f t="shared" ref="MD44:MD55" si="1056">MB44-MC44</f>
        <v>0</v>
      </c>
      <c r="ME44" s="65">
        <v>889.11</v>
      </c>
      <c r="MF44" s="63">
        <v>889.11</v>
      </c>
      <c r="MG44" s="64">
        <f t="shared" ref="MG44:MG55" si="1057">ME44-MF44</f>
        <v>0</v>
      </c>
      <c r="MH44" s="65"/>
      <c r="MI44" s="63"/>
      <c r="MJ44" s="64">
        <f t="shared" ref="MJ44:MJ55" si="1058">MH44-MI44</f>
        <v>0</v>
      </c>
      <c r="MK44" s="65">
        <v>100</v>
      </c>
      <c r="ML44" s="63"/>
      <c r="MM44" s="64">
        <f t="shared" ref="MM44:MM55" si="1059">MK44-ML44</f>
        <v>100</v>
      </c>
      <c r="MN44" s="66">
        <f t="shared" si="131"/>
        <v>989.11</v>
      </c>
      <c r="MO44" s="67">
        <f t="shared" ref="MO44:MO55" si="1060">MC44+MF44+MI44++ML44</f>
        <v>889.11</v>
      </c>
      <c r="MP44" s="64">
        <f t="shared" ref="MP44:MP55" si="1061">MN44-MO44</f>
        <v>100</v>
      </c>
      <c r="MQ44" s="62"/>
      <c r="MR44" s="63"/>
      <c r="MS44" s="64">
        <f t="shared" ref="MS44:MS55" si="1062">MQ44-MR44</f>
        <v>0</v>
      </c>
      <c r="MT44" s="65"/>
      <c r="MU44" s="63"/>
      <c r="MV44" s="64">
        <f t="shared" ref="MV44:MV55" si="1063">MT44-MU44</f>
        <v>0</v>
      </c>
      <c r="MW44" s="65"/>
      <c r="MX44" s="63"/>
      <c r="MY44" s="64">
        <f t="shared" ref="MY44:MY55" si="1064">MW44-MX44</f>
        <v>0</v>
      </c>
      <c r="MZ44" s="65"/>
      <c r="NA44" s="63"/>
      <c r="NB44" s="64">
        <f t="shared" ref="NB44:NB55" si="1065">MZ44-NA44</f>
        <v>0</v>
      </c>
      <c r="NC44" s="66">
        <f t="shared" si="138"/>
        <v>0</v>
      </c>
      <c r="ND44" s="67">
        <f t="shared" ref="ND44:ND55" si="1066">MR44+MU44+MX44++NA44</f>
        <v>0</v>
      </c>
      <c r="NE44" s="64">
        <f t="shared" ref="NE44:NE55" si="1067">NC44-ND44</f>
        <v>0</v>
      </c>
      <c r="NF44" s="62"/>
      <c r="NG44" s="63"/>
      <c r="NH44" s="64">
        <f t="shared" ref="NH44:NH55" si="1068">NF44-NG44</f>
        <v>0</v>
      </c>
      <c r="NI44" s="65">
        <v>1164.04</v>
      </c>
      <c r="NJ44" s="63">
        <v>1164.04</v>
      </c>
      <c r="NK44" s="64">
        <f t="shared" ref="NK44:NK55" si="1069">NI44-NJ44</f>
        <v>0</v>
      </c>
      <c r="NL44" s="65"/>
      <c r="NM44" s="63"/>
      <c r="NN44" s="64">
        <f t="shared" ref="NN44:NN55" si="1070">NL44-NM44</f>
        <v>0</v>
      </c>
      <c r="NO44" s="65">
        <v>100</v>
      </c>
      <c r="NP44" s="63"/>
      <c r="NQ44" s="64">
        <f t="shared" ref="NQ44:NQ55" si="1071">NO44-NP44</f>
        <v>100</v>
      </c>
      <c r="NR44" s="66">
        <f t="shared" si="145"/>
        <v>1264.04</v>
      </c>
      <c r="NS44" s="67">
        <f t="shared" ref="NS44:NS55" si="1072">NG44+NJ44+NM44++NP44</f>
        <v>1164.04</v>
      </c>
      <c r="NT44" s="64">
        <f t="shared" ref="NT44:NT55" si="1073">NR44-NS44</f>
        <v>100</v>
      </c>
      <c r="NU44" s="62"/>
      <c r="NV44" s="63"/>
      <c r="NW44" s="64">
        <f t="shared" ref="NW44:NW55" si="1074">NU44-NV44</f>
        <v>0</v>
      </c>
      <c r="NX44" s="65">
        <v>1152.73</v>
      </c>
      <c r="NY44" s="63">
        <v>1152.73</v>
      </c>
      <c r="NZ44" s="64">
        <f t="shared" ref="NZ44:NZ55" si="1075">NX44-NY44</f>
        <v>0</v>
      </c>
      <c r="OA44" s="65"/>
      <c r="OB44" s="63"/>
      <c r="OC44" s="64">
        <f t="shared" ref="OC44:OC55" si="1076">OA44-OB44</f>
        <v>0</v>
      </c>
      <c r="OD44" s="65">
        <v>100</v>
      </c>
      <c r="OE44" s="63">
        <v>120.42</v>
      </c>
      <c r="OF44" s="64">
        <f t="shared" ref="OF44:OF55" si="1077">OD44-OE44</f>
        <v>-20.420000000000002</v>
      </c>
      <c r="OG44" s="66">
        <f t="shared" si="152"/>
        <v>1252.73</v>
      </c>
      <c r="OH44" s="67">
        <f t="shared" ref="OH44:OH55" si="1078">NV44+NY44+OB44++OE44</f>
        <v>1273.1500000000001</v>
      </c>
      <c r="OI44" s="64">
        <f t="shared" ref="OI44:OI55" si="1079">OG44-OH44</f>
        <v>-20.420000000000073</v>
      </c>
      <c r="OJ44" s="62"/>
      <c r="OK44" s="63"/>
      <c r="OL44" s="64">
        <f t="shared" ref="OL44:OL55" si="1080">OJ44-OK44</f>
        <v>0</v>
      </c>
      <c r="OM44" s="65"/>
      <c r="ON44" s="63"/>
      <c r="OO44" s="64">
        <f t="shared" ref="OO44:OO55" si="1081">OM44-ON44</f>
        <v>0</v>
      </c>
      <c r="OP44" s="65"/>
      <c r="OQ44" s="63"/>
      <c r="OR44" s="64">
        <f t="shared" ref="OR44:OR55" si="1082">OP44-OQ44</f>
        <v>0</v>
      </c>
      <c r="OS44" s="65">
        <v>100</v>
      </c>
      <c r="OT44" s="63"/>
      <c r="OU44" s="64">
        <f t="shared" ref="OU44:OU55" si="1083">OS44-OT44</f>
        <v>100</v>
      </c>
      <c r="OV44" s="66">
        <f t="shared" si="159"/>
        <v>100</v>
      </c>
      <c r="OW44" s="67">
        <f t="shared" ref="OW44:OW55" si="1084">OK44+ON44+OQ44++OT44</f>
        <v>0</v>
      </c>
      <c r="OX44" s="64">
        <f t="shared" ref="OX44:OX55" si="1085">OV44-OW44</f>
        <v>100</v>
      </c>
      <c r="OY44" s="62"/>
      <c r="OZ44" s="63"/>
      <c r="PA44" s="64">
        <f t="shared" ref="PA44:PA55" si="1086">OY44-OZ44</f>
        <v>0</v>
      </c>
      <c r="PB44" s="65"/>
      <c r="PC44" s="63"/>
      <c r="PD44" s="64">
        <f t="shared" ref="PD44:PD55" si="1087">PB44-PC44</f>
        <v>0</v>
      </c>
      <c r="PE44" s="65"/>
      <c r="PF44" s="63"/>
      <c r="PG44" s="64">
        <f t="shared" ref="PG44:PG55" si="1088">PE44-PF44</f>
        <v>0</v>
      </c>
      <c r="PH44" s="65">
        <v>100</v>
      </c>
      <c r="PI44" s="63"/>
      <c r="PJ44" s="64">
        <f t="shared" ref="PJ44:PJ55" si="1089">PH44-PI44</f>
        <v>100</v>
      </c>
      <c r="PK44" s="66">
        <f t="shared" si="166"/>
        <v>100</v>
      </c>
      <c r="PL44" s="67">
        <f t="shared" ref="PL44:PL55" si="1090">OZ44+PC44+PF44++PI44</f>
        <v>0</v>
      </c>
      <c r="PM44" s="64">
        <f t="shared" ref="PM44:PM55" si="1091">PK44-PL44</f>
        <v>100</v>
      </c>
      <c r="PN44" s="62">
        <v>1550</v>
      </c>
      <c r="PO44" s="63">
        <v>1550</v>
      </c>
      <c r="PP44" s="64">
        <f t="shared" ref="PP44:PP55" si="1092">PN44-PO44</f>
        <v>0</v>
      </c>
      <c r="PQ44" s="65"/>
      <c r="PR44" s="63"/>
      <c r="PS44" s="64">
        <f t="shared" ref="PS44:PS55" si="1093">PQ44-PR44</f>
        <v>0</v>
      </c>
      <c r="PT44" s="65"/>
      <c r="PU44" s="63"/>
      <c r="PV44" s="64">
        <f t="shared" ref="PV44:PV55" si="1094">PT44-PU44</f>
        <v>0</v>
      </c>
      <c r="PW44" s="65">
        <v>100</v>
      </c>
      <c r="PX44" s="63"/>
      <c r="PY44" s="64">
        <f t="shared" ref="PY44:PY55" si="1095">PW44-PX44</f>
        <v>100</v>
      </c>
      <c r="PZ44" s="66">
        <f t="shared" si="173"/>
        <v>1650</v>
      </c>
      <c r="QA44" s="67">
        <f t="shared" ref="QA44:QA55" si="1096">PO44+PR44+PU44++PX44</f>
        <v>1550</v>
      </c>
      <c r="QB44" s="64">
        <f t="shared" ref="QB44:QB55" si="1097">PZ44-QA44</f>
        <v>100</v>
      </c>
      <c r="QC44" s="62"/>
      <c r="QD44" s="63"/>
      <c r="QE44" s="64">
        <f t="shared" ref="QE44:QE55" si="1098">QC44-QD44</f>
        <v>0</v>
      </c>
      <c r="QF44" s="65"/>
      <c r="QG44" s="63"/>
      <c r="QH44" s="64">
        <f t="shared" ref="QH44:QH55" si="1099">QF44-QG44</f>
        <v>0</v>
      </c>
      <c r="QI44" s="65"/>
      <c r="QJ44" s="63"/>
      <c r="QK44" s="64">
        <f t="shared" ref="QK44:QK55" si="1100">QI44-QJ44</f>
        <v>0</v>
      </c>
      <c r="QL44" s="65">
        <v>100</v>
      </c>
      <c r="QM44" s="63"/>
      <c r="QN44" s="64">
        <f t="shared" ref="QN44:QN55" si="1101">QL44-QM44</f>
        <v>100</v>
      </c>
      <c r="QO44" s="66">
        <f t="shared" si="180"/>
        <v>100</v>
      </c>
      <c r="QP44" s="67">
        <f t="shared" ref="QP44:QP55" si="1102">QD44+QG44+QJ44++QM44</f>
        <v>0</v>
      </c>
      <c r="QQ44" s="64">
        <f t="shared" ref="QQ44:QQ55" si="1103">QO44-QP44</f>
        <v>100</v>
      </c>
      <c r="QR44" s="62"/>
      <c r="QS44" s="63"/>
      <c r="QT44" s="64">
        <f t="shared" ref="QT44:QT52" si="1104">QR44-QS44</f>
        <v>0</v>
      </c>
      <c r="QU44" s="65">
        <v>602.79999999999995</v>
      </c>
      <c r="QV44" s="63">
        <v>602.79999999999995</v>
      </c>
      <c r="QW44" s="64">
        <f t="shared" ref="QW44:QW52" si="1105">QU44-QV44</f>
        <v>0</v>
      </c>
      <c r="QX44" s="65"/>
      <c r="QY44" s="63"/>
      <c r="QZ44" s="64">
        <f t="shared" ref="QZ44:QZ52" si="1106">QX44-QY44</f>
        <v>0</v>
      </c>
      <c r="RA44" s="65"/>
      <c r="RB44" s="63"/>
      <c r="RC44" s="64">
        <f t="shared" ref="RC44:RC52" si="1107">RA44-RB44</f>
        <v>0</v>
      </c>
      <c r="RD44" s="66">
        <f t="shared" si="187"/>
        <v>602.79999999999995</v>
      </c>
      <c r="RE44" s="67">
        <f t="shared" ref="RE44:RE52" si="1108">QS44+QV44+QY44++RB44</f>
        <v>602.79999999999995</v>
      </c>
      <c r="RF44" s="74"/>
      <c r="RG44" s="72"/>
      <c r="RH44" s="73"/>
      <c r="RI44" s="74"/>
      <c r="RJ44" s="75"/>
      <c r="RK44" s="73"/>
      <c r="RL44" s="74"/>
      <c r="RM44" s="75"/>
      <c r="RN44" s="73"/>
      <c r="RO44" s="74"/>
      <c r="RP44" s="75"/>
      <c r="RQ44" s="73"/>
      <c r="RR44" s="74"/>
      <c r="RS44" s="76"/>
      <c r="RT44" s="77"/>
      <c r="RU44" s="64">
        <f t="shared" ref="RU44:RU52" si="1109">RS44-RT44</f>
        <v>0</v>
      </c>
      <c r="RV44" s="62"/>
      <c r="RW44" s="63"/>
      <c r="RX44" s="64">
        <f t="shared" ref="RX44:RX52" si="1110">RV44-RW44</f>
        <v>0</v>
      </c>
      <c r="RY44" s="65"/>
      <c r="RZ44" s="63"/>
      <c r="SA44" s="64">
        <f t="shared" ref="SA44:SA52" si="1111">RY44-RZ44</f>
        <v>0</v>
      </c>
      <c r="SB44" s="65"/>
      <c r="SC44" s="63"/>
      <c r="SD44" s="64">
        <f t="shared" ref="SD44:SD52" si="1112">SB44-SC44</f>
        <v>0</v>
      </c>
      <c r="SE44" s="65">
        <v>100</v>
      </c>
      <c r="SF44" s="63">
        <v>17.28</v>
      </c>
      <c r="SG44" s="64">
        <f t="shared" ref="SG44:SG52" si="1113">SE44-SF44</f>
        <v>82.72</v>
      </c>
      <c r="SH44" s="66">
        <f t="shared" si="201"/>
        <v>100</v>
      </c>
      <c r="SI44" s="67">
        <f t="shared" ref="SI44:SI52" si="1114">RW44+RZ44+SC44++SF44</f>
        <v>17.28</v>
      </c>
      <c r="SJ44" s="64">
        <f t="shared" ref="SJ44:SJ55" si="1115">SH44-SI44</f>
        <v>82.72</v>
      </c>
      <c r="SK44" s="62"/>
      <c r="SL44" s="63"/>
      <c r="SM44" s="64">
        <f t="shared" ref="SM44:SM55" si="1116">SK44-SL44</f>
        <v>0</v>
      </c>
      <c r="SN44" s="65"/>
      <c r="SO44" s="63"/>
      <c r="SP44" s="64">
        <f t="shared" ref="SP44:SP55" si="1117">SN44-SO44</f>
        <v>0</v>
      </c>
      <c r="SQ44" s="65"/>
      <c r="SR44" s="63"/>
      <c r="SS44" s="64">
        <f t="shared" ref="SS44:SS55" si="1118">SQ44-SR44</f>
        <v>0</v>
      </c>
      <c r="ST44" s="65">
        <v>100</v>
      </c>
      <c r="SU44" s="63">
        <v>231.16</v>
      </c>
      <c r="SV44" s="64">
        <f t="shared" ref="SV44:SV55" si="1119">ST44-SU44</f>
        <v>-131.16</v>
      </c>
      <c r="SW44" s="66">
        <f t="shared" si="208"/>
        <v>100</v>
      </c>
      <c r="SX44" s="67">
        <f t="shared" ref="SX44:SX55" si="1120">SL44+SO44+SR44++SU44</f>
        <v>231.16</v>
      </c>
      <c r="SY44" s="64">
        <f t="shared" ref="SY44:SY55" si="1121">SW44-SX44</f>
        <v>-131.16</v>
      </c>
      <c r="SZ44" s="62">
        <v>985.33</v>
      </c>
      <c r="TA44" s="63">
        <v>985.33</v>
      </c>
      <c r="TB44" s="64">
        <f t="shared" ref="TB44:TB55" si="1122">SZ44-TA44</f>
        <v>0</v>
      </c>
      <c r="TC44" s="65">
        <v>700.9</v>
      </c>
      <c r="TD44" s="63">
        <v>740.15</v>
      </c>
      <c r="TE44" s="64">
        <f t="shared" ref="TE44:TE55" si="1123">TC44-TD44</f>
        <v>-39.25</v>
      </c>
      <c r="TF44" s="65"/>
      <c r="TG44" s="63"/>
      <c r="TH44" s="64">
        <f t="shared" ref="TH44:TH55" si="1124">TF44-TG44</f>
        <v>0</v>
      </c>
      <c r="TI44" s="65">
        <v>100</v>
      </c>
      <c r="TJ44" s="63">
        <v>253.49</v>
      </c>
      <c r="TK44" s="64">
        <f t="shared" ref="TK44:TK55" si="1125">TI44-TJ44</f>
        <v>-153.49</v>
      </c>
      <c r="TL44" s="66">
        <f t="shared" si="215"/>
        <v>1786.23</v>
      </c>
      <c r="TM44" s="67">
        <f t="shared" ref="TM44:TM55" si="1126">TA44+TD44+TG44++TJ44</f>
        <v>1978.97</v>
      </c>
      <c r="TN44" s="64">
        <f t="shared" ref="TN44:TN55" si="1127">TL44-TM44</f>
        <v>-192.74</v>
      </c>
      <c r="TO44" s="62"/>
      <c r="TP44" s="63"/>
      <c r="TQ44" s="64">
        <f t="shared" ref="TQ44:TQ55" si="1128">TO44-TP44</f>
        <v>0</v>
      </c>
      <c r="TR44" s="65"/>
      <c r="TS44" s="63"/>
      <c r="TT44" s="64">
        <f t="shared" ref="TT44:TT55" si="1129">TR44-TS44</f>
        <v>0</v>
      </c>
      <c r="TU44" s="65"/>
      <c r="TV44" s="63"/>
      <c r="TW44" s="64">
        <f t="shared" ref="TW44:TW55" si="1130">TU44-TV44</f>
        <v>0</v>
      </c>
      <c r="TX44" s="65">
        <v>100</v>
      </c>
      <c r="TY44" s="63">
        <v>70.95</v>
      </c>
      <c r="TZ44" s="64">
        <f t="shared" ref="TZ44:TZ55" si="1131">TX44-TY44</f>
        <v>29.049999999999997</v>
      </c>
      <c r="UA44" s="66">
        <f t="shared" si="222"/>
        <v>100</v>
      </c>
      <c r="UB44" s="67">
        <f t="shared" ref="UB44:UB55" si="1132">TP44+TS44+TV44++TY44</f>
        <v>70.95</v>
      </c>
      <c r="UC44" s="64">
        <f t="shared" ref="UC44:UC55" si="1133">UA44-UB44</f>
        <v>29.049999999999997</v>
      </c>
      <c r="UD44" s="62">
        <v>1125</v>
      </c>
      <c r="UE44" s="63">
        <v>1125</v>
      </c>
      <c r="UF44" s="64">
        <f t="shared" ref="UF44:UF55" si="1134">UD44-UE44</f>
        <v>0</v>
      </c>
      <c r="UG44" s="65">
        <v>497.04</v>
      </c>
      <c r="UH44" s="63">
        <v>517.34</v>
      </c>
      <c r="UI44" s="64">
        <f t="shared" ref="UI44:UI55" si="1135">UG44-UH44</f>
        <v>-20.300000000000011</v>
      </c>
      <c r="UJ44" s="65"/>
      <c r="UK44" s="63"/>
      <c r="UL44" s="64">
        <f t="shared" ref="UL44:UL55" si="1136">UJ44-UK44</f>
        <v>0</v>
      </c>
      <c r="UM44" s="65">
        <v>100</v>
      </c>
      <c r="UN44" s="63"/>
      <c r="UO44" s="64">
        <f t="shared" ref="UO44:UO55" si="1137">UM44-UN44</f>
        <v>100</v>
      </c>
      <c r="UP44" s="66">
        <f t="shared" si="226"/>
        <v>1722.04</v>
      </c>
      <c r="UQ44" s="67">
        <f t="shared" ref="UQ44:UQ55" si="1138">UE44+UH44+UK44++UN44</f>
        <v>1642.3400000000001</v>
      </c>
      <c r="UR44" s="64">
        <f t="shared" ref="UR44:UR55" si="1139">UP44-UQ44</f>
        <v>79.699999999999818</v>
      </c>
      <c r="US44" s="74"/>
      <c r="UT44" s="72"/>
      <c r="UU44" s="73"/>
      <c r="UV44" s="74"/>
      <c r="UW44" s="75"/>
      <c r="UX44" s="73"/>
      <c r="UY44" s="74"/>
      <c r="UZ44" s="75"/>
      <c r="VA44" s="73"/>
      <c r="VB44" s="74"/>
      <c r="VC44" s="75"/>
      <c r="VD44" s="73"/>
      <c r="VE44" s="74"/>
      <c r="VF44" s="76"/>
      <c r="VG44" s="77"/>
      <c r="VH44" s="62"/>
      <c r="VI44" s="63"/>
      <c r="VJ44" s="64">
        <f t="shared" ref="VJ44:VJ55" si="1140">VH44-VI44</f>
        <v>0</v>
      </c>
      <c r="VK44" s="65"/>
      <c r="VL44" s="63"/>
      <c r="VM44" s="64">
        <f t="shared" ref="VM44:VM55" si="1141">VK44-VL44</f>
        <v>0</v>
      </c>
      <c r="VN44" s="65"/>
      <c r="VO44" s="63"/>
      <c r="VP44" s="64">
        <f t="shared" ref="VP44:VP55" si="1142">VN44-VO44</f>
        <v>0</v>
      </c>
      <c r="VQ44" s="65">
        <v>100</v>
      </c>
      <c r="VR44" s="63"/>
      <c r="VS44" s="64">
        <f t="shared" ref="VS44:VS55" si="1143">VQ44-VR44</f>
        <v>100</v>
      </c>
      <c r="VT44" s="66">
        <f t="shared" si="240"/>
        <v>100</v>
      </c>
      <c r="VU44" s="67">
        <f t="shared" ref="VU44:VU55" si="1144">VI44+VL44+VO44++VR44</f>
        <v>0</v>
      </c>
      <c r="VV44" s="64">
        <f t="shared" ref="VV44:VV55" si="1145">VT44-VU44</f>
        <v>100</v>
      </c>
      <c r="VW44" s="74"/>
      <c r="VX44" s="72"/>
      <c r="VY44" s="73"/>
      <c r="VZ44" s="74"/>
      <c r="WA44" s="75"/>
      <c r="WB44" s="73"/>
      <c r="WC44" s="74"/>
      <c r="WD44" s="75"/>
      <c r="WE44" s="73"/>
      <c r="WF44" s="74"/>
      <c r="WG44" s="75"/>
      <c r="WH44" s="73"/>
      <c r="WI44" s="74"/>
      <c r="WJ44" s="76"/>
      <c r="WK44" s="77"/>
      <c r="WL44" s="62">
        <v>1376.01</v>
      </c>
      <c r="WM44" s="63">
        <v>1376.01</v>
      </c>
      <c r="WN44" s="64">
        <f t="shared" ref="WN44:WN55" si="1146">WL44-WM44</f>
        <v>0</v>
      </c>
      <c r="WO44" s="65">
        <v>418.56</v>
      </c>
      <c r="WP44" s="63"/>
      <c r="WQ44" s="64">
        <f t="shared" ref="WQ44:WQ55" si="1147">WO44-WP44</f>
        <v>418.56</v>
      </c>
      <c r="WR44" s="65"/>
      <c r="WS44" s="63"/>
      <c r="WT44" s="64">
        <f t="shared" ref="WT44:WT55" si="1148">WR44-WS44</f>
        <v>0</v>
      </c>
      <c r="WU44" s="65">
        <v>100</v>
      </c>
      <c r="WV44" s="63"/>
      <c r="WW44" s="64">
        <f t="shared" ref="WW44:WW55" si="1149">WU44-WV44</f>
        <v>100</v>
      </c>
      <c r="WX44" s="66">
        <f t="shared" si="254"/>
        <v>1894.57</v>
      </c>
      <c r="WY44" s="67">
        <f t="shared" ref="WY44:WY55" si="1150">WM44+WP44+WS44++WV44</f>
        <v>1376.01</v>
      </c>
      <c r="WZ44" s="64">
        <f t="shared" ref="WZ44:WZ55" si="1151">WX44-WY44</f>
        <v>518.55999999999995</v>
      </c>
      <c r="XA44" s="62"/>
      <c r="XB44" s="63"/>
      <c r="XC44" s="64">
        <f t="shared" ref="XC44:XC51" si="1152">XA44-XB44</f>
        <v>0</v>
      </c>
      <c r="XD44" s="65"/>
      <c r="XE44" s="63"/>
      <c r="XF44" s="64">
        <f t="shared" ref="XF44:XF51" si="1153">XD44-XE44</f>
        <v>0</v>
      </c>
      <c r="XG44" s="65"/>
      <c r="XH44" s="63"/>
      <c r="XI44" s="64">
        <f t="shared" ref="XI44:XI51" si="1154">XG44-XH44</f>
        <v>0</v>
      </c>
      <c r="XJ44" s="65">
        <v>100</v>
      </c>
      <c r="XK44" s="63">
        <v>193.74</v>
      </c>
      <c r="XL44" s="64">
        <f t="shared" ref="XL44:XL51" si="1155">XJ44-XK44</f>
        <v>-93.740000000000009</v>
      </c>
      <c r="XM44" s="66">
        <f t="shared" si="261"/>
        <v>100</v>
      </c>
      <c r="XN44" s="67">
        <f t="shared" ref="XN44:XN51" si="1156">XB44+XE44+XH44++XK44</f>
        <v>193.74</v>
      </c>
      <c r="XO44" s="64">
        <f t="shared" ref="XO44:XO51" si="1157">XM44-XN44</f>
        <v>-93.740000000000009</v>
      </c>
      <c r="XP44" s="62"/>
      <c r="XQ44" s="63"/>
      <c r="XR44" s="64">
        <f t="shared" ref="XR44:XR55" si="1158">XP44-XQ44</f>
        <v>0</v>
      </c>
      <c r="XS44" s="65">
        <v>844.24</v>
      </c>
      <c r="XT44" s="63">
        <v>844.24</v>
      </c>
      <c r="XU44" s="64">
        <f t="shared" ref="XU44:XU55" si="1159">XS44-XT44</f>
        <v>0</v>
      </c>
      <c r="XV44" s="65"/>
      <c r="XW44" s="63"/>
      <c r="XX44" s="64">
        <f t="shared" ref="XX44:XX55" si="1160">XV44-XW44</f>
        <v>0</v>
      </c>
      <c r="XY44" s="65">
        <v>100</v>
      </c>
      <c r="XZ44" s="63">
        <v>21.28</v>
      </c>
      <c r="YA44" s="64">
        <f t="shared" ref="YA44:YA55" si="1161">XY44-XZ44</f>
        <v>78.72</v>
      </c>
      <c r="YB44" s="66">
        <f t="shared" si="268"/>
        <v>944.24</v>
      </c>
      <c r="YC44" s="67">
        <f t="shared" ref="YC44:YC55" si="1162">XQ44+XT44+XW44++XZ44</f>
        <v>865.52</v>
      </c>
      <c r="YD44" s="64">
        <f t="shared" ref="YD44:YD55" si="1163">YB44-YC44</f>
        <v>78.720000000000027</v>
      </c>
      <c r="YE44" s="62"/>
      <c r="YF44" s="63"/>
      <c r="YG44" s="64">
        <f t="shared" ref="YG44:YG55" si="1164">YE44-YF44</f>
        <v>0</v>
      </c>
      <c r="YH44" s="65">
        <v>847.85</v>
      </c>
      <c r="YI44" s="63">
        <v>847.85</v>
      </c>
      <c r="YJ44" s="64">
        <f t="shared" ref="YJ44:YJ55" si="1165">YH44-YI44</f>
        <v>0</v>
      </c>
      <c r="YK44" s="65"/>
      <c r="YL44" s="63"/>
      <c r="YM44" s="64">
        <f t="shared" ref="YM44:YM55" si="1166">YK44-YL44</f>
        <v>0</v>
      </c>
      <c r="YN44" s="65">
        <v>100</v>
      </c>
      <c r="YO44" s="63">
        <v>97.83</v>
      </c>
      <c r="YP44" s="64">
        <f t="shared" ref="YP44:YP55" si="1167">YN44-YO44</f>
        <v>2.1700000000000017</v>
      </c>
      <c r="YQ44" s="66">
        <f t="shared" si="275"/>
        <v>947.85</v>
      </c>
      <c r="YR44" s="67">
        <f t="shared" ref="YR44:YR55" si="1168">YF44+YI44+YL44++YO44</f>
        <v>945.68000000000006</v>
      </c>
      <c r="YS44" s="64">
        <f t="shared" ref="YS44:YS55" si="1169">YQ44-YR44</f>
        <v>2.1699999999999591</v>
      </c>
      <c r="YT44" s="62"/>
      <c r="YU44" s="63"/>
      <c r="YV44" s="64">
        <f t="shared" ref="YV44:YV55" si="1170">YT44-YU44</f>
        <v>0</v>
      </c>
      <c r="YW44" s="65">
        <v>695.73</v>
      </c>
      <c r="YX44" s="63">
        <v>695.73</v>
      </c>
      <c r="YY44" s="64">
        <f t="shared" ref="YY44:YY55" si="1171">YW44-YX44</f>
        <v>0</v>
      </c>
      <c r="YZ44" s="65"/>
      <c r="ZA44" s="63"/>
      <c r="ZB44" s="64">
        <f t="shared" ref="ZB44:ZB55" si="1172">YZ44-ZA44</f>
        <v>0</v>
      </c>
      <c r="ZC44" s="65">
        <v>100</v>
      </c>
      <c r="ZD44" s="63">
        <v>27.54</v>
      </c>
      <c r="ZE44" s="64">
        <f t="shared" ref="ZE44:ZE55" si="1173">ZC44-ZD44</f>
        <v>72.460000000000008</v>
      </c>
      <c r="ZF44" s="66">
        <f t="shared" si="282"/>
        <v>795.73</v>
      </c>
      <c r="ZG44" s="67">
        <f t="shared" ref="ZG44:ZG55" si="1174">YU44+YX44+ZA44++ZD44</f>
        <v>723.27</v>
      </c>
      <c r="ZH44" s="74"/>
      <c r="ZI44" s="72"/>
      <c r="ZJ44" s="73"/>
      <c r="ZK44" s="74"/>
      <c r="ZL44" s="75"/>
      <c r="ZM44" s="73"/>
      <c r="ZN44" s="74"/>
      <c r="ZO44" s="75"/>
      <c r="ZP44" s="73"/>
      <c r="ZQ44" s="74"/>
      <c r="ZR44" s="75"/>
      <c r="ZS44" s="73"/>
      <c r="ZT44" s="74"/>
      <c r="ZU44" s="76"/>
      <c r="ZV44" s="77"/>
      <c r="ZW44" s="64">
        <f t="shared" ref="ZW44:ZW55" si="1175">ZU44-ZV44</f>
        <v>0</v>
      </c>
      <c r="ZX44" s="62">
        <v>24.71</v>
      </c>
      <c r="ZY44" s="63">
        <v>24.71</v>
      </c>
      <c r="ZZ44" s="64">
        <f t="shared" ref="ZZ44:ZZ55" si="1176">ZX44-ZY44</f>
        <v>0</v>
      </c>
      <c r="AAA44" s="66">
        <f t="shared" si="293"/>
        <v>24.71</v>
      </c>
      <c r="AAB44" s="67">
        <f t="shared" si="293"/>
        <v>24.71</v>
      </c>
      <c r="AAC44" s="64">
        <f t="shared" ref="AAC44:AAC55" si="1177">AAA44-AAB44</f>
        <v>0</v>
      </c>
      <c r="AAD44" s="78">
        <f t="shared" si="295"/>
        <v>31915.239999999998</v>
      </c>
      <c r="AAE44" s="79">
        <f t="shared" si="295"/>
        <v>30776.719999999998</v>
      </c>
      <c r="AAF44" s="80">
        <f t="shared" si="3"/>
        <v>0.96432676050689259</v>
      </c>
      <c r="AAG44" s="81">
        <f t="shared" ref="AAG44:AAG55" si="1178">AAE44-AAD44</f>
        <v>-1138.5200000000004</v>
      </c>
      <c r="AAH44" s="58" t="s">
        <v>136</v>
      </c>
      <c r="AAI44" s="59"/>
      <c r="AAJ44" s="59"/>
      <c r="AAK44" s="60">
        <v>2025</v>
      </c>
    </row>
    <row r="45" spans="1:713" s="83" customFormat="1" ht="20" customHeight="1" x14ac:dyDescent="0.2">
      <c r="A45" s="57" t="s">
        <v>42</v>
      </c>
      <c r="B45" s="58"/>
      <c r="C45" s="59"/>
      <c r="D45" s="59"/>
      <c r="E45" s="60"/>
      <c r="F45" s="61">
        <v>45689</v>
      </c>
      <c r="G45" s="62"/>
      <c r="H45" s="63"/>
      <c r="I45" s="64">
        <f t="shared" si="951"/>
        <v>0</v>
      </c>
      <c r="J45" s="65">
        <v>4160.16</v>
      </c>
      <c r="K45" s="63">
        <v>6118.3</v>
      </c>
      <c r="L45" s="64">
        <f t="shared" si="952"/>
        <v>-1958.1400000000003</v>
      </c>
      <c r="M45" s="65">
        <v>2500</v>
      </c>
      <c r="N45" s="63">
        <v>4095.95</v>
      </c>
      <c r="O45" s="64">
        <f t="shared" si="953"/>
        <v>-1595.9499999999998</v>
      </c>
      <c r="P45" s="65">
        <v>500</v>
      </c>
      <c r="Q45" s="63">
        <v>713.5</v>
      </c>
      <c r="R45" s="64">
        <f t="shared" si="954"/>
        <v>-213.5</v>
      </c>
      <c r="S45" s="65">
        <v>181</v>
      </c>
      <c r="T45" s="63">
        <v>196.34</v>
      </c>
      <c r="U45" s="64">
        <f t="shared" si="955"/>
        <v>-15.340000000000003</v>
      </c>
      <c r="V45" s="66">
        <f t="shared" si="956"/>
        <v>7341.16</v>
      </c>
      <c r="W45" s="67">
        <f t="shared" si="956"/>
        <v>11124.09</v>
      </c>
      <c r="X45" s="64">
        <f t="shared" si="957"/>
        <v>-3782.9300000000003</v>
      </c>
      <c r="Y45" s="72"/>
      <c r="Z45" s="73"/>
      <c r="AA45" s="74"/>
      <c r="AB45" s="75"/>
      <c r="AC45" s="73"/>
      <c r="AD45" s="74"/>
      <c r="AE45" s="75"/>
      <c r="AF45" s="73"/>
      <c r="AG45" s="74"/>
      <c r="AH45" s="75"/>
      <c r="AI45" s="73"/>
      <c r="AJ45" s="74"/>
      <c r="AK45" s="76"/>
      <c r="AL45" s="77"/>
      <c r="AM45" s="64">
        <f t="shared" si="958"/>
        <v>0</v>
      </c>
      <c r="AN45" s="62"/>
      <c r="AO45" s="63"/>
      <c r="AP45" s="64">
        <f t="shared" ref="AP45:AP55" si="1179">AN45-AO45</f>
        <v>0</v>
      </c>
      <c r="AQ45" s="65"/>
      <c r="AR45" s="63"/>
      <c r="AS45" s="64">
        <f t="shared" si="959"/>
        <v>0</v>
      </c>
      <c r="AT45" s="65"/>
      <c r="AU45" s="63"/>
      <c r="AV45" s="64">
        <f t="shared" si="960"/>
        <v>0</v>
      </c>
      <c r="AW45" s="65"/>
      <c r="AX45" s="63"/>
      <c r="AY45" s="64">
        <f t="shared" si="961"/>
        <v>0</v>
      </c>
      <c r="AZ45" s="66">
        <f t="shared" si="23"/>
        <v>0</v>
      </c>
      <c r="BA45" s="67">
        <f t="shared" si="962"/>
        <v>0</v>
      </c>
      <c r="BB45" s="64">
        <f t="shared" si="963"/>
        <v>0</v>
      </c>
      <c r="BC45" s="62">
        <v>6150</v>
      </c>
      <c r="BD45" s="63">
        <v>6305.6</v>
      </c>
      <c r="BE45" s="64">
        <f t="shared" si="964"/>
        <v>-155.60000000000036</v>
      </c>
      <c r="BF45" s="65"/>
      <c r="BG45" s="63"/>
      <c r="BH45" s="64">
        <f t="shared" si="965"/>
        <v>0</v>
      </c>
      <c r="BI45" s="65">
        <v>8000</v>
      </c>
      <c r="BJ45" s="63">
        <v>1890.58</v>
      </c>
      <c r="BK45" s="64">
        <f t="shared" si="966"/>
        <v>6109.42</v>
      </c>
      <c r="BL45" s="65">
        <v>100</v>
      </c>
      <c r="BM45" s="63"/>
      <c r="BN45" s="64">
        <f t="shared" si="967"/>
        <v>100</v>
      </c>
      <c r="BO45" s="66">
        <f t="shared" si="30"/>
        <v>14250</v>
      </c>
      <c r="BP45" s="67">
        <f t="shared" si="968"/>
        <v>8196.18</v>
      </c>
      <c r="BQ45" s="64">
        <f t="shared" si="969"/>
        <v>6053.82</v>
      </c>
      <c r="BR45" s="72"/>
      <c r="BS45" s="73"/>
      <c r="BT45" s="74"/>
      <c r="BU45" s="75"/>
      <c r="BV45" s="73"/>
      <c r="BW45" s="74"/>
      <c r="BX45" s="75"/>
      <c r="BY45" s="73"/>
      <c r="BZ45" s="74"/>
      <c r="CA45" s="75"/>
      <c r="CB45" s="73"/>
      <c r="CC45" s="74"/>
      <c r="CD45" s="76"/>
      <c r="CE45" s="77"/>
      <c r="CF45" s="64">
        <f t="shared" si="970"/>
        <v>0</v>
      </c>
      <c r="CG45" s="62"/>
      <c r="CH45" s="63"/>
      <c r="CI45" s="64">
        <f t="shared" si="971"/>
        <v>0</v>
      </c>
      <c r="CJ45" s="65"/>
      <c r="CK45" s="63"/>
      <c r="CL45" s="64">
        <f t="shared" si="972"/>
        <v>0</v>
      </c>
      <c r="CM45" s="65"/>
      <c r="CN45" s="63"/>
      <c r="CO45" s="64">
        <f t="shared" si="973"/>
        <v>0</v>
      </c>
      <c r="CP45" s="65"/>
      <c r="CQ45" s="63"/>
      <c r="CR45" s="64">
        <f t="shared" si="974"/>
        <v>0</v>
      </c>
      <c r="CS45" s="66">
        <f t="shared" si="40"/>
        <v>0</v>
      </c>
      <c r="CT45" s="67">
        <f t="shared" si="975"/>
        <v>0</v>
      </c>
      <c r="CU45" s="64">
        <f t="shared" si="976"/>
        <v>0</v>
      </c>
      <c r="CV45" s="62">
        <v>2916.7</v>
      </c>
      <c r="CW45" s="63">
        <v>2916.7</v>
      </c>
      <c r="CX45" s="64">
        <f t="shared" si="977"/>
        <v>0</v>
      </c>
      <c r="CY45" s="65">
        <v>429.15</v>
      </c>
      <c r="CZ45" s="63">
        <v>429.15</v>
      </c>
      <c r="DA45" s="64">
        <f t="shared" si="978"/>
        <v>0</v>
      </c>
      <c r="DB45" s="65">
        <v>3000</v>
      </c>
      <c r="DC45" s="63">
        <v>794.37</v>
      </c>
      <c r="DD45" s="64">
        <f t="shared" si="979"/>
        <v>2205.63</v>
      </c>
      <c r="DE45" s="65"/>
      <c r="DF45" s="63"/>
      <c r="DG45" s="64">
        <f t="shared" si="980"/>
        <v>0</v>
      </c>
      <c r="DH45" s="66">
        <f t="shared" si="43"/>
        <v>6345.85</v>
      </c>
      <c r="DI45" s="67">
        <f t="shared" si="981"/>
        <v>4140.22</v>
      </c>
      <c r="DJ45" s="64">
        <f t="shared" si="982"/>
        <v>2205.63</v>
      </c>
      <c r="DK45" s="62">
        <v>2400</v>
      </c>
      <c r="DL45" s="63">
        <v>2400</v>
      </c>
      <c r="DM45" s="64">
        <f t="shared" si="983"/>
        <v>0</v>
      </c>
      <c r="DN45" s="65">
        <v>913.08</v>
      </c>
      <c r="DO45" s="63">
        <v>913.08</v>
      </c>
      <c r="DP45" s="64">
        <f t="shared" si="984"/>
        <v>0</v>
      </c>
      <c r="DQ45" s="65"/>
      <c r="DR45" s="63"/>
      <c r="DS45" s="64">
        <f t="shared" si="985"/>
        <v>0</v>
      </c>
      <c r="DT45" s="65">
        <v>100</v>
      </c>
      <c r="DU45" s="63">
        <v>279.22000000000003</v>
      </c>
      <c r="DV45" s="64">
        <f t="shared" si="986"/>
        <v>-179.22000000000003</v>
      </c>
      <c r="DW45" s="66">
        <f t="shared" si="46"/>
        <v>3413.08</v>
      </c>
      <c r="DX45" s="67">
        <f t="shared" si="987"/>
        <v>3592.3</v>
      </c>
      <c r="DY45" s="64">
        <f t="shared" si="988"/>
        <v>-179.22000000000025</v>
      </c>
      <c r="DZ45" s="62"/>
      <c r="EA45" s="63"/>
      <c r="EB45" s="64">
        <f t="shared" si="989"/>
        <v>0</v>
      </c>
      <c r="EC45" s="65"/>
      <c r="ED45" s="63"/>
      <c r="EE45" s="64">
        <f t="shared" si="990"/>
        <v>0</v>
      </c>
      <c r="EF45" s="65"/>
      <c r="EG45" s="63"/>
      <c r="EH45" s="64">
        <f t="shared" si="991"/>
        <v>0</v>
      </c>
      <c r="EI45" s="65">
        <v>100</v>
      </c>
      <c r="EJ45" s="63"/>
      <c r="EK45" s="64">
        <f t="shared" si="992"/>
        <v>100</v>
      </c>
      <c r="EL45" s="66">
        <f t="shared" si="53"/>
        <v>100</v>
      </c>
      <c r="EM45" s="67">
        <f t="shared" si="993"/>
        <v>0</v>
      </c>
      <c r="EN45" s="64">
        <f t="shared" si="994"/>
        <v>100</v>
      </c>
      <c r="EO45" s="62">
        <v>6150</v>
      </c>
      <c r="EP45" s="63">
        <v>6305.6</v>
      </c>
      <c r="EQ45" s="64">
        <f t="shared" si="995"/>
        <v>-155.60000000000036</v>
      </c>
      <c r="ER45" s="65"/>
      <c r="ES45" s="63"/>
      <c r="ET45" s="64">
        <f t="shared" si="996"/>
        <v>0</v>
      </c>
      <c r="EU45" s="65">
        <v>4500</v>
      </c>
      <c r="EV45" s="63">
        <v>1890.58</v>
      </c>
      <c r="EW45" s="64">
        <f t="shared" si="997"/>
        <v>2609.42</v>
      </c>
      <c r="EX45" s="65">
        <v>100</v>
      </c>
      <c r="EY45" s="63"/>
      <c r="EZ45" s="64">
        <f t="shared" si="998"/>
        <v>100</v>
      </c>
      <c r="FA45" s="66">
        <f t="shared" si="60"/>
        <v>10750</v>
      </c>
      <c r="FB45" s="67">
        <f t="shared" si="999"/>
        <v>8196.18</v>
      </c>
      <c r="FC45" s="64">
        <f t="shared" si="1000"/>
        <v>2553.8199999999997</v>
      </c>
      <c r="FD45" s="62">
        <v>6150</v>
      </c>
      <c r="FE45" s="63">
        <v>6305.6</v>
      </c>
      <c r="FF45" s="64">
        <f t="shared" si="1001"/>
        <v>-155.60000000000036</v>
      </c>
      <c r="FG45" s="65"/>
      <c r="FH45" s="63"/>
      <c r="FI45" s="64">
        <f t="shared" si="1002"/>
        <v>0</v>
      </c>
      <c r="FJ45" s="65">
        <v>4500</v>
      </c>
      <c r="FK45" s="63">
        <v>1890.58</v>
      </c>
      <c r="FL45" s="64">
        <f t="shared" si="1003"/>
        <v>2609.42</v>
      </c>
      <c r="FM45" s="65">
        <v>100</v>
      </c>
      <c r="FN45" s="63"/>
      <c r="FO45" s="64">
        <f t="shared" si="1004"/>
        <v>100</v>
      </c>
      <c r="FP45" s="66">
        <f t="shared" si="67"/>
        <v>10750</v>
      </c>
      <c r="FQ45" s="67">
        <f t="shared" si="1005"/>
        <v>8196.18</v>
      </c>
      <c r="FR45" s="64">
        <f t="shared" si="1006"/>
        <v>2553.8199999999997</v>
      </c>
      <c r="FS45" s="62"/>
      <c r="FT45" s="63"/>
      <c r="FU45" s="64">
        <f t="shared" si="1007"/>
        <v>0</v>
      </c>
      <c r="FV45" s="65">
        <v>485.35</v>
      </c>
      <c r="FW45" s="63">
        <v>485.35</v>
      </c>
      <c r="FX45" s="64">
        <f t="shared" si="1008"/>
        <v>0</v>
      </c>
      <c r="FY45" s="65"/>
      <c r="FZ45" s="63"/>
      <c r="GA45" s="64">
        <f t="shared" si="1009"/>
        <v>0</v>
      </c>
      <c r="GB45" s="65"/>
      <c r="GC45" s="63"/>
      <c r="GD45" s="64">
        <f t="shared" si="1010"/>
        <v>0</v>
      </c>
      <c r="GE45" s="66">
        <f t="shared" si="74"/>
        <v>485.35</v>
      </c>
      <c r="GF45" s="67">
        <f t="shared" si="1011"/>
        <v>485.35</v>
      </c>
      <c r="GG45" s="64">
        <f t="shared" si="1012"/>
        <v>0</v>
      </c>
      <c r="GH45" s="62"/>
      <c r="GI45" s="63"/>
      <c r="GJ45" s="64">
        <f t="shared" si="1013"/>
        <v>0</v>
      </c>
      <c r="GK45" s="65">
        <v>660.33</v>
      </c>
      <c r="GL45" s="63">
        <v>660.33</v>
      </c>
      <c r="GM45" s="64">
        <f t="shared" si="1014"/>
        <v>0</v>
      </c>
      <c r="GN45" s="65"/>
      <c r="GO45" s="63"/>
      <c r="GP45" s="64">
        <f t="shared" si="1015"/>
        <v>0</v>
      </c>
      <c r="GQ45" s="65"/>
      <c r="GR45" s="63"/>
      <c r="GS45" s="64">
        <f t="shared" si="1016"/>
        <v>0</v>
      </c>
      <c r="GT45" s="66">
        <f t="shared" si="81"/>
        <v>660.33</v>
      </c>
      <c r="GU45" s="67">
        <f t="shared" si="1017"/>
        <v>660.33</v>
      </c>
      <c r="GV45" s="64">
        <f t="shared" si="1018"/>
        <v>0</v>
      </c>
      <c r="GW45" s="62"/>
      <c r="GX45" s="63"/>
      <c r="GY45" s="64">
        <f t="shared" si="1019"/>
        <v>0</v>
      </c>
      <c r="GZ45" s="65">
        <v>568.25</v>
      </c>
      <c r="HA45" s="63">
        <v>568.25</v>
      </c>
      <c r="HB45" s="64">
        <f t="shared" si="1020"/>
        <v>0</v>
      </c>
      <c r="HC45" s="65"/>
      <c r="HD45" s="63"/>
      <c r="HE45" s="64">
        <f t="shared" si="1021"/>
        <v>0</v>
      </c>
      <c r="HF45" s="65">
        <v>100</v>
      </c>
      <c r="HG45" s="63">
        <v>138.62</v>
      </c>
      <c r="HH45" s="64">
        <f t="shared" si="1022"/>
        <v>-38.620000000000005</v>
      </c>
      <c r="HI45" s="66">
        <f t="shared" si="84"/>
        <v>668.25</v>
      </c>
      <c r="HJ45" s="67">
        <f t="shared" si="1023"/>
        <v>706.87</v>
      </c>
      <c r="HK45" s="64">
        <f t="shared" si="1024"/>
        <v>-38.620000000000005</v>
      </c>
      <c r="HL45" s="62">
        <v>6150</v>
      </c>
      <c r="HM45" s="63">
        <v>6305.6</v>
      </c>
      <c r="HN45" s="64">
        <f t="shared" si="1025"/>
        <v>-155.60000000000036</v>
      </c>
      <c r="HO45" s="65"/>
      <c r="HP45" s="63"/>
      <c r="HQ45" s="64">
        <f t="shared" si="1026"/>
        <v>0</v>
      </c>
      <c r="HR45" s="65">
        <v>4800</v>
      </c>
      <c r="HS45" s="63">
        <v>1890.58</v>
      </c>
      <c r="HT45" s="64">
        <f t="shared" si="1027"/>
        <v>2909.42</v>
      </c>
      <c r="HU45" s="65">
        <v>100</v>
      </c>
      <c r="HV45" s="63"/>
      <c r="HW45" s="64">
        <f t="shared" si="1028"/>
        <v>100</v>
      </c>
      <c r="HX45" s="66">
        <f t="shared" si="91"/>
        <v>11050</v>
      </c>
      <c r="HY45" s="67">
        <f t="shared" si="1029"/>
        <v>8196.18</v>
      </c>
      <c r="HZ45" s="64">
        <f t="shared" si="1030"/>
        <v>2853.8199999999997</v>
      </c>
      <c r="IA45" s="62"/>
      <c r="IB45" s="63"/>
      <c r="IC45" s="64">
        <f t="shared" si="1031"/>
        <v>0</v>
      </c>
      <c r="ID45" s="65"/>
      <c r="IE45" s="63"/>
      <c r="IF45" s="64">
        <f t="shared" si="1032"/>
        <v>0</v>
      </c>
      <c r="IG45" s="65"/>
      <c r="IH45" s="63"/>
      <c r="II45" s="64">
        <f t="shared" si="1033"/>
        <v>0</v>
      </c>
      <c r="IJ45" s="65">
        <v>100</v>
      </c>
      <c r="IK45" s="63"/>
      <c r="IL45" s="64">
        <f t="shared" si="1034"/>
        <v>100</v>
      </c>
      <c r="IM45" s="66">
        <f t="shared" si="98"/>
        <v>100</v>
      </c>
      <c r="IN45" s="67">
        <f t="shared" si="1035"/>
        <v>0</v>
      </c>
      <c r="IO45" s="64">
        <f t="shared" si="1036"/>
        <v>100</v>
      </c>
      <c r="IP45" s="62"/>
      <c r="IQ45" s="63"/>
      <c r="IR45" s="64">
        <f t="shared" si="1037"/>
        <v>0</v>
      </c>
      <c r="IS45" s="65"/>
      <c r="IT45" s="63"/>
      <c r="IU45" s="64">
        <f t="shared" si="1038"/>
        <v>0</v>
      </c>
      <c r="IV45" s="65"/>
      <c r="IW45" s="63"/>
      <c r="IX45" s="64">
        <f t="shared" si="1039"/>
        <v>0</v>
      </c>
      <c r="IY45" s="65"/>
      <c r="IZ45" s="63"/>
      <c r="JA45" s="64">
        <f t="shared" si="1040"/>
        <v>0</v>
      </c>
      <c r="JB45" s="66">
        <f t="shared" si="105"/>
        <v>0</v>
      </c>
      <c r="JC45" s="67">
        <f t="shared" si="1041"/>
        <v>0</v>
      </c>
      <c r="JD45" s="64">
        <f t="shared" si="1042"/>
        <v>0</v>
      </c>
      <c r="JE45" s="72"/>
      <c r="JF45" s="150"/>
      <c r="JG45" s="74"/>
      <c r="JH45" s="75"/>
      <c r="JI45" s="150"/>
      <c r="JJ45" s="74"/>
      <c r="JK45" s="75"/>
      <c r="JL45" s="150"/>
      <c r="JM45" s="74"/>
      <c r="JN45" s="75"/>
      <c r="JO45" s="150"/>
      <c r="JP45" s="74"/>
      <c r="JQ45" s="76"/>
      <c r="JR45" s="77"/>
      <c r="JS45" s="74"/>
      <c r="JT45" s="72"/>
      <c r="JU45" s="73"/>
      <c r="JV45" s="74"/>
      <c r="JW45" s="75"/>
      <c r="JX45" s="73"/>
      <c r="JY45" s="74"/>
      <c r="JZ45" s="75"/>
      <c r="KA45" s="73"/>
      <c r="KB45" s="74"/>
      <c r="KC45" s="75"/>
      <c r="KD45" s="73"/>
      <c r="KE45" s="74"/>
      <c r="KF45" s="76"/>
      <c r="KG45" s="77"/>
      <c r="KH45" s="64">
        <f t="shared" si="1043"/>
        <v>0</v>
      </c>
      <c r="KI45" s="62"/>
      <c r="KJ45" s="63"/>
      <c r="KK45" s="64">
        <f t="shared" si="1044"/>
        <v>0</v>
      </c>
      <c r="KL45" s="65"/>
      <c r="KM45" s="63"/>
      <c r="KN45" s="64">
        <f t="shared" si="1045"/>
        <v>0</v>
      </c>
      <c r="KO45" s="65"/>
      <c r="KP45" s="63"/>
      <c r="KQ45" s="64">
        <f t="shared" si="1046"/>
        <v>0</v>
      </c>
      <c r="KR45" s="65"/>
      <c r="KS45" s="63"/>
      <c r="KT45" s="64">
        <f t="shared" si="1047"/>
        <v>0</v>
      </c>
      <c r="KU45" s="66">
        <f t="shared" si="1"/>
        <v>0</v>
      </c>
      <c r="KV45" s="67">
        <f t="shared" si="1048"/>
        <v>0</v>
      </c>
      <c r="KW45" s="64">
        <f t="shared" si="1049"/>
        <v>0</v>
      </c>
      <c r="KX45" s="72"/>
      <c r="KY45" s="73"/>
      <c r="KZ45" s="74"/>
      <c r="LA45" s="75"/>
      <c r="LB45" s="73"/>
      <c r="LC45" s="74"/>
      <c r="LD45" s="75"/>
      <c r="LE45" s="73"/>
      <c r="LF45" s="74"/>
      <c r="LG45" s="75"/>
      <c r="LH45" s="73"/>
      <c r="LI45" s="74"/>
      <c r="LJ45" s="76"/>
      <c r="LK45" s="77"/>
      <c r="LL45" s="74"/>
      <c r="LM45" s="62"/>
      <c r="LN45" s="63"/>
      <c r="LO45" s="64">
        <f t="shared" si="1050"/>
        <v>0</v>
      </c>
      <c r="LP45" s="65"/>
      <c r="LQ45" s="63"/>
      <c r="LR45" s="64">
        <f t="shared" si="1051"/>
        <v>0</v>
      </c>
      <c r="LS45" s="65"/>
      <c r="LT45" s="63"/>
      <c r="LU45" s="64">
        <f t="shared" si="1052"/>
        <v>0</v>
      </c>
      <c r="LV45" s="65">
        <v>100</v>
      </c>
      <c r="LW45" s="63"/>
      <c r="LX45" s="64">
        <f t="shared" si="1053"/>
        <v>100</v>
      </c>
      <c r="LY45" s="66">
        <f t="shared" si="124"/>
        <v>100</v>
      </c>
      <c r="LZ45" s="67">
        <f t="shared" si="1054"/>
        <v>0</v>
      </c>
      <c r="MA45" s="64">
        <f t="shared" si="1055"/>
        <v>100</v>
      </c>
      <c r="MB45" s="62"/>
      <c r="MC45" s="63"/>
      <c r="MD45" s="64">
        <f t="shared" si="1056"/>
        <v>0</v>
      </c>
      <c r="ME45" s="65">
        <v>889.11</v>
      </c>
      <c r="MF45" s="63">
        <v>889.11</v>
      </c>
      <c r="MG45" s="64">
        <f t="shared" si="1057"/>
        <v>0</v>
      </c>
      <c r="MH45" s="65"/>
      <c r="MI45" s="63"/>
      <c r="MJ45" s="64">
        <f t="shared" si="1058"/>
        <v>0</v>
      </c>
      <c r="MK45" s="65">
        <v>100</v>
      </c>
      <c r="ML45" s="63">
        <v>480.11</v>
      </c>
      <c r="MM45" s="64">
        <f t="shared" si="1059"/>
        <v>-380.11</v>
      </c>
      <c r="MN45" s="66">
        <f t="shared" si="131"/>
        <v>989.11</v>
      </c>
      <c r="MO45" s="67">
        <f t="shared" si="1060"/>
        <v>1369.22</v>
      </c>
      <c r="MP45" s="64">
        <f t="shared" si="1061"/>
        <v>-380.11</v>
      </c>
      <c r="MQ45" s="62"/>
      <c r="MR45" s="63"/>
      <c r="MS45" s="64">
        <f t="shared" si="1062"/>
        <v>0</v>
      </c>
      <c r="MT45" s="65"/>
      <c r="MU45" s="63"/>
      <c r="MV45" s="64">
        <f t="shared" si="1063"/>
        <v>0</v>
      </c>
      <c r="MW45" s="65"/>
      <c r="MX45" s="63"/>
      <c r="MY45" s="64">
        <f t="shared" si="1064"/>
        <v>0</v>
      </c>
      <c r="MZ45" s="65"/>
      <c r="NA45" s="63"/>
      <c r="NB45" s="64">
        <f t="shared" si="1065"/>
        <v>0</v>
      </c>
      <c r="NC45" s="66">
        <f t="shared" si="138"/>
        <v>0</v>
      </c>
      <c r="ND45" s="67">
        <f t="shared" si="1066"/>
        <v>0</v>
      </c>
      <c r="NE45" s="64">
        <f t="shared" si="1067"/>
        <v>0</v>
      </c>
      <c r="NF45" s="62"/>
      <c r="NG45" s="63"/>
      <c r="NH45" s="64">
        <f t="shared" si="1068"/>
        <v>0</v>
      </c>
      <c r="NI45" s="65">
        <v>1164.04</v>
      </c>
      <c r="NJ45" s="63">
        <v>1164.04</v>
      </c>
      <c r="NK45" s="64">
        <f t="shared" si="1069"/>
        <v>0</v>
      </c>
      <c r="NL45" s="65"/>
      <c r="NM45" s="63"/>
      <c r="NN45" s="64">
        <f t="shared" si="1070"/>
        <v>0</v>
      </c>
      <c r="NO45" s="65">
        <v>100</v>
      </c>
      <c r="NP45" s="63"/>
      <c r="NQ45" s="64">
        <f t="shared" si="1071"/>
        <v>100</v>
      </c>
      <c r="NR45" s="66">
        <f t="shared" si="145"/>
        <v>1264.04</v>
      </c>
      <c r="NS45" s="67">
        <f t="shared" si="1072"/>
        <v>1164.04</v>
      </c>
      <c r="NT45" s="64">
        <f t="shared" si="1073"/>
        <v>100</v>
      </c>
      <c r="NU45" s="62"/>
      <c r="NV45" s="63"/>
      <c r="NW45" s="64">
        <f t="shared" si="1074"/>
        <v>0</v>
      </c>
      <c r="NX45" s="65">
        <v>1152.73</v>
      </c>
      <c r="NY45" s="63">
        <v>1152.73</v>
      </c>
      <c r="NZ45" s="64">
        <f t="shared" si="1075"/>
        <v>0</v>
      </c>
      <c r="OA45" s="65"/>
      <c r="OB45" s="63"/>
      <c r="OC45" s="64">
        <f t="shared" si="1076"/>
        <v>0</v>
      </c>
      <c r="OD45" s="65">
        <v>100</v>
      </c>
      <c r="OE45" s="63">
        <v>55.77</v>
      </c>
      <c r="OF45" s="64">
        <f t="shared" si="1077"/>
        <v>44.23</v>
      </c>
      <c r="OG45" s="66">
        <f t="shared" si="152"/>
        <v>1252.73</v>
      </c>
      <c r="OH45" s="67">
        <f t="shared" si="1078"/>
        <v>1208.5</v>
      </c>
      <c r="OI45" s="64">
        <f t="shared" si="1079"/>
        <v>44.230000000000018</v>
      </c>
      <c r="OJ45" s="62"/>
      <c r="OK45" s="63"/>
      <c r="OL45" s="64">
        <f t="shared" si="1080"/>
        <v>0</v>
      </c>
      <c r="OM45" s="65"/>
      <c r="ON45" s="63"/>
      <c r="OO45" s="64">
        <f t="shared" si="1081"/>
        <v>0</v>
      </c>
      <c r="OP45" s="65"/>
      <c r="OQ45" s="63"/>
      <c r="OR45" s="64">
        <f t="shared" si="1082"/>
        <v>0</v>
      </c>
      <c r="OS45" s="65">
        <v>100</v>
      </c>
      <c r="OT45" s="63"/>
      <c r="OU45" s="64">
        <f t="shared" si="1083"/>
        <v>100</v>
      </c>
      <c r="OV45" s="66">
        <f t="shared" si="159"/>
        <v>100</v>
      </c>
      <c r="OW45" s="67">
        <f t="shared" si="1084"/>
        <v>0</v>
      </c>
      <c r="OX45" s="64">
        <f t="shared" si="1085"/>
        <v>100</v>
      </c>
      <c r="OY45" s="62"/>
      <c r="OZ45" s="63"/>
      <c r="PA45" s="64">
        <f t="shared" si="1086"/>
        <v>0</v>
      </c>
      <c r="PB45" s="65"/>
      <c r="PC45" s="63"/>
      <c r="PD45" s="64">
        <f t="shared" si="1087"/>
        <v>0</v>
      </c>
      <c r="PE45" s="65"/>
      <c r="PF45" s="63"/>
      <c r="PG45" s="64">
        <f t="shared" si="1088"/>
        <v>0</v>
      </c>
      <c r="PH45" s="65">
        <v>100</v>
      </c>
      <c r="PI45" s="63">
        <v>116.69</v>
      </c>
      <c r="PJ45" s="64">
        <f t="shared" si="1089"/>
        <v>-16.689999999999998</v>
      </c>
      <c r="PK45" s="66">
        <f t="shared" si="166"/>
        <v>100</v>
      </c>
      <c r="PL45" s="67">
        <f t="shared" si="1090"/>
        <v>116.69</v>
      </c>
      <c r="PM45" s="64">
        <f t="shared" si="1091"/>
        <v>-16.689999999999998</v>
      </c>
      <c r="PN45" s="62">
        <v>1550</v>
      </c>
      <c r="PO45" s="63">
        <v>1550</v>
      </c>
      <c r="PP45" s="64">
        <f t="shared" si="1092"/>
        <v>0</v>
      </c>
      <c r="PQ45" s="65"/>
      <c r="PR45" s="63"/>
      <c r="PS45" s="64">
        <f t="shared" si="1093"/>
        <v>0</v>
      </c>
      <c r="PT45" s="65"/>
      <c r="PU45" s="63"/>
      <c r="PV45" s="64">
        <f t="shared" si="1094"/>
        <v>0</v>
      </c>
      <c r="PW45" s="65">
        <v>100</v>
      </c>
      <c r="PX45" s="63">
        <v>175.84</v>
      </c>
      <c r="PY45" s="64">
        <f t="shared" si="1095"/>
        <v>-75.84</v>
      </c>
      <c r="PZ45" s="66">
        <f t="shared" si="173"/>
        <v>1650</v>
      </c>
      <c r="QA45" s="67">
        <f t="shared" si="1096"/>
        <v>1725.84</v>
      </c>
      <c r="QB45" s="64">
        <f t="shared" si="1097"/>
        <v>-75.839999999999918</v>
      </c>
      <c r="QC45" s="62"/>
      <c r="QD45" s="63"/>
      <c r="QE45" s="64">
        <f t="shared" si="1098"/>
        <v>0</v>
      </c>
      <c r="QF45" s="65"/>
      <c r="QG45" s="63"/>
      <c r="QH45" s="64">
        <f t="shared" si="1099"/>
        <v>0</v>
      </c>
      <c r="QI45" s="65"/>
      <c r="QJ45" s="63"/>
      <c r="QK45" s="64">
        <f t="shared" si="1100"/>
        <v>0</v>
      </c>
      <c r="QL45" s="65">
        <v>100</v>
      </c>
      <c r="QM45" s="63">
        <v>114.74</v>
      </c>
      <c r="QN45" s="64">
        <f t="shared" si="1101"/>
        <v>-14.739999999999995</v>
      </c>
      <c r="QO45" s="66">
        <f t="shared" si="180"/>
        <v>100</v>
      </c>
      <c r="QP45" s="67">
        <f t="shared" si="1102"/>
        <v>114.74</v>
      </c>
      <c r="QQ45" s="64">
        <f t="shared" si="1103"/>
        <v>-14.739999999999995</v>
      </c>
      <c r="QR45" s="62"/>
      <c r="QS45" s="63"/>
      <c r="QT45" s="64">
        <f t="shared" si="1104"/>
        <v>0</v>
      </c>
      <c r="QU45" s="65">
        <v>602.79999999999995</v>
      </c>
      <c r="QV45" s="63">
        <v>602.79999999999995</v>
      </c>
      <c r="QW45" s="64">
        <f t="shared" si="1105"/>
        <v>0</v>
      </c>
      <c r="QX45" s="65">
        <v>5000</v>
      </c>
      <c r="QY45" s="63">
        <f>1879.08+29.04</f>
        <v>1908.12</v>
      </c>
      <c r="QZ45" s="64">
        <f t="shared" si="1106"/>
        <v>3091.88</v>
      </c>
      <c r="RA45" s="65"/>
      <c r="RB45" s="63"/>
      <c r="RC45" s="64">
        <f t="shared" si="1107"/>
        <v>0</v>
      </c>
      <c r="RD45" s="66">
        <f t="shared" si="187"/>
        <v>5602.8</v>
      </c>
      <c r="RE45" s="67">
        <f t="shared" si="1108"/>
        <v>2510.92</v>
      </c>
      <c r="RF45" s="74"/>
      <c r="RG45" s="72"/>
      <c r="RH45" s="73"/>
      <c r="RI45" s="74"/>
      <c r="RJ45" s="75"/>
      <c r="RK45" s="73"/>
      <c r="RL45" s="74"/>
      <c r="RM45" s="75"/>
      <c r="RN45" s="73"/>
      <c r="RO45" s="74"/>
      <c r="RP45" s="75"/>
      <c r="RQ45" s="73"/>
      <c r="RR45" s="74"/>
      <c r="RS45" s="76"/>
      <c r="RT45" s="77"/>
      <c r="RU45" s="64">
        <f t="shared" si="1109"/>
        <v>0</v>
      </c>
      <c r="RV45" s="62"/>
      <c r="RW45" s="63"/>
      <c r="RX45" s="64">
        <f t="shared" si="1110"/>
        <v>0</v>
      </c>
      <c r="RY45" s="65"/>
      <c r="RZ45" s="63"/>
      <c r="SA45" s="64">
        <f t="shared" si="1111"/>
        <v>0</v>
      </c>
      <c r="SB45" s="65">
        <v>1400</v>
      </c>
      <c r="SC45" s="63"/>
      <c r="SD45" s="64">
        <f t="shared" si="1112"/>
        <v>1400</v>
      </c>
      <c r="SE45" s="65">
        <v>100</v>
      </c>
      <c r="SF45" s="63">
        <v>85.02</v>
      </c>
      <c r="SG45" s="64">
        <f t="shared" si="1113"/>
        <v>14.980000000000004</v>
      </c>
      <c r="SH45" s="66">
        <f t="shared" si="201"/>
        <v>1500</v>
      </c>
      <c r="SI45" s="67">
        <f t="shared" si="1114"/>
        <v>85.02</v>
      </c>
      <c r="SJ45" s="64">
        <f t="shared" si="1115"/>
        <v>1414.98</v>
      </c>
      <c r="SK45" s="62"/>
      <c r="SL45" s="63"/>
      <c r="SM45" s="64">
        <f t="shared" si="1116"/>
        <v>0</v>
      </c>
      <c r="SN45" s="65"/>
      <c r="SO45" s="63"/>
      <c r="SP45" s="64">
        <f t="shared" si="1117"/>
        <v>0</v>
      </c>
      <c r="SQ45" s="65"/>
      <c r="SR45" s="63"/>
      <c r="SS45" s="64">
        <f t="shared" si="1118"/>
        <v>0</v>
      </c>
      <c r="ST45" s="65">
        <v>100</v>
      </c>
      <c r="SU45" s="63"/>
      <c r="SV45" s="64">
        <f t="shared" si="1119"/>
        <v>100</v>
      </c>
      <c r="SW45" s="66">
        <f t="shared" si="208"/>
        <v>100</v>
      </c>
      <c r="SX45" s="67">
        <f t="shared" si="1120"/>
        <v>0</v>
      </c>
      <c r="SY45" s="64">
        <f t="shared" si="1121"/>
        <v>100</v>
      </c>
      <c r="SZ45" s="62">
        <v>985.33</v>
      </c>
      <c r="TA45" s="63">
        <v>985.33</v>
      </c>
      <c r="TB45" s="64">
        <f t="shared" si="1122"/>
        <v>0</v>
      </c>
      <c r="TC45" s="65">
        <v>700.9</v>
      </c>
      <c r="TD45" s="63">
        <v>740.15</v>
      </c>
      <c r="TE45" s="64">
        <f t="shared" si="1123"/>
        <v>-39.25</v>
      </c>
      <c r="TF45" s="65">
        <v>1800</v>
      </c>
      <c r="TG45" s="63"/>
      <c r="TH45" s="64">
        <f t="shared" si="1124"/>
        <v>1800</v>
      </c>
      <c r="TI45" s="65">
        <v>100</v>
      </c>
      <c r="TJ45" s="63"/>
      <c r="TK45" s="64">
        <f t="shared" si="1125"/>
        <v>100</v>
      </c>
      <c r="TL45" s="66">
        <f t="shared" si="215"/>
        <v>3586.23</v>
      </c>
      <c r="TM45" s="67">
        <f t="shared" si="1126"/>
        <v>1725.48</v>
      </c>
      <c r="TN45" s="64">
        <f t="shared" si="1127"/>
        <v>1860.75</v>
      </c>
      <c r="TO45" s="62"/>
      <c r="TP45" s="63"/>
      <c r="TQ45" s="64">
        <f t="shared" si="1128"/>
        <v>0</v>
      </c>
      <c r="TR45" s="65"/>
      <c r="TS45" s="63"/>
      <c r="TT45" s="64">
        <f t="shared" si="1129"/>
        <v>0</v>
      </c>
      <c r="TU45" s="65"/>
      <c r="TV45" s="63"/>
      <c r="TW45" s="64">
        <f t="shared" si="1130"/>
        <v>0</v>
      </c>
      <c r="TX45" s="65">
        <v>100</v>
      </c>
      <c r="TY45" s="63"/>
      <c r="TZ45" s="64">
        <f t="shared" si="1131"/>
        <v>100</v>
      </c>
      <c r="UA45" s="66">
        <f t="shared" si="222"/>
        <v>100</v>
      </c>
      <c r="UB45" s="67">
        <f t="shared" si="1132"/>
        <v>0</v>
      </c>
      <c r="UC45" s="64">
        <f t="shared" si="1133"/>
        <v>100</v>
      </c>
      <c r="UD45" s="62">
        <v>1125</v>
      </c>
      <c r="UE45" s="63">
        <v>1125</v>
      </c>
      <c r="UF45" s="64">
        <f t="shared" si="1134"/>
        <v>0</v>
      </c>
      <c r="UG45" s="65">
        <v>497.04</v>
      </c>
      <c r="UH45" s="63">
        <v>517.34</v>
      </c>
      <c r="UI45" s="64">
        <f t="shared" si="1135"/>
        <v>-20.300000000000011</v>
      </c>
      <c r="UJ45" s="65"/>
      <c r="UK45" s="63"/>
      <c r="UL45" s="64">
        <f t="shared" si="1136"/>
        <v>0</v>
      </c>
      <c r="UM45" s="65">
        <v>100</v>
      </c>
      <c r="UN45" s="63"/>
      <c r="UO45" s="64">
        <f t="shared" si="1137"/>
        <v>100</v>
      </c>
      <c r="UP45" s="66">
        <f t="shared" si="226"/>
        <v>1722.04</v>
      </c>
      <c r="UQ45" s="67">
        <f t="shared" si="1138"/>
        <v>1642.3400000000001</v>
      </c>
      <c r="UR45" s="64">
        <f t="shared" si="1139"/>
        <v>79.699999999999818</v>
      </c>
      <c r="US45" s="74"/>
      <c r="UT45" s="72"/>
      <c r="UU45" s="73"/>
      <c r="UV45" s="74"/>
      <c r="UW45" s="75"/>
      <c r="UX45" s="73"/>
      <c r="UY45" s="74"/>
      <c r="UZ45" s="75"/>
      <c r="VA45" s="73"/>
      <c r="VB45" s="74"/>
      <c r="VC45" s="75"/>
      <c r="VD45" s="73"/>
      <c r="VE45" s="74"/>
      <c r="VF45" s="76"/>
      <c r="VG45" s="77"/>
      <c r="VH45" s="62"/>
      <c r="VI45" s="63"/>
      <c r="VJ45" s="64">
        <f t="shared" si="1140"/>
        <v>0</v>
      </c>
      <c r="VK45" s="65"/>
      <c r="VL45" s="63"/>
      <c r="VM45" s="64">
        <f t="shared" si="1141"/>
        <v>0</v>
      </c>
      <c r="VN45" s="65"/>
      <c r="VO45" s="63"/>
      <c r="VP45" s="64">
        <f t="shared" si="1142"/>
        <v>0</v>
      </c>
      <c r="VQ45" s="65">
        <v>100</v>
      </c>
      <c r="VR45" s="63">
        <f>182.3+182.3</f>
        <v>364.6</v>
      </c>
      <c r="VS45" s="64">
        <f t="shared" si="1143"/>
        <v>-264.60000000000002</v>
      </c>
      <c r="VT45" s="66">
        <f t="shared" si="240"/>
        <v>100</v>
      </c>
      <c r="VU45" s="67">
        <f t="shared" si="1144"/>
        <v>364.6</v>
      </c>
      <c r="VV45" s="64">
        <f t="shared" si="1145"/>
        <v>-264.60000000000002</v>
      </c>
      <c r="VW45" s="74"/>
      <c r="VX45" s="72"/>
      <c r="VY45" s="73"/>
      <c r="VZ45" s="74"/>
      <c r="WA45" s="75"/>
      <c r="WB45" s="73"/>
      <c r="WC45" s="74"/>
      <c r="WD45" s="75"/>
      <c r="WE45" s="73"/>
      <c r="WF45" s="74"/>
      <c r="WG45" s="75"/>
      <c r="WH45" s="73"/>
      <c r="WI45" s="74"/>
      <c r="WJ45" s="76"/>
      <c r="WK45" s="77"/>
      <c r="WL45" s="62">
        <v>1376.01</v>
      </c>
      <c r="WM45" s="63">
        <v>1376.01</v>
      </c>
      <c r="WN45" s="64">
        <f t="shared" si="1146"/>
        <v>0</v>
      </c>
      <c r="WO45" s="65"/>
      <c r="WP45" s="63"/>
      <c r="WQ45" s="64">
        <f t="shared" si="1147"/>
        <v>0</v>
      </c>
      <c r="WR45" s="65"/>
      <c r="WS45" s="63"/>
      <c r="WT45" s="64">
        <f t="shared" si="1148"/>
        <v>0</v>
      </c>
      <c r="WU45" s="65">
        <v>100</v>
      </c>
      <c r="WV45" s="63"/>
      <c r="WW45" s="64">
        <f t="shared" si="1149"/>
        <v>100</v>
      </c>
      <c r="WX45" s="66">
        <f t="shared" si="254"/>
        <v>1476.01</v>
      </c>
      <c r="WY45" s="67">
        <f t="shared" si="1150"/>
        <v>1376.01</v>
      </c>
      <c r="WZ45" s="64">
        <f t="shared" si="1151"/>
        <v>100</v>
      </c>
      <c r="XA45" s="62"/>
      <c r="XB45" s="63"/>
      <c r="XC45" s="64">
        <f t="shared" si="1152"/>
        <v>0</v>
      </c>
      <c r="XD45" s="65"/>
      <c r="XE45" s="63"/>
      <c r="XF45" s="64">
        <f t="shared" si="1153"/>
        <v>0</v>
      </c>
      <c r="XG45" s="65"/>
      <c r="XH45" s="63"/>
      <c r="XI45" s="64">
        <f t="shared" si="1154"/>
        <v>0</v>
      </c>
      <c r="XJ45" s="65">
        <v>100</v>
      </c>
      <c r="XK45" s="63">
        <v>213</v>
      </c>
      <c r="XL45" s="64">
        <f t="shared" si="1155"/>
        <v>-113</v>
      </c>
      <c r="XM45" s="66">
        <f t="shared" si="261"/>
        <v>100</v>
      </c>
      <c r="XN45" s="67">
        <f t="shared" si="1156"/>
        <v>213</v>
      </c>
      <c r="XO45" s="64">
        <f t="shared" si="1157"/>
        <v>-113</v>
      </c>
      <c r="XP45" s="62"/>
      <c r="XQ45" s="63"/>
      <c r="XR45" s="64">
        <f t="shared" si="1158"/>
        <v>0</v>
      </c>
      <c r="XS45" s="65">
        <v>844.24</v>
      </c>
      <c r="XT45" s="63">
        <v>844.24</v>
      </c>
      <c r="XU45" s="64">
        <f t="shared" si="1159"/>
        <v>0</v>
      </c>
      <c r="XV45" s="65"/>
      <c r="XW45" s="63"/>
      <c r="XX45" s="64">
        <f t="shared" si="1160"/>
        <v>0</v>
      </c>
      <c r="XY45" s="65">
        <v>100</v>
      </c>
      <c r="XZ45" s="63">
        <v>131.94999999999999</v>
      </c>
      <c r="YA45" s="64">
        <f t="shared" si="1161"/>
        <v>-31.949999999999989</v>
      </c>
      <c r="YB45" s="66">
        <f t="shared" si="268"/>
        <v>944.24</v>
      </c>
      <c r="YC45" s="67">
        <f t="shared" si="1162"/>
        <v>976.19</v>
      </c>
      <c r="YD45" s="64">
        <f t="shared" si="1163"/>
        <v>-31.950000000000045</v>
      </c>
      <c r="YE45" s="62"/>
      <c r="YF45" s="63"/>
      <c r="YG45" s="64">
        <f t="shared" si="1164"/>
        <v>0</v>
      </c>
      <c r="YH45" s="65">
        <v>847.85</v>
      </c>
      <c r="YI45" s="63">
        <v>847.85</v>
      </c>
      <c r="YJ45" s="64">
        <f t="shared" si="1165"/>
        <v>0</v>
      </c>
      <c r="YK45" s="65"/>
      <c r="YL45" s="63"/>
      <c r="YM45" s="64">
        <f t="shared" si="1166"/>
        <v>0</v>
      </c>
      <c r="YN45" s="65">
        <v>100</v>
      </c>
      <c r="YO45" s="63">
        <v>114.5</v>
      </c>
      <c r="YP45" s="64">
        <f t="shared" si="1167"/>
        <v>-14.5</v>
      </c>
      <c r="YQ45" s="66">
        <f t="shared" si="275"/>
        <v>947.85</v>
      </c>
      <c r="YR45" s="67">
        <f t="shared" si="1168"/>
        <v>962.35</v>
      </c>
      <c r="YS45" s="64">
        <f t="shared" si="1169"/>
        <v>-14.5</v>
      </c>
      <c r="YT45" s="62"/>
      <c r="YU45" s="63"/>
      <c r="YV45" s="64">
        <f t="shared" si="1170"/>
        <v>0</v>
      </c>
      <c r="YW45" s="65">
        <v>695.73</v>
      </c>
      <c r="YX45" s="63">
        <v>695.73</v>
      </c>
      <c r="YY45" s="64">
        <f t="shared" si="1171"/>
        <v>0</v>
      </c>
      <c r="YZ45" s="65"/>
      <c r="ZA45" s="63"/>
      <c r="ZB45" s="64">
        <f t="shared" si="1172"/>
        <v>0</v>
      </c>
      <c r="ZC45" s="65">
        <v>100</v>
      </c>
      <c r="ZD45" s="63">
        <v>73.040000000000006</v>
      </c>
      <c r="ZE45" s="64">
        <f t="shared" si="1173"/>
        <v>26.959999999999994</v>
      </c>
      <c r="ZF45" s="66">
        <f t="shared" si="282"/>
        <v>795.73</v>
      </c>
      <c r="ZG45" s="67">
        <f t="shared" si="1174"/>
        <v>768.77</v>
      </c>
      <c r="ZH45" s="74"/>
      <c r="ZI45" s="72"/>
      <c r="ZJ45" s="73"/>
      <c r="ZK45" s="74"/>
      <c r="ZL45" s="75"/>
      <c r="ZM45" s="73"/>
      <c r="ZN45" s="74"/>
      <c r="ZO45" s="75"/>
      <c r="ZP45" s="73"/>
      <c r="ZQ45" s="74"/>
      <c r="ZR45" s="75"/>
      <c r="ZS45" s="73"/>
      <c r="ZT45" s="74"/>
      <c r="ZU45" s="76"/>
      <c r="ZV45" s="77"/>
      <c r="ZW45" s="64">
        <f t="shared" si="1175"/>
        <v>0</v>
      </c>
      <c r="ZX45" s="62">
        <v>24.71</v>
      </c>
      <c r="ZY45" s="63">
        <v>24.71</v>
      </c>
      <c r="ZZ45" s="64">
        <f t="shared" si="1176"/>
        <v>0</v>
      </c>
      <c r="AAA45" s="66">
        <f t="shared" si="293"/>
        <v>24.71</v>
      </c>
      <c r="AAB45" s="67">
        <f t="shared" si="293"/>
        <v>24.71</v>
      </c>
      <c r="AAC45" s="64">
        <f t="shared" si="1177"/>
        <v>0</v>
      </c>
      <c r="AAD45" s="85">
        <f t="shared" si="295"/>
        <v>88444.800000000003</v>
      </c>
      <c r="AAE45" s="86">
        <f t="shared" si="295"/>
        <v>69817.59</v>
      </c>
      <c r="AAF45" s="87">
        <f t="shared" si="3"/>
        <v>0.78939168837512208</v>
      </c>
      <c r="AAG45" s="88">
        <f t="shared" si="1178"/>
        <v>-18627.210000000006</v>
      </c>
      <c r="AAH45" s="58"/>
      <c r="AAI45" s="59"/>
      <c r="AAJ45" s="59"/>
      <c r="AAK45" s="60"/>
    </row>
    <row r="46" spans="1:713" s="83" customFormat="1" ht="20" customHeight="1" x14ac:dyDescent="0.2">
      <c r="A46" s="84" t="s">
        <v>43</v>
      </c>
      <c r="B46" s="89">
        <f>AAH46</f>
        <v>1467598.7399999998</v>
      </c>
      <c r="C46" s="90"/>
      <c r="D46" s="90"/>
      <c r="E46" s="60"/>
      <c r="F46" s="61">
        <v>45717</v>
      </c>
      <c r="G46" s="62"/>
      <c r="H46" s="63"/>
      <c r="I46" s="64">
        <f t="shared" si="951"/>
        <v>0</v>
      </c>
      <c r="J46" s="65">
        <v>4134.46</v>
      </c>
      <c r="K46" s="63">
        <v>6070.95</v>
      </c>
      <c r="L46" s="64">
        <f t="shared" si="952"/>
        <v>-1936.4899999999998</v>
      </c>
      <c r="M46" s="65"/>
      <c r="N46" s="63"/>
      <c r="O46" s="64">
        <f t="shared" si="953"/>
        <v>0</v>
      </c>
      <c r="P46" s="65">
        <v>500</v>
      </c>
      <c r="Q46" s="63">
        <v>605.99</v>
      </c>
      <c r="R46" s="64">
        <f t="shared" si="954"/>
        <v>-105.99000000000001</v>
      </c>
      <c r="S46" s="65">
        <v>181</v>
      </c>
      <c r="T46" s="63"/>
      <c r="U46" s="64">
        <f t="shared" si="955"/>
        <v>181</v>
      </c>
      <c r="V46" s="66">
        <f t="shared" si="956"/>
        <v>4815.46</v>
      </c>
      <c r="W46" s="67">
        <f t="shared" si="956"/>
        <v>6676.94</v>
      </c>
      <c r="X46" s="64">
        <f t="shared" si="957"/>
        <v>-1861.4799999999996</v>
      </c>
      <c r="Y46" s="72"/>
      <c r="Z46" s="73"/>
      <c r="AA46" s="74"/>
      <c r="AB46" s="75"/>
      <c r="AC46" s="73"/>
      <c r="AD46" s="74"/>
      <c r="AE46" s="75"/>
      <c r="AF46" s="73"/>
      <c r="AG46" s="74"/>
      <c r="AH46" s="75"/>
      <c r="AI46" s="73"/>
      <c r="AJ46" s="74"/>
      <c r="AK46" s="76"/>
      <c r="AL46" s="77"/>
      <c r="AM46" s="64">
        <f t="shared" si="958"/>
        <v>0</v>
      </c>
      <c r="AN46" s="62"/>
      <c r="AO46" s="63"/>
      <c r="AP46" s="64">
        <f t="shared" si="1179"/>
        <v>0</v>
      </c>
      <c r="AQ46" s="65"/>
      <c r="AR46" s="63"/>
      <c r="AS46" s="64">
        <f t="shared" si="959"/>
        <v>0</v>
      </c>
      <c r="AT46" s="65"/>
      <c r="AU46" s="63"/>
      <c r="AV46" s="64">
        <f t="shared" si="960"/>
        <v>0</v>
      </c>
      <c r="AW46" s="65"/>
      <c r="AX46" s="63"/>
      <c r="AY46" s="64">
        <f t="shared" si="961"/>
        <v>0</v>
      </c>
      <c r="AZ46" s="66">
        <f t="shared" si="23"/>
        <v>0</v>
      </c>
      <c r="BA46" s="67">
        <f t="shared" si="962"/>
        <v>0</v>
      </c>
      <c r="BB46" s="64">
        <f t="shared" si="963"/>
        <v>0</v>
      </c>
      <c r="BC46" s="62"/>
      <c r="BD46" s="63"/>
      <c r="BE46" s="64">
        <f t="shared" si="964"/>
        <v>0</v>
      </c>
      <c r="BF46" s="65"/>
      <c r="BG46" s="63"/>
      <c r="BH46" s="64">
        <f t="shared" si="965"/>
        <v>0</v>
      </c>
      <c r="BI46" s="65"/>
      <c r="BJ46" s="63"/>
      <c r="BK46" s="64">
        <f t="shared" si="966"/>
        <v>0</v>
      </c>
      <c r="BL46" s="65">
        <v>100</v>
      </c>
      <c r="BM46" s="63">
        <v>614.82000000000005</v>
      </c>
      <c r="BN46" s="64">
        <f t="shared" si="967"/>
        <v>-514.82000000000005</v>
      </c>
      <c r="BO46" s="66">
        <f t="shared" si="30"/>
        <v>100</v>
      </c>
      <c r="BP46" s="67">
        <f t="shared" si="968"/>
        <v>614.82000000000005</v>
      </c>
      <c r="BQ46" s="64">
        <f t="shared" si="969"/>
        <v>-514.82000000000005</v>
      </c>
      <c r="BR46" s="72"/>
      <c r="BS46" s="73"/>
      <c r="BT46" s="74"/>
      <c r="BU46" s="75"/>
      <c r="BV46" s="73"/>
      <c r="BW46" s="74"/>
      <c r="BX46" s="75"/>
      <c r="BY46" s="73"/>
      <c r="BZ46" s="74"/>
      <c r="CA46" s="75"/>
      <c r="CB46" s="73"/>
      <c r="CC46" s="74"/>
      <c r="CD46" s="76"/>
      <c r="CE46" s="77"/>
      <c r="CF46" s="64">
        <f t="shared" si="970"/>
        <v>0</v>
      </c>
      <c r="CG46" s="62"/>
      <c r="CH46" s="63"/>
      <c r="CI46" s="64">
        <f t="shared" si="971"/>
        <v>0</v>
      </c>
      <c r="CJ46" s="65"/>
      <c r="CK46" s="63"/>
      <c r="CL46" s="64">
        <f t="shared" si="972"/>
        <v>0</v>
      </c>
      <c r="CM46" s="65"/>
      <c r="CN46" s="63"/>
      <c r="CO46" s="64">
        <f t="shared" si="973"/>
        <v>0</v>
      </c>
      <c r="CP46" s="65"/>
      <c r="CQ46" s="63"/>
      <c r="CR46" s="64">
        <f t="shared" si="974"/>
        <v>0</v>
      </c>
      <c r="CS46" s="66">
        <f t="shared" si="40"/>
        <v>0</v>
      </c>
      <c r="CT46" s="67">
        <f t="shared" si="975"/>
        <v>0</v>
      </c>
      <c r="CU46" s="64">
        <f t="shared" si="976"/>
        <v>0</v>
      </c>
      <c r="CV46" s="62">
        <v>2916.7</v>
      </c>
      <c r="CW46" s="63">
        <v>2562.2199999999998</v>
      </c>
      <c r="CX46" s="64">
        <f t="shared" si="977"/>
        <v>354.48</v>
      </c>
      <c r="CY46" s="65">
        <v>429.15</v>
      </c>
      <c r="CZ46" s="63">
        <v>429.15</v>
      </c>
      <c r="DA46" s="64">
        <f t="shared" si="978"/>
        <v>0</v>
      </c>
      <c r="DB46" s="65"/>
      <c r="DC46" s="63"/>
      <c r="DD46" s="64">
        <f t="shared" si="979"/>
        <v>0</v>
      </c>
      <c r="DE46" s="65"/>
      <c r="DF46" s="63">
        <v>195.16</v>
      </c>
      <c r="DG46" s="64">
        <f t="shared" si="980"/>
        <v>-195.16</v>
      </c>
      <c r="DH46" s="66">
        <f t="shared" si="43"/>
        <v>3345.85</v>
      </c>
      <c r="DI46" s="67">
        <f t="shared" si="981"/>
        <v>3186.5299999999997</v>
      </c>
      <c r="DJ46" s="64">
        <f t="shared" si="982"/>
        <v>159.32000000000016</v>
      </c>
      <c r="DK46" s="62">
        <v>2400</v>
      </c>
      <c r="DL46" s="63">
        <v>2400</v>
      </c>
      <c r="DM46" s="64">
        <f t="shared" si="983"/>
        <v>0</v>
      </c>
      <c r="DN46" s="65">
        <v>913.08</v>
      </c>
      <c r="DO46" s="63">
        <v>913.08</v>
      </c>
      <c r="DP46" s="64">
        <f t="shared" si="984"/>
        <v>0</v>
      </c>
      <c r="DQ46" s="65"/>
      <c r="DR46" s="63">
        <v>1512.35</v>
      </c>
      <c r="DS46" s="64">
        <f t="shared" si="985"/>
        <v>-1512.35</v>
      </c>
      <c r="DT46" s="65">
        <v>100</v>
      </c>
      <c r="DU46" s="63">
        <v>399.8</v>
      </c>
      <c r="DV46" s="64">
        <f t="shared" si="986"/>
        <v>-299.8</v>
      </c>
      <c r="DW46" s="66">
        <f t="shared" si="46"/>
        <v>3413.08</v>
      </c>
      <c r="DX46" s="67">
        <f t="shared" si="987"/>
        <v>5225.2300000000005</v>
      </c>
      <c r="DY46" s="64">
        <f t="shared" si="988"/>
        <v>-1812.1500000000005</v>
      </c>
      <c r="DZ46" s="62"/>
      <c r="EA46" s="63"/>
      <c r="EB46" s="64">
        <f t="shared" si="989"/>
        <v>0</v>
      </c>
      <c r="EC46" s="65"/>
      <c r="ED46" s="63"/>
      <c r="EE46" s="64">
        <f t="shared" si="990"/>
        <v>0</v>
      </c>
      <c r="EF46" s="65"/>
      <c r="EG46" s="63"/>
      <c r="EH46" s="64">
        <f t="shared" si="991"/>
        <v>0</v>
      </c>
      <c r="EI46" s="65">
        <v>100</v>
      </c>
      <c r="EJ46" s="63">
        <v>204.07</v>
      </c>
      <c r="EK46" s="64">
        <f t="shared" si="992"/>
        <v>-104.07</v>
      </c>
      <c r="EL46" s="66">
        <f t="shared" si="53"/>
        <v>100</v>
      </c>
      <c r="EM46" s="67">
        <f t="shared" si="993"/>
        <v>204.07</v>
      </c>
      <c r="EN46" s="64">
        <f t="shared" si="994"/>
        <v>-104.07</v>
      </c>
      <c r="EO46" s="62"/>
      <c r="EP46" s="63"/>
      <c r="EQ46" s="64">
        <f t="shared" si="995"/>
        <v>0</v>
      </c>
      <c r="ER46" s="65"/>
      <c r="ES46" s="63"/>
      <c r="ET46" s="64">
        <f t="shared" si="996"/>
        <v>0</v>
      </c>
      <c r="EU46" s="65"/>
      <c r="EV46" s="63"/>
      <c r="EW46" s="64">
        <f t="shared" si="997"/>
        <v>0</v>
      </c>
      <c r="EX46" s="65">
        <v>100</v>
      </c>
      <c r="EY46" s="63"/>
      <c r="EZ46" s="64">
        <f t="shared" si="998"/>
        <v>100</v>
      </c>
      <c r="FA46" s="66">
        <f t="shared" si="60"/>
        <v>100</v>
      </c>
      <c r="FB46" s="67">
        <f t="shared" si="999"/>
        <v>0</v>
      </c>
      <c r="FC46" s="64">
        <f t="shared" si="1000"/>
        <v>100</v>
      </c>
      <c r="FD46" s="62"/>
      <c r="FE46" s="63"/>
      <c r="FF46" s="64">
        <f t="shared" si="1001"/>
        <v>0</v>
      </c>
      <c r="FG46" s="65"/>
      <c r="FH46" s="63"/>
      <c r="FI46" s="64">
        <f t="shared" si="1002"/>
        <v>0</v>
      </c>
      <c r="FJ46" s="65"/>
      <c r="FK46" s="63"/>
      <c r="FL46" s="64">
        <f t="shared" si="1003"/>
        <v>0</v>
      </c>
      <c r="FM46" s="65">
        <v>100</v>
      </c>
      <c r="FN46" s="63"/>
      <c r="FO46" s="64">
        <f t="shared" si="1004"/>
        <v>100</v>
      </c>
      <c r="FP46" s="66">
        <f t="shared" si="67"/>
        <v>100</v>
      </c>
      <c r="FQ46" s="67">
        <f t="shared" si="1005"/>
        <v>0</v>
      </c>
      <c r="FR46" s="64">
        <f t="shared" si="1006"/>
        <v>100</v>
      </c>
      <c r="FS46" s="62"/>
      <c r="FT46" s="63"/>
      <c r="FU46" s="64">
        <f t="shared" si="1007"/>
        <v>0</v>
      </c>
      <c r="FV46" s="65">
        <v>485.35</v>
      </c>
      <c r="FW46" s="63">
        <v>485.35</v>
      </c>
      <c r="FX46" s="64">
        <f t="shared" si="1008"/>
        <v>0</v>
      </c>
      <c r="FY46" s="65">
        <v>3650</v>
      </c>
      <c r="FZ46" s="63">
        <v>1081.52</v>
      </c>
      <c r="GA46" s="64">
        <f t="shared" si="1009"/>
        <v>2568.48</v>
      </c>
      <c r="GB46" s="65"/>
      <c r="GC46" s="63"/>
      <c r="GD46" s="64">
        <f t="shared" si="1010"/>
        <v>0</v>
      </c>
      <c r="GE46" s="66">
        <f t="shared" si="74"/>
        <v>4135.3500000000004</v>
      </c>
      <c r="GF46" s="67">
        <f t="shared" si="1011"/>
        <v>1566.87</v>
      </c>
      <c r="GG46" s="64">
        <f t="shared" si="1012"/>
        <v>2568.4800000000005</v>
      </c>
      <c r="GH46" s="62"/>
      <c r="GI46" s="63"/>
      <c r="GJ46" s="64">
        <f t="shared" si="1013"/>
        <v>0</v>
      </c>
      <c r="GK46" s="65">
        <v>660.33</v>
      </c>
      <c r="GL46" s="63">
        <v>660.33</v>
      </c>
      <c r="GM46" s="64">
        <f t="shared" si="1014"/>
        <v>0</v>
      </c>
      <c r="GN46" s="65">
        <v>3650</v>
      </c>
      <c r="GO46" s="63">
        <v>77.239999999999995</v>
      </c>
      <c r="GP46" s="64">
        <f t="shared" si="1015"/>
        <v>3572.76</v>
      </c>
      <c r="GQ46" s="65"/>
      <c r="GR46" s="63"/>
      <c r="GS46" s="64">
        <f t="shared" si="1016"/>
        <v>0</v>
      </c>
      <c r="GT46" s="66">
        <f t="shared" si="81"/>
        <v>4310.33</v>
      </c>
      <c r="GU46" s="67">
        <f t="shared" si="1017"/>
        <v>737.57</v>
      </c>
      <c r="GV46" s="64">
        <f t="shared" si="1018"/>
        <v>3572.7599999999998</v>
      </c>
      <c r="GW46" s="62"/>
      <c r="GX46" s="63"/>
      <c r="GY46" s="64">
        <f t="shared" si="1019"/>
        <v>0</v>
      </c>
      <c r="GZ46" s="65">
        <v>568.25</v>
      </c>
      <c r="HA46" s="63">
        <v>568.25</v>
      </c>
      <c r="HB46" s="64">
        <f t="shared" si="1020"/>
        <v>0</v>
      </c>
      <c r="HC46" s="65"/>
      <c r="HD46" s="63"/>
      <c r="HE46" s="64">
        <f t="shared" si="1021"/>
        <v>0</v>
      </c>
      <c r="HF46" s="65">
        <v>100</v>
      </c>
      <c r="HG46" s="63"/>
      <c r="HH46" s="64">
        <f t="shared" si="1022"/>
        <v>100</v>
      </c>
      <c r="HI46" s="66">
        <f t="shared" si="84"/>
        <v>668.25</v>
      </c>
      <c r="HJ46" s="67">
        <f t="shared" si="1023"/>
        <v>568.25</v>
      </c>
      <c r="HK46" s="64">
        <f t="shared" si="1024"/>
        <v>100</v>
      </c>
      <c r="HL46" s="62"/>
      <c r="HM46" s="63"/>
      <c r="HN46" s="64">
        <f t="shared" si="1025"/>
        <v>0</v>
      </c>
      <c r="HO46" s="65"/>
      <c r="HP46" s="63"/>
      <c r="HQ46" s="64">
        <f t="shared" si="1026"/>
        <v>0</v>
      </c>
      <c r="HR46" s="65"/>
      <c r="HS46" s="63"/>
      <c r="HT46" s="64">
        <f t="shared" si="1027"/>
        <v>0</v>
      </c>
      <c r="HU46" s="65">
        <v>100</v>
      </c>
      <c r="HV46" s="63"/>
      <c r="HW46" s="64">
        <f t="shared" si="1028"/>
        <v>100</v>
      </c>
      <c r="HX46" s="66">
        <f t="shared" si="91"/>
        <v>100</v>
      </c>
      <c r="HY46" s="67">
        <f t="shared" si="1029"/>
        <v>0</v>
      </c>
      <c r="HZ46" s="64">
        <f t="shared" si="1030"/>
        <v>100</v>
      </c>
      <c r="IA46" s="62"/>
      <c r="IB46" s="63"/>
      <c r="IC46" s="64">
        <f t="shared" si="1031"/>
        <v>0</v>
      </c>
      <c r="ID46" s="65"/>
      <c r="IE46" s="63"/>
      <c r="IF46" s="64">
        <f t="shared" si="1032"/>
        <v>0</v>
      </c>
      <c r="IG46" s="65"/>
      <c r="IH46" s="63"/>
      <c r="II46" s="64">
        <f t="shared" si="1033"/>
        <v>0</v>
      </c>
      <c r="IJ46" s="65">
        <v>100</v>
      </c>
      <c r="IK46" s="63"/>
      <c r="IL46" s="64">
        <f t="shared" si="1034"/>
        <v>100</v>
      </c>
      <c r="IM46" s="66">
        <f t="shared" si="98"/>
        <v>100</v>
      </c>
      <c r="IN46" s="67">
        <f t="shared" si="1035"/>
        <v>0</v>
      </c>
      <c r="IO46" s="64">
        <f t="shared" si="1036"/>
        <v>100</v>
      </c>
      <c r="IP46" s="62"/>
      <c r="IQ46" s="63"/>
      <c r="IR46" s="64">
        <f t="shared" si="1037"/>
        <v>0</v>
      </c>
      <c r="IS46" s="65"/>
      <c r="IT46" s="63"/>
      <c r="IU46" s="64">
        <f t="shared" si="1038"/>
        <v>0</v>
      </c>
      <c r="IV46" s="65"/>
      <c r="IW46" s="63"/>
      <c r="IX46" s="64">
        <f t="shared" si="1039"/>
        <v>0</v>
      </c>
      <c r="IY46" s="65"/>
      <c r="IZ46" s="63"/>
      <c r="JA46" s="64">
        <f t="shared" si="1040"/>
        <v>0</v>
      </c>
      <c r="JB46" s="66">
        <f t="shared" si="105"/>
        <v>0</v>
      </c>
      <c r="JC46" s="67">
        <f t="shared" si="1041"/>
        <v>0</v>
      </c>
      <c r="JD46" s="64">
        <f t="shared" si="1042"/>
        <v>0</v>
      </c>
      <c r="JE46" s="72"/>
      <c r="JF46" s="150"/>
      <c r="JG46" s="74"/>
      <c r="JH46" s="75"/>
      <c r="JI46" s="150"/>
      <c r="JJ46" s="74"/>
      <c r="JK46" s="75"/>
      <c r="JL46" s="150"/>
      <c r="JM46" s="74"/>
      <c r="JN46" s="75"/>
      <c r="JO46" s="150"/>
      <c r="JP46" s="74"/>
      <c r="JQ46" s="76"/>
      <c r="JR46" s="77"/>
      <c r="JS46" s="74"/>
      <c r="JT46" s="72"/>
      <c r="JU46" s="73"/>
      <c r="JV46" s="74"/>
      <c r="JW46" s="75"/>
      <c r="JX46" s="73"/>
      <c r="JY46" s="74"/>
      <c r="JZ46" s="75"/>
      <c r="KA46" s="73"/>
      <c r="KB46" s="74"/>
      <c r="KC46" s="75"/>
      <c r="KD46" s="73"/>
      <c r="KE46" s="74"/>
      <c r="KF46" s="76"/>
      <c r="KG46" s="77"/>
      <c r="KH46" s="64">
        <f t="shared" si="1043"/>
        <v>0</v>
      </c>
      <c r="KI46" s="62"/>
      <c r="KJ46" s="63"/>
      <c r="KK46" s="64">
        <f t="shared" si="1044"/>
        <v>0</v>
      </c>
      <c r="KL46" s="65"/>
      <c r="KM46" s="63"/>
      <c r="KN46" s="64">
        <f t="shared" si="1045"/>
        <v>0</v>
      </c>
      <c r="KO46" s="65"/>
      <c r="KP46" s="63"/>
      <c r="KQ46" s="64">
        <f t="shared" si="1046"/>
        <v>0</v>
      </c>
      <c r="KR46" s="65"/>
      <c r="KS46" s="63"/>
      <c r="KT46" s="64">
        <f t="shared" si="1047"/>
        <v>0</v>
      </c>
      <c r="KU46" s="66">
        <f t="shared" si="1"/>
        <v>0</v>
      </c>
      <c r="KV46" s="67">
        <f t="shared" si="1048"/>
        <v>0</v>
      </c>
      <c r="KW46" s="64">
        <f t="shared" si="1049"/>
        <v>0</v>
      </c>
      <c r="KX46" s="72"/>
      <c r="KY46" s="73"/>
      <c r="KZ46" s="74"/>
      <c r="LA46" s="75"/>
      <c r="LB46" s="73"/>
      <c r="LC46" s="74"/>
      <c r="LD46" s="75"/>
      <c r="LE46" s="73"/>
      <c r="LF46" s="74"/>
      <c r="LG46" s="75"/>
      <c r="LH46" s="73"/>
      <c r="LI46" s="74"/>
      <c r="LJ46" s="76"/>
      <c r="LK46" s="77"/>
      <c r="LL46" s="74"/>
      <c r="LM46" s="62"/>
      <c r="LN46" s="63"/>
      <c r="LO46" s="64">
        <f t="shared" si="1050"/>
        <v>0</v>
      </c>
      <c r="LP46" s="65"/>
      <c r="LQ46" s="63"/>
      <c r="LR46" s="64">
        <f t="shared" si="1051"/>
        <v>0</v>
      </c>
      <c r="LS46" s="65"/>
      <c r="LT46" s="63"/>
      <c r="LU46" s="64">
        <f t="shared" si="1052"/>
        <v>0</v>
      </c>
      <c r="LV46" s="65">
        <v>100</v>
      </c>
      <c r="LW46" s="63">
        <v>392.37</v>
      </c>
      <c r="LX46" s="64">
        <f t="shared" si="1053"/>
        <v>-292.37</v>
      </c>
      <c r="LY46" s="66">
        <f t="shared" si="124"/>
        <v>100</v>
      </c>
      <c r="LZ46" s="67">
        <f t="shared" si="1054"/>
        <v>392.37</v>
      </c>
      <c r="MA46" s="64">
        <f t="shared" si="1055"/>
        <v>-292.37</v>
      </c>
      <c r="MB46" s="62"/>
      <c r="MC46" s="63"/>
      <c r="MD46" s="64">
        <f t="shared" si="1056"/>
        <v>0</v>
      </c>
      <c r="ME46" s="65">
        <v>889.11</v>
      </c>
      <c r="MF46" s="63">
        <v>889.11</v>
      </c>
      <c r="MG46" s="64">
        <f t="shared" si="1057"/>
        <v>0</v>
      </c>
      <c r="MH46" s="65"/>
      <c r="MI46" s="63"/>
      <c r="MJ46" s="64">
        <f t="shared" si="1058"/>
        <v>0</v>
      </c>
      <c r="MK46" s="65">
        <v>100</v>
      </c>
      <c r="ML46" s="63"/>
      <c r="MM46" s="64">
        <f t="shared" si="1059"/>
        <v>100</v>
      </c>
      <c r="MN46" s="66">
        <f t="shared" si="131"/>
        <v>989.11</v>
      </c>
      <c r="MO46" s="67">
        <f t="shared" si="1060"/>
        <v>889.11</v>
      </c>
      <c r="MP46" s="64">
        <f t="shared" si="1061"/>
        <v>100</v>
      </c>
      <c r="MQ46" s="62"/>
      <c r="MR46" s="63"/>
      <c r="MS46" s="64">
        <f t="shared" si="1062"/>
        <v>0</v>
      </c>
      <c r="MT46" s="65"/>
      <c r="MU46" s="63"/>
      <c r="MV46" s="64">
        <f t="shared" si="1063"/>
        <v>0</v>
      </c>
      <c r="MW46" s="65"/>
      <c r="MX46" s="63"/>
      <c r="MY46" s="64">
        <f t="shared" si="1064"/>
        <v>0</v>
      </c>
      <c r="MZ46" s="65"/>
      <c r="NA46" s="63"/>
      <c r="NB46" s="64">
        <f t="shared" si="1065"/>
        <v>0</v>
      </c>
      <c r="NC46" s="66">
        <f t="shared" si="138"/>
        <v>0</v>
      </c>
      <c r="ND46" s="67">
        <f t="shared" si="1066"/>
        <v>0</v>
      </c>
      <c r="NE46" s="64">
        <f t="shared" si="1067"/>
        <v>0</v>
      </c>
      <c r="NF46" s="62"/>
      <c r="NG46" s="63"/>
      <c r="NH46" s="64">
        <f t="shared" si="1068"/>
        <v>0</v>
      </c>
      <c r="NI46" s="65">
        <v>1164.04</v>
      </c>
      <c r="NJ46" s="63">
        <v>1164.04</v>
      </c>
      <c r="NK46" s="64">
        <f t="shared" si="1069"/>
        <v>0</v>
      </c>
      <c r="NL46" s="65"/>
      <c r="NM46" s="63">
        <v>146.55000000000001</v>
      </c>
      <c r="NN46" s="64">
        <f t="shared" si="1070"/>
        <v>-146.55000000000001</v>
      </c>
      <c r="NO46" s="65">
        <v>100</v>
      </c>
      <c r="NP46" s="63"/>
      <c r="NQ46" s="64">
        <f t="shared" si="1071"/>
        <v>100</v>
      </c>
      <c r="NR46" s="66">
        <f t="shared" si="145"/>
        <v>1264.04</v>
      </c>
      <c r="NS46" s="67">
        <f t="shared" si="1072"/>
        <v>1310.5899999999999</v>
      </c>
      <c r="NT46" s="64">
        <f t="shared" si="1073"/>
        <v>-46.549999999999955</v>
      </c>
      <c r="NU46" s="62"/>
      <c r="NV46" s="63"/>
      <c r="NW46" s="64">
        <f t="shared" si="1074"/>
        <v>0</v>
      </c>
      <c r="NX46" s="65">
        <v>1152.73</v>
      </c>
      <c r="NY46" s="63">
        <v>1152.73</v>
      </c>
      <c r="NZ46" s="64">
        <f t="shared" si="1075"/>
        <v>0</v>
      </c>
      <c r="OA46" s="65">
        <v>884.31</v>
      </c>
      <c r="OB46" s="63"/>
      <c r="OC46" s="64">
        <f t="shared" si="1076"/>
        <v>884.31</v>
      </c>
      <c r="OD46" s="65">
        <v>100</v>
      </c>
      <c r="OE46" s="63">
        <v>50.11</v>
      </c>
      <c r="OF46" s="64">
        <f t="shared" si="1077"/>
        <v>49.89</v>
      </c>
      <c r="OG46" s="66">
        <f t="shared" si="152"/>
        <v>2137.04</v>
      </c>
      <c r="OH46" s="67">
        <f t="shared" si="1078"/>
        <v>1202.8399999999999</v>
      </c>
      <c r="OI46" s="64">
        <f t="shared" si="1079"/>
        <v>934.2</v>
      </c>
      <c r="OJ46" s="62"/>
      <c r="OK46" s="63"/>
      <c r="OL46" s="64">
        <f t="shared" si="1080"/>
        <v>0</v>
      </c>
      <c r="OM46" s="65"/>
      <c r="ON46" s="63"/>
      <c r="OO46" s="64">
        <f t="shared" si="1081"/>
        <v>0</v>
      </c>
      <c r="OP46" s="65"/>
      <c r="OQ46" s="63"/>
      <c r="OR46" s="64">
        <f t="shared" si="1082"/>
        <v>0</v>
      </c>
      <c r="OS46" s="65">
        <v>100</v>
      </c>
      <c r="OT46" s="63"/>
      <c r="OU46" s="64">
        <f t="shared" si="1083"/>
        <v>100</v>
      </c>
      <c r="OV46" s="66">
        <f t="shared" si="159"/>
        <v>100</v>
      </c>
      <c r="OW46" s="67">
        <f t="shared" si="1084"/>
        <v>0</v>
      </c>
      <c r="OX46" s="64">
        <f t="shared" si="1085"/>
        <v>100</v>
      </c>
      <c r="OY46" s="62"/>
      <c r="OZ46" s="63"/>
      <c r="PA46" s="64">
        <f t="shared" si="1086"/>
        <v>0</v>
      </c>
      <c r="PB46" s="65"/>
      <c r="PC46" s="63"/>
      <c r="PD46" s="64">
        <f t="shared" si="1087"/>
        <v>0</v>
      </c>
      <c r="PE46" s="65"/>
      <c r="PF46" s="63"/>
      <c r="PG46" s="64">
        <f t="shared" si="1088"/>
        <v>0</v>
      </c>
      <c r="PH46" s="65">
        <v>100</v>
      </c>
      <c r="PI46" s="63"/>
      <c r="PJ46" s="64">
        <f t="shared" si="1089"/>
        <v>100</v>
      </c>
      <c r="PK46" s="66">
        <f t="shared" si="166"/>
        <v>100</v>
      </c>
      <c r="PL46" s="67">
        <f t="shared" si="1090"/>
        <v>0</v>
      </c>
      <c r="PM46" s="64">
        <f t="shared" si="1091"/>
        <v>100</v>
      </c>
      <c r="PN46" s="62">
        <v>1550</v>
      </c>
      <c r="PO46" s="63">
        <v>1550</v>
      </c>
      <c r="PP46" s="64">
        <f t="shared" si="1092"/>
        <v>0</v>
      </c>
      <c r="PQ46" s="65"/>
      <c r="PR46" s="63"/>
      <c r="PS46" s="64">
        <f t="shared" si="1093"/>
        <v>0</v>
      </c>
      <c r="PT46" s="65"/>
      <c r="PU46" s="63"/>
      <c r="PV46" s="64">
        <f t="shared" si="1094"/>
        <v>0</v>
      </c>
      <c r="PW46" s="65">
        <v>100</v>
      </c>
      <c r="PX46" s="63">
        <v>294.49</v>
      </c>
      <c r="PY46" s="64">
        <f t="shared" si="1095"/>
        <v>-194.49</v>
      </c>
      <c r="PZ46" s="66">
        <f t="shared" si="173"/>
        <v>1650</v>
      </c>
      <c r="QA46" s="67">
        <f t="shared" si="1096"/>
        <v>1844.49</v>
      </c>
      <c r="QB46" s="64">
        <f t="shared" si="1097"/>
        <v>-194.49</v>
      </c>
      <c r="QC46" s="62"/>
      <c r="QD46" s="63"/>
      <c r="QE46" s="64">
        <f t="shared" si="1098"/>
        <v>0</v>
      </c>
      <c r="QF46" s="65"/>
      <c r="QG46" s="63"/>
      <c r="QH46" s="64">
        <f t="shared" si="1099"/>
        <v>0</v>
      </c>
      <c r="QI46" s="65"/>
      <c r="QJ46" s="63"/>
      <c r="QK46" s="64">
        <f t="shared" si="1100"/>
        <v>0</v>
      </c>
      <c r="QL46" s="65">
        <v>100</v>
      </c>
      <c r="QM46" s="63"/>
      <c r="QN46" s="64">
        <f t="shared" si="1101"/>
        <v>100</v>
      </c>
      <c r="QO46" s="66">
        <f t="shared" si="180"/>
        <v>100</v>
      </c>
      <c r="QP46" s="67">
        <f t="shared" si="1102"/>
        <v>0</v>
      </c>
      <c r="QQ46" s="64">
        <f t="shared" si="1103"/>
        <v>100</v>
      </c>
      <c r="QR46" s="62"/>
      <c r="QS46" s="63"/>
      <c r="QT46" s="64">
        <f t="shared" si="1104"/>
        <v>0</v>
      </c>
      <c r="QU46" s="65">
        <v>602.79999999999995</v>
      </c>
      <c r="QV46" s="63">
        <v>602.79999999999995</v>
      </c>
      <c r="QW46" s="64">
        <f t="shared" si="1105"/>
        <v>0</v>
      </c>
      <c r="QX46" s="65"/>
      <c r="QY46" s="63"/>
      <c r="QZ46" s="64">
        <f t="shared" si="1106"/>
        <v>0</v>
      </c>
      <c r="RA46" s="65"/>
      <c r="RB46" s="63"/>
      <c r="RC46" s="64">
        <f t="shared" si="1107"/>
        <v>0</v>
      </c>
      <c r="RD46" s="66">
        <f t="shared" si="187"/>
        <v>602.79999999999995</v>
      </c>
      <c r="RE46" s="67">
        <f t="shared" si="1108"/>
        <v>602.79999999999995</v>
      </c>
      <c r="RF46" s="74"/>
      <c r="RG46" s="72"/>
      <c r="RH46" s="73"/>
      <c r="RI46" s="74"/>
      <c r="RJ46" s="75"/>
      <c r="RK46" s="73"/>
      <c r="RL46" s="74"/>
      <c r="RM46" s="75"/>
      <c r="RN46" s="73"/>
      <c r="RO46" s="74"/>
      <c r="RP46" s="75"/>
      <c r="RQ46" s="73"/>
      <c r="RR46" s="74"/>
      <c r="RS46" s="76"/>
      <c r="RT46" s="77"/>
      <c r="RU46" s="64">
        <f t="shared" si="1109"/>
        <v>0</v>
      </c>
      <c r="RV46" s="62"/>
      <c r="RW46" s="63"/>
      <c r="RX46" s="64">
        <f t="shared" si="1110"/>
        <v>0</v>
      </c>
      <c r="RY46" s="65"/>
      <c r="RZ46" s="63"/>
      <c r="SA46" s="64">
        <f t="shared" si="1111"/>
        <v>0</v>
      </c>
      <c r="SB46" s="65"/>
      <c r="SC46" s="63"/>
      <c r="SD46" s="64">
        <f t="shared" si="1112"/>
        <v>0</v>
      </c>
      <c r="SE46" s="65">
        <v>100</v>
      </c>
      <c r="SF46" s="63">
        <v>76.31</v>
      </c>
      <c r="SG46" s="64">
        <f t="shared" si="1113"/>
        <v>23.689999999999998</v>
      </c>
      <c r="SH46" s="66">
        <f t="shared" si="201"/>
        <v>100</v>
      </c>
      <c r="SI46" s="67">
        <f t="shared" si="1114"/>
        <v>76.31</v>
      </c>
      <c r="SJ46" s="64">
        <f t="shared" si="1115"/>
        <v>23.689999999999998</v>
      </c>
      <c r="SK46" s="62"/>
      <c r="SL46" s="63"/>
      <c r="SM46" s="64">
        <f t="shared" si="1116"/>
        <v>0</v>
      </c>
      <c r="SN46" s="65"/>
      <c r="SO46" s="63"/>
      <c r="SP46" s="64">
        <f t="shared" si="1117"/>
        <v>0</v>
      </c>
      <c r="SQ46" s="65"/>
      <c r="SR46" s="63"/>
      <c r="SS46" s="64">
        <f t="shared" si="1118"/>
        <v>0</v>
      </c>
      <c r="ST46" s="65">
        <v>100</v>
      </c>
      <c r="SU46" s="63"/>
      <c r="SV46" s="64">
        <f t="shared" si="1119"/>
        <v>100</v>
      </c>
      <c r="SW46" s="66">
        <f t="shared" si="208"/>
        <v>100</v>
      </c>
      <c r="SX46" s="67">
        <f t="shared" si="1120"/>
        <v>0</v>
      </c>
      <c r="SY46" s="64">
        <f t="shared" si="1121"/>
        <v>100</v>
      </c>
      <c r="SZ46" s="62">
        <v>985.33</v>
      </c>
      <c r="TA46" s="63">
        <v>985.33</v>
      </c>
      <c r="TB46" s="64">
        <f t="shared" si="1122"/>
        <v>0</v>
      </c>
      <c r="TC46" s="65">
        <v>700.9</v>
      </c>
      <c r="TD46" s="63">
        <v>740.15</v>
      </c>
      <c r="TE46" s="64">
        <f t="shared" si="1123"/>
        <v>-39.25</v>
      </c>
      <c r="TF46" s="65"/>
      <c r="TG46" s="63"/>
      <c r="TH46" s="64">
        <f t="shared" si="1124"/>
        <v>0</v>
      </c>
      <c r="TI46" s="65">
        <v>100</v>
      </c>
      <c r="TJ46" s="63"/>
      <c r="TK46" s="64">
        <f t="shared" si="1125"/>
        <v>100</v>
      </c>
      <c r="TL46" s="66">
        <f t="shared" si="215"/>
        <v>1786.23</v>
      </c>
      <c r="TM46" s="67">
        <f t="shared" si="1126"/>
        <v>1725.48</v>
      </c>
      <c r="TN46" s="64">
        <f t="shared" si="1127"/>
        <v>60.75</v>
      </c>
      <c r="TO46" s="62"/>
      <c r="TP46" s="63"/>
      <c r="TQ46" s="64">
        <f t="shared" si="1128"/>
        <v>0</v>
      </c>
      <c r="TR46" s="65"/>
      <c r="TS46" s="63"/>
      <c r="TT46" s="64">
        <f t="shared" si="1129"/>
        <v>0</v>
      </c>
      <c r="TU46" s="65"/>
      <c r="TV46" s="63"/>
      <c r="TW46" s="64">
        <f t="shared" si="1130"/>
        <v>0</v>
      </c>
      <c r="TX46" s="65">
        <v>100</v>
      </c>
      <c r="TY46" s="63">
        <v>46.84</v>
      </c>
      <c r="TZ46" s="64">
        <f t="shared" si="1131"/>
        <v>53.16</v>
      </c>
      <c r="UA46" s="66">
        <f t="shared" si="222"/>
        <v>100</v>
      </c>
      <c r="UB46" s="67">
        <f t="shared" si="1132"/>
        <v>46.84</v>
      </c>
      <c r="UC46" s="64">
        <f t="shared" si="1133"/>
        <v>53.16</v>
      </c>
      <c r="UD46" s="62">
        <v>1125</v>
      </c>
      <c r="UE46" s="63">
        <v>1125</v>
      </c>
      <c r="UF46" s="64">
        <f t="shared" si="1134"/>
        <v>0</v>
      </c>
      <c r="UG46" s="65">
        <v>497.04</v>
      </c>
      <c r="UH46" s="63">
        <v>517.34</v>
      </c>
      <c r="UI46" s="64">
        <f t="shared" si="1135"/>
        <v>-20.300000000000011</v>
      </c>
      <c r="UJ46" s="65"/>
      <c r="UK46" s="63"/>
      <c r="UL46" s="64">
        <f t="shared" si="1136"/>
        <v>0</v>
      </c>
      <c r="UM46" s="65">
        <v>100</v>
      </c>
      <c r="UN46" s="63"/>
      <c r="UO46" s="64">
        <f t="shared" si="1137"/>
        <v>100</v>
      </c>
      <c r="UP46" s="66">
        <f t="shared" si="226"/>
        <v>1722.04</v>
      </c>
      <c r="UQ46" s="67">
        <f t="shared" si="1138"/>
        <v>1642.3400000000001</v>
      </c>
      <c r="UR46" s="64">
        <f t="shared" si="1139"/>
        <v>79.699999999999818</v>
      </c>
      <c r="US46" s="74"/>
      <c r="UT46" s="72"/>
      <c r="UU46" s="73"/>
      <c r="UV46" s="74"/>
      <c r="UW46" s="75"/>
      <c r="UX46" s="73"/>
      <c r="UY46" s="74"/>
      <c r="UZ46" s="75"/>
      <c r="VA46" s="73"/>
      <c r="VB46" s="74"/>
      <c r="VC46" s="75"/>
      <c r="VD46" s="73"/>
      <c r="VE46" s="74"/>
      <c r="VF46" s="76"/>
      <c r="VG46" s="77"/>
      <c r="VH46" s="62"/>
      <c r="VI46" s="63"/>
      <c r="VJ46" s="64">
        <f t="shared" si="1140"/>
        <v>0</v>
      </c>
      <c r="VK46" s="65"/>
      <c r="VL46" s="63"/>
      <c r="VM46" s="64">
        <f t="shared" si="1141"/>
        <v>0</v>
      </c>
      <c r="VN46" s="65"/>
      <c r="VO46" s="63"/>
      <c r="VP46" s="64">
        <f t="shared" si="1142"/>
        <v>0</v>
      </c>
      <c r="VQ46" s="65">
        <v>100</v>
      </c>
      <c r="VR46" s="63"/>
      <c r="VS46" s="64">
        <f t="shared" si="1143"/>
        <v>100</v>
      </c>
      <c r="VT46" s="66">
        <f t="shared" si="240"/>
        <v>100</v>
      </c>
      <c r="VU46" s="67">
        <f t="shared" si="1144"/>
        <v>0</v>
      </c>
      <c r="VV46" s="64">
        <f t="shared" si="1145"/>
        <v>100</v>
      </c>
      <c r="VW46" s="74"/>
      <c r="VX46" s="72"/>
      <c r="VY46" s="73"/>
      <c r="VZ46" s="74"/>
      <c r="WA46" s="75"/>
      <c r="WB46" s="73"/>
      <c r="WC46" s="74"/>
      <c r="WD46" s="75"/>
      <c r="WE46" s="73"/>
      <c r="WF46" s="74"/>
      <c r="WG46" s="75"/>
      <c r="WH46" s="73"/>
      <c r="WI46" s="74"/>
      <c r="WJ46" s="76"/>
      <c r="WK46" s="77"/>
      <c r="WL46" s="62">
        <v>1376.01</v>
      </c>
      <c r="WM46" s="63">
        <v>1376.01</v>
      </c>
      <c r="WN46" s="64">
        <f t="shared" si="1146"/>
        <v>0</v>
      </c>
      <c r="WO46" s="65"/>
      <c r="WP46" s="63"/>
      <c r="WQ46" s="64">
        <f t="shared" si="1147"/>
        <v>0</v>
      </c>
      <c r="WR46" s="65"/>
      <c r="WS46" s="63"/>
      <c r="WT46" s="64">
        <f t="shared" si="1148"/>
        <v>0</v>
      </c>
      <c r="WU46" s="65">
        <v>100</v>
      </c>
      <c r="WV46" s="63"/>
      <c r="WW46" s="64">
        <f t="shared" si="1149"/>
        <v>100</v>
      </c>
      <c r="WX46" s="66">
        <f t="shared" si="254"/>
        <v>1476.01</v>
      </c>
      <c r="WY46" s="67">
        <f t="shared" si="1150"/>
        <v>1376.01</v>
      </c>
      <c r="WZ46" s="64">
        <f t="shared" si="1151"/>
        <v>100</v>
      </c>
      <c r="XA46" s="62"/>
      <c r="XB46" s="63"/>
      <c r="XC46" s="64">
        <f t="shared" si="1152"/>
        <v>0</v>
      </c>
      <c r="XD46" s="65"/>
      <c r="XE46" s="63"/>
      <c r="XF46" s="64">
        <f t="shared" si="1153"/>
        <v>0</v>
      </c>
      <c r="XG46" s="65">
        <v>2500</v>
      </c>
      <c r="XH46" s="63"/>
      <c r="XI46" s="64">
        <f t="shared" si="1154"/>
        <v>2500</v>
      </c>
      <c r="XJ46" s="65">
        <v>100</v>
      </c>
      <c r="XK46" s="63">
        <v>182.46</v>
      </c>
      <c r="XL46" s="64">
        <f t="shared" si="1155"/>
        <v>-82.460000000000008</v>
      </c>
      <c r="XM46" s="66">
        <f t="shared" si="261"/>
        <v>2600</v>
      </c>
      <c r="XN46" s="67">
        <f t="shared" si="1156"/>
        <v>182.46</v>
      </c>
      <c r="XO46" s="64">
        <f t="shared" si="1157"/>
        <v>2417.54</v>
      </c>
      <c r="XP46" s="62"/>
      <c r="XQ46" s="63"/>
      <c r="XR46" s="64">
        <f t="shared" si="1158"/>
        <v>0</v>
      </c>
      <c r="XS46" s="65">
        <v>844.24</v>
      </c>
      <c r="XT46" s="63">
        <v>844.24</v>
      </c>
      <c r="XU46" s="64">
        <f t="shared" si="1159"/>
        <v>0</v>
      </c>
      <c r="XV46" s="65"/>
      <c r="XW46" s="63"/>
      <c r="XX46" s="64">
        <f t="shared" si="1160"/>
        <v>0</v>
      </c>
      <c r="XY46" s="65">
        <v>100</v>
      </c>
      <c r="XZ46" s="63"/>
      <c r="YA46" s="64">
        <f t="shared" si="1161"/>
        <v>100</v>
      </c>
      <c r="YB46" s="66">
        <f t="shared" si="268"/>
        <v>944.24</v>
      </c>
      <c r="YC46" s="67">
        <f t="shared" si="1162"/>
        <v>844.24</v>
      </c>
      <c r="YD46" s="64">
        <f t="shared" si="1163"/>
        <v>100</v>
      </c>
      <c r="YE46" s="62"/>
      <c r="YF46" s="63"/>
      <c r="YG46" s="64">
        <f t="shared" si="1164"/>
        <v>0</v>
      </c>
      <c r="YH46" s="65">
        <v>847.85</v>
      </c>
      <c r="YI46" s="63">
        <v>847.85</v>
      </c>
      <c r="YJ46" s="64">
        <f t="shared" si="1165"/>
        <v>0</v>
      </c>
      <c r="YK46" s="65">
        <v>1000</v>
      </c>
      <c r="YL46" s="63"/>
      <c r="YM46" s="64">
        <f t="shared" si="1166"/>
        <v>1000</v>
      </c>
      <c r="YN46" s="65">
        <v>100</v>
      </c>
      <c r="YO46" s="63">
        <v>92.67</v>
      </c>
      <c r="YP46" s="64">
        <f t="shared" si="1167"/>
        <v>7.3299999999999983</v>
      </c>
      <c r="YQ46" s="66">
        <f t="shared" si="275"/>
        <v>1947.85</v>
      </c>
      <c r="YR46" s="67">
        <f t="shared" si="1168"/>
        <v>940.52</v>
      </c>
      <c r="YS46" s="64">
        <f t="shared" si="1169"/>
        <v>1007.3299999999999</v>
      </c>
      <c r="YT46" s="62"/>
      <c r="YU46" s="63"/>
      <c r="YV46" s="64">
        <f t="shared" si="1170"/>
        <v>0</v>
      </c>
      <c r="YW46" s="65">
        <v>695.73</v>
      </c>
      <c r="YX46" s="63">
        <v>695.73</v>
      </c>
      <c r="YY46" s="64">
        <f t="shared" si="1171"/>
        <v>0</v>
      </c>
      <c r="YZ46" s="65">
        <v>1000</v>
      </c>
      <c r="ZA46" s="63"/>
      <c r="ZB46" s="64">
        <f t="shared" si="1172"/>
        <v>1000</v>
      </c>
      <c r="ZC46" s="65">
        <v>100</v>
      </c>
      <c r="ZD46" s="63">
        <v>64.3</v>
      </c>
      <c r="ZE46" s="64">
        <f t="shared" si="1173"/>
        <v>35.700000000000003</v>
      </c>
      <c r="ZF46" s="66">
        <f t="shared" si="282"/>
        <v>1795.73</v>
      </c>
      <c r="ZG46" s="67">
        <f t="shared" si="1174"/>
        <v>760.03</v>
      </c>
      <c r="ZH46" s="74"/>
      <c r="ZI46" s="72"/>
      <c r="ZJ46" s="73"/>
      <c r="ZK46" s="74"/>
      <c r="ZL46" s="75"/>
      <c r="ZM46" s="73"/>
      <c r="ZN46" s="74"/>
      <c r="ZO46" s="75"/>
      <c r="ZP46" s="73"/>
      <c r="ZQ46" s="74"/>
      <c r="ZR46" s="75"/>
      <c r="ZS46" s="73"/>
      <c r="ZT46" s="74"/>
      <c r="ZU46" s="76"/>
      <c r="ZV46" s="77"/>
      <c r="ZW46" s="64">
        <f t="shared" si="1175"/>
        <v>0</v>
      </c>
      <c r="ZX46" s="62">
        <v>24.71</v>
      </c>
      <c r="ZY46" s="63">
        <v>24.71</v>
      </c>
      <c r="ZZ46" s="64">
        <f t="shared" si="1176"/>
        <v>0</v>
      </c>
      <c r="AAA46" s="66">
        <f t="shared" si="293"/>
        <v>24.71</v>
      </c>
      <c r="AAB46" s="67">
        <f t="shared" si="293"/>
        <v>24.71</v>
      </c>
      <c r="AAC46" s="64">
        <f t="shared" si="1177"/>
        <v>0</v>
      </c>
      <c r="AAD46" s="85">
        <f t="shared" si="295"/>
        <v>41003.409999999996</v>
      </c>
      <c r="AAE46" s="86">
        <f t="shared" si="295"/>
        <v>32616.71</v>
      </c>
      <c r="AAF46" s="87">
        <f t="shared" si="3"/>
        <v>0.79546335292601278</v>
      </c>
      <c r="AAG46" s="88">
        <f t="shared" si="1178"/>
        <v>-8386.6999999999971</v>
      </c>
      <c r="AAH46" s="91">
        <f>AAD56</f>
        <v>1467598.7399999998</v>
      </c>
      <c r="AAI46" s="92"/>
      <c r="AAJ46" s="92"/>
      <c r="AAK46" s="60"/>
    </row>
    <row r="47" spans="1:713" s="83" customFormat="1" ht="20" customHeight="1" x14ac:dyDescent="0.2">
      <c r="A47" s="57" t="s">
        <v>44</v>
      </c>
      <c r="B47" s="93"/>
      <c r="C47" s="90"/>
      <c r="D47" s="90"/>
      <c r="E47" s="60"/>
      <c r="F47" s="61">
        <v>45748</v>
      </c>
      <c r="G47" s="62"/>
      <c r="H47" s="63"/>
      <c r="I47" s="64">
        <f t="shared" si="951"/>
        <v>0</v>
      </c>
      <c r="J47" s="65">
        <v>3418.12</v>
      </c>
      <c r="K47" s="63">
        <v>4491.87</v>
      </c>
      <c r="L47" s="64">
        <f t="shared" si="952"/>
        <v>-1073.75</v>
      </c>
      <c r="M47" s="65">
        <v>2500</v>
      </c>
      <c r="N47" s="63">
        <v>3015.85</v>
      </c>
      <c r="O47" s="64">
        <f t="shared" si="953"/>
        <v>-515.84999999999991</v>
      </c>
      <c r="P47" s="65">
        <v>500</v>
      </c>
      <c r="Q47" s="63">
        <v>306.54000000000002</v>
      </c>
      <c r="R47" s="64">
        <f t="shared" si="954"/>
        <v>193.45999999999998</v>
      </c>
      <c r="S47" s="65">
        <v>181</v>
      </c>
      <c r="T47" s="63">
        <v>196.34</v>
      </c>
      <c r="U47" s="64">
        <f t="shared" si="955"/>
        <v>-15.340000000000003</v>
      </c>
      <c r="V47" s="66">
        <f t="shared" si="956"/>
        <v>6599.12</v>
      </c>
      <c r="W47" s="67">
        <f t="shared" si="956"/>
        <v>8010.5999999999995</v>
      </c>
      <c r="X47" s="64">
        <f t="shared" si="957"/>
        <v>-1411.4799999999996</v>
      </c>
      <c r="Y47" s="72"/>
      <c r="Z47" s="73"/>
      <c r="AA47" s="74"/>
      <c r="AB47" s="75"/>
      <c r="AC47" s="73"/>
      <c r="AD47" s="74"/>
      <c r="AE47" s="75"/>
      <c r="AF47" s="73"/>
      <c r="AG47" s="74"/>
      <c r="AH47" s="75"/>
      <c r="AI47" s="73"/>
      <c r="AJ47" s="74"/>
      <c r="AK47" s="76"/>
      <c r="AL47" s="77"/>
      <c r="AM47" s="64">
        <f t="shared" si="958"/>
        <v>0</v>
      </c>
      <c r="AN47" s="62"/>
      <c r="AO47" s="63"/>
      <c r="AP47" s="64">
        <f t="shared" si="1179"/>
        <v>0</v>
      </c>
      <c r="AQ47" s="65"/>
      <c r="AR47" s="63"/>
      <c r="AS47" s="64">
        <f t="shared" si="959"/>
        <v>0</v>
      </c>
      <c r="AT47" s="65"/>
      <c r="AU47" s="63"/>
      <c r="AV47" s="64">
        <f t="shared" si="960"/>
        <v>0</v>
      </c>
      <c r="AW47" s="65"/>
      <c r="AX47" s="63"/>
      <c r="AY47" s="64">
        <f t="shared" si="961"/>
        <v>0</v>
      </c>
      <c r="AZ47" s="66">
        <f t="shared" si="23"/>
        <v>0</v>
      </c>
      <c r="BA47" s="67">
        <f t="shared" si="962"/>
        <v>0</v>
      </c>
      <c r="BB47" s="64">
        <f t="shared" si="963"/>
        <v>0</v>
      </c>
      <c r="BC47" s="62">
        <v>6150</v>
      </c>
      <c r="BD47" s="63">
        <v>6305.6</v>
      </c>
      <c r="BE47" s="64">
        <f t="shared" si="964"/>
        <v>-155.60000000000036</v>
      </c>
      <c r="BF47" s="65"/>
      <c r="BG47" s="63"/>
      <c r="BH47" s="64">
        <f t="shared" si="965"/>
        <v>0</v>
      </c>
      <c r="BI47" s="65"/>
      <c r="BJ47" s="63">
        <v>1114.1600000000001</v>
      </c>
      <c r="BK47" s="64">
        <f t="shared" si="966"/>
        <v>-1114.1600000000001</v>
      </c>
      <c r="BL47" s="65">
        <v>100</v>
      </c>
      <c r="BM47" s="63"/>
      <c r="BN47" s="64">
        <f t="shared" si="967"/>
        <v>100</v>
      </c>
      <c r="BO47" s="66">
        <f t="shared" si="30"/>
        <v>6250</v>
      </c>
      <c r="BP47" s="67">
        <f t="shared" si="968"/>
        <v>7419.76</v>
      </c>
      <c r="BQ47" s="64">
        <f t="shared" si="969"/>
        <v>-1169.7600000000002</v>
      </c>
      <c r="BR47" s="72"/>
      <c r="BS47" s="73"/>
      <c r="BT47" s="74"/>
      <c r="BU47" s="75"/>
      <c r="BV47" s="73"/>
      <c r="BW47" s="74"/>
      <c r="BX47" s="75"/>
      <c r="BY47" s="73"/>
      <c r="BZ47" s="74"/>
      <c r="CA47" s="75"/>
      <c r="CB47" s="73"/>
      <c r="CC47" s="74"/>
      <c r="CD47" s="76"/>
      <c r="CE47" s="77"/>
      <c r="CF47" s="64">
        <f t="shared" si="970"/>
        <v>0</v>
      </c>
      <c r="CG47" s="62"/>
      <c r="CH47" s="63"/>
      <c r="CI47" s="64">
        <f t="shared" si="971"/>
        <v>0</v>
      </c>
      <c r="CJ47" s="65"/>
      <c r="CK47" s="63"/>
      <c r="CL47" s="64">
        <f t="shared" si="972"/>
        <v>0</v>
      </c>
      <c r="CM47" s="65"/>
      <c r="CN47" s="63"/>
      <c r="CO47" s="64">
        <f t="shared" si="973"/>
        <v>0</v>
      </c>
      <c r="CP47" s="65"/>
      <c r="CQ47" s="63"/>
      <c r="CR47" s="64">
        <f t="shared" si="974"/>
        <v>0</v>
      </c>
      <c r="CS47" s="66">
        <f t="shared" si="40"/>
        <v>0</v>
      </c>
      <c r="CT47" s="67">
        <f t="shared" si="975"/>
        <v>0</v>
      </c>
      <c r="CU47" s="64">
        <f t="shared" si="976"/>
        <v>0</v>
      </c>
      <c r="CV47" s="62">
        <v>2916.7</v>
      </c>
      <c r="CW47" s="63">
        <v>2562.2199999999998</v>
      </c>
      <c r="CX47" s="64">
        <f t="shared" si="977"/>
        <v>354.48</v>
      </c>
      <c r="CY47" s="65">
        <v>429.15</v>
      </c>
      <c r="CZ47" s="63">
        <v>429.15</v>
      </c>
      <c r="DA47" s="64">
        <f t="shared" si="978"/>
        <v>0</v>
      </c>
      <c r="DB47" s="65"/>
      <c r="DC47" s="63">
        <v>2504.1999999999998</v>
      </c>
      <c r="DD47" s="64">
        <f t="shared" si="979"/>
        <v>-2504.1999999999998</v>
      </c>
      <c r="DE47" s="65"/>
      <c r="DF47" s="63"/>
      <c r="DG47" s="64">
        <f t="shared" si="980"/>
        <v>0</v>
      </c>
      <c r="DH47" s="66">
        <f t="shared" si="43"/>
        <v>3345.85</v>
      </c>
      <c r="DI47" s="67">
        <f t="shared" si="981"/>
        <v>5495.57</v>
      </c>
      <c r="DJ47" s="64">
        <f t="shared" si="982"/>
        <v>-2149.7199999999998</v>
      </c>
      <c r="DK47" s="62">
        <v>2400</v>
      </c>
      <c r="DL47" s="63">
        <v>2400</v>
      </c>
      <c r="DM47" s="64">
        <f>DK47-DL47</f>
        <v>0</v>
      </c>
      <c r="DN47" s="65">
        <v>913.08</v>
      </c>
      <c r="DO47" s="63">
        <v>913.08</v>
      </c>
      <c r="DP47" s="64">
        <f t="shared" si="984"/>
        <v>0</v>
      </c>
      <c r="DQ47" s="65"/>
      <c r="DR47" s="63"/>
      <c r="DS47" s="64">
        <f t="shared" si="985"/>
        <v>0</v>
      </c>
      <c r="DT47" s="65">
        <v>100</v>
      </c>
      <c r="DU47" s="63"/>
      <c r="DV47" s="64">
        <f t="shared" si="986"/>
        <v>100</v>
      </c>
      <c r="DW47" s="66">
        <f t="shared" si="46"/>
        <v>3413.08</v>
      </c>
      <c r="DX47" s="67">
        <f t="shared" si="987"/>
        <v>3313.08</v>
      </c>
      <c r="DY47" s="64">
        <f t="shared" si="988"/>
        <v>100</v>
      </c>
      <c r="DZ47" s="62"/>
      <c r="EA47" s="63"/>
      <c r="EB47" s="64">
        <f t="shared" si="989"/>
        <v>0</v>
      </c>
      <c r="EC47" s="65"/>
      <c r="ED47" s="63"/>
      <c r="EE47" s="64">
        <f t="shared" si="990"/>
        <v>0</v>
      </c>
      <c r="EF47" s="65"/>
      <c r="EG47" s="63"/>
      <c r="EH47" s="64">
        <f t="shared" si="991"/>
        <v>0</v>
      </c>
      <c r="EI47" s="65">
        <v>100</v>
      </c>
      <c r="EJ47" s="63"/>
      <c r="EK47" s="64">
        <f t="shared" si="992"/>
        <v>100</v>
      </c>
      <c r="EL47" s="66">
        <f t="shared" si="53"/>
        <v>100</v>
      </c>
      <c r="EM47" s="67">
        <f t="shared" si="993"/>
        <v>0</v>
      </c>
      <c r="EN47" s="64">
        <f t="shared" si="994"/>
        <v>100</v>
      </c>
      <c r="EO47" s="62">
        <v>6150</v>
      </c>
      <c r="EP47" s="63">
        <v>6305.6</v>
      </c>
      <c r="EQ47" s="64">
        <f t="shared" si="995"/>
        <v>-155.60000000000036</v>
      </c>
      <c r="ER47" s="65"/>
      <c r="ES47" s="63"/>
      <c r="ET47" s="64">
        <f t="shared" si="996"/>
        <v>0</v>
      </c>
      <c r="EU47" s="65"/>
      <c r="EV47" s="63"/>
      <c r="EW47" s="64">
        <f t="shared" si="997"/>
        <v>0</v>
      </c>
      <c r="EX47" s="65">
        <v>100</v>
      </c>
      <c r="EY47" s="63"/>
      <c r="EZ47" s="64">
        <f t="shared" si="998"/>
        <v>100</v>
      </c>
      <c r="FA47" s="66">
        <f t="shared" si="60"/>
        <v>6250</v>
      </c>
      <c r="FB47" s="67">
        <f t="shared" si="999"/>
        <v>6305.6</v>
      </c>
      <c r="FC47" s="64">
        <f t="shared" si="1000"/>
        <v>-55.600000000000364</v>
      </c>
      <c r="FD47" s="62">
        <v>6150</v>
      </c>
      <c r="FE47" s="63">
        <v>6305.6</v>
      </c>
      <c r="FF47" s="64">
        <f t="shared" si="1001"/>
        <v>-155.60000000000036</v>
      </c>
      <c r="FG47" s="65"/>
      <c r="FH47" s="63"/>
      <c r="FI47" s="64">
        <f t="shared" si="1002"/>
        <v>0</v>
      </c>
      <c r="FJ47" s="65"/>
      <c r="FK47" s="63"/>
      <c r="FL47" s="64">
        <f t="shared" si="1003"/>
        <v>0</v>
      </c>
      <c r="FM47" s="65">
        <v>100</v>
      </c>
      <c r="FN47" s="63"/>
      <c r="FO47" s="64">
        <f t="shared" si="1004"/>
        <v>100</v>
      </c>
      <c r="FP47" s="66">
        <f t="shared" si="67"/>
        <v>6250</v>
      </c>
      <c r="FQ47" s="67">
        <f t="shared" si="1005"/>
        <v>6305.6</v>
      </c>
      <c r="FR47" s="64">
        <f t="shared" si="1006"/>
        <v>-55.600000000000364</v>
      </c>
      <c r="FS47" s="62"/>
      <c r="FT47" s="63"/>
      <c r="FU47" s="64">
        <f t="shared" si="1007"/>
        <v>0</v>
      </c>
      <c r="FV47" s="65">
        <v>485.35</v>
      </c>
      <c r="FW47" s="63">
        <v>485.35</v>
      </c>
      <c r="FX47" s="64">
        <f t="shared" si="1008"/>
        <v>0</v>
      </c>
      <c r="FY47" s="65"/>
      <c r="FZ47" s="63"/>
      <c r="GA47" s="64">
        <f t="shared" si="1009"/>
        <v>0</v>
      </c>
      <c r="GB47" s="65"/>
      <c r="GC47" s="63"/>
      <c r="GD47" s="64">
        <f t="shared" si="1010"/>
        <v>0</v>
      </c>
      <c r="GE47" s="66">
        <f t="shared" si="74"/>
        <v>485.35</v>
      </c>
      <c r="GF47" s="67">
        <f t="shared" si="1011"/>
        <v>485.35</v>
      </c>
      <c r="GG47" s="64">
        <f t="shared" si="1012"/>
        <v>0</v>
      </c>
      <c r="GH47" s="62"/>
      <c r="GI47" s="63"/>
      <c r="GJ47" s="64">
        <f t="shared" si="1013"/>
        <v>0</v>
      </c>
      <c r="GK47" s="65">
        <v>660.33</v>
      </c>
      <c r="GL47" s="63">
        <v>660.33</v>
      </c>
      <c r="GM47" s="64">
        <f t="shared" si="1014"/>
        <v>0</v>
      </c>
      <c r="GN47" s="65"/>
      <c r="GO47" s="63"/>
      <c r="GP47" s="64">
        <f t="shared" si="1015"/>
        <v>0</v>
      </c>
      <c r="GQ47" s="65"/>
      <c r="GR47" s="63"/>
      <c r="GS47" s="64">
        <f t="shared" si="1016"/>
        <v>0</v>
      </c>
      <c r="GT47" s="66">
        <f t="shared" si="81"/>
        <v>660.33</v>
      </c>
      <c r="GU47" s="67">
        <f t="shared" si="1017"/>
        <v>660.33</v>
      </c>
      <c r="GV47" s="64">
        <f t="shared" si="1018"/>
        <v>0</v>
      </c>
      <c r="GW47" s="62"/>
      <c r="GX47" s="63"/>
      <c r="GY47" s="64">
        <f t="shared" si="1019"/>
        <v>0</v>
      </c>
      <c r="GZ47" s="65">
        <v>568.25</v>
      </c>
      <c r="HA47" s="63">
        <v>568.25</v>
      </c>
      <c r="HB47" s="64">
        <f t="shared" si="1020"/>
        <v>0</v>
      </c>
      <c r="HC47" s="65"/>
      <c r="HD47" s="63"/>
      <c r="HE47" s="64">
        <f t="shared" si="1021"/>
        <v>0</v>
      </c>
      <c r="HF47" s="65">
        <v>100</v>
      </c>
      <c r="HG47" s="63">
        <v>284.66000000000003</v>
      </c>
      <c r="HH47" s="64">
        <f t="shared" si="1022"/>
        <v>-184.66000000000003</v>
      </c>
      <c r="HI47" s="66">
        <f t="shared" si="84"/>
        <v>668.25</v>
      </c>
      <c r="HJ47" s="67">
        <f t="shared" si="1023"/>
        <v>852.91000000000008</v>
      </c>
      <c r="HK47" s="64">
        <f t="shared" si="1024"/>
        <v>-184.66000000000008</v>
      </c>
      <c r="HL47" s="62">
        <v>6150</v>
      </c>
      <c r="HM47" s="63">
        <v>6305.6</v>
      </c>
      <c r="HN47" s="64">
        <f t="shared" si="1025"/>
        <v>-155.60000000000036</v>
      </c>
      <c r="HO47" s="65"/>
      <c r="HP47" s="63"/>
      <c r="HQ47" s="64">
        <f t="shared" si="1026"/>
        <v>0</v>
      </c>
      <c r="HR47" s="65"/>
      <c r="HS47" s="63">
        <v>1114.1600000000001</v>
      </c>
      <c r="HT47" s="64">
        <f t="shared" si="1027"/>
        <v>-1114.1600000000001</v>
      </c>
      <c r="HU47" s="65">
        <v>100</v>
      </c>
      <c r="HV47" s="63"/>
      <c r="HW47" s="64">
        <f t="shared" si="1028"/>
        <v>100</v>
      </c>
      <c r="HX47" s="66">
        <f t="shared" si="91"/>
        <v>6250</v>
      </c>
      <c r="HY47" s="67">
        <f t="shared" si="1029"/>
        <v>7419.76</v>
      </c>
      <c r="HZ47" s="64">
        <f t="shared" si="1030"/>
        <v>-1169.7600000000002</v>
      </c>
      <c r="IA47" s="62"/>
      <c r="IB47" s="63"/>
      <c r="IC47" s="64">
        <f t="shared" si="1031"/>
        <v>0</v>
      </c>
      <c r="ID47" s="65"/>
      <c r="IE47" s="63"/>
      <c r="IF47" s="64">
        <f t="shared" si="1032"/>
        <v>0</v>
      </c>
      <c r="IG47" s="65"/>
      <c r="IH47" s="63"/>
      <c r="II47" s="64">
        <f t="shared" si="1033"/>
        <v>0</v>
      </c>
      <c r="IJ47" s="65">
        <v>100</v>
      </c>
      <c r="IK47" s="63"/>
      <c r="IL47" s="64">
        <f t="shared" si="1034"/>
        <v>100</v>
      </c>
      <c r="IM47" s="66">
        <f t="shared" si="98"/>
        <v>100</v>
      </c>
      <c r="IN47" s="67">
        <f t="shared" si="1035"/>
        <v>0</v>
      </c>
      <c r="IO47" s="64">
        <f t="shared" si="1036"/>
        <v>100</v>
      </c>
      <c r="IP47" s="62"/>
      <c r="IQ47" s="63"/>
      <c r="IR47" s="64">
        <f t="shared" si="1037"/>
        <v>0</v>
      </c>
      <c r="IS47" s="65"/>
      <c r="IT47" s="63"/>
      <c r="IU47" s="64">
        <f t="shared" si="1038"/>
        <v>0</v>
      </c>
      <c r="IV47" s="65"/>
      <c r="IW47" s="63"/>
      <c r="IX47" s="64">
        <f t="shared" si="1039"/>
        <v>0</v>
      </c>
      <c r="IY47" s="65"/>
      <c r="IZ47" s="63"/>
      <c r="JA47" s="64">
        <f t="shared" si="1040"/>
        <v>0</v>
      </c>
      <c r="JB47" s="66">
        <f t="shared" si="105"/>
        <v>0</v>
      </c>
      <c r="JC47" s="67">
        <f t="shared" si="1041"/>
        <v>0</v>
      </c>
      <c r="JD47" s="64">
        <f t="shared" si="1042"/>
        <v>0</v>
      </c>
      <c r="JE47" s="72"/>
      <c r="JF47" s="150"/>
      <c r="JG47" s="74"/>
      <c r="JH47" s="75"/>
      <c r="JI47" s="150"/>
      <c r="JJ47" s="74"/>
      <c r="JK47" s="75"/>
      <c r="JL47" s="150"/>
      <c r="JM47" s="74"/>
      <c r="JN47" s="75"/>
      <c r="JO47" s="150"/>
      <c r="JP47" s="74"/>
      <c r="JQ47" s="76"/>
      <c r="JR47" s="77"/>
      <c r="JS47" s="74"/>
      <c r="JT47" s="72"/>
      <c r="JU47" s="73"/>
      <c r="JV47" s="74"/>
      <c r="JW47" s="75"/>
      <c r="JX47" s="73"/>
      <c r="JY47" s="74"/>
      <c r="JZ47" s="75"/>
      <c r="KA47" s="73"/>
      <c r="KB47" s="74"/>
      <c r="KC47" s="75"/>
      <c r="KD47" s="73"/>
      <c r="KE47" s="74"/>
      <c r="KF47" s="76"/>
      <c r="KG47" s="77"/>
      <c r="KH47" s="64">
        <f t="shared" si="1043"/>
        <v>0</v>
      </c>
      <c r="KI47" s="62"/>
      <c r="KJ47" s="63"/>
      <c r="KK47" s="64">
        <f t="shared" si="1044"/>
        <v>0</v>
      </c>
      <c r="KL47" s="65"/>
      <c r="KM47" s="63"/>
      <c r="KN47" s="64">
        <f t="shared" si="1045"/>
        <v>0</v>
      </c>
      <c r="KO47" s="65"/>
      <c r="KP47" s="63"/>
      <c r="KQ47" s="64">
        <f t="shared" si="1046"/>
        <v>0</v>
      </c>
      <c r="KR47" s="65"/>
      <c r="KS47" s="63"/>
      <c r="KT47" s="64">
        <f t="shared" si="1047"/>
        <v>0</v>
      </c>
      <c r="KU47" s="66">
        <f t="shared" si="1"/>
        <v>0</v>
      </c>
      <c r="KV47" s="67">
        <f t="shared" si="1048"/>
        <v>0</v>
      </c>
      <c r="KW47" s="64">
        <f t="shared" si="1049"/>
        <v>0</v>
      </c>
      <c r="KX47" s="72"/>
      <c r="KY47" s="73"/>
      <c r="KZ47" s="74"/>
      <c r="LA47" s="75"/>
      <c r="LB47" s="73"/>
      <c r="LC47" s="74"/>
      <c r="LD47" s="75"/>
      <c r="LE47" s="73"/>
      <c r="LF47" s="74"/>
      <c r="LG47" s="75"/>
      <c r="LH47" s="73"/>
      <c r="LI47" s="74"/>
      <c r="LJ47" s="76"/>
      <c r="LK47" s="77"/>
      <c r="LL47" s="74"/>
      <c r="LM47" s="62"/>
      <c r="LN47" s="63"/>
      <c r="LO47" s="64">
        <f t="shared" si="1050"/>
        <v>0</v>
      </c>
      <c r="LP47" s="65"/>
      <c r="LQ47" s="63">
        <v>337.97</v>
      </c>
      <c r="LR47" s="64">
        <f t="shared" si="1051"/>
        <v>-337.97</v>
      </c>
      <c r="LS47" s="65"/>
      <c r="LT47" s="63">
        <v>430</v>
      </c>
      <c r="LU47" s="64">
        <f t="shared" si="1052"/>
        <v>-430</v>
      </c>
      <c r="LV47" s="65">
        <v>100</v>
      </c>
      <c r="LW47" s="63"/>
      <c r="LX47" s="64">
        <f t="shared" si="1053"/>
        <v>100</v>
      </c>
      <c r="LY47" s="66">
        <f t="shared" si="124"/>
        <v>100</v>
      </c>
      <c r="LZ47" s="67">
        <f t="shared" si="1054"/>
        <v>767.97</v>
      </c>
      <c r="MA47" s="64">
        <f t="shared" si="1055"/>
        <v>-667.97</v>
      </c>
      <c r="MB47" s="62"/>
      <c r="MC47" s="63"/>
      <c r="MD47" s="64">
        <f t="shared" si="1056"/>
        <v>0</v>
      </c>
      <c r="ME47" s="65">
        <v>889.11</v>
      </c>
      <c r="MF47" s="63">
        <v>889.11</v>
      </c>
      <c r="MG47" s="64">
        <f t="shared" si="1057"/>
        <v>0</v>
      </c>
      <c r="MH47" s="65"/>
      <c r="MI47" s="63"/>
      <c r="MJ47" s="64">
        <f t="shared" si="1058"/>
        <v>0</v>
      </c>
      <c r="MK47" s="65">
        <v>100</v>
      </c>
      <c r="ML47" s="63"/>
      <c r="MM47" s="64">
        <f t="shared" si="1059"/>
        <v>100</v>
      </c>
      <c r="MN47" s="66">
        <f t="shared" si="131"/>
        <v>989.11</v>
      </c>
      <c r="MO47" s="67">
        <f t="shared" si="1060"/>
        <v>889.11</v>
      </c>
      <c r="MP47" s="64">
        <f t="shared" si="1061"/>
        <v>100</v>
      </c>
      <c r="MQ47" s="62"/>
      <c r="MR47" s="63"/>
      <c r="MS47" s="64">
        <f t="shared" si="1062"/>
        <v>0</v>
      </c>
      <c r="MT47" s="65"/>
      <c r="MU47" s="63"/>
      <c r="MV47" s="64">
        <f t="shared" si="1063"/>
        <v>0</v>
      </c>
      <c r="MW47" s="65"/>
      <c r="MX47" s="63"/>
      <c r="MY47" s="64">
        <f t="shared" si="1064"/>
        <v>0</v>
      </c>
      <c r="MZ47" s="65"/>
      <c r="NA47" s="63"/>
      <c r="NB47" s="64">
        <f t="shared" si="1065"/>
        <v>0</v>
      </c>
      <c r="NC47" s="66">
        <f t="shared" si="138"/>
        <v>0</v>
      </c>
      <c r="ND47" s="67">
        <f t="shared" si="1066"/>
        <v>0</v>
      </c>
      <c r="NE47" s="64">
        <f t="shared" si="1067"/>
        <v>0</v>
      </c>
      <c r="NF47" s="62"/>
      <c r="NG47" s="63"/>
      <c r="NH47" s="64">
        <f t="shared" si="1068"/>
        <v>0</v>
      </c>
      <c r="NI47" s="65">
        <v>1164.04</v>
      </c>
      <c r="NJ47" s="63">
        <v>1164.04</v>
      </c>
      <c r="NK47" s="64">
        <f t="shared" si="1069"/>
        <v>0</v>
      </c>
      <c r="NL47" s="65"/>
      <c r="NM47" s="63"/>
      <c r="NN47" s="64">
        <f t="shared" si="1070"/>
        <v>0</v>
      </c>
      <c r="NO47" s="65">
        <v>100</v>
      </c>
      <c r="NP47" s="63"/>
      <c r="NQ47" s="64">
        <f t="shared" si="1071"/>
        <v>100</v>
      </c>
      <c r="NR47" s="66">
        <f t="shared" si="145"/>
        <v>1264.04</v>
      </c>
      <c r="NS47" s="67">
        <f t="shared" si="1072"/>
        <v>1164.04</v>
      </c>
      <c r="NT47" s="64">
        <f t="shared" si="1073"/>
        <v>100</v>
      </c>
      <c r="NU47" s="62"/>
      <c r="NV47" s="63"/>
      <c r="NW47" s="64">
        <f t="shared" si="1074"/>
        <v>0</v>
      </c>
      <c r="NX47" s="65">
        <v>1152.73</v>
      </c>
      <c r="NY47" s="63">
        <v>1152.73</v>
      </c>
      <c r="NZ47" s="64">
        <f t="shared" si="1075"/>
        <v>0</v>
      </c>
      <c r="OA47" s="65"/>
      <c r="OB47" s="63"/>
      <c r="OC47" s="64">
        <f t="shared" si="1076"/>
        <v>0</v>
      </c>
      <c r="OD47" s="65">
        <v>100</v>
      </c>
      <c r="OE47" s="63"/>
      <c r="OF47" s="64">
        <f t="shared" si="1077"/>
        <v>100</v>
      </c>
      <c r="OG47" s="66">
        <f t="shared" si="152"/>
        <v>1252.73</v>
      </c>
      <c r="OH47" s="67">
        <f t="shared" si="1078"/>
        <v>1152.73</v>
      </c>
      <c r="OI47" s="64">
        <f t="shared" si="1079"/>
        <v>100</v>
      </c>
      <c r="OJ47" s="62"/>
      <c r="OK47" s="63"/>
      <c r="OL47" s="64">
        <f t="shared" si="1080"/>
        <v>0</v>
      </c>
      <c r="OM47" s="65"/>
      <c r="ON47" s="63"/>
      <c r="OO47" s="64">
        <f t="shared" si="1081"/>
        <v>0</v>
      </c>
      <c r="OP47" s="65"/>
      <c r="OQ47" s="63"/>
      <c r="OR47" s="64">
        <f t="shared" si="1082"/>
        <v>0</v>
      </c>
      <c r="OS47" s="65">
        <v>100</v>
      </c>
      <c r="OT47" s="63"/>
      <c r="OU47" s="64">
        <f t="shared" si="1083"/>
        <v>100</v>
      </c>
      <c r="OV47" s="66">
        <f t="shared" si="159"/>
        <v>100</v>
      </c>
      <c r="OW47" s="67">
        <f t="shared" si="1084"/>
        <v>0</v>
      </c>
      <c r="OX47" s="64">
        <f t="shared" si="1085"/>
        <v>100</v>
      </c>
      <c r="OY47" s="62"/>
      <c r="OZ47" s="63"/>
      <c r="PA47" s="64">
        <f t="shared" si="1086"/>
        <v>0</v>
      </c>
      <c r="PB47" s="65"/>
      <c r="PC47" s="63"/>
      <c r="PD47" s="64">
        <f t="shared" si="1087"/>
        <v>0</v>
      </c>
      <c r="PE47" s="65"/>
      <c r="PF47" s="63"/>
      <c r="PG47" s="64">
        <f t="shared" si="1088"/>
        <v>0</v>
      </c>
      <c r="PH47" s="65">
        <v>100</v>
      </c>
      <c r="PI47" s="63"/>
      <c r="PJ47" s="64">
        <f t="shared" si="1089"/>
        <v>100</v>
      </c>
      <c r="PK47" s="66">
        <f t="shared" si="166"/>
        <v>100</v>
      </c>
      <c r="PL47" s="67">
        <f t="shared" si="1090"/>
        <v>0</v>
      </c>
      <c r="PM47" s="64">
        <f t="shared" si="1091"/>
        <v>100</v>
      </c>
      <c r="PN47" s="62">
        <v>1550</v>
      </c>
      <c r="PO47" s="63">
        <v>1550</v>
      </c>
      <c r="PP47" s="64">
        <f t="shared" si="1092"/>
        <v>0</v>
      </c>
      <c r="PQ47" s="65"/>
      <c r="PR47" s="63"/>
      <c r="PS47" s="64">
        <f t="shared" si="1093"/>
        <v>0</v>
      </c>
      <c r="PT47" s="65"/>
      <c r="PU47" s="63"/>
      <c r="PV47" s="64">
        <f t="shared" si="1094"/>
        <v>0</v>
      </c>
      <c r="PW47" s="65">
        <v>100</v>
      </c>
      <c r="PX47" s="63"/>
      <c r="PY47" s="64">
        <f t="shared" si="1095"/>
        <v>100</v>
      </c>
      <c r="PZ47" s="66">
        <f t="shared" si="173"/>
        <v>1650</v>
      </c>
      <c r="QA47" s="67">
        <f t="shared" si="1096"/>
        <v>1550</v>
      </c>
      <c r="QB47" s="64">
        <f t="shared" si="1097"/>
        <v>100</v>
      </c>
      <c r="QC47" s="62"/>
      <c r="QD47" s="63"/>
      <c r="QE47" s="64">
        <f t="shared" si="1098"/>
        <v>0</v>
      </c>
      <c r="QF47" s="65"/>
      <c r="QG47" s="63"/>
      <c r="QH47" s="64">
        <f t="shared" si="1099"/>
        <v>0</v>
      </c>
      <c r="QI47" s="65"/>
      <c r="QJ47" s="63"/>
      <c r="QK47" s="64">
        <f t="shared" si="1100"/>
        <v>0</v>
      </c>
      <c r="QL47" s="65">
        <v>100</v>
      </c>
      <c r="QM47" s="63"/>
      <c r="QN47" s="64">
        <f t="shared" si="1101"/>
        <v>100</v>
      </c>
      <c r="QO47" s="66">
        <f t="shared" si="180"/>
        <v>100</v>
      </c>
      <c r="QP47" s="67">
        <f t="shared" si="1102"/>
        <v>0</v>
      </c>
      <c r="QQ47" s="64">
        <f t="shared" si="1103"/>
        <v>100</v>
      </c>
      <c r="QR47" s="62"/>
      <c r="QS47" s="63"/>
      <c r="QT47" s="64">
        <f t="shared" si="1104"/>
        <v>0</v>
      </c>
      <c r="QU47" s="65">
        <v>602.79999999999995</v>
      </c>
      <c r="QV47" s="63">
        <v>631.84</v>
      </c>
      <c r="QW47" s="64">
        <f t="shared" si="1105"/>
        <v>-29.040000000000077</v>
      </c>
      <c r="QX47" s="65"/>
      <c r="QY47" s="63">
        <v>881.78</v>
      </c>
      <c r="QZ47" s="64">
        <f t="shared" si="1106"/>
        <v>-881.78</v>
      </c>
      <c r="RA47" s="65"/>
      <c r="RB47" s="63"/>
      <c r="RC47" s="64">
        <f t="shared" si="1107"/>
        <v>0</v>
      </c>
      <c r="RD47" s="66">
        <f t="shared" si="187"/>
        <v>602.79999999999995</v>
      </c>
      <c r="RE47" s="67">
        <f t="shared" si="1108"/>
        <v>1513.62</v>
      </c>
      <c r="RF47" s="74"/>
      <c r="RG47" s="72"/>
      <c r="RH47" s="73"/>
      <c r="RI47" s="74"/>
      <c r="RJ47" s="75"/>
      <c r="RK47" s="73"/>
      <c r="RL47" s="74"/>
      <c r="RM47" s="75"/>
      <c r="RN47" s="73"/>
      <c r="RO47" s="74"/>
      <c r="RP47" s="75"/>
      <c r="RQ47" s="73"/>
      <c r="RR47" s="74"/>
      <c r="RS47" s="76"/>
      <c r="RT47" s="77"/>
      <c r="RU47" s="64">
        <f t="shared" si="1109"/>
        <v>0</v>
      </c>
      <c r="RV47" s="62"/>
      <c r="RW47" s="63"/>
      <c r="RX47" s="64">
        <f t="shared" si="1110"/>
        <v>0</v>
      </c>
      <c r="RY47" s="65"/>
      <c r="RZ47" s="63"/>
      <c r="SA47" s="64">
        <f t="shared" si="1111"/>
        <v>0</v>
      </c>
      <c r="SB47" s="65"/>
      <c r="SC47" s="63"/>
      <c r="SD47" s="64">
        <f t="shared" si="1112"/>
        <v>0</v>
      </c>
      <c r="SE47" s="65">
        <v>100</v>
      </c>
      <c r="SF47" s="63"/>
      <c r="SG47" s="64">
        <f t="shared" si="1113"/>
        <v>100</v>
      </c>
      <c r="SH47" s="66">
        <f t="shared" si="201"/>
        <v>100</v>
      </c>
      <c r="SI47" s="67">
        <f t="shared" si="1114"/>
        <v>0</v>
      </c>
      <c r="SJ47" s="64">
        <f t="shared" si="1115"/>
        <v>100</v>
      </c>
      <c r="SK47" s="62"/>
      <c r="SL47" s="63"/>
      <c r="SM47" s="64">
        <f t="shared" si="1116"/>
        <v>0</v>
      </c>
      <c r="SN47" s="65"/>
      <c r="SO47" s="63"/>
      <c r="SP47" s="64">
        <f t="shared" si="1117"/>
        <v>0</v>
      </c>
      <c r="SQ47" s="65"/>
      <c r="SR47" s="63"/>
      <c r="SS47" s="64">
        <f t="shared" si="1118"/>
        <v>0</v>
      </c>
      <c r="ST47" s="65">
        <v>100</v>
      </c>
      <c r="SU47" s="63">
        <v>698.23</v>
      </c>
      <c r="SV47" s="64">
        <f t="shared" si="1119"/>
        <v>-598.23</v>
      </c>
      <c r="SW47" s="66">
        <f t="shared" si="208"/>
        <v>100</v>
      </c>
      <c r="SX47" s="67">
        <f t="shared" si="1120"/>
        <v>698.23</v>
      </c>
      <c r="SY47" s="64">
        <f t="shared" si="1121"/>
        <v>-598.23</v>
      </c>
      <c r="SZ47" s="62">
        <v>985.33</v>
      </c>
      <c r="TA47" s="63">
        <v>985.33</v>
      </c>
      <c r="TB47" s="64">
        <f t="shared" si="1122"/>
        <v>0</v>
      </c>
      <c r="TC47" s="65">
        <v>700.9</v>
      </c>
      <c r="TD47" s="63">
        <v>740.15</v>
      </c>
      <c r="TE47" s="64">
        <f t="shared" si="1123"/>
        <v>-39.25</v>
      </c>
      <c r="TF47" s="65"/>
      <c r="TG47" s="63"/>
      <c r="TH47" s="64">
        <f t="shared" si="1124"/>
        <v>0</v>
      </c>
      <c r="TI47" s="65">
        <v>100</v>
      </c>
      <c r="TJ47" s="63"/>
      <c r="TK47" s="64">
        <f t="shared" si="1125"/>
        <v>100</v>
      </c>
      <c r="TL47" s="66">
        <f t="shared" si="215"/>
        <v>1786.23</v>
      </c>
      <c r="TM47" s="67">
        <f t="shared" si="1126"/>
        <v>1725.48</v>
      </c>
      <c r="TN47" s="64">
        <f t="shared" si="1127"/>
        <v>60.75</v>
      </c>
      <c r="TO47" s="62"/>
      <c r="TP47" s="63"/>
      <c r="TQ47" s="64">
        <f t="shared" si="1128"/>
        <v>0</v>
      </c>
      <c r="TR47" s="65"/>
      <c r="TS47" s="63"/>
      <c r="TT47" s="64">
        <f t="shared" si="1129"/>
        <v>0</v>
      </c>
      <c r="TU47" s="65"/>
      <c r="TV47" s="63"/>
      <c r="TW47" s="64">
        <f t="shared" si="1130"/>
        <v>0</v>
      </c>
      <c r="TX47" s="65">
        <v>100</v>
      </c>
      <c r="TY47" s="63"/>
      <c r="TZ47" s="64">
        <f t="shared" si="1131"/>
        <v>100</v>
      </c>
      <c r="UA47" s="66">
        <f t="shared" si="222"/>
        <v>100</v>
      </c>
      <c r="UB47" s="67">
        <f t="shared" si="1132"/>
        <v>0</v>
      </c>
      <c r="UC47" s="64">
        <f t="shared" si="1133"/>
        <v>100</v>
      </c>
      <c r="UD47" s="62">
        <v>1125</v>
      </c>
      <c r="UE47" s="63">
        <v>1125</v>
      </c>
      <c r="UF47" s="64">
        <f t="shared" si="1134"/>
        <v>0</v>
      </c>
      <c r="UG47" s="65">
        <v>497.04</v>
      </c>
      <c r="UH47" s="63">
        <v>517.34</v>
      </c>
      <c r="UI47" s="64">
        <f t="shared" si="1135"/>
        <v>-20.300000000000011</v>
      </c>
      <c r="UJ47" s="65"/>
      <c r="UK47" s="63"/>
      <c r="UL47" s="64">
        <f t="shared" si="1136"/>
        <v>0</v>
      </c>
      <c r="UM47" s="65">
        <v>100</v>
      </c>
      <c r="UN47" s="63"/>
      <c r="UO47" s="64">
        <f t="shared" si="1137"/>
        <v>100</v>
      </c>
      <c r="UP47" s="66">
        <f t="shared" si="226"/>
        <v>1722.04</v>
      </c>
      <c r="UQ47" s="67">
        <f t="shared" si="1138"/>
        <v>1642.3400000000001</v>
      </c>
      <c r="UR47" s="64">
        <f t="shared" si="1139"/>
        <v>79.699999999999818</v>
      </c>
      <c r="US47" s="74"/>
      <c r="UT47" s="72"/>
      <c r="UU47" s="73"/>
      <c r="UV47" s="74"/>
      <c r="UW47" s="75"/>
      <c r="UX47" s="73"/>
      <c r="UY47" s="74"/>
      <c r="UZ47" s="75"/>
      <c r="VA47" s="73"/>
      <c r="VB47" s="74"/>
      <c r="VC47" s="75"/>
      <c r="VD47" s="73"/>
      <c r="VE47" s="74"/>
      <c r="VF47" s="76"/>
      <c r="VG47" s="77"/>
      <c r="VH47" s="62"/>
      <c r="VI47" s="63"/>
      <c r="VJ47" s="64">
        <f t="shared" si="1140"/>
        <v>0</v>
      </c>
      <c r="VK47" s="65"/>
      <c r="VL47" s="63"/>
      <c r="VM47" s="64">
        <f t="shared" si="1141"/>
        <v>0</v>
      </c>
      <c r="VN47" s="65"/>
      <c r="VO47" s="63"/>
      <c r="VP47" s="64">
        <f t="shared" si="1142"/>
        <v>0</v>
      </c>
      <c r="VQ47" s="65">
        <v>100</v>
      </c>
      <c r="VR47" s="63"/>
      <c r="VS47" s="64">
        <f t="shared" si="1143"/>
        <v>100</v>
      </c>
      <c r="VT47" s="66">
        <f t="shared" si="240"/>
        <v>100</v>
      </c>
      <c r="VU47" s="67">
        <f t="shared" si="1144"/>
        <v>0</v>
      </c>
      <c r="VV47" s="64">
        <f t="shared" si="1145"/>
        <v>100</v>
      </c>
      <c r="VW47" s="74"/>
      <c r="VX47" s="72"/>
      <c r="VY47" s="73"/>
      <c r="VZ47" s="74"/>
      <c r="WA47" s="75"/>
      <c r="WB47" s="73"/>
      <c r="WC47" s="74"/>
      <c r="WD47" s="75"/>
      <c r="WE47" s="73"/>
      <c r="WF47" s="74"/>
      <c r="WG47" s="75"/>
      <c r="WH47" s="73"/>
      <c r="WI47" s="74"/>
      <c r="WJ47" s="76"/>
      <c r="WK47" s="77"/>
      <c r="WL47" s="62">
        <v>1376.01</v>
      </c>
      <c r="WM47" s="63">
        <v>1376.01</v>
      </c>
      <c r="WN47" s="64">
        <f t="shared" si="1146"/>
        <v>0</v>
      </c>
      <c r="WO47" s="65">
        <v>418.56</v>
      </c>
      <c r="WP47" s="63">
        <v>579.22</v>
      </c>
      <c r="WQ47" s="64">
        <f t="shared" si="1147"/>
        <v>-160.66000000000003</v>
      </c>
      <c r="WR47" s="65"/>
      <c r="WS47" s="63"/>
      <c r="WT47" s="64">
        <f t="shared" si="1148"/>
        <v>0</v>
      </c>
      <c r="WU47" s="65">
        <v>100</v>
      </c>
      <c r="WV47" s="63"/>
      <c r="WW47" s="64">
        <f t="shared" si="1149"/>
        <v>100</v>
      </c>
      <c r="WX47" s="66">
        <f t="shared" si="254"/>
        <v>1894.57</v>
      </c>
      <c r="WY47" s="67">
        <f t="shared" si="1150"/>
        <v>1955.23</v>
      </c>
      <c r="WZ47" s="64">
        <f t="shared" si="1151"/>
        <v>-60.660000000000082</v>
      </c>
      <c r="XA47" s="62"/>
      <c r="XB47" s="63"/>
      <c r="XC47" s="64">
        <f t="shared" si="1152"/>
        <v>0</v>
      </c>
      <c r="XD47" s="65"/>
      <c r="XE47" s="63"/>
      <c r="XF47" s="64">
        <f t="shared" si="1153"/>
        <v>0</v>
      </c>
      <c r="XG47" s="65"/>
      <c r="XH47" s="63"/>
      <c r="XI47" s="64">
        <f t="shared" si="1154"/>
        <v>0</v>
      </c>
      <c r="XJ47" s="65">
        <v>100</v>
      </c>
      <c r="XK47" s="63"/>
      <c r="XL47" s="64">
        <f t="shared" si="1155"/>
        <v>100</v>
      </c>
      <c r="XM47" s="66">
        <f t="shared" si="261"/>
        <v>100</v>
      </c>
      <c r="XN47" s="67">
        <f t="shared" si="1156"/>
        <v>0</v>
      </c>
      <c r="XO47" s="64">
        <f t="shared" si="1157"/>
        <v>100</v>
      </c>
      <c r="XP47" s="62"/>
      <c r="XQ47" s="63"/>
      <c r="XR47" s="64">
        <f t="shared" si="1158"/>
        <v>0</v>
      </c>
      <c r="XS47" s="65">
        <v>844.24</v>
      </c>
      <c r="XT47" s="63">
        <v>844.24</v>
      </c>
      <c r="XU47" s="64">
        <f t="shared" si="1159"/>
        <v>0</v>
      </c>
      <c r="XV47" s="65"/>
      <c r="XW47" s="63"/>
      <c r="XX47" s="64">
        <f t="shared" si="1160"/>
        <v>0</v>
      </c>
      <c r="XY47" s="65">
        <v>100</v>
      </c>
      <c r="XZ47" s="63"/>
      <c r="YA47" s="64">
        <f t="shared" si="1161"/>
        <v>100</v>
      </c>
      <c r="YB47" s="66">
        <f t="shared" si="268"/>
        <v>944.24</v>
      </c>
      <c r="YC47" s="67">
        <f t="shared" si="1162"/>
        <v>844.24</v>
      </c>
      <c r="YD47" s="64">
        <f t="shared" si="1163"/>
        <v>100</v>
      </c>
      <c r="YE47" s="62"/>
      <c r="YF47" s="63"/>
      <c r="YG47" s="64">
        <f t="shared" si="1164"/>
        <v>0</v>
      </c>
      <c r="YH47" s="65">
        <v>847.85</v>
      </c>
      <c r="YI47" s="63">
        <v>847.85</v>
      </c>
      <c r="YJ47" s="64">
        <f t="shared" si="1165"/>
        <v>0</v>
      </c>
      <c r="YK47" s="65"/>
      <c r="YL47" s="63"/>
      <c r="YM47" s="64">
        <f t="shared" si="1166"/>
        <v>0</v>
      </c>
      <c r="YN47" s="65">
        <v>100</v>
      </c>
      <c r="YO47" s="63"/>
      <c r="YP47" s="64">
        <f t="shared" si="1167"/>
        <v>100</v>
      </c>
      <c r="YQ47" s="66">
        <f t="shared" si="275"/>
        <v>947.85</v>
      </c>
      <c r="YR47" s="67">
        <f t="shared" si="1168"/>
        <v>847.85</v>
      </c>
      <c r="YS47" s="64">
        <f t="shared" si="1169"/>
        <v>100</v>
      </c>
      <c r="YT47" s="62"/>
      <c r="YU47" s="63"/>
      <c r="YV47" s="64">
        <f t="shared" si="1170"/>
        <v>0</v>
      </c>
      <c r="YW47" s="65">
        <v>695.73</v>
      </c>
      <c r="YX47" s="63">
        <v>695.73</v>
      </c>
      <c r="YY47" s="64">
        <f t="shared" si="1171"/>
        <v>0</v>
      </c>
      <c r="YZ47" s="65"/>
      <c r="ZA47" s="63"/>
      <c r="ZB47" s="64">
        <f t="shared" si="1172"/>
        <v>0</v>
      </c>
      <c r="ZC47" s="65">
        <v>100</v>
      </c>
      <c r="ZD47" s="63"/>
      <c r="ZE47" s="64">
        <f t="shared" si="1173"/>
        <v>100</v>
      </c>
      <c r="ZF47" s="66">
        <f t="shared" si="282"/>
        <v>795.73</v>
      </c>
      <c r="ZG47" s="67">
        <f t="shared" si="1174"/>
        <v>695.73</v>
      </c>
      <c r="ZH47" s="74"/>
      <c r="ZI47" s="72"/>
      <c r="ZJ47" s="73"/>
      <c r="ZK47" s="74"/>
      <c r="ZL47" s="75"/>
      <c r="ZM47" s="73"/>
      <c r="ZN47" s="74"/>
      <c r="ZO47" s="75"/>
      <c r="ZP47" s="73"/>
      <c r="ZQ47" s="74"/>
      <c r="ZR47" s="75"/>
      <c r="ZS47" s="73"/>
      <c r="ZT47" s="74"/>
      <c r="ZU47" s="76"/>
      <c r="ZV47" s="77"/>
      <c r="ZW47" s="64">
        <f t="shared" si="1175"/>
        <v>0</v>
      </c>
      <c r="ZX47" s="62">
        <v>24.71</v>
      </c>
      <c r="ZY47" s="63">
        <v>24.71</v>
      </c>
      <c r="ZZ47" s="64">
        <f t="shared" si="1176"/>
        <v>0</v>
      </c>
      <c r="AAA47" s="66">
        <f t="shared" si="293"/>
        <v>24.71</v>
      </c>
      <c r="AAB47" s="67">
        <f t="shared" si="293"/>
        <v>24.71</v>
      </c>
      <c r="AAC47" s="64">
        <f t="shared" si="1177"/>
        <v>0</v>
      </c>
      <c r="AAD47" s="85">
        <f t="shared" si="295"/>
        <v>55121.320000000007</v>
      </c>
      <c r="AAE47" s="86">
        <f t="shared" si="295"/>
        <v>61715.13</v>
      </c>
      <c r="AAF47" s="87">
        <f t="shared" si="3"/>
        <v>1.1196235866630189</v>
      </c>
      <c r="AAG47" s="88">
        <f t="shared" si="1178"/>
        <v>6593.8099999999904</v>
      </c>
      <c r="AAH47" s="91"/>
      <c r="AAI47" s="92"/>
      <c r="AAJ47" s="92"/>
      <c r="AAK47" s="60"/>
    </row>
    <row r="48" spans="1:713" s="83" customFormat="1" ht="20" customHeight="1" x14ac:dyDescent="0.2">
      <c r="A48" s="84" t="s">
        <v>45</v>
      </c>
      <c r="B48" s="58" t="s">
        <v>145</v>
      </c>
      <c r="C48" s="59"/>
      <c r="D48" s="59"/>
      <c r="E48" s="60"/>
      <c r="F48" s="61">
        <v>45778</v>
      </c>
      <c r="G48" s="62"/>
      <c r="H48" s="63"/>
      <c r="I48" s="64">
        <f t="shared" si="951"/>
        <v>0</v>
      </c>
      <c r="J48" s="65">
        <v>3514.55</v>
      </c>
      <c r="K48" s="63">
        <v>3024.51</v>
      </c>
      <c r="L48" s="64">
        <f t="shared" si="952"/>
        <v>490.03999999999996</v>
      </c>
      <c r="M48" s="65"/>
      <c r="N48" s="63"/>
      <c r="O48" s="64">
        <f t="shared" si="953"/>
        <v>0</v>
      </c>
      <c r="P48" s="65">
        <v>750</v>
      </c>
      <c r="Q48" s="63">
        <v>691.8</v>
      </c>
      <c r="R48" s="64">
        <f t="shared" si="954"/>
        <v>58.200000000000045</v>
      </c>
      <c r="S48" s="65">
        <v>181</v>
      </c>
      <c r="T48" s="63">
        <v>245.43</v>
      </c>
      <c r="U48" s="64">
        <f t="shared" si="955"/>
        <v>-64.430000000000007</v>
      </c>
      <c r="V48" s="66">
        <f t="shared" si="956"/>
        <v>4445.55</v>
      </c>
      <c r="W48" s="67">
        <f t="shared" si="956"/>
        <v>3961.7400000000002</v>
      </c>
      <c r="X48" s="64">
        <f t="shared" si="957"/>
        <v>483.80999999999995</v>
      </c>
      <c r="Y48" s="72"/>
      <c r="Z48" s="73"/>
      <c r="AA48" s="74"/>
      <c r="AB48" s="75"/>
      <c r="AC48" s="73"/>
      <c r="AD48" s="74"/>
      <c r="AE48" s="75"/>
      <c r="AF48" s="73"/>
      <c r="AG48" s="74"/>
      <c r="AH48" s="75"/>
      <c r="AI48" s="73"/>
      <c r="AJ48" s="74"/>
      <c r="AK48" s="76"/>
      <c r="AL48" s="77"/>
      <c r="AM48" s="64">
        <f t="shared" si="958"/>
        <v>0</v>
      </c>
      <c r="AN48" s="62"/>
      <c r="AO48" s="63"/>
      <c r="AP48" s="64">
        <f t="shared" si="1179"/>
        <v>0</v>
      </c>
      <c r="AQ48" s="65"/>
      <c r="AR48" s="63"/>
      <c r="AS48" s="64">
        <f t="shared" si="959"/>
        <v>0</v>
      </c>
      <c r="AT48" s="65"/>
      <c r="AU48" s="63"/>
      <c r="AV48" s="64">
        <f t="shared" si="960"/>
        <v>0</v>
      </c>
      <c r="AW48" s="65"/>
      <c r="AX48" s="63"/>
      <c r="AY48" s="64">
        <f t="shared" si="961"/>
        <v>0</v>
      </c>
      <c r="AZ48" s="66">
        <f t="shared" si="23"/>
        <v>0</v>
      </c>
      <c r="BA48" s="67">
        <f t="shared" si="962"/>
        <v>0</v>
      </c>
      <c r="BB48" s="64">
        <f t="shared" si="963"/>
        <v>0</v>
      </c>
      <c r="BC48" s="62"/>
      <c r="BD48" s="63"/>
      <c r="BE48" s="64">
        <f t="shared" si="964"/>
        <v>0</v>
      </c>
      <c r="BF48" s="65"/>
      <c r="BG48" s="63"/>
      <c r="BH48" s="64">
        <f t="shared" si="965"/>
        <v>0</v>
      </c>
      <c r="BI48" s="65"/>
      <c r="BJ48" s="63"/>
      <c r="BK48" s="64">
        <f t="shared" si="966"/>
        <v>0</v>
      </c>
      <c r="BL48" s="65">
        <v>100</v>
      </c>
      <c r="BM48" s="63"/>
      <c r="BN48" s="64">
        <f t="shared" si="967"/>
        <v>100</v>
      </c>
      <c r="BO48" s="66">
        <f t="shared" si="30"/>
        <v>100</v>
      </c>
      <c r="BP48" s="67">
        <f t="shared" si="968"/>
        <v>0</v>
      </c>
      <c r="BQ48" s="64">
        <f t="shared" si="969"/>
        <v>100</v>
      </c>
      <c r="BR48" s="72"/>
      <c r="BS48" s="73"/>
      <c r="BT48" s="74"/>
      <c r="BU48" s="75"/>
      <c r="BV48" s="73"/>
      <c r="BW48" s="74"/>
      <c r="BX48" s="75"/>
      <c r="BY48" s="73"/>
      <c r="BZ48" s="74"/>
      <c r="CA48" s="75"/>
      <c r="CB48" s="73"/>
      <c r="CC48" s="74"/>
      <c r="CD48" s="76"/>
      <c r="CE48" s="77"/>
      <c r="CF48" s="64">
        <f t="shared" si="970"/>
        <v>0</v>
      </c>
      <c r="CG48" s="62"/>
      <c r="CH48" s="63"/>
      <c r="CI48" s="64">
        <f t="shared" si="971"/>
        <v>0</v>
      </c>
      <c r="CJ48" s="65"/>
      <c r="CK48" s="63"/>
      <c r="CL48" s="64">
        <f t="shared" si="972"/>
        <v>0</v>
      </c>
      <c r="CM48" s="65"/>
      <c r="CN48" s="63"/>
      <c r="CO48" s="64">
        <f t="shared" si="973"/>
        <v>0</v>
      </c>
      <c r="CP48" s="65"/>
      <c r="CQ48" s="63"/>
      <c r="CR48" s="64">
        <f t="shared" si="974"/>
        <v>0</v>
      </c>
      <c r="CS48" s="66">
        <f t="shared" si="40"/>
        <v>0</v>
      </c>
      <c r="CT48" s="67">
        <f t="shared" si="975"/>
        <v>0</v>
      </c>
      <c r="CU48" s="64">
        <f t="shared" si="976"/>
        <v>0</v>
      </c>
      <c r="CV48" s="62">
        <v>2916.7</v>
      </c>
      <c r="CW48" s="63">
        <v>2562.2199999999998</v>
      </c>
      <c r="CX48" s="64">
        <f t="shared" si="977"/>
        <v>354.48</v>
      </c>
      <c r="CY48" s="65">
        <v>429.15</v>
      </c>
      <c r="CZ48" s="63">
        <v>429.15</v>
      </c>
      <c r="DA48" s="64">
        <f t="shared" si="978"/>
        <v>0</v>
      </c>
      <c r="DB48" s="65"/>
      <c r="DC48" s="63"/>
      <c r="DD48" s="64">
        <f t="shared" si="979"/>
        <v>0</v>
      </c>
      <c r="DE48" s="65"/>
      <c r="DF48" s="63"/>
      <c r="DG48" s="64">
        <f t="shared" si="980"/>
        <v>0</v>
      </c>
      <c r="DH48" s="66">
        <f t="shared" si="43"/>
        <v>3345.85</v>
      </c>
      <c r="DI48" s="67">
        <f t="shared" si="981"/>
        <v>2991.37</v>
      </c>
      <c r="DJ48" s="64">
        <f t="shared" si="982"/>
        <v>354.48</v>
      </c>
      <c r="DK48" s="62">
        <v>2400</v>
      </c>
      <c r="DL48" s="63">
        <v>2400</v>
      </c>
      <c r="DM48" s="64">
        <f t="shared" si="983"/>
        <v>0</v>
      </c>
      <c r="DN48" s="65">
        <v>913.08</v>
      </c>
      <c r="DO48" s="63">
        <v>913.08</v>
      </c>
      <c r="DP48" s="64">
        <f t="shared" si="984"/>
        <v>0</v>
      </c>
      <c r="DQ48" s="65"/>
      <c r="DR48" s="63"/>
      <c r="DS48" s="64">
        <f t="shared" si="985"/>
        <v>0</v>
      </c>
      <c r="DT48" s="65">
        <v>100</v>
      </c>
      <c r="DU48" s="63"/>
      <c r="DV48" s="64">
        <f t="shared" si="986"/>
        <v>100</v>
      </c>
      <c r="DW48" s="66">
        <f t="shared" si="46"/>
        <v>3413.08</v>
      </c>
      <c r="DX48" s="67">
        <f t="shared" si="987"/>
        <v>3313.08</v>
      </c>
      <c r="DY48" s="64">
        <f t="shared" si="988"/>
        <v>100</v>
      </c>
      <c r="DZ48" s="62"/>
      <c r="EA48" s="63"/>
      <c r="EB48" s="64">
        <f t="shared" si="989"/>
        <v>0</v>
      </c>
      <c r="EC48" s="65"/>
      <c r="ED48" s="63"/>
      <c r="EE48" s="64">
        <f t="shared" si="990"/>
        <v>0</v>
      </c>
      <c r="EF48" s="65"/>
      <c r="EG48" s="63"/>
      <c r="EH48" s="64">
        <f t="shared" si="991"/>
        <v>0</v>
      </c>
      <c r="EI48" s="65">
        <v>100</v>
      </c>
      <c r="EJ48" s="63"/>
      <c r="EK48" s="64">
        <f t="shared" si="992"/>
        <v>100</v>
      </c>
      <c r="EL48" s="66">
        <f t="shared" si="53"/>
        <v>100</v>
      </c>
      <c r="EM48" s="67">
        <f t="shared" si="993"/>
        <v>0</v>
      </c>
      <c r="EN48" s="64">
        <f t="shared" si="994"/>
        <v>100</v>
      </c>
      <c r="EO48" s="62"/>
      <c r="EP48" s="63"/>
      <c r="EQ48" s="64">
        <f t="shared" si="995"/>
        <v>0</v>
      </c>
      <c r="ER48" s="65"/>
      <c r="ES48" s="63"/>
      <c r="ET48" s="64">
        <f t="shared" si="996"/>
        <v>0</v>
      </c>
      <c r="EU48" s="65"/>
      <c r="EV48" s="63"/>
      <c r="EW48" s="64">
        <f t="shared" si="997"/>
        <v>0</v>
      </c>
      <c r="EX48" s="65">
        <v>100</v>
      </c>
      <c r="EY48" s="63"/>
      <c r="EZ48" s="64">
        <f t="shared" si="998"/>
        <v>100</v>
      </c>
      <c r="FA48" s="66">
        <f t="shared" si="60"/>
        <v>100</v>
      </c>
      <c r="FB48" s="67">
        <f t="shared" si="999"/>
        <v>0</v>
      </c>
      <c r="FC48" s="64">
        <f t="shared" si="1000"/>
        <v>100</v>
      </c>
      <c r="FD48" s="62"/>
      <c r="FE48" s="63"/>
      <c r="FF48" s="64">
        <f t="shared" si="1001"/>
        <v>0</v>
      </c>
      <c r="FG48" s="65"/>
      <c r="FH48" s="63"/>
      <c r="FI48" s="64">
        <f t="shared" si="1002"/>
        <v>0</v>
      </c>
      <c r="FJ48" s="65"/>
      <c r="FK48" s="63"/>
      <c r="FL48" s="64">
        <f t="shared" si="1003"/>
        <v>0</v>
      </c>
      <c r="FM48" s="65">
        <v>100</v>
      </c>
      <c r="FN48" s="63"/>
      <c r="FO48" s="64">
        <f t="shared" si="1004"/>
        <v>100</v>
      </c>
      <c r="FP48" s="66">
        <f t="shared" si="67"/>
        <v>100</v>
      </c>
      <c r="FQ48" s="67">
        <f t="shared" si="1005"/>
        <v>0</v>
      </c>
      <c r="FR48" s="64">
        <f t="shared" si="1006"/>
        <v>100</v>
      </c>
      <c r="FS48" s="62"/>
      <c r="FT48" s="63"/>
      <c r="FU48" s="64">
        <f t="shared" si="1007"/>
        <v>0</v>
      </c>
      <c r="FV48" s="65">
        <v>485.35</v>
      </c>
      <c r="FW48" s="63">
        <v>485.35</v>
      </c>
      <c r="FX48" s="64">
        <f t="shared" si="1008"/>
        <v>0</v>
      </c>
      <c r="FY48" s="65"/>
      <c r="FZ48" s="63"/>
      <c r="GA48" s="64">
        <f t="shared" si="1009"/>
        <v>0</v>
      </c>
      <c r="GB48" s="65"/>
      <c r="GC48" s="63"/>
      <c r="GD48" s="64">
        <f t="shared" si="1010"/>
        <v>0</v>
      </c>
      <c r="GE48" s="66">
        <f t="shared" si="74"/>
        <v>485.35</v>
      </c>
      <c r="GF48" s="67">
        <f t="shared" si="1011"/>
        <v>485.35</v>
      </c>
      <c r="GG48" s="64">
        <f t="shared" si="1012"/>
        <v>0</v>
      </c>
      <c r="GH48" s="62"/>
      <c r="GI48" s="63"/>
      <c r="GJ48" s="64">
        <f t="shared" si="1013"/>
        <v>0</v>
      </c>
      <c r="GK48" s="65">
        <v>660.33</v>
      </c>
      <c r="GL48" s="63">
        <v>660.33</v>
      </c>
      <c r="GM48" s="64">
        <f t="shared" si="1014"/>
        <v>0</v>
      </c>
      <c r="GN48" s="65"/>
      <c r="GO48" s="63"/>
      <c r="GP48" s="64">
        <f t="shared" si="1015"/>
        <v>0</v>
      </c>
      <c r="GQ48" s="65"/>
      <c r="GR48" s="63"/>
      <c r="GS48" s="64">
        <f t="shared" si="1016"/>
        <v>0</v>
      </c>
      <c r="GT48" s="66">
        <f t="shared" si="81"/>
        <v>660.33</v>
      </c>
      <c r="GU48" s="67">
        <f t="shared" si="1017"/>
        <v>660.33</v>
      </c>
      <c r="GV48" s="64">
        <f t="shared" si="1018"/>
        <v>0</v>
      </c>
      <c r="GW48" s="62"/>
      <c r="GX48" s="63"/>
      <c r="GY48" s="64">
        <f t="shared" si="1019"/>
        <v>0</v>
      </c>
      <c r="GZ48" s="65">
        <v>568.25</v>
      </c>
      <c r="HA48" s="63">
        <v>568.25</v>
      </c>
      <c r="HB48" s="64">
        <f t="shared" si="1020"/>
        <v>0</v>
      </c>
      <c r="HC48" s="65"/>
      <c r="HD48" s="63"/>
      <c r="HE48" s="64">
        <f t="shared" si="1021"/>
        <v>0</v>
      </c>
      <c r="HF48" s="65">
        <v>100</v>
      </c>
      <c r="HG48" s="63"/>
      <c r="HH48" s="64">
        <f t="shared" si="1022"/>
        <v>100</v>
      </c>
      <c r="HI48" s="66">
        <f t="shared" si="84"/>
        <v>668.25</v>
      </c>
      <c r="HJ48" s="67">
        <f t="shared" si="1023"/>
        <v>568.25</v>
      </c>
      <c r="HK48" s="64">
        <f t="shared" si="1024"/>
        <v>100</v>
      </c>
      <c r="HL48" s="62"/>
      <c r="HM48" s="63"/>
      <c r="HN48" s="64">
        <f t="shared" si="1025"/>
        <v>0</v>
      </c>
      <c r="HO48" s="65"/>
      <c r="HP48" s="63"/>
      <c r="HQ48" s="64">
        <f t="shared" si="1026"/>
        <v>0</v>
      </c>
      <c r="HR48" s="65"/>
      <c r="HS48" s="63"/>
      <c r="HT48" s="64">
        <f t="shared" si="1027"/>
        <v>0</v>
      </c>
      <c r="HU48" s="65">
        <v>100</v>
      </c>
      <c r="HV48" s="63"/>
      <c r="HW48" s="64">
        <f t="shared" si="1028"/>
        <v>100</v>
      </c>
      <c r="HX48" s="66">
        <f t="shared" si="91"/>
        <v>100</v>
      </c>
      <c r="HY48" s="67">
        <f t="shared" si="1029"/>
        <v>0</v>
      </c>
      <c r="HZ48" s="64">
        <f t="shared" si="1030"/>
        <v>100</v>
      </c>
      <c r="IA48" s="62"/>
      <c r="IB48" s="63"/>
      <c r="IC48" s="64">
        <f t="shared" si="1031"/>
        <v>0</v>
      </c>
      <c r="ID48" s="65"/>
      <c r="IE48" s="63"/>
      <c r="IF48" s="64">
        <f t="shared" si="1032"/>
        <v>0</v>
      </c>
      <c r="IG48" s="65"/>
      <c r="IH48" s="63"/>
      <c r="II48" s="64">
        <f t="shared" si="1033"/>
        <v>0</v>
      </c>
      <c r="IJ48" s="65">
        <v>100</v>
      </c>
      <c r="IK48" s="63"/>
      <c r="IL48" s="64">
        <f t="shared" si="1034"/>
        <v>100</v>
      </c>
      <c r="IM48" s="66">
        <f t="shared" si="98"/>
        <v>100</v>
      </c>
      <c r="IN48" s="67">
        <f t="shared" si="1035"/>
        <v>0</v>
      </c>
      <c r="IO48" s="64">
        <f t="shared" si="1036"/>
        <v>100</v>
      </c>
      <c r="IP48" s="62"/>
      <c r="IQ48" s="63"/>
      <c r="IR48" s="64">
        <f t="shared" si="1037"/>
        <v>0</v>
      </c>
      <c r="IS48" s="65"/>
      <c r="IT48" s="63"/>
      <c r="IU48" s="64">
        <f t="shared" si="1038"/>
        <v>0</v>
      </c>
      <c r="IV48" s="65"/>
      <c r="IW48" s="63"/>
      <c r="IX48" s="64">
        <f t="shared" si="1039"/>
        <v>0</v>
      </c>
      <c r="IY48" s="65"/>
      <c r="IZ48" s="63"/>
      <c r="JA48" s="64">
        <f t="shared" si="1040"/>
        <v>0</v>
      </c>
      <c r="JB48" s="66">
        <f t="shared" si="105"/>
        <v>0</v>
      </c>
      <c r="JC48" s="67">
        <f t="shared" si="1041"/>
        <v>0</v>
      </c>
      <c r="JD48" s="64">
        <f t="shared" si="1042"/>
        <v>0</v>
      </c>
      <c r="JE48" s="72"/>
      <c r="JF48" s="150"/>
      <c r="JG48" s="74"/>
      <c r="JH48" s="75"/>
      <c r="JI48" s="150"/>
      <c r="JJ48" s="74"/>
      <c r="JK48" s="75"/>
      <c r="JL48" s="150"/>
      <c r="JM48" s="74"/>
      <c r="JN48" s="75"/>
      <c r="JO48" s="150"/>
      <c r="JP48" s="74"/>
      <c r="JQ48" s="76"/>
      <c r="JR48" s="77"/>
      <c r="JS48" s="74"/>
      <c r="JT48" s="72"/>
      <c r="JU48" s="73"/>
      <c r="JV48" s="74"/>
      <c r="JW48" s="75"/>
      <c r="JX48" s="73"/>
      <c r="JY48" s="74"/>
      <c r="JZ48" s="75"/>
      <c r="KA48" s="73"/>
      <c r="KB48" s="74"/>
      <c r="KC48" s="75"/>
      <c r="KD48" s="73"/>
      <c r="KE48" s="74"/>
      <c r="KF48" s="76"/>
      <c r="KG48" s="77"/>
      <c r="KH48" s="64">
        <f t="shared" si="1043"/>
        <v>0</v>
      </c>
      <c r="KI48" s="62"/>
      <c r="KJ48" s="63"/>
      <c r="KK48" s="64">
        <f t="shared" si="1044"/>
        <v>0</v>
      </c>
      <c r="KL48" s="65"/>
      <c r="KM48" s="63"/>
      <c r="KN48" s="64">
        <f t="shared" si="1045"/>
        <v>0</v>
      </c>
      <c r="KO48" s="65"/>
      <c r="KP48" s="63"/>
      <c r="KQ48" s="64">
        <f t="shared" si="1046"/>
        <v>0</v>
      </c>
      <c r="KR48" s="65"/>
      <c r="KS48" s="63"/>
      <c r="KT48" s="64">
        <f t="shared" si="1047"/>
        <v>0</v>
      </c>
      <c r="KU48" s="66">
        <f t="shared" si="1"/>
        <v>0</v>
      </c>
      <c r="KV48" s="67">
        <f t="shared" si="1048"/>
        <v>0</v>
      </c>
      <c r="KW48" s="64">
        <f t="shared" si="1049"/>
        <v>0</v>
      </c>
      <c r="KX48" s="72"/>
      <c r="KY48" s="73"/>
      <c r="KZ48" s="74"/>
      <c r="LA48" s="75"/>
      <c r="LB48" s="73"/>
      <c r="LC48" s="74"/>
      <c r="LD48" s="75"/>
      <c r="LE48" s="73"/>
      <c r="LF48" s="74"/>
      <c r="LG48" s="75"/>
      <c r="LH48" s="73"/>
      <c r="LI48" s="74"/>
      <c r="LJ48" s="76"/>
      <c r="LK48" s="77"/>
      <c r="LL48" s="74"/>
      <c r="LM48" s="62"/>
      <c r="LN48" s="63"/>
      <c r="LO48" s="64">
        <f t="shared" si="1050"/>
        <v>0</v>
      </c>
      <c r="LP48" s="65"/>
      <c r="LQ48" s="63">
        <f>289.79</f>
        <v>289.79000000000002</v>
      </c>
      <c r="LR48" s="64">
        <f t="shared" si="1051"/>
        <v>-289.79000000000002</v>
      </c>
      <c r="LS48" s="65"/>
      <c r="LT48" s="63"/>
      <c r="LU48" s="64">
        <f t="shared" si="1052"/>
        <v>0</v>
      </c>
      <c r="LV48" s="65">
        <v>100</v>
      </c>
      <c r="LW48" s="63">
        <f>276.74</f>
        <v>276.74</v>
      </c>
      <c r="LX48" s="64">
        <f t="shared" si="1053"/>
        <v>-176.74</v>
      </c>
      <c r="LY48" s="66">
        <f t="shared" si="124"/>
        <v>100</v>
      </c>
      <c r="LZ48" s="67">
        <f t="shared" si="1054"/>
        <v>566.53</v>
      </c>
      <c r="MA48" s="64">
        <f t="shared" si="1055"/>
        <v>-466.53</v>
      </c>
      <c r="MB48" s="62"/>
      <c r="MC48" s="63"/>
      <c r="MD48" s="64">
        <f t="shared" si="1056"/>
        <v>0</v>
      </c>
      <c r="ME48" s="65">
        <v>889.11</v>
      </c>
      <c r="MF48" s="63">
        <v>889.11</v>
      </c>
      <c r="MG48" s="64">
        <f t="shared" si="1057"/>
        <v>0</v>
      </c>
      <c r="MH48" s="65"/>
      <c r="MI48" s="63"/>
      <c r="MJ48" s="64">
        <f t="shared" si="1058"/>
        <v>0</v>
      </c>
      <c r="MK48" s="65">
        <v>100</v>
      </c>
      <c r="ML48" s="63"/>
      <c r="MM48" s="64">
        <f t="shared" si="1059"/>
        <v>100</v>
      </c>
      <c r="MN48" s="66">
        <f t="shared" si="131"/>
        <v>989.11</v>
      </c>
      <c r="MO48" s="67">
        <f t="shared" si="1060"/>
        <v>889.11</v>
      </c>
      <c r="MP48" s="64">
        <f t="shared" si="1061"/>
        <v>100</v>
      </c>
      <c r="MQ48" s="62"/>
      <c r="MR48" s="63"/>
      <c r="MS48" s="64">
        <f t="shared" si="1062"/>
        <v>0</v>
      </c>
      <c r="MT48" s="65"/>
      <c r="MU48" s="63"/>
      <c r="MV48" s="64">
        <f t="shared" si="1063"/>
        <v>0</v>
      </c>
      <c r="MW48" s="65"/>
      <c r="MX48" s="63"/>
      <c r="MY48" s="64">
        <f t="shared" si="1064"/>
        <v>0</v>
      </c>
      <c r="MZ48" s="65"/>
      <c r="NA48" s="63"/>
      <c r="NB48" s="64">
        <f t="shared" si="1065"/>
        <v>0</v>
      </c>
      <c r="NC48" s="66">
        <f t="shared" si="138"/>
        <v>0</v>
      </c>
      <c r="ND48" s="67">
        <f t="shared" si="1066"/>
        <v>0</v>
      </c>
      <c r="NE48" s="64">
        <f t="shared" si="1067"/>
        <v>0</v>
      </c>
      <c r="NF48" s="62"/>
      <c r="NG48" s="63"/>
      <c r="NH48" s="64">
        <f t="shared" si="1068"/>
        <v>0</v>
      </c>
      <c r="NI48" s="65">
        <v>1164.04</v>
      </c>
      <c r="NJ48" s="63">
        <v>1164.04</v>
      </c>
      <c r="NK48" s="64">
        <f t="shared" si="1069"/>
        <v>0</v>
      </c>
      <c r="NL48" s="65"/>
      <c r="NM48" s="63"/>
      <c r="NN48" s="64">
        <f t="shared" si="1070"/>
        <v>0</v>
      </c>
      <c r="NO48" s="65">
        <v>100</v>
      </c>
      <c r="NP48" s="63"/>
      <c r="NQ48" s="64">
        <f t="shared" si="1071"/>
        <v>100</v>
      </c>
      <c r="NR48" s="66">
        <f t="shared" si="145"/>
        <v>1264.04</v>
      </c>
      <c r="NS48" s="67">
        <f t="shared" si="1072"/>
        <v>1164.04</v>
      </c>
      <c r="NT48" s="64">
        <f t="shared" si="1073"/>
        <v>100</v>
      </c>
      <c r="NU48" s="62"/>
      <c r="NV48" s="63"/>
      <c r="NW48" s="64">
        <f t="shared" si="1074"/>
        <v>0</v>
      </c>
      <c r="NX48" s="65">
        <v>1152.73</v>
      </c>
      <c r="NY48" s="63">
        <v>1152.73</v>
      </c>
      <c r="NZ48" s="64">
        <f t="shared" si="1075"/>
        <v>0</v>
      </c>
      <c r="OA48" s="65"/>
      <c r="OB48" s="63"/>
      <c r="OC48" s="64">
        <f t="shared" si="1076"/>
        <v>0</v>
      </c>
      <c r="OD48" s="65">
        <v>100</v>
      </c>
      <c r="OE48" s="63"/>
      <c r="OF48" s="64">
        <f t="shared" si="1077"/>
        <v>100</v>
      </c>
      <c r="OG48" s="66">
        <f t="shared" si="152"/>
        <v>1252.73</v>
      </c>
      <c r="OH48" s="67">
        <f t="shared" si="1078"/>
        <v>1152.73</v>
      </c>
      <c r="OI48" s="64">
        <f t="shared" si="1079"/>
        <v>100</v>
      </c>
      <c r="OJ48" s="62"/>
      <c r="OK48" s="63"/>
      <c r="OL48" s="64">
        <f t="shared" si="1080"/>
        <v>0</v>
      </c>
      <c r="OM48" s="65"/>
      <c r="ON48" s="63"/>
      <c r="OO48" s="64">
        <f t="shared" si="1081"/>
        <v>0</v>
      </c>
      <c r="OP48" s="65"/>
      <c r="OQ48" s="63"/>
      <c r="OR48" s="64">
        <f t="shared" si="1082"/>
        <v>0</v>
      </c>
      <c r="OS48" s="65">
        <v>100</v>
      </c>
      <c r="OT48" s="63"/>
      <c r="OU48" s="64">
        <f t="shared" si="1083"/>
        <v>100</v>
      </c>
      <c r="OV48" s="66">
        <f t="shared" si="159"/>
        <v>100</v>
      </c>
      <c r="OW48" s="67">
        <f t="shared" si="1084"/>
        <v>0</v>
      </c>
      <c r="OX48" s="64">
        <f t="shared" si="1085"/>
        <v>100</v>
      </c>
      <c r="OY48" s="62"/>
      <c r="OZ48" s="63"/>
      <c r="PA48" s="64">
        <f t="shared" si="1086"/>
        <v>0</v>
      </c>
      <c r="PB48" s="65"/>
      <c r="PC48" s="63"/>
      <c r="PD48" s="64">
        <f t="shared" si="1087"/>
        <v>0</v>
      </c>
      <c r="PE48" s="65"/>
      <c r="PF48" s="63"/>
      <c r="PG48" s="64">
        <f t="shared" si="1088"/>
        <v>0</v>
      </c>
      <c r="PH48" s="65">
        <v>100</v>
      </c>
      <c r="PI48" s="63"/>
      <c r="PJ48" s="64">
        <f t="shared" si="1089"/>
        <v>100</v>
      </c>
      <c r="PK48" s="66">
        <f t="shared" si="166"/>
        <v>100</v>
      </c>
      <c r="PL48" s="67">
        <f t="shared" si="1090"/>
        <v>0</v>
      </c>
      <c r="PM48" s="64">
        <f t="shared" si="1091"/>
        <v>100</v>
      </c>
      <c r="PN48" s="62">
        <v>1550</v>
      </c>
      <c r="PO48" s="63">
        <v>1550</v>
      </c>
      <c r="PP48" s="64">
        <f t="shared" si="1092"/>
        <v>0</v>
      </c>
      <c r="PQ48" s="65"/>
      <c r="PR48" s="63"/>
      <c r="PS48" s="64">
        <f t="shared" si="1093"/>
        <v>0</v>
      </c>
      <c r="PT48" s="65"/>
      <c r="PU48" s="63"/>
      <c r="PV48" s="64">
        <f t="shared" si="1094"/>
        <v>0</v>
      </c>
      <c r="PW48" s="65">
        <v>100</v>
      </c>
      <c r="PX48" s="63">
        <v>272.64999999999998</v>
      </c>
      <c r="PY48" s="64">
        <f t="shared" si="1095"/>
        <v>-172.64999999999998</v>
      </c>
      <c r="PZ48" s="66">
        <f t="shared" si="173"/>
        <v>1650</v>
      </c>
      <c r="QA48" s="67">
        <f t="shared" si="1096"/>
        <v>1822.65</v>
      </c>
      <c r="QB48" s="64">
        <f t="shared" si="1097"/>
        <v>-172.65000000000009</v>
      </c>
      <c r="QC48" s="62"/>
      <c r="QD48" s="63"/>
      <c r="QE48" s="64">
        <f t="shared" si="1098"/>
        <v>0</v>
      </c>
      <c r="QF48" s="65"/>
      <c r="QG48" s="63"/>
      <c r="QH48" s="64">
        <f t="shared" si="1099"/>
        <v>0</v>
      </c>
      <c r="QI48" s="65"/>
      <c r="QJ48" s="63"/>
      <c r="QK48" s="64">
        <f t="shared" si="1100"/>
        <v>0</v>
      </c>
      <c r="QL48" s="65">
        <v>100</v>
      </c>
      <c r="QM48" s="63"/>
      <c r="QN48" s="64">
        <f t="shared" si="1101"/>
        <v>100</v>
      </c>
      <c r="QO48" s="66">
        <f t="shared" si="180"/>
        <v>100</v>
      </c>
      <c r="QP48" s="67">
        <f t="shared" si="1102"/>
        <v>0</v>
      </c>
      <c r="QQ48" s="64">
        <f t="shared" si="1103"/>
        <v>100</v>
      </c>
      <c r="QR48" s="62"/>
      <c r="QS48" s="63"/>
      <c r="QT48" s="64">
        <f t="shared" si="1104"/>
        <v>0</v>
      </c>
      <c r="QU48" s="65">
        <v>602.79999999999995</v>
      </c>
      <c r="QV48" s="63">
        <v>635.04</v>
      </c>
      <c r="QW48" s="64">
        <f t="shared" si="1105"/>
        <v>-32.240000000000009</v>
      </c>
      <c r="QX48" s="65"/>
      <c r="QY48" s="63"/>
      <c r="QZ48" s="64">
        <f t="shared" si="1106"/>
        <v>0</v>
      </c>
      <c r="RA48" s="65"/>
      <c r="RB48" s="63"/>
      <c r="RC48" s="64">
        <f t="shared" si="1107"/>
        <v>0</v>
      </c>
      <c r="RD48" s="66">
        <f t="shared" si="187"/>
        <v>602.79999999999995</v>
      </c>
      <c r="RE48" s="67">
        <f t="shared" si="1108"/>
        <v>635.04</v>
      </c>
      <c r="RF48" s="74"/>
      <c r="RG48" s="72"/>
      <c r="RH48" s="73"/>
      <c r="RI48" s="74"/>
      <c r="RJ48" s="75"/>
      <c r="RK48" s="73"/>
      <c r="RL48" s="74"/>
      <c r="RM48" s="75"/>
      <c r="RN48" s="73"/>
      <c r="RO48" s="74"/>
      <c r="RP48" s="75"/>
      <c r="RQ48" s="73"/>
      <c r="RR48" s="74"/>
      <c r="RS48" s="76"/>
      <c r="RT48" s="77"/>
      <c r="RU48" s="64">
        <f t="shared" si="1109"/>
        <v>0</v>
      </c>
      <c r="RV48" s="62"/>
      <c r="RW48" s="63"/>
      <c r="RX48" s="64">
        <f t="shared" si="1110"/>
        <v>0</v>
      </c>
      <c r="RY48" s="65"/>
      <c r="RZ48" s="63"/>
      <c r="SA48" s="64">
        <f t="shared" si="1111"/>
        <v>0</v>
      </c>
      <c r="SB48" s="65"/>
      <c r="SC48" s="63"/>
      <c r="SD48" s="64">
        <f t="shared" si="1112"/>
        <v>0</v>
      </c>
      <c r="SE48" s="65">
        <v>100</v>
      </c>
      <c r="SF48" s="63"/>
      <c r="SG48" s="64">
        <f t="shared" si="1113"/>
        <v>100</v>
      </c>
      <c r="SH48" s="66">
        <f t="shared" si="201"/>
        <v>100</v>
      </c>
      <c r="SI48" s="67">
        <f t="shared" si="1114"/>
        <v>0</v>
      </c>
      <c r="SJ48" s="64">
        <f t="shared" si="1115"/>
        <v>100</v>
      </c>
      <c r="SK48" s="62"/>
      <c r="SL48" s="63"/>
      <c r="SM48" s="64">
        <f t="shared" si="1116"/>
        <v>0</v>
      </c>
      <c r="SN48" s="65"/>
      <c r="SO48" s="63"/>
      <c r="SP48" s="64">
        <f t="shared" si="1117"/>
        <v>0</v>
      </c>
      <c r="SQ48" s="65"/>
      <c r="SR48" s="63"/>
      <c r="SS48" s="64">
        <f t="shared" si="1118"/>
        <v>0</v>
      </c>
      <c r="ST48" s="65">
        <v>100</v>
      </c>
      <c r="SU48" s="63"/>
      <c r="SV48" s="64">
        <f t="shared" si="1119"/>
        <v>100</v>
      </c>
      <c r="SW48" s="66">
        <f t="shared" si="208"/>
        <v>100</v>
      </c>
      <c r="SX48" s="67">
        <f t="shared" si="1120"/>
        <v>0</v>
      </c>
      <c r="SY48" s="64">
        <f t="shared" si="1121"/>
        <v>100</v>
      </c>
      <c r="SZ48" s="62">
        <v>985.33</v>
      </c>
      <c r="TA48" s="63">
        <v>985.33</v>
      </c>
      <c r="TB48" s="64">
        <f t="shared" si="1122"/>
        <v>0</v>
      </c>
      <c r="TC48" s="65">
        <v>700.9</v>
      </c>
      <c r="TD48" s="63">
        <v>740.15</v>
      </c>
      <c r="TE48" s="64">
        <f t="shared" si="1123"/>
        <v>-39.25</v>
      </c>
      <c r="TF48" s="65"/>
      <c r="TG48" s="63"/>
      <c r="TH48" s="64">
        <f t="shared" si="1124"/>
        <v>0</v>
      </c>
      <c r="TI48" s="65">
        <v>100</v>
      </c>
      <c r="TJ48" s="63"/>
      <c r="TK48" s="64">
        <f t="shared" si="1125"/>
        <v>100</v>
      </c>
      <c r="TL48" s="66">
        <f t="shared" si="215"/>
        <v>1786.23</v>
      </c>
      <c r="TM48" s="67">
        <f t="shared" si="1126"/>
        <v>1725.48</v>
      </c>
      <c r="TN48" s="64">
        <f t="shared" si="1127"/>
        <v>60.75</v>
      </c>
      <c r="TO48" s="62"/>
      <c r="TP48" s="63"/>
      <c r="TQ48" s="64">
        <f t="shared" si="1128"/>
        <v>0</v>
      </c>
      <c r="TR48" s="65"/>
      <c r="TS48" s="63"/>
      <c r="TT48" s="64">
        <f t="shared" si="1129"/>
        <v>0</v>
      </c>
      <c r="TU48" s="65"/>
      <c r="TV48" s="63"/>
      <c r="TW48" s="64">
        <f t="shared" si="1130"/>
        <v>0</v>
      </c>
      <c r="TX48" s="65">
        <v>100</v>
      </c>
      <c r="TY48" s="63">
        <v>182.06</v>
      </c>
      <c r="TZ48" s="64">
        <f t="shared" si="1131"/>
        <v>-82.06</v>
      </c>
      <c r="UA48" s="66">
        <f t="shared" si="222"/>
        <v>100</v>
      </c>
      <c r="UB48" s="67">
        <f t="shared" si="1132"/>
        <v>182.06</v>
      </c>
      <c r="UC48" s="64">
        <f t="shared" si="1133"/>
        <v>-82.06</v>
      </c>
      <c r="UD48" s="62">
        <v>1125</v>
      </c>
      <c r="UE48" s="63">
        <v>1125</v>
      </c>
      <c r="UF48" s="64">
        <f t="shared" si="1134"/>
        <v>0</v>
      </c>
      <c r="UG48" s="65">
        <v>497.04</v>
      </c>
      <c r="UH48" s="63">
        <v>517.34</v>
      </c>
      <c r="UI48" s="64">
        <f t="shared" si="1135"/>
        <v>-20.300000000000011</v>
      </c>
      <c r="UJ48" s="65"/>
      <c r="UK48" s="63"/>
      <c r="UL48" s="64">
        <f t="shared" si="1136"/>
        <v>0</v>
      </c>
      <c r="UM48" s="65">
        <v>100</v>
      </c>
      <c r="UN48" s="63"/>
      <c r="UO48" s="64">
        <f t="shared" si="1137"/>
        <v>100</v>
      </c>
      <c r="UP48" s="66">
        <f t="shared" si="226"/>
        <v>1722.04</v>
      </c>
      <c r="UQ48" s="67">
        <f t="shared" si="1138"/>
        <v>1642.3400000000001</v>
      </c>
      <c r="UR48" s="64">
        <f t="shared" si="1139"/>
        <v>79.699999999999818</v>
      </c>
      <c r="US48" s="74"/>
      <c r="UT48" s="72"/>
      <c r="UU48" s="73"/>
      <c r="UV48" s="74"/>
      <c r="UW48" s="75"/>
      <c r="UX48" s="73"/>
      <c r="UY48" s="74"/>
      <c r="UZ48" s="75"/>
      <c r="VA48" s="73"/>
      <c r="VB48" s="74"/>
      <c r="VC48" s="75"/>
      <c r="VD48" s="73"/>
      <c r="VE48" s="74"/>
      <c r="VF48" s="76"/>
      <c r="VG48" s="77"/>
      <c r="VH48" s="62"/>
      <c r="VI48" s="63"/>
      <c r="VJ48" s="64">
        <f t="shared" si="1140"/>
        <v>0</v>
      </c>
      <c r="VK48" s="65"/>
      <c r="VL48" s="63"/>
      <c r="VM48" s="64">
        <f t="shared" si="1141"/>
        <v>0</v>
      </c>
      <c r="VN48" s="65"/>
      <c r="VO48" s="63"/>
      <c r="VP48" s="64">
        <f t="shared" si="1142"/>
        <v>0</v>
      </c>
      <c r="VQ48" s="65">
        <v>100</v>
      </c>
      <c r="VR48" s="63"/>
      <c r="VS48" s="64">
        <f t="shared" si="1143"/>
        <v>100</v>
      </c>
      <c r="VT48" s="66">
        <f t="shared" si="240"/>
        <v>100</v>
      </c>
      <c r="VU48" s="67">
        <f t="shared" si="1144"/>
        <v>0</v>
      </c>
      <c r="VV48" s="64">
        <f t="shared" si="1145"/>
        <v>100</v>
      </c>
      <c r="VW48" s="74"/>
      <c r="VX48" s="72"/>
      <c r="VY48" s="73"/>
      <c r="VZ48" s="74"/>
      <c r="WA48" s="75"/>
      <c r="WB48" s="73"/>
      <c r="WC48" s="74"/>
      <c r="WD48" s="75"/>
      <c r="WE48" s="73"/>
      <c r="WF48" s="74"/>
      <c r="WG48" s="75"/>
      <c r="WH48" s="73"/>
      <c r="WI48" s="74"/>
      <c r="WJ48" s="76"/>
      <c r="WK48" s="77"/>
      <c r="WL48" s="62">
        <v>1376.01</v>
      </c>
      <c r="WM48" s="63">
        <v>1376.01</v>
      </c>
      <c r="WN48" s="64">
        <f t="shared" si="1146"/>
        <v>0</v>
      </c>
      <c r="WO48" s="65"/>
      <c r="WP48" s="63">
        <v>589.79999999999995</v>
      </c>
      <c r="WQ48" s="64">
        <f t="shared" si="1147"/>
        <v>-589.79999999999995</v>
      </c>
      <c r="WR48" s="65"/>
      <c r="WS48" s="63"/>
      <c r="WT48" s="64">
        <f t="shared" si="1148"/>
        <v>0</v>
      </c>
      <c r="WU48" s="65">
        <v>100</v>
      </c>
      <c r="WV48" s="63"/>
      <c r="WW48" s="64">
        <f t="shared" si="1149"/>
        <v>100</v>
      </c>
      <c r="WX48" s="66">
        <f t="shared" si="254"/>
        <v>1476.01</v>
      </c>
      <c r="WY48" s="67">
        <f t="shared" si="1150"/>
        <v>1965.81</v>
      </c>
      <c r="WZ48" s="64">
        <f t="shared" si="1151"/>
        <v>-489.79999999999995</v>
      </c>
      <c r="XA48" s="62"/>
      <c r="XB48" s="63"/>
      <c r="XC48" s="64">
        <f t="shared" si="1152"/>
        <v>0</v>
      </c>
      <c r="XD48" s="65"/>
      <c r="XE48" s="63"/>
      <c r="XF48" s="64">
        <f t="shared" si="1153"/>
        <v>0</v>
      </c>
      <c r="XG48" s="65"/>
      <c r="XH48" s="63"/>
      <c r="XI48" s="64">
        <f t="shared" si="1154"/>
        <v>0</v>
      </c>
      <c r="XJ48" s="65">
        <v>100</v>
      </c>
      <c r="XK48" s="63"/>
      <c r="XL48" s="64">
        <f t="shared" si="1155"/>
        <v>100</v>
      </c>
      <c r="XM48" s="66">
        <f t="shared" si="261"/>
        <v>100</v>
      </c>
      <c r="XN48" s="67">
        <f t="shared" si="1156"/>
        <v>0</v>
      </c>
      <c r="XO48" s="64">
        <f t="shared" si="1157"/>
        <v>100</v>
      </c>
      <c r="XP48" s="62"/>
      <c r="XQ48" s="63"/>
      <c r="XR48" s="64">
        <f t="shared" si="1158"/>
        <v>0</v>
      </c>
      <c r="XS48" s="65">
        <v>844.24</v>
      </c>
      <c r="XT48" s="63">
        <v>844.24</v>
      </c>
      <c r="XU48" s="64">
        <f t="shared" si="1159"/>
        <v>0</v>
      </c>
      <c r="XV48" s="65"/>
      <c r="XW48" s="63"/>
      <c r="XX48" s="64">
        <f t="shared" si="1160"/>
        <v>0</v>
      </c>
      <c r="XY48" s="65">
        <v>100</v>
      </c>
      <c r="XZ48" s="63"/>
      <c r="YA48" s="64">
        <f t="shared" si="1161"/>
        <v>100</v>
      </c>
      <c r="YB48" s="66">
        <f t="shared" si="268"/>
        <v>944.24</v>
      </c>
      <c r="YC48" s="67">
        <f t="shared" si="1162"/>
        <v>844.24</v>
      </c>
      <c r="YD48" s="64">
        <f t="shared" si="1163"/>
        <v>100</v>
      </c>
      <c r="YE48" s="62"/>
      <c r="YF48" s="63"/>
      <c r="YG48" s="64">
        <f t="shared" si="1164"/>
        <v>0</v>
      </c>
      <c r="YH48" s="65">
        <v>847.85</v>
      </c>
      <c r="YI48" s="63">
        <v>847.85</v>
      </c>
      <c r="YJ48" s="64">
        <f t="shared" si="1165"/>
        <v>0</v>
      </c>
      <c r="YK48" s="65"/>
      <c r="YL48" s="63"/>
      <c r="YM48" s="64">
        <f t="shared" si="1166"/>
        <v>0</v>
      </c>
      <c r="YN48" s="65">
        <v>100</v>
      </c>
      <c r="YO48" s="63"/>
      <c r="YP48" s="64">
        <f t="shared" si="1167"/>
        <v>100</v>
      </c>
      <c r="YQ48" s="66">
        <f t="shared" si="275"/>
        <v>947.85</v>
      </c>
      <c r="YR48" s="67">
        <f t="shared" si="1168"/>
        <v>847.85</v>
      </c>
      <c r="YS48" s="64">
        <f t="shared" si="1169"/>
        <v>100</v>
      </c>
      <c r="YT48" s="62"/>
      <c r="YU48" s="63"/>
      <c r="YV48" s="64">
        <f t="shared" si="1170"/>
        <v>0</v>
      </c>
      <c r="YW48" s="65">
        <v>695.73</v>
      </c>
      <c r="YX48" s="63">
        <v>695.73</v>
      </c>
      <c r="YY48" s="64">
        <f t="shared" si="1171"/>
        <v>0</v>
      </c>
      <c r="YZ48" s="65"/>
      <c r="ZA48" s="63"/>
      <c r="ZB48" s="64">
        <f t="shared" si="1172"/>
        <v>0</v>
      </c>
      <c r="ZC48" s="65">
        <v>100</v>
      </c>
      <c r="ZD48" s="63"/>
      <c r="ZE48" s="64">
        <f t="shared" si="1173"/>
        <v>100</v>
      </c>
      <c r="ZF48" s="66">
        <f t="shared" si="282"/>
        <v>795.73</v>
      </c>
      <c r="ZG48" s="67">
        <f t="shared" si="1174"/>
        <v>695.73</v>
      </c>
      <c r="ZH48" s="74"/>
      <c r="ZI48" s="72"/>
      <c r="ZJ48" s="73"/>
      <c r="ZK48" s="74"/>
      <c r="ZL48" s="75"/>
      <c r="ZM48" s="73"/>
      <c r="ZN48" s="74"/>
      <c r="ZO48" s="75"/>
      <c r="ZP48" s="73"/>
      <c r="ZQ48" s="74"/>
      <c r="ZR48" s="75"/>
      <c r="ZS48" s="73"/>
      <c r="ZT48" s="74"/>
      <c r="ZU48" s="76"/>
      <c r="ZV48" s="77"/>
      <c r="ZW48" s="64">
        <f t="shared" si="1175"/>
        <v>0</v>
      </c>
      <c r="ZX48" s="62">
        <v>24.71</v>
      </c>
      <c r="ZY48" s="63">
        <v>38.200000000000003</v>
      </c>
      <c r="ZZ48" s="64">
        <f t="shared" si="1176"/>
        <v>-13.490000000000002</v>
      </c>
      <c r="AAA48" s="66">
        <f t="shared" si="293"/>
        <v>24.71</v>
      </c>
      <c r="AAB48" s="67">
        <f t="shared" si="293"/>
        <v>38.200000000000003</v>
      </c>
      <c r="AAC48" s="64">
        <f t="shared" si="1177"/>
        <v>-13.490000000000002</v>
      </c>
      <c r="AAD48" s="85">
        <f t="shared" si="295"/>
        <v>27949.19</v>
      </c>
      <c r="AAE48" s="86">
        <f t="shared" si="295"/>
        <v>26113.73</v>
      </c>
      <c r="AAF48" s="87">
        <f t="shared" si="3"/>
        <v>0.93432868716410034</v>
      </c>
      <c r="AAG48" s="88">
        <f t="shared" si="1178"/>
        <v>-1835.4599999999991</v>
      </c>
      <c r="AAH48" s="58" t="s">
        <v>145</v>
      </c>
      <c r="AAI48" s="59"/>
      <c r="AAJ48" s="59"/>
      <c r="AAK48" s="60"/>
    </row>
    <row r="49" spans="1:713" s="83" customFormat="1" ht="20" customHeight="1" x14ac:dyDescent="0.2">
      <c r="A49" s="57" t="s">
        <v>46</v>
      </c>
      <c r="B49" s="58"/>
      <c r="C49" s="59"/>
      <c r="D49" s="59"/>
      <c r="E49" s="60"/>
      <c r="F49" s="61">
        <v>45809</v>
      </c>
      <c r="G49" s="62"/>
      <c r="H49" s="63"/>
      <c r="I49" s="64">
        <f t="shared" si="951"/>
        <v>0</v>
      </c>
      <c r="J49" s="65">
        <v>2485.8200000000002</v>
      </c>
      <c r="K49" s="63">
        <v>3495.92</v>
      </c>
      <c r="L49" s="64">
        <f t="shared" si="952"/>
        <v>-1010.0999999999999</v>
      </c>
      <c r="M49" s="65">
        <v>2500</v>
      </c>
      <c r="N49" s="63">
        <v>3501.51</v>
      </c>
      <c r="O49" s="64">
        <f t="shared" si="953"/>
        <v>-1001.5100000000002</v>
      </c>
      <c r="P49" s="65">
        <v>1000</v>
      </c>
      <c r="Q49" s="63">
        <v>559.54999999999995</v>
      </c>
      <c r="R49" s="64">
        <f t="shared" si="954"/>
        <v>440.45000000000005</v>
      </c>
      <c r="S49" s="65">
        <v>362</v>
      </c>
      <c r="T49" s="63">
        <v>196.34</v>
      </c>
      <c r="U49" s="64">
        <f t="shared" si="955"/>
        <v>165.66</v>
      </c>
      <c r="V49" s="66">
        <f t="shared" si="956"/>
        <v>6347.82</v>
      </c>
      <c r="W49" s="67">
        <f t="shared" si="956"/>
        <v>7753.3200000000006</v>
      </c>
      <c r="X49" s="64">
        <f t="shared" si="957"/>
        <v>-1405.5000000000009</v>
      </c>
      <c r="Y49" s="72"/>
      <c r="Z49" s="73"/>
      <c r="AA49" s="74"/>
      <c r="AB49" s="75"/>
      <c r="AC49" s="73"/>
      <c r="AD49" s="74"/>
      <c r="AE49" s="75"/>
      <c r="AF49" s="73"/>
      <c r="AG49" s="74"/>
      <c r="AH49" s="75"/>
      <c r="AI49" s="73"/>
      <c r="AJ49" s="74"/>
      <c r="AK49" s="76"/>
      <c r="AL49" s="77"/>
      <c r="AM49" s="64">
        <f t="shared" si="958"/>
        <v>0</v>
      </c>
      <c r="AN49" s="62">
        <v>6250</v>
      </c>
      <c r="AO49" s="63">
        <v>6250</v>
      </c>
      <c r="AP49" s="64">
        <f t="shared" si="1179"/>
        <v>0</v>
      </c>
      <c r="AQ49" s="65"/>
      <c r="AR49" s="63"/>
      <c r="AS49" s="64">
        <f t="shared" si="959"/>
        <v>0</v>
      </c>
      <c r="AT49" s="65"/>
      <c r="AU49" s="63"/>
      <c r="AV49" s="64">
        <f t="shared" si="960"/>
        <v>0</v>
      </c>
      <c r="AW49" s="65"/>
      <c r="AX49" s="63"/>
      <c r="AY49" s="64">
        <f t="shared" si="961"/>
        <v>0</v>
      </c>
      <c r="AZ49" s="66">
        <f t="shared" si="23"/>
        <v>6250</v>
      </c>
      <c r="BA49" s="67">
        <f t="shared" si="962"/>
        <v>6250</v>
      </c>
      <c r="BB49" s="64">
        <f t="shared" si="963"/>
        <v>0</v>
      </c>
      <c r="BC49" s="62">
        <v>6150</v>
      </c>
      <c r="BD49" s="63">
        <v>6305.6</v>
      </c>
      <c r="BE49" s="64">
        <f t="shared" si="964"/>
        <v>-155.60000000000036</v>
      </c>
      <c r="BF49" s="65"/>
      <c r="BG49" s="63"/>
      <c r="BH49" s="64">
        <f t="shared" si="965"/>
        <v>0</v>
      </c>
      <c r="BI49" s="65"/>
      <c r="BJ49" s="63"/>
      <c r="BK49" s="64">
        <f t="shared" si="966"/>
        <v>0</v>
      </c>
      <c r="BL49" s="65">
        <v>100</v>
      </c>
      <c r="BM49" s="63"/>
      <c r="BN49" s="64">
        <f t="shared" si="967"/>
        <v>100</v>
      </c>
      <c r="BO49" s="66">
        <f t="shared" si="30"/>
        <v>6250</v>
      </c>
      <c r="BP49" s="67">
        <f t="shared" si="968"/>
        <v>6305.6</v>
      </c>
      <c r="BQ49" s="64">
        <f t="shared" si="969"/>
        <v>-55.600000000000364</v>
      </c>
      <c r="BR49" s="72"/>
      <c r="BS49" s="73"/>
      <c r="BT49" s="74"/>
      <c r="BU49" s="75"/>
      <c r="BV49" s="73"/>
      <c r="BW49" s="74"/>
      <c r="BX49" s="75"/>
      <c r="BY49" s="73"/>
      <c r="BZ49" s="74"/>
      <c r="CA49" s="75"/>
      <c r="CB49" s="73"/>
      <c r="CC49" s="74"/>
      <c r="CD49" s="76"/>
      <c r="CE49" s="77"/>
      <c r="CF49" s="64">
        <f t="shared" si="970"/>
        <v>0</v>
      </c>
      <c r="CG49" s="62">
        <v>5000</v>
      </c>
      <c r="CH49" s="63">
        <v>5000</v>
      </c>
      <c r="CI49" s="64">
        <f t="shared" si="971"/>
        <v>0</v>
      </c>
      <c r="CJ49" s="65"/>
      <c r="CK49" s="63"/>
      <c r="CL49" s="64">
        <f t="shared" si="972"/>
        <v>0</v>
      </c>
      <c r="CM49" s="65"/>
      <c r="CN49" s="63"/>
      <c r="CO49" s="64">
        <f t="shared" si="973"/>
        <v>0</v>
      </c>
      <c r="CP49" s="65"/>
      <c r="CQ49" s="63"/>
      <c r="CR49" s="64">
        <f t="shared" si="974"/>
        <v>0</v>
      </c>
      <c r="CS49" s="66">
        <f t="shared" si="40"/>
        <v>5000</v>
      </c>
      <c r="CT49" s="67">
        <f t="shared" si="975"/>
        <v>5000</v>
      </c>
      <c r="CU49" s="64">
        <f t="shared" si="976"/>
        <v>0</v>
      </c>
      <c r="CV49" s="62">
        <v>2916.7</v>
      </c>
      <c r="CW49" s="63">
        <v>2562.2199999999998</v>
      </c>
      <c r="CX49" s="64">
        <f t="shared" si="977"/>
        <v>354.48</v>
      </c>
      <c r="CY49" s="65">
        <v>429.15</v>
      </c>
      <c r="CZ49" s="63">
        <v>429.15</v>
      </c>
      <c r="DA49" s="64">
        <f t="shared" si="978"/>
        <v>0</v>
      </c>
      <c r="DB49" s="65"/>
      <c r="DC49" s="63"/>
      <c r="DD49" s="64">
        <f t="shared" si="979"/>
        <v>0</v>
      </c>
      <c r="DE49" s="65"/>
      <c r="DF49" s="63"/>
      <c r="DG49" s="64">
        <f t="shared" si="980"/>
        <v>0</v>
      </c>
      <c r="DH49" s="66">
        <f t="shared" si="43"/>
        <v>3345.85</v>
      </c>
      <c r="DI49" s="67">
        <f t="shared" si="981"/>
        <v>2991.37</v>
      </c>
      <c r="DJ49" s="64">
        <f t="shared" si="982"/>
        <v>354.48</v>
      </c>
      <c r="DK49" s="62">
        <v>2400</v>
      </c>
      <c r="DL49" s="63">
        <v>2400</v>
      </c>
      <c r="DM49" s="64">
        <f t="shared" si="983"/>
        <v>0</v>
      </c>
      <c r="DN49" s="65">
        <v>913.08</v>
      </c>
      <c r="DO49" s="63">
        <v>913.08</v>
      </c>
      <c r="DP49" s="64">
        <f t="shared" si="984"/>
        <v>0</v>
      </c>
      <c r="DQ49" s="65"/>
      <c r="DR49" s="63"/>
      <c r="DS49" s="64">
        <f t="shared" si="985"/>
        <v>0</v>
      </c>
      <c r="DT49" s="65">
        <v>100</v>
      </c>
      <c r="DU49" s="63">
        <v>363.81</v>
      </c>
      <c r="DV49" s="64">
        <f t="shared" si="986"/>
        <v>-263.81</v>
      </c>
      <c r="DW49" s="66">
        <f t="shared" si="46"/>
        <v>3413.08</v>
      </c>
      <c r="DX49" s="67">
        <f t="shared" si="987"/>
        <v>3676.89</v>
      </c>
      <c r="DY49" s="64">
        <f t="shared" si="988"/>
        <v>-263.80999999999995</v>
      </c>
      <c r="DZ49" s="62"/>
      <c r="EA49" s="63"/>
      <c r="EB49" s="64">
        <f t="shared" si="989"/>
        <v>0</v>
      </c>
      <c r="EC49" s="65"/>
      <c r="ED49" s="63"/>
      <c r="EE49" s="64">
        <f t="shared" si="990"/>
        <v>0</v>
      </c>
      <c r="EF49" s="65"/>
      <c r="EG49" s="63"/>
      <c r="EH49" s="64">
        <f t="shared" si="991"/>
        <v>0</v>
      </c>
      <c r="EI49" s="65">
        <v>100</v>
      </c>
      <c r="EJ49" s="63"/>
      <c r="EK49" s="64">
        <f t="shared" si="992"/>
        <v>100</v>
      </c>
      <c r="EL49" s="66">
        <f t="shared" si="53"/>
        <v>100</v>
      </c>
      <c r="EM49" s="67">
        <f t="shared" si="993"/>
        <v>0</v>
      </c>
      <c r="EN49" s="64">
        <f t="shared" si="994"/>
        <v>100</v>
      </c>
      <c r="EO49" s="62">
        <v>6150</v>
      </c>
      <c r="EP49" s="63">
        <v>6305.6</v>
      </c>
      <c r="EQ49" s="64">
        <f t="shared" si="995"/>
        <v>-155.60000000000036</v>
      </c>
      <c r="ER49" s="65"/>
      <c r="ES49" s="63"/>
      <c r="ET49" s="64">
        <f t="shared" si="996"/>
        <v>0</v>
      </c>
      <c r="EU49" s="65"/>
      <c r="EV49" s="63"/>
      <c r="EW49" s="64">
        <f t="shared" si="997"/>
        <v>0</v>
      </c>
      <c r="EX49" s="65">
        <v>100</v>
      </c>
      <c r="EY49" s="63"/>
      <c r="EZ49" s="64">
        <f t="shared" si="998"/>
        <v>100</v>
      </c>
      <c r="FA49" s="66">
        <f t="shared" si="60"/>
        <v>6250</v>
      </c>
      <c r="FB49" s="67">
        <f t="shared" si="999"/>
        <v>6305.6</v>
      </c>
      <c r="FC49" s="64">
        <f t="shared" si="1000"/>
        <v>-55.600000000000364</v>
      </c>
      <c r="FD49" s="62">
        <v>6150</v>
      </c>
      <c r="FE49" s="63">
        <v>6305.6</v>
      </c>
      <c r="FF49" s="64">
        <f t="shared" si="1001"/>
        <v>-155.60000000000036</v>
      </c>
      <c r="FG49" s="65"/>
      <c r="FH49" s="63"/>
      <c r="FI49" s="64">
        <f t="shared" si="1002"/>
        <v>0</v>
      </c>
      <c r="FJ49" s="65"/>
      <c r="FK49" s="63"/>
      <c r="FL49" s="64">
        <f t="shared" si="1003"/>
        <v>0</v>
      </c>
      <c r="FM49" s="65">
        <v>100</v>
      </c>
      <c r="FN49" s="63"/>
      <c r="FO49" s="64">
        <f t="shared" si="1004"/>
        <v>100</v>
      </c>
      <c r="FP49" s="66">
        <f t="shared" si="67"/>
        <v>6250</v>
      </c>
      <c r="FQ49" s="67">
        <f t="shared" si="1005"/>
        <v>6305.6</v>
      </c>
      <c r="FR49" s="64">
        <f t="shared" si="1006"/>
        <v>-55.600000000000364</v>
      </c>
      <c r="FS49" s="62"/>
      <c r="FT49" s="63"/>
      <c r="FU49" s="64">
        <f t="shared" si="1007"/>
        <v>0</v>
      </c>
      <c r="FV49" s="65">
        <v>485.35</v>
      </c>
      <c r="FW49" s="63">
        <v>485.35</v>
      </c>
      <c r="FX49" s="64">
        <f t="shared" si="1008"/>
        <v>0</v>
      </c>
      <c r="FY49" s="65"/>
      <c r="FZ49" s="63"/>
      <c r="GA49" s="64">
        <f t="shared" si="1009"/>
        <v>0</v>
      </c>
      <c r="GB49" s="65"/>
      <c r="GC49" s="63"/>
      <c r="GD49" s="64">
        <f t="shared" si="1010"/>
        <v>0</v>
      </c>
      <c r="GE49" s="66">
        <f t="shared" si="74"/>
        <v>485.35</v>
      </c>
      <c r="GF49" s="67">
        <f t="shared" si="1011"/>
        <v>485.35</v>
      </c>
      <c r="GG49" s="64">
        <f t="shared" si="1012"/>
        <v>0</v>
      </c>
      <c r="GH49" s="62"/>
      <c r="GI49" s="63"/>
      <c r="GJ49" s="64">
        <f t="shared" si="1013"/>
        <v>0</v>
      </c>
      <c r="GK49" s="65">
        <v>660.33</v>
      </c>
      <c r="GL49" s="63">
        <v>660.33</v>
      </c>
      <c r="GM49" s="64">
        <f t="shared" si="1014"/>
        <v>0</v>
      </c>
      <c r="GN49" s="65"/>
      <c r="GO49" s="63"/>
      <c r="GP49" s="64">
        <f t="shared" si="1015"/>
        <v>0</v>
      </c>
      <c r="GQ49" s="65"/>
      <c r="GR49" s="63"/>
      <c r="GS49" s="64">
        <f t="shared" si="1016"/>
        <v>0</v>
      </c>
      <c r="GT49" s="66">
        <f t="shared" si="81"/>
        <v>660.33</v>
      </c>
      <c r="GU49" s="67">
        <f t="shared" si="1017"/>
        <v>660.33</v>
      </c>
      <c r="GV49" s="64">
        <f t="shared" si="1018"/>
        <v>0</v>
      </c>
      <c r="GW49" s="62"/>
      <c r="GX49" s="63"/>
      <c r="GY49" s="64">
        <f t="shared" si="1019"/>
        <v>0</v>
      </c>
      <c r="GZ49" s="65">
        <v>568.25</v>
      </c>
      <c r="HA49" s="63">
        <v>568.25</v>
      </c>
      <c r="HB49" s="64">
        <f t="shared" si="1020"/>
        <v>0</v>
      </c>
      <c r="HC49" s="65"/>
      <c r="HD49" s="63"/>
      <c r="HE49" s="64">
        <f t="shared" si="1021"/>
        <v>0</v>
      </c>
      <c r="HF49" s="65">
        <v>100</v>
      </c>
      <c r="HG49" s="63">
        <v>125.3</v>
      </c>
      <c r="HH49" s="64">
        <f t="shared" si="1022"/>
        <v>-25.299999999999997</v>
      </c>
      <c r="HI49" s="66">
        <f t="shared" si="84"/>
        <v>668.25</v>
      </c>
      <c r="HJ49" s="67">
        <f t="shared" si="1023"/>
        <v>693.55</v>
      </c>
      <c r="HK49" s="64">
        <f t="shared" si="1024"/>
        <v>-25.299999999999955</v>
      </c>
      <c r="HL49" s="62">
        <v>6150</v>
      </c>
      <c r="HM49" s="63">
        <v>6305.6</v>
      </c>
      <c r="HN49" s="64">
        <f t="shared" si="1025"/>
        <v>-155.60000000000036</v>
      </c>
      <c r="HO49" s="65"/>
      <c r="HP49" s="63"/>
      <c r="HQ49" s="64">
        <f t="shared" si="1026"/>
        <v>0</v>
      </c>
      <c r="HR49" s="65"/>
      <c r="HS49" s="63"/>
      <c r="HT49" s="64">
        <f t="shared" si="1027"/>
        <v>0</v>
      </c>
      <c r="HU49" s="65">
        <v>100</v>
      </c>
      <c r="HV49" s="63"/>
      <c r="HW49" s="64">
        <f t="shared" si="1028"/>
        <v>100</v>
      </c>
      <c r="HX49" s="66">
        <f t="shared" si="91"/>
        <v>6250</v>
      </c>
      <c r="HY49" s="67">
        <f t="shared" si="1029"/>
        <v>6305.6</v>
      </c>
      <c r="HZ49" s="64">
        <f t="shared" si="1030"/>
        <v>-55.600000000000364</v>
      </c>
      <c r="IA49" s="62"/>
      <c r="IB49" s="63"/>
      <c r="IC49" s="64">
        <f t="shared" si="1031"/>
        <v>0</v>
      </c>
      <c r="ID49" s="65"/>
      <c r="IE49" s="63"/>
      <c r="IF49" s="64">
        <f t="shared" si="1032"/>
        <v>0</v>
      </c>
      <c r="IG49" s="65"/>
      <c r="IH49" s="63"/>
      <c r="II49" s="64">
        <f t="shared" si="1033"/>
        <v>0</v>
      </c>
      <c r="IJ49" s="65">
        <v>100</v>
      </c>
      <c r="IK49" s="63"/>
      <c r="IL49" s="64">
        <f t="shared" si="1034"/>
        <v>100</v>
      </c>
      <c r="IM49" s="66">
        <f t="shared" si="98"/>
        <v>100</v>
      </c>
      <c r="IN49" s="67">
        <f t="shared" si="1035"/>
        <v>0</v>
      </c>
      <c r="IO49" s="64">
        <f t="shared" si="1036"/>
        <v>100</v>
      </c>
      <c r="IP49" s="62">
        <v>5000</v>
      </c>
      <c r="IQ49" s="63">
        <v>5000</v>
      </c>
      <c r="IR49" s="64">
        <f t="shared" si="1037"/>
        <v>0</v>
      </c>
      <c r="IS49" s="65"/>
      <c r="IT49" s="63"/>
      <c r="IU49" s="64">
        <f t="shared" si="1038"/>
        <v>0</v>
      </c>
      <c r="IV49" s="65"/>
      <c r="IW49" s="63"/>
      <c r="IX49" s="64">
        <f t="shared" si="1039"/>
        <v>0</v>
      </c>
      <c r="IY49" s="65"/>
      <c r="IZ49" s="63"/>
      <c r="JA49" s="64">
        <f t="shared" si="1040"/>
        <v>0</v>
      </c>
      <c r="JB49" s="66">
        <f t="shared" si="105"/>
        <v>5000</v>
      </c>
      <c r="JC49" s="67">
        <f t="shared" si="1041"/>
        <v>5000</v>
      </c>
      <c r="JD49" s="64">
        <f t="shared" si="1042"/>
        <v>0</v>
      </c>
      <c r="JE49" s="72"/>
      <c r="JF49" s="150"/>
      <c r="JG49" s="74"/>
      <c r="JH49" s="75"/>
      <c r="JI49" s="150"/>
      <c r="JJ49" s="74"/>
      <c r="JK49" s="75"/>
      <c r="JL49" s="150"/>
      <c r="JM49" s="74"/>
      <c r="JN49" s="75"/>
      <c r="JO49" s="150"/>
      <c r="JP49" s="74"/>
      <c r="JQ49" s="76"/>
      <c r="JR49" s="77"/>
      <c r="JS49" s="74"/>
      <c r="JT49" s="72"/>
      <c r="JU49" s="73"/>
      <c r="JV49" s="74"/>
      <c r="JW49" s="75"/>
      <c r="JX49" s="73"/>
      <c r="JY49" s="74"/>
      <c r="JZ49" s="75"/>
      <c r="KA49" s="73"/>
      <c r="KB49" s="74"/>
      <c r="KC49" s="75"/>
      <c r="KD49" s="73"/>
      <c r="KE49" s="74"/>
      <c r="KF49" s="76"/>
      <c r="KG49" s="77"/>
      <c r="KH49" s="64">
        <f t="shared" si="1043"/>
        <v>0</v>
      </c>
      <c r="KI49" s="62">
        <v>50000</v>
      </c>
      <c r="KJ49" s="63">
        <v>50000</v>
      </c>
      <c r="KK49" s="64">
        <f t="shared" si="1044"/>
        <v>0</v>
      </c>
      <c r="KL49" s="65"/>
      <c r="KM49" s="63"/>
      <c r="KN49" s="64">
        <f t="shared" si="1045"/>
        <v>0</v>
      </c>
      <c r="KO49" s="65"/>
      <c r="KP49" s="63"/>
      <c r="KQ49" s="64">
        <f t="shared" si="1046"/>
        <v>0</v>
      </c>
      <c r="KR49" s="65"/>
      <c r="KS49" s="63"/>
      <c r="KT49" s="64">
        <f t="shared" si="1047"/>
        <v>0</v>
      </c>
      <c r="KU49" s="66">
        <f t="shared" si="1"/>
        <v>50000</v>
      </c>
      <c r="KV49" s="67">
        <f t="shared" si="1048"/>
        <v>50000</v>
      </c>
      <c r="KW49" s="64">
        <f t="shared" si="1049"/>
        <v>0</v>
      </c>
      <c r="KX49" s="72"/>
      <c r="KY49" s="73"/>
      <c r="KZ49" s="74"/>
      <c r="LA49" s="75"/>
      <c r="LB49" s="73"/>
      <c r="LC49" s="74"/>
      <c r="LD49" s="75"/>
      <c r="LE49" s="73"/>
      <c r="LF49" s="74"/>
      <c r="LG49" s="75"/>
      <c r="LH49" s="73"/>
      <c r="LI49" s="74"/>
      <c r="LJ49" s="76"/>
      <c r="LK49" s="77"/>
      <c r="LL49" s="74"/>
      <c r="LM49" s="62"/>
      <c r="LN49" s="63"/>
      <c r="LO49" s="64">
        <f t="shared" si="1050"/>
        <v>0</v>
      </c>
      <c r="LP49" s="65"/>
      <c r="LQ49" s="63">
        <f>430+71.43</f>
        <v>501.43</v>
      </c>
      <c r="LR49" s="64">
        <f t="shared" si="1051"/>
        <v>-501.43</v>
      </c>
      <c r="LS49" s="65"/>
      <c r="LT49" s="63"/>
      <c r="LU49" s="64">
        <f t="shared" si="1052"/>
        <v>0</v>
      </c>
      <c r="LV49" s="65">
        <v>100</v>
      </c>
      <c r="LW49" s="63"/>
      <c r="LX49" s="64">
        <f t="shared" si="1053"/>
        <v>100</v>
      </c>
      <c r="LY49" s="66">
        <f t="shared" si="124"/>
        <v>100</v>
      </c>
      <c r="LZ49" s="67">
        <f t="shared" si="1054"/>
        <v>501.43</v>
      </c>
      <c r="MA49" s="64">
        <f t="shared" si="1055"/>
        <v>-401.43</v>
      </c>
      <c r="MB49" s="62">
        <f>6*650</f>
        <v>3900</v>
      </c>
      <c r="MC49" s="63">
        <v>3900</v>
      </c>
      <c r="MD49" s="64">
        <f t="shared" si="1056"/>
        <v>0</v>
      </c>
      <c r="ME49" s="65">
        <v>889.11</v>
      </c>
      <c r="MF49" s="63">
        <v>889.11</v>
      </c>
      <c r="MG49" s="64">
        <f t="shared" si="1057"/>
        <v>0</v>
      </c>
      <c r="MH49" s="65"/>
      <c r="MI49" s="63"/>
      <c r="MJ49" s="64">
        <f t="shared" si="1058"/>
        <v>0</v>
      </c>
      <c r="MK49" s="65">
        <v>100</v>
      </c>
      <c r="ML49" s="63"/>
      <c r="MM49" s="64">
        <f t="shared" si="1059"/>
        <v>100</v>
      </c>
      <c r="MN49" s="66">
        <f t="shared" si="131"/>
        <v>4889.1099999999997</v>
      </c>
      <c r="MO49" s="67">
        <f t="shared" si="1060"/>
        <v>4789.1099999999997</v>
      </c>
      <c r="MP49" s="64">
        <f t="shared" si="1061"/>
        <v>100</v>
      </c>
      <c r="MQ49" s="62">
        <v>9100</v>
      </c>
      <c r="MR49" s="63">
        <v>9100</v>
      </c>
      <c r="MS49" s="64">
        <f t="shared" si="1062"/>
        <v>0</v>
      </c>
      <c r="MT49" s="65"/>
      <c r="MU49" s="63"/>
      <c r="MV49" s="64">
        <f t="shared" si="1063"/>
        <v>0</v>
      </c>
      <c r="MW49" s="65"/>
      <c r="MX49" s="63"/>
      <c r="MY49" s="64">
        <f t="shared" si="1064"/>
        <v>0</v>
      </c>
      <c r="MZ49" s="65"/>
      <c r="NA49" s="63"/>
      <c r="NB49" s="64">
        <f t="shared" si="1065"/>
        <v>0</v>
      </c>
      <c r="NC49" s="66">
        <f t="shared" si="138"/>
        <v>9100</v>
      </c>
      <c r="ND49" s="67">
        <f t="shared" si="1066"/>
        <v>9100</v>
      </c>
      <c r="NE49" s="64">
        <f t="shared" si="1067"/>
        <v>0</v>
      </c>
      <c r="NF49" s="62">
        <v>6000</v>
      </c>
      <c r="NG49" s="63">
        <v>6000</v>
      </c>
      <c r="NH49" s="64">
        <f t="shared" si="1068"/>
        <v>0</v>
      </c>
      <c r="NI49" s="65">
        <v>1164.04</v>
      </c>
      <c r="NJ49" s="63">
        <v>1164.04</v>
      </c>
      <c r="NK49" s="64">
        <f t="shared" si="1069"/>
        <v>0</v>
      </c>
      <c r="NL49" s="65"/>
      <c r="NM49" s="63"/>
      <c r="NN49" s="64">
        <f t="shared" si="1070"/>
        <v>0</v>
      </c>
      <c r="NO49" s="65">
        <v>100</v>
      </c>
      <c r="NP49" s="63"/>
      <c r="NQ49" s="64">
        <f t="shared" si="1071"/>
        <v>100</v>
      </c>
      <c r="NR49" s="66">
        <f t="shared" si="145"/>
        <v>7264.04</v>
      </c>
      <c r="NS49" s="67">
        <f t="shared" si="1072"/>
        <v>7164.04</v>
      </c>
      <c r="NT49" s="64">
        <f t="shared" si="1073"/>
        <v>100</v>
      </c>
      <c r="NU49" s="62">
        <f>6*864</f>
        <v>5184</v>
      </c>
      <c r="NV49" s="63">
        <v>5184</v>
      </c>
      <c r="NW49" s="64">
        <f t="shared" si="1074"/>
        <v>0</v>
      </c>
      <c r="NX49" s="65">
        <v>1152.73</v>
      </c>
      <c r="NY49" s="63">
        <v>1152.73</v>
      </c>
      <c r="NZ49" s="64">
        <f t="shared" si="1075"/>
        <v>0</v>
      </c>
      <c r="OA49" s="65"/>
      <c r="OB49" s="63"/>
      <c r="OC49" s="64">
        <f t="shared" si="1076"/>
        <v>0</v>
      </c>
      <c r="OD49" s="65">
        <v>100</v>
      </c>
      <c r="OE49" s="63"/>
      <c r="OF49" s="64">
        <f t="shared" si="1077"/>
        <v>100</v>
      </c>
      <c r="OG49" s="66">
        <f t="shared" si="152"/>
        <v>6436.73</v>
      </c>
      <c r="OH49" s="67">
        <f t="shared" si="1078"/>
        <v>6336.73</v>
      </c>
      <c r="OI49" s="64">
        <f t="shared" si="1079"/>
        <v>100</v>
      </c>
      <c r="OJ49" s="62"/>
      <c r="OK49" s="63"/>
      <c r="OL49" s="64">
        <f t="shared" si="1080"/>
        <v>0</v>
      </c>
      <c r="OM49" s="65"/>
      <c r="ON49" s="63"/>
      <c r="OO49" s="64">
        <f t="shared" si="1081"/>
        <v>0</v>
      </c>
      <c r="OP49" s="65"/>
      <c r="OQ49" s="63"/>
      <c r="OR49" s="64">
        <f t="shared" si="1082"/>
        <v>0</v>
      </c>
      <c r="OS49" s="65">
        <v>100</v>
      </c>
      <c r="OT49" s="63"/>
      <c r="OU49" s="64">
        <f t="shared" si="1083"/>
        <v>100</v>
      </c>
      <c r="OV49" s="66">
        <f t="shared" si="159"/>
        <v>100</v>
      </c>
      <c r="OW49" s="67">
        <f t="shared" si="1084"/>
        <v>0</v>
      </c>
      <c r="OX49" s="64">
        <f t="shared" si="1085"/>
        <v>100</v>
      </c>
      <c r="OY49" s="62"/>
      <c r="OZ49" s="63"/>
      <c r="PA49" s="64">
        <f t="shared" si="1086"/>
        <v>0</v>
      </c>
      <c r="PB49" s="65">
        <v>600</v>
      </c>
      <c r="PC49" s="63"/>
      <c r="PD49" s="64">
        <f t="shared" si="1087"/>
        <v>600</v>
      </c>
      <c r="PE49" s="65"/>
      <c r="PF49" s="63"/>
      <c r="PG49" s="64">
        <f t="shared" si="1088"/>
        <v>0</v>
      </c>
      <c r="PH49" s="65">
        <v>100</v>
      </c>
      <c r="PI49" s="63"/>
      <c r="PJ49" s="64">
        <f t="shared" si="1089"/>
        <v>100</v>
      </c>
      <c r="PK49" s="66">
        <f t="shared" si="166"/>
        <v>700</v>
      </c>
      <c r="PL49" s="67">
        <f t="shared" si="1090"/>
        <v>0</v>
      </c>
      <c r="PM49" s="64">
        <f t="shared" si="1091"/>
        <v>700</v>
      </c>
      <c r="PN49" s="62">
        <v>1550</v>
      </c>
      <c r="PO49" s="63">
        <v>1550</v>
      </c>
      <c r="PP49" s="64">
        <f t="shared" si="1092"/>
        <v>0</v>
      </c>
      <c r="PQ49" s="65"/>
      <c r="PR49" s="63"/>
      <c r="PS49" s="64">
        <f t="shared" si="1093"/>
        <v>0</v>
      </c>
      <c r="PT49" s="65"/>
      <c r="PU49" s="63"/>
      <c r="PV49" s="64">
        <f t="shared" si="1094"/>
        <v>0</v>
      </c>
      <c r="PW49" s="65">
        <v>100</v>
      </c>
      <c r="PX49" s="63"/>
      <c r="PY49" s="64">
        <f t="shared" si="1095"/>
        <v>100</v>
      </c>
      <c r="PZ49" s="66">
        <f t="shared" si="173"/>
        <v>1650</v>
      </c>
      <c r="QA49" s="67">
        <f t="shared" si="1096"/>
        <v>1550</v>
      </c>
      <c r="QB49" s="64">
        <f t="shared" si="1097"/>
        <v>100</v>
      </c>
      <c r="QC49" s="62"/>
      <c r="QD49" s="63"/>
      <c r="QE49" s="64">
        <f t="shared" si="1098"/>
        <v>0</v>
      </c>
      <c r="QF49" s="65"/>
      <c r="QG49" s="63"/>
      <c r="QH49" s="64">
        <f t="shared" si="1099"/>
        <v>0</v>
      </c>
      <c r="QI49" s="65"/>
      <c r="QJ49" s="63"/>
      <c r="QK49" s="64">
        <f t="shared" si="1100"/>
        <v>0</v>
      </c>
      <c r="QL49" s="65">
        <v>100</v>
      </c>
      <c r="QM49" s="63"/>
      <c r="QN49" s="64">
        <f t="shared" si="1101"/>
        <v>100</v>
      </c>
      <c r="QO49" s="66">
        <f t="shared" si="180"/>
        <v>100</v>
      </c>
      <c r="QP49" s="67">
        <f t="shared" si="1102"/>
        <v>0</v>
      </c>
      <c r="QQ49" s="64">
        <f t="shared" si="1103"/>
        <v>100</v>
      </c>
      <c r="QR49" s="62"/>
      <c r="QS49" s="63"/>
      <c r="QT49" s="64">
        <f t="shared" si="1104"/>
        <v>0</v>
      </c>
      <c r="QU49" s="65">
        <v>602.79999999999995</v>
      </c>
      <c r="QV49" s="63">
        <v>635</v>
      </c>
      <c r="QW49" s="64">
        <f t="shared" si="1105"/>
        <v>-32.200000000000045</v>
      </c>
      <c r="QX49" s="65"/>
      <c r="QY49" s="63"/>
      <c r="QZ49" s="64">
        <f t="shared" si="1106"/>
        <v>0</v>
      </c>
      <c r="RA49" s="65"/>
      <c r="RB49" s="63"/>
      <c r="RC49" s="64">
        <f t="shared" si="1107"/>
        <v>0</v>
      </c>
      <c r="RD49" s="66">
        <f t="shared" si="187"/>
        <v>602.79999999999995</v>
      </c>
      <c r="RE49" s="67">
        <f t="shared" si="1108"/>
        <v>635</v>
      </c>
      <c r="RF49" s="74"/>
      <c r="RG49" s="72"/>
      <c r="RH49" s="73"/>
      <c r="RI49" s="74"/>
      <c r="RJ49" s="75"/>
      <c r="RK49" s="73"/>
      <c r="RL49" s="74"/>
      <c r="RM49" s="75"/>
      <c r="RN49" s="73"/>
      <c r="RO49" s="74"/>
      <c r="RP49" s="75"/>
      <c r="RQ49" s="73"/>
      <c r="RR49" s="74"/>
      <c r="RS49" s="76"/>
      <c r="RT49" s="77"/>
      <c r="RU49" s="64">
        <f t="shared" si="1109"/>
        <v>0</v>
      </c>
      <c r="RV49" s="62"/>
      <c r="RW49" s="63"/>
      <c r="RX49" s="64">
        <f t="shared" si="1110"/>
        <v>0</v>
      </c>
      <c r="RY49" s="65"/>
      <c r="RZ49" s="63"/>
      <c r="SA49" s="64">
        <f t="shared" si="1111"/>
        <v>0</v>
      </c>
      <c r="SB49" s="65"/>
      <c r="SC49" s="63"/>
      <c r="SD49" s="64">
        <f t="shared" si="1112"/>
        <v>0</v>
      </c>
      <c r="SE49" s="65">
        <v>100</v>
      </c>
      <c r="SF49" s="63"/>
      <c r="SG49" s="64">
        <f t="shared" si="1113"/>
        <v>100</v>
      </c>
      <c r="SH49" s="66">
        <f t="shared" si="201"/>
        <v>100</v>
      </c>
      <c r="SI49" s="67">
        <f t="shared" si="1114"/>
        <v>0</v>
      </c>
      <c r="SJ49" s="64">
        <f t="shared" si="1115"/>
        <v>100</v>
      </c>
      <c r="SK49" s="62"/>
      <c r="SL49" s="63"/>
      <c r="SM49" s="64">
        <f t="shared" si="1116"/>
        <v>0</v>
      </c>
      <c r="SN49" s="65"/>
      <c r="SO49" s="63"/>
      <c r="SP49" s="64">
        <f t="shared" si="1117"/>
        <v>0</v>
      </c>
      <c r="SQ49" s="65"/>
      <c r="SR49" s="63"/>
      <c r="SS49" s="64">
        <f t="shared" si="1118"/>
        <v>0</v>
      </c>
      <c r="ST49" s="65">
        <v>100</v>
      </c>
      <c r="SU49" s="63">
        <v>207.81</v>
      </c>
      <c r="SV49" s="64">
        <f t="shared" si="1119"/>
        <v>-107.81</v>
      </c>
      <c r="SW49" s="66">
        <f t="shared" si="208"/>
        <v>100</v>
      </c>
      <c r="SX49" s="67">
        <f t="shared" si="1120"/>
        <v>207.81</v>
      </c>
      <c r="SY49" s="64">
        <f t="shared" si="1121"/>
        <v>-107.81</v>
      </c>
      <c r="SZ49" s="62">
        <v>985.33</v>
      </c>
      <c r="TA49" s="63">
        <v>985.33</v>
      </c>
      <c r="TB49" s="64">
        <f t="shared" si="1122"/>
        <v>0</v>
      </c>
      <c r="TC49" s="65">
        <v>700.9</v>
      </c>
      <c r="TD49" s="63">
        <v>740.15</v>
      </c>
      <c r="TE49" s="64">
        <f t="shared" si="1123"/>
        <v>-39.25</v>
      </c>
      <c r="TF49" s="65"/>
      <c r="TG49" s="63"/>
      <c r="TH49" s="64">
        <f t="shared" si="1124"/>
        <v>0</v>
      </c>
      <c r="TI49" s="65">
        <v>100</v>
      </c>
      <c r="TJ49" s="63"/>
      <c r="TK49" s="64">
        <f t="shared" si="1125"/>
        <v>100</v>
      </c>
      <c r="TL49" s="66">
        <f t="shared" si="215"/>
        <v>1786.23</v>
      </c>
      <c r="TM49" s="67">
        <f t="shared" si="1126"/>
        <v>1725.48</v>
      </c>
      <c r="TN49" s="64">
        <f t="shared" si="1127"/>
        <v>60.75</v>
      </c>
      <c r="TO49" s="62"/>
      <c r="TP49" s="63"/>
      <c r="TQ49" s="64">
        <f t="shared" si="1128"/>
        <v>0</v>
      </c>
      <c r="TR49" s="65"/>
      <c r="TS49" s="63"/>
      <c r="TT49" s="64">
        <f t="shared" si="1129"/>
        <v>0</v>
      </c>
      <c r="TU49" s="65"/>
      <c r="TV49" s="63"/>
      <c r="TW49" s="64">
        <f t="shared" si="1130"/>
        <v>0</v>
      </c>
      <c r="TX49" s="65">
        <v>100</v>
      </c>
      <c r="TY49" s="63"/>
      <c r="TZ49" s="64">
        <f t="shared" si="1131"/>
        <v>100</v>
      </c>
      <c r="UA49" s="66">
        <f t="shared" si="222"/>
        <v>100</v>
      </c>
      <c r="UB49" s="67">
        <f t="shared" si="1132"/>
        <v>0</v>
      </c>
      <c r="UC49" s="64">
        <f t="shared" si="1133"/>
        <v>100</v>
      </c>
      <c r="UD49" s="62">
        <v>1125</v>
      </c>
      <c r="UE49" s="63"/>
      <c r="UF49" s="64">
        <f t="shared" si="1134"/>
        <v>1125</v>
      </c>
      <c r="UG49" s="65">
        <v>497.04</v>
      </c>
      <c r="UH49" s="63">
        <v>517.34</v>
      </c>
      <c r="UI49" s="64">
        <f t="shared" si="1135"/>
        <v>-20.300000000000011</v>
      </c>
      <c r="UJ49" s="65"/>
      <c r="UK49" s="63"/>
      <c r="UL49" s="64">
        <f t="shared" si="1136"/>
        <v>0</v>
      </c>
      <c r="UM49" s="65">
        <v>100</v>
      </c>
      <c r="UN49" s="63"/>
      <c r="UO49" s="64">
        <f t="shared" si="1137"/>
        <v>100</v>
      </c>
      <c r="UP49" s="66">
        <f t="shared" si="226"/>
        <v>1722.04</v>
      </c>
      <c r="UQ49" s="67">
        <f t="shared" si="1138"/>
        <v>517.34</v>
      </c>
      <c r="UR49" s="64">
        <f t="shared" si="1139"/>
        <v>1204.6999999999998</v>
      </c>
      <c r="US49" s="74"/>
      <c r="UT49" s="72"/>
      <c r="UU49" s="73"/>
      <c r="UV49" s="74"/>
      <c r="UW49" s="75"/>
      <c r="UX49" s="73"/>
      <c r="UY49" s="74"/>
      <c r="UZ49" s="75"/>
      <c r="VA49" s="73"/>
      <c r="VB49" s="74"/>
      <c r="VC49" s="75"/>
      <c r="VD49" s="73"/>
      <c r="VE49" s="74"/>
      <c r="VF49" s="76"/>
      <c r="VG49" s="77"/>
      <c r="VH49" s="62">
        <v>18600</v>
      </c>
      <c r="VI49" s="63">
        <v>18600</v>
      </c>
      <c r="VJ49" s="64">
        <f t="shared" si="1140"/>
        <v>0</v>
      </c>
      <c r="VK49" s="65"/>
      <c r="VL49" s="63"/>
      <c r="VM49" s="64">
        <f t="shared" si="1141"/>
        <v>0</v>
      </c>
      <c r="VN49" s="65"/>
      <c r="VO49" s="63"/>
      <c r="VP49" s="64">
        <f t="shared" si="1142"/>
        <v>0</v>
      </c>
      <c r="VQ49" s="65">
        <v>100</v>
      </c>
      <c r="VR49" s="63"/>
      <c r="VS49" s="64">
        <f t="shared" si="1143"/>
        <v>100</v>
      </c>
      <c r="VT49" s="66">
        <f t="shared" si="240"/>
        <v>18700</v>
      </c>
      <c r="VU49" s="67">
        <f t="shared" si="1144"/>
        <v>18600</v>
      </c>
      <c r="VV49" s="64">
        <f t="shared" si="1145"/>
        <v>100</v>
      </c>
      <c r="VW49" s="74"/>
      <c r="VX49" s="72"/>
      <c r="VY49" s="73"/>
      <c r="VZ49" s="74"/>
      <c r="WA49" s="75"/>
      <c r="WB49" s="73"/>
      <c r="WC49" s="74"/>
      <c r="WD49" s="75"/>
      <c r="WE49" s="73"/>
      <c r="WF49" s="74"/>
      <c r="WG49" s="75"/>
      <c r="WH49" s="73"/>
      <c r="WI49" s="74"/>
      <c r="WJ49" s="76"/>
      <c r="WK49" s="77"/>
      <c r="WL49" s="62">
        <v>1376.01</v>
      </c>
      <c r="WM49" s="63">
        <v>1376.01</v>
      </c>
      <c r="WN49" s="64">
        <f t="shared" si="1146"/>
        <v>0</v>
      </c>
      <c r="WO49" s="65"/>
      <c r="WP49" s="63"/>
      <c r="WQ49" s="64">
        <f t="shared" si="1147"/>
        <v>0</v>
      </c>
      <c r="WR49" s="65"/>
      <c r="WS49" s="63"/>
      <c r="WT49" s="64">
        <f t="shared" si="1148"/>
        <v>0</v>
      </c>
      <c r="WU49" s="65">
        <v>100</v>
      </c>
      <c r="WV49" s="63"/>
      <c r="WW49" s="64">
        <f t="shared" si="1149"/>
        <v>100</v>
      </c>
      <c r="WX49" s="66">
        <f t="shared" si="254"/>
        <v>1476.01</v>
      </c>
      <c r="WY49" s="67">
        <f t="shared" si="1150"/>
        <v>1376.01</v>
      </c>
      <c r="WZ49" s="64">
        <f t="shared" si="1151"/>
        <v>100</v>
      </c>
      <c r="XA49" s="62">
        <v>15000</v>
      </c>
      <c r="XB49" s="63">
        <v>15000</v>
      </c>
      <c r="XC49" s="64">
        <f t="shared" si="1152"/>
        <v>0</v>
      </c>
      <c r="XD49" s="65"/>
      <c r="XE49" s="63"/>
      <c r="XF49" s="64">
        <f t="shared" si="1153"/>
        <v>0</v>
      </c>
      <c r="XG49" s="65"/>
      <c r="XH49" s="63"/>
      <c r="XI49" s="64">
        <f t="shared" si="1154"/>
        <v>0</v>
      </c>
      <c r="XJ49" s="65">
        <v>100</v>
      </c>
      <c r="XK49" s="63"/>
      <c r="XL49" s="64">
        <f t="shared" si="1155"/>
        <v>100</v>
      </c>
      <c r="XM49" s="66">
        <f t="shared" si="261"/>
        <v>15100</v>
      </c>
      <c r="XN49" s="67">
        <f t="shared" si="1156"/>
        <v>15000</v>
      </c>
      <c r="XO49" s="64">
        <f t="shared" si="1157"/>
        <v>100</v>
      </c>
      <c r="XP49" s="62">
        <v>5202</v>
      </c>
      <c r="XQ49" s="63">
        <v>5202</v>
      </c>
      <c r="XR49" s="64">
        <f t="shared" si="1158"/>
        <v>0</v>
      </c>
      <c r="XS49" s="65">
        <v>844.24</v>
      </c>
      <c r="XT49" s="63">
        <v>844.24</v>
      </c>
      <c r="XU49" s="64">
        <f t="shared" si="1159"/>
        <v>0</v>
      </c>
      <c r="XV49" s="65"/>
      <c r="XW49" s="63"/>
      <c r="XX49" s="64">
        <f t="shared" si="1160"/>
        <v>0</v>
      </c>
      <c r="XY49" s="65">
        <v>100</v>
      </c>
      <c r="XZ49" s="63"/>
      <c r="YA49" s="64">
        <f t="shared" si="1161"/>
        <v>100</v>
      </c>
      <c r="YB49" s="66">
        <f t="shared" si="268"/>
        <v>6146.24</v>
      </c>
      <c r="YC49" s="67">
        <f t="shared" si="1162"/>
        <v>6046.24</v>
      </c>
      <c r="YD49" s="64">
        <f t="shared" si="1163"/>
        <v>100</v>
      </c>
      <c r="YE49" s="62">
        <v>5340</v>
      </c>
      <c r="YF49" s="63">
        <v>5340</v>
      </c>
      <c r="YG49" s="64">
        <f t="shared" si="1164"/>
        <v>0</v>
      </c>
      <c r="YH49" s="65">
        <v>847.85</v>
      </c>
      <c r="YI49" s="63">
        <v>847.85</v>
      </c>
      <c r="YJ49" s="64">
        <f t="shared" si="1165"/>
        <v>0</v>
      </c>
      <c r="YK49" s="65"/>
      <c r="YL49" s="63"/>
      <c r="YM49" s="64">
        <f t="shared" si="1166"/>
        <v>0</v>
      </c>
      <c r="YN49" s="65">
        <v>100</v>
      </c>
      <c r="YO49" s="63"/>
      <c r="YP49" s="64">
        <f t="shared" si="1167"/>
        <v>100</v>
      </c>
      <c r="YQ49" s="66">
        <f t="shared" si="275"/>
        <v>6287.85</v>
      </c>
      <c r="YR49" s="67">
        <f t="shared" si="1168"/>
        <v>6187.85</v>
      </c>
      <c r="YS49" s="64">
        <f t="shared" si="1169"/>
        <v>100</v>
      </c>
      <c r="YT49" s="62">
        <v>5592</v>
      </c>
      <c r="YU49" s="63">
        <v>5592</v>
      </c>
      <c r="YV49" s="64">
        <f t="shared" si="1170"/>
        <v>0</v>
      </c>
      <c r="YW49" s="65">
        <v>695.73</v>
      </c>
      <c r="YX49" s="63">
        <v>695.73</v>
      </c>
      <c r="YY49" s="64">
        <f t="shared" si="1171"/>
        <v>0</v>
      </c>
      <c r="YZ49" s="65"/>
      <c r="ZA49" s="63"/>
      <c r="ZB49" s="64">
        <f t="shared" si="1172"/>
        <v>0</v>
      </c>
      <c r="ZC49" s="65">
        <v>100</v>
      </c>
      <c r="ZD49" s="63"/>
      <c r="ZE49" s="64">
        <f t="shared" si="1173"/>
        <v>100</v>
      </c>
      <c r="ZF49" s="66">
        <f t="shared" si="282"/>
        <v>6387.73</v>
      </c>
      <c r="ZG49" s="67">
        <f t="shared" si="1174"/>
        <v>6287.73</v>
      </c>
      <c r="ZH49" s="74"/>
      <c r="ZI49" s="72"/>
      <c r="ZJ49" s="73"/>
      <c r="ZK49" s="74"/>
      <c r="ZL49" s="75"/>
      <c r="ZM49" s="73"/>
      <c r="ZN49" s="74"/>
      <c r="ZO49" s="75"/>
      <c r="ZP49" s="73"/>
      <c r="ZQ49" s="74"/>
      <c r="ZR49" s="75"/>
      <c r="ZS49" s="73"/>
      <c r="ZT49" s="74"/>
      <c r="ZU49" s="76"/>
      <c r="ZV49" s="77"/>
      <c r="ZW49" s="64">
        <f t="shared" si="1175"/>
        <v>0</v>
      </c>
      <c r="ZX49" s="62">
        <v>24.71</v>
      </c>
      <c r="ZY49" s="63">
        <v>62.91</v>
      </c>
      <c r="ZZ49" s="64">
        <f t="shared" si="1176"/>
        <v>-38.199999999999996</v>
      </c>
      <c r="AAA49" s="66">
        <f t="shared" si="293"/>
        <v>24.71</v>
      </c>
      <c r="AAB49" s="67">
        <f t="shared" si="293"/>
        <v>62.91</v>
      </c>
      <c r="AAC49" s="64">
        <f t="shared" si="1177"/>
        <v>-38.199999999999996</v>
      </c>
      <c r="AAD49" s="85">
        <f t="shared" si="295"/>
        <v>195219.46</v>
      </c>
      <c r="AAE49" s="86">
        <f t="shared" si="295"/>
        <v>193757.98</v>
      </c>
      <c r="AAF49" s="87">
        <f t="shared" si="3"/>
        <v>0.99251365616931841</v>
      </c>
      <c r="AAG49" s="88">
        <f t="shared" si="1178"/>
        <v>-1461.4799999999814</v>
      </c>
      <c r="AAH49" s="58"/>
      <c r="AAI49" s="59"/>
      <c r="AAJ49" s="59"/>
      <c r="AAK49" s="60"/>
    </row>
    <row r="50" spans="1:713" s="83" customFormat="1" ht="20" customHeight="1" x14ac:dyDescent="0.2">
      <c r="A50" s="84" t="s">
        <v>45</v>
      </c>
      <c r="B50" s="89">
        <f>AAH50</f>
        <v>1420798.4799999995</v>
      </c>
      <c r="C50" s="90"/>
      <c r="D50" s="90"/>
      <c r="E50" s="60"/>
      <c r="F50" s="61">
        <v>45839</v>
      </c>
      <c r="G50" s="62">
        <f>371675.99/2</f>
        <v>185837.995</v>
      </c>
      <c r="H50" s="63">
        <v>216066.92</v>
      </c>
      <c r="I50" s="64">
        <f t="shared" si="951"/>
        <v>-30228.925000000017</v>
      </c>
      <c r="J50" s="65">
        <v>2166.9299999999998</v>
      </c>
      <c r="K50" s="63">
        <v>2307.2800000000002</v>
      </c>
      <c r="L50" s="64">
        <f t="shared" si="952"/>
        <v>-140.35000000000036</v>
      </c>
      <c r="M50" s="65"/>
      <c r="N50" s="63"/>
      <c r="O50" s="64">
        <f t="shared" si="953"/>
        <v>0</v>
      </c>
      <c r="P50" s="65">
        <v>1250</v>
      </c>
      <c r="Q50" s="63">
        <v>935.97</v>
      </c>
      <c r="R50" s="64">
        <f t="shared" si="954"/>
        <v>314.02999999999997</v>
      </c>
      <c r="S50" s="65">
        <v>362</v>
      </c>
      <c r="T50" s="63">
        <v>196.34</v>
      </c>
      <c r="U50" s="64">
        <f t="shared" si="955"/>
        <v>165.66</v>
      </c>
      <c r="V50" s="66">
        <f t="shared" si="956"/>
        <v>189616.92499999999</v>
      </c>
      <c r="W50" s="67">
        <f t="shared" si="956"/>
        <v>219506.51</v>
      </c>
      <c r="X50" s="64">
        <f t="shared" si="957"/>
        <v>-29889.585000000021</v>
      </c>
      <c r="Y50" s="72"/>
      <c r="Z50" s="73"/>
      <c r="AA50" s="74"/>
      <c r="AB50" s="75"/>
      <c r="AC50" s="73"/>
      <c r="AD50" s="74"/>
      <c r="AE50" s="75"/>
      <c r="AF50" s="73"/>
      <c r="AG50" s="74"/>
      <c r="AH50" s="75"/>
      <c r="AI50" s="73"/>
      <c r="AJ50" s="74"/>
      <c r="AK50" s="76"/>
      <c r="AL50" s="77"/>
      <c r="AM50" s="64">
        <f t="shared" si="958"/>
        <v>0</v>
      </c>
      <c r="AN50" s="62">
        <v>6250</v>
      </c>
      <c r="AO50" s="63">
        <v>6250</v>
      </c>
      <c r="AP50" s="64">
        <f t="shared" si="1179"/>
        <v>0</v>
      </c>
      <c r="AQ50" s="65"/>
      <c r="AR50" s="63"/>
      <c r="AS50" s="64">
        <f t="shared" si="959"/>
        <v>0</v>
      </c>
      <c r="AT50" s="65"/>
      <c r="AU50" s="63"/>
      <c r="AV50" s="64">
        <f t="shared" si="960"/>
        <v>0</v>
      </c>
      <c r="AW50" s="65"/>
      <c r="AX50" s="63"/>
      <c r="AY50" s="64">
        <f t="shared" si="961"/>
        <v>0</v>
      </c>
      <c r="AZ50" s="66">
        <f t="shared" si="23"/>
        <v>6250</v>
      </c>
      <c r="BA50" s="67">
        <f t="shared" si="962"/>
        <v>6250</v>
      </c>
      <c r="BB50" s="64">
        <f t="shared" si="963"/>
        <v>0</v>
      </c>
      <c r="BC50" s="62"/>
      <c r="BD50" s="63"/>
      <c r="BE50" s="64">
        <f t="shared" si="964"/>
        <v>0</v>
      </c>
      <c r="BF50" s="65"/>
      <c r="BG50" s="63"/>
      <c r="BH50" s="64">
        <f t="shared" si="965"/>
        <v>0</v>
      </c>
      <c r="BI50" s="65"/>
      <c r="BJ50" s="63"/>
      <c r="BK50" s="64">
        <f t="shared" si="966"/>
        <v>0</v>
      </c>
      <c r="BL50" s="65">
        <v>100</v>
      </c>
      <c r="BM50" s="63"/>
      <c r="BN50" s="64">
        <f t="shared" si="967"/>
        <v>100</v>
      </c>
      <c r="BO50" s="66">
        <f t="shared" si="30"/>
        <v>100</v>
      </c>
      <c r="BP50" s="67">
        <f t="shared" si="968"/>
        <v>0</v>
      </c>
      <c r="BQ50" s="64">
        <f t="shared" si="969"/>
        <v>100</v>
      </c>
      <c r="BR50" s="72"/>
      <c r="BS50" s="73"/>
      <c r="BT50" s="74"/>
      <c r="BU50" s="75"/>
      <c r="BV50" s="73"/>
      <c r="BW50" s="74"/>
      <c r="BX50" s="75"/>
      <c r="BY50" s="73"/>
      <c r="BZ50" s="74"/>
      <c r="CA50" s="75"/>
      <c r="CB50" s="73"/>
      <c r="CC50" s="74"/>
      <c r="CD50" s="76"/>
      <c r="CE50" s="77"/>
      <c r="CF50" s="64">
        <f t="shared" si="970"/>
        <v>0</v>
      </c>
      <c r="CG50" s="62">
        <v>5000</v>
      </c>
      <c r="CH50" s="63">
        <v>5000</v>
      </c>
      <c r="CI50" s="64">
        <f t="shared" si="971"/>
        <v>0</v>
      </c>
      <c r="CJ50" s="65"/>
      <c r="CK50" s="63"/>
      <c r="CL50" s="64">
        <f t="shared" si="972"/>
        <v>0</v>
      </c>
      <c r="CM50" s="65"/>
      <c r="CN50" s="63"/>
      <c r="CO50" s="64">
        <f t="shared" si="973"/>
        <v>0</v>
      </c>
      <c r="CP50" s="65"/>
      <c r="CQ50" s="63"/>
      <c r="CR50" s="64">
        <f t="shared" si="974"/>
        <v>0</v>
      </c>
      <c r="CS50" s="66">
        <f t="shared" si="40"/>
        <v>5000</v>
      </c>
      <c r="CT50" s="67">
        <f t="shared" si="975"/>
        <v>5000</v>
      </c>
      <c r="CU50" s="64">
        <f t="shared" si="976"/>
        <v>0</v>
      </c>
      <c r="CV50" s="62">
        <v>2916.7</v>
      </c>
      <c r="CW50" s="63">
        <v>2562.2199999999998</v>
      </c>
      <c r="CX50" s="64">
        <f t="shared" si="977"/>
        <v>354.48</v>
      </c>
      <c r="CY50" s="65">
        <v>429.15</v>
      </c>
      <c r="CZ50" s="63">
        <v>429.15</v>
      </c>
      <c r="DA50" s="64">
        <f t="shared" si="978"/>
        <v>0</v>
      </c>
      <c r="DB50" s="65"/>
      <c r="DC50" s="63"/>
      <c r="DD50" s="64">
        <f t="shared" si="979"/>
        <v>0</v>
      </c>
      <c r="DE50" s="65"/>
      <c r="DF50" s="63"/>
      <c r="DG50" s="64">
        <f t="shared" si="980"/>
        <v>0</v>
      </c>
      <c r="DH50" s="66">
        <f t="shared" si="43"/>
        <v>3345.85</v>
      </c>
      <c r="DI50" s="67">
        <f t="shared" si="981"/>
        <v>2991.37</v>
      </c>
      <c r="DJ50" s="64">
        <f t="shared" si="982"/>
        <v>354.48</v>
      </c>
      <c r="DK50" s="62">
        <v>2400</v>
      </c>
      <c r="DL50" s="63">
        <v>2400</v>
      </c>
      <c r="DM50" s="64">
        <f t="shared" si="983"/>
        <v>0</v>
      </c>
      <c r="DN50" s="65">
        <v>913.08</v>
      </c>
      <c r="DO50" s="63">
        <v>913.08</v>
      </c>
      <c r="DP50" s="64">
        <f t="shared" si="984"/>
        <v>0</v>
      </c>
      <c r="DQ50" s="65"/>
      <c r="DR50" s="63"/>
      <c r="DS50" s="64">
        <f t="shared" si="985"/>
        <v>0</v>
      </c>
      <c r="DT50" s="65">
        <v>100</v>
      </c>
      <c r="DU50" s="63"/>
      <c r="DV50" s="64">
        <f t="shared" si="986"/>
        <v>100</v>
      </c>
      <c r="DW50" s="66">
        <f t="shared" si="46"/>
        <v>3413.08</v>
      </c>
      <c r="DX50" s="67">
        <f t="shared" si="987"/>
        <v>3313.08</v>
      </c>
      <c r="DY50" s="64">
        <f t="shared" si="988"/>
        <v>100</v>
      </c>
      <c r="DZ50" s="62">
        <v>12000</v>
      </c>
      <c r="EA50" s="63">
        <v>12000</v>
      </c>
      <c r="EB50" s="64">
        <f t="shared" si="989"/>
        <v>0</v>
      </c>
      <c r="EC50" s="65"/>
      <c r="ED50" s="63"/>
      <c r="EE50" s="64">
        <f t="shared" si="990"/>
        <v>0</v>
      </c>
      <c r="EF50" s="65"/>
      <c r="EG50" s="63"/>
      <c r="EH50" s="64">
        <f t="shared" si="991"/>
        <v>0</v>
      </c>
      <c r="EI50" s="65">
        <v>100</v>
      </c>
      <c r="EJ50" s="63">
        <v>159.25</v>
      </c>
      <c r="EK50" s="64">
        <f t="shared" si="992"/>
        <v>-59.25</v>
      </c>
      <c r="EL50" s="66">
        <f t="shared" si="53"/>
        <v>12100</v>
      </c>
      <c r="EM50" s="67">
        <f t="shared" si="993"/>
        <v>12159.25</v>
      </c>
      <c r="EN50" s="64">
        <f t="shared" si="994"/>
        <v>-59.25</v>
      </c>
      <c r="EO50" s="62"/>
      <c r="EP50" s="63"/>
      <c r="EQ50" s="64">
        <f t="shared" si="995"/>
        <v>0</v>
      </c>
      <c r="ER50" s="65">
        <v>3600</v>
      </c>
      <c r="ES50" s="63">
        <v>1594.89</v>
      </c>
      <c r="ET50" s="64">
        <f t="shared" si="996"/>
        <v>2005.11</v>
      </c>
      <c r="EU50" s="65"/>
      <c r="EV50" s="63"/>
      <c r="EW50" s="64">
        <f t="shared" si="997"/>
        <v>0</v>
      </c>
      <c r="EX50" s="65">
        <v>100</v>
      </c>
      <c r="EY50" s="63"/>
      <c r="EZ50" s="64">
        <f t="shared" si="998"/>
        <v>100</v>
      </c>
      <c r="FA50" s="66">
        <f t="shared" si="60"/>
        <v>3700</v>
      </c>
      <c r="FB50" s="67">
        <f t="shared" si="999"/>
        <v>1594.89</v>
      </c>
      <c r="FC50" s="64">
        <f t="shared" si="1000"/>
        <v>2105.1099999999997</v>
      </c>
      <c r="FD50" s="62"/>
      <c r="FE50" s="63"/>
      <c r="FF50" s="64">
        <f t="shared" si="1001"/>
        <v>0</v>
      </c>
      <c r="FG50" s="65">
        <v>3600</v>
      </c>
      <c r="FH50" s="63">
        <v>1594.89</v>
      </c>
      <c r="FI50" s="64">
        <f t="shared" si="1002"/>
        <v>2005.11</v>
      </c>
      <c r="FJ50" s="65"/>
      <c r="FK50" s="63"/>
      <c r="FL50" s="64">
        <f t="shared" si="1003"/>
        <v>0</v>
      </c>
      <c r="FM50" s="65">
        <v>100</v>
      </c>
      <c r="FN50" s="63"/>
      <c r="FO50" s="64">
        <f t="shared" si="1004"/>
        <v>100</v>
      </c>
      <c r="FP50" s="66">
        <f t="shared" si="67"/>
        <v>3700</v>
      </c>
      <c r="FQ50" s="67">
        <f t="shared" si="1005"/>
        <v>1594.89</v>
      </c>
      <c r="FR50" s="64">
        <f t="shared" si="1006"/>
        <v>2105.1099999999997</v>
      </c>
      <c r="FS50" s="62">
        <v>20000</v>
      </c>
      <c r="FT50" s="63">
        <v>20000</v>
      </c>
      <c r="FU50" s="64">
        <f t="shared" si="1007"/>
        <v>0</v>
      </c>
      <c r="FV50" s="65">
        <v>485.35</v>
      </c>
      <c r="FW50" s="63">
        <v>485.35</v>
      </c>
      <c r="FX50" s="64">
        <f t="shared" si="1008"/>
        <v>0</v>
      </c>
      <c r="FY50" s="65"/>
      <c r="FZ50" s="63"/>
      <c r="GA50" s="64">
        <f t="shared" si="1009"/>
        <v>0</v>
      </c>
      <c r="GB50" s="65"/>
      <c r="GC50" s="63"/>
      <c r="GD50" s="64">
        <f t="shared" si="1010"/>
        <v>0</v>
      </c>
      <c r="GE50" s="66">
        <f t="shared" si="74"/>
        <v>20485.349999999999</v>
      </c>
      <c r="GF50" s="67">
        <f t="shared" si="1011"/>
        <v>20485.349999999999</v>
      </c>
      <c r="GG50" s="64">
        <f t="shared" si="1012"/>
        <v>0</v>
      </c>
      <c r="GH50" s="62">
        <v>20000</v>
      </c>
      <c r="GI50" s="63">
        <v>20000</v>
      </c>
      <c r="GJ50" s="64">
        <f t="shared" si="1013"/>
        <v>0</v>
      </c>
      <c r="GK50" s="65">
        <v>660.33</v>
      </c>
      <c r="GL50" s="63">
        <v>660.33</v>
      </c>
      <c r="GM50" s="64">
        <f t="shared" si="1014"/>
        <v>0</v>
      </c>
      <c r="GN50" s="65"/>
      <c r="GO50" s="63"/>
      <c r="GP50" s="64">
        <f t="shared" si="1015"/>
        <v>0</v>
      </c>
      <c r="GQ50" s="65"/>
      <c r="GR50" s="63"/>
      <c r="GS50" s="64">
        <f t="shared" si="1016"/>
        <v>0</v>
      </c>
      <c r="GT50" s="66">
        <f t="shared" si="81"/>
        <v>20660.330000000002</v>
      </c>
      <c r="GU50" s="67">
        <f t="shared" si="1017"/>
        <v>20660.330000000002</v>
      </c>
      <c r="GV50" s="64">
        <f t="shared" si="1018"/>
        <v>0</v>
      </c>
      <c r="GW50" s="62">
        <v>13350</v>
      </c>
      <c r="GX50" s="63">
        <v>13350</v>
      </c>
      <c r="GY50" s="64">
        <f t="shared" si="1019"/>
        <v>0</v>
      </c>
      <c r="GZ50" s="65">
        <v>568.25</v>
      </c>
      <c r="HA50" s="63">
        <v>568.25</v>
      </c>
      <c r="HB50" s="64">
        <f t="shared" si="1020"/>
        <v>0</v>
      </c>
      <c r="HC50" s="65"/>
      <c r="HD50" s="63"/>
      <c r="HE50" s="64">
        <f t="shared" si="1021"/>
        <v>0</v>
      </c>
      <c r="HF50" s="65">
        <v>100</v>
      </c>
      <c r="HG50" s="63"/>
      <c r="HH50" s="64">
        <f t="shared" si="1022"/>
        <v>100</v>
      </c>
      <c r="HI50" s="66">
        <f t="shared" si="84"/>
        <v>14018.25</v>
      </c>
      <c r="HJ50" s="67">
        <f t="shared" si="1023"/>
        <v>13918.25</v>
      </c>
      <c r="HK50" s="64">
        <f t="shared" si="1024"/>
        <v>100</v>
      </c>
      <c r="HL50" s="62"/>
      <c r="HM50" s="63"/>
      <c r="HN50" s="64">
        <f t="shared" si="1025"/>
        <v>0</v>
      </c>
      <c r="HO50" s="65">
        <v>4400</v>
      </c>
      <c r="HP50" s="63"/>
      <c r="HQ50" s="64">
        <f t="shared" si="1026"/>
        <v>4400</v>
      </c>
      <c r="HR50" s="65"/>
      <c r="HS50" s="63"/>
      <c r="HT50" s="64">
        <f t="shared" si="1027"/>
        <v>0</v>
      </c>
      <c r="HU50" s="65">
        <v>100</v>
      </c>
      <c r="HV50" s="63"/>
      <c r="HW50" s="64">
        <f t="shared" si="1028"/>
        <v>100</v>
      </c>
      <c r="HX50" s="66">
        <f t="shared" si="91"/>
        <v>4500</v>
      </c>
      <c r="HY50" s="67">
        <f t="shared" si="1029"/>
        <v>0</v>
      </c>
      <c r="HZ50" s="64">
        <f t="shared" si="1030"/>
        <v>4500</v>
      </c>
      <c r="IA50" s="62">
        <v>9864.5</v>
      </c>
      <c r="IB50" s="63">
        <v>9864.5</v>
      </c>
      <c r="IC50" s="64">
        <f t="shared" si="1031"/>
        <v>0</v>
      </c>
      <c r="ID50" s="65"/>
      <c r="IE50" s="63"/>
      <c r="IF50" s="64">
        <f t="shared" si="1032"/>
        <v>0</v>
      </c>
      <c r="IG50" s="65"/>
      <c r="IH50" s="63"/>
      <c r="II50" s="64">
        <f t="shared" si="1033"/>
        <v>0</v>
      </c>
      <c r="IJ50" s="65">
        <v>100</v>
      </c>
      <c r="IK50" s="63"/>
      <c r="IL50" s="64">
        <f t="shared" si="1034"/>
        <v>100</v>
      </c>
      <c r="IM50" s="66">
        <f t="shared" si="98"/>
        <v>9964.5</v>
      </c>
      <c r="IN50" s="67">
        <f t="shared" si="1035"/>
        <v>9864.5</v>
      </c>
      <c r="IO50" s="64">
        <f t="shared" si="1036"/>
        <v>100</v>
      </c>
      <c r="IP50" s="62">
        <v>5000</v>
      </c>
      <c r="IQ50" s="63">
        <v>5000</v>
      </c>
      <c r="IR50" s="64">
        <f t="shared" si="1037"/>
        <v>0</v>
      </c>
      <c r="IS50" s="65"/>
      <c r="IT50" s="63"/>
      <c r="IU50" s="64">
        <f t="shared" si="1038"/>
        <v>0</v>
      </c>
      <c r="IV50" s="65"/>
      <c r="IW50" s="63"/>
      <c r="IX50" s="64">
        <f t="shared" si="1039"/>
        <v>0</v>
      </c>
      <c r="IY50" s="65"/>
      <c r="IZ50" s="63"/>
      <c r="JA50" s="64">
        <f t="shared" si="1040"/>
        <v>0</v>
      </c>
      <c r="JB50" s="66">
        <f t="shared" si="105"/>
        <v>5000</v>
      </c>
      <c r="JC50" s="67">
        <f t="shared" si="1041"/>
        <v>5000</v>
      </c>
      <c r="JD50" s="64">
        <f t="shared" si="1042"/>
        <v>0</v>
      </c>
      <c r="JE50" s="72"/>
      <c r="JF50" s="150"/>
      <c r="JG50" s="74"/>
      <c r="JH50" s="75"/>
      <c r="JI50" s="150"/>
      <c r="JJ50" s="74"/>
      <c r="JK50" s="75"/>
      <c r="JL50" s="150"/>
      <c r="JM50" s="74"/>
      <c r="JN50" s="75"/>
      <c r="JO50" s="150"/>
      <c r="JP50" s="74"/>
      <c r="JQ50" s="76"/>
      <c r="JR50" s="77"/>
      <c r="JS50" s="74"/>
      <c r="JT50" s="72"/>
      <c r="JU50" s="73"/>
      <c r="JV50" s="74"/>
      <c r="JW50" s="75"/>
      <c r="JX50" s="73"/>
      <c r="JY50" s="74"/>
      <c r="JZ50" s="75"/>
      <c r="KA50" s="73"/>
      <c r="KB50" s="74"/>
      <c r="KC50" s="75"/>
      <c r="KD50" s="73"/>
      <c r="KE50" s="74"/>
      <c r="KF50" s="76"/>
      <c r="KG50" s="77"/>
      <c r="KH50" s="64">
        <f t="shared" si="1043"/>
        <v>0</v>
      </c>
      <c r="KI50" s="62">
        <v>50000</v>
      </c>
      <c r="KJ50" s="63">
        <v>50000</v>
      </c>
      <c r="KK50" s="64">
        <f t="shared" si="1044"/>
        <v>0</v>
      </c>
      <c r="KL50" s="65"/>
      <c r="KM50" s="63"/>
      <c r="KN50" s="64">
        <f t="shared" si="1045"/>
        <v>0</v>
      </c>
      <c r="KO50" s="65"/>
      <c r="KP50" s="63"/>
      <c r="KQ50" s="64">
        <f t="shared" si="1046"/>
        <v>0</v>
      </c>
      <c r="KR50" s="65"/>
      <c r="KS50" s="63"/>
      <c r="KT50" s="64">
        <f t="shared" si="1047"/>
        <v>0</v>
      </c>
      <c r="KU50" s="66">
        <f t="shared" si="1"/>
        <v>50000</v>
      </c>
      <c r="KV50" s="67">
        <f t="shared" si="1048"/>
        <v>50000</v>
      </c>
      <c r="KW50" s="64">
        <f t="shared" si="1049"/>
        <v>0</v>
      </c>
      <c r="KX50" s="72"/>
      <c r="KY50" s="73"/>
      <c r="KZ50" s="74"/>
      <c r="LA50" s="75"/>
      <c r="LB50" s="73"/>
      <c r="LC50" s="74"/>
      <c r="LD50" s="75"/>
      <c r="LE50" s="73"/>
      <c r="LF50" s="74"/>
      <c r="LG50" s="75"/>
      <c r="LH50" s="73"/>
      <c r="LI50" s="74"/>
      <c r="LJ50" s="76"/>
      <c r="LK50" s="77"/>
      <c r="LL50" s="74"/>
      <c r="LM50" s="62">
        <v>9300</v>
      </c>
      <c r="LN50" s="63">
        <v>9300</v>
      </c>
      <c r="LO50" s="64">
        <f t="shared" si="1050"/>
        <v>0</v>
      </c>
      <c r="LP50" s="65"/>
      <c r="LQ50" s="63">
        <f>89.95</f>
        <v>89.95</v>
      </c>
      <c r="LR50" s="64">
        <f t="shared" si="1051"/>
        <v>-89.95</v>
      </c>
      <c r="LS50" s="65"/>
      <c r="LT50" s="63"/>
      <c r="LU50" s="64">
        <f t="shared" si="1052"/>
        <v>0</v>
      </c>
      <c r="LV50" s="65">
        <v>100</v>
      </c>
      <c r="LW50" s="63"/>
      <c r="LX50" s="64">
        <f t="shared" si="1053"/>
        <v>100</v>
      </c>
      <c r="LY50" s="66">
        <f t="shared" si="124"/>
        <v>9400</v>
      </c>
      <c r="LZ50" s="67">
        <f t="shared" si="1054"/>
        <v>9389.9500000000007</v>
      </c>
      <c r="MA50" s="64">
        <f t="shared" si="1055"/>
        <v>10.049999999999272</v>
      </c>
      <c r="MB50" s="62">
        <f>6*650</f>
        <v>3900</v>
      </c>
      <c r="MC50" s="63">
        <v>3900</v>
      </c>
      <c r="MD50" s="64">
        <f t="shared" si="1056"/>
        <v>0</v>
      </c>
      <c r="ME50" s="65">
        <v>889.11</v>
      </c>
      <c r="MF50" s="63">
        <v>889.11</v>
      </c>
      <c r="MG50" s="64">
        <f t="shared" si="1057"/>
        <v>0</v>
      </c>
      <c r="MH50" s="65"/>
      <c r="MI50" s="63"/>
      <c r="MJ50" s="64">
        <f t="shared" si="1058"/>
        <v>0</v>
      </c>
      <c r="MK50" s="65">
        <v>100</v>
      </c>
      <c r="ML50" s="63"/>
      <c r="MM50" s="64">
        <f t="shared" si="1059"/>
        <v>100</v>
      </c>
      <c r="MN50" s="66">
        <f t="shared" si="131"/>
        <v>4889.1099999999997</v>
      </c>
      <c r="MO50" s="67">
        <f t="shared" si="1060"/>
        <v>4789.1099999999997</v>
      </c>
      <c r="MP50" s="64">
        <f t="shared" si="1061"/>
        <v>100</v>
      </c>
      <c r="MQ50" s="62">
        <v>9100</v>
      </c>
      <c r="MR50" s="63">
        <v>9100</v>
      </c>
      <c r="MS50" s="64">
        <f t="shared" si="1062"/>
        <v>0</v>
      </c>
      <c r="MT50" s="65"/>
      <c r="MU50" s="63"/>
      <c r="MV50" s="64">
        <f t="shared" si="1063"/>
        <v>0</v>
      </c>
      <c r="MW50" s="65"/>
      <c r="MX50" s="63"/>
      <c r="MY50" s="64">
        <f t="shared" si="1064"/>
        <v>0</v>
      </c>
      <c r="MZ50" s="65"/>
      <c r="NA50" s="63"/>
      <c r="NB50" s="64">
        <f t="shared" si="1065"/>
        <v>0</v>
      </c>
      <c r="NC50" s="66">
        <f t="shared" si="138"/>
        <v>9100</v>
      </c>
      <c r="ND50" s="67">
        <f t="shared" si="1066"/>
        <v>9100</v>
      </c>
      <c r="NE50" s="64">
        <f t="shared" si="1067"/>
        <v>0</v>
      </c>
      <c r="NF50" s="62">
        <v>6000</v>
      </c>
      <c r="NG50" s="63">
        <v>6000</v>
      </c>
      <c r="NH50" s="64">
        <f t="shared" si="1068"/>
        <v>0</v>
      </c>
      <c r="NI50" s="65">
        <v>1164.04</v>
      </c>
      <c r="NJ50" s="63">
        <v>1164.04</v>
      </c>
      <c r="NK50" s="64">
        <f t="shared" si="1069"/>
        <v>0</v>
      </c>
      <c r="NL50" s="65"/>
      <c r="NM50" s="63"/>
      <c r="NN50" s="64">
        <f t="shared" si="1070"/>
        <v>0</v>
      </c>
      <c r="NO50" s="65">
        <v>100</v>
      </c>
      <c r="NP50" s="63"/>
      <c r="NQ50" s="64">
        <f t="shared" si="1071"/>
        <v>100</v>
      </c>
      <c r="NR50" s="66">
        <f t="shared" si="145"/>
        <v>7264.04</v>
      </c>
      <c r="NS50" s="67">
        <f t="shared" si="1072"/>
        <v>7164.04</v>
      </c>
      <c r="NT50" s="64">
        <f t="shared" si="1073"/>
        <v>100</v>
      </c>
      <c r="NU50" s="62">
        <f>6*864</f>
        <v>5184</v>
      </c>
      <c r="NV50" s="63">
        <v>5184</v>
      </c>
      <c r="NW50" s="64">
        <f t="shared" si="1074"/>
        <v>0</v>
      </c>
      <c r="NX50" s="65">
        <v>1152.73</v>
      </c>
      <c r="NY50" s="63">
        <v>1152.73</v>
      </c>
      <c r="NZ50" s="64">
        <f t="shared" si="1075"/>
        <v>0</v>
      </c>
      <c r="OA50" s="65"/>
      <c r="OB50" s="63"/>
      <c r="OC50" s="64">
        <f t="shared" si="1076"/>
        <v>0</v>
      </c>
      <c r="OD50" s="65">
        <v>100</v>
      </c>
      <c r="OE50" s="63"/>
      <c r="OF50" s="64">
        <f t="shared" si="1077"/>
        <v>100</v>
      </c>
      <c r="OG50" s="66">
        <f t="shared" si="152"/>
        <v>6436.73</v>
      </c>
      <c r="OH50" s="67">
        <f t="shared" si="1078"/>
        <v>6336.73</v>
      </c>
      <c r="OI50" s="64">
        <f t="shared" si="1079"/>
        <v>100</v>
      </c>
      <c r="OJ50" s="62"/>
      <c r="OK50" s="63"/>
      <c r="OL50" s="64">
        <f t="shared" si="1080"/>
        <v>0</v>
      </c>
      <c r="OM50" s="65"/>
      <c r="ON50" s="63"/>
      <c r="OO50" s="64">
        <f t="shared" si="1081"/>
        <v>0</v>
      </c>
      <c r="OP50" s="65"/>
      <c r="OQ50" s="63"/>
      <c r="OR50" s="64">
        <f t="shared" si="1082"/>
        <v>0</v>
      </c>
      <c r="OS50" s="65">
        <v>100</v>
      </c>
      <c r="OT50" s="63"/>
      <c r="OU50" s="64">
        <f t="shared" si="1083"/>
        <v>100</v>
      </c>
      <c r="OV50" s="66">
        <f t="shared" si="159"/>
        <v>100</v>
      </c>
      <c r="OW50" s="67">
        <f t="shared" si="1084"/>
        <v>0</v>
      </c>
      <c r="OX50" s="64">
        <f t="shared" si="1085"/>
        <v>100</v>
      </c>
      <c r="OY50" s="62">
        <v>15800</v>
      </c>
      <c r="OZ50" s="63">
        <v>15800</v>
      </c>
      <c r="PA50" s="64">
        <f t="shared" si="1086"/>
        <v>0</v>
      </c>
      <c r="PB50" s="65"/>
      <c r="PC50" s="63"/>
      <c r="PD50" s="64">
        <f t="shared" si="1087"/>
        <v>0</v>
      </c>
      <c r="PE50" s="65"/>
      <c r="PF50" s="63"/>
      <c r="PG50" s="64">
        <f t="shared" si="1088"/>
        <v>0</v>
      </c>
      <c r="PH50" s="65">
        <v>100</v>
      </c>
      <c r="PI50" s="63"/>
      <c r="PJ50" s="64">
        <f t="shared" si="1089"/>
        <v>100</v>
      </c>
      <c r="PK50" s="66">
        <f t="shared" si="166"/>
        <v>15900</v>
      </c>
      <c r="PL50" s="67">
        <f t="shared" si="1090"/>
        <v>15800</v>
      </c>
      <c r="PM50" s="64">
        <f t="shared" si="1091"/>
        <v>100</v>
      </c>
      <c r="PN50" s="62">
        <v>1550</v>
      </c>
      <c r="PO50" s="63">
        <v>1550</v>
      </c>
      <c r="PP50" s="64">
        <f t="shared" si="1092"/>
        <v>0</v>
      </c>
      <c r="PQ50" s="65"/>
      <c r="PR50" s="63"/>
      <c r="PS50" s="64">
        <f t="shared" si="1093"/>
        <v>0</v>
      </c>
      <c r="PT50" s="65"/>
      <c r="PU50" s="63"/>
      <c r="PV50" s="64">
        <f t="shared" si="1094"/>
        <v>0</v>
      </c>
      <c r="PW50" s="65">
        <v>100</v>
      </c>
      <c r="PX50" s="63">
        <v>236.33</v>
      </c>
      <c r="PY50" s="64">
        <f t="shared" si="1095"/>
        <v>-136.33000000000001</v>
      </c>
      <c r="PZ50" s="66">
        <f t="shared" si="173"/>
        <v>1650</v>
      </c>
      <c r="QA50" s="67">
        <f t="shared" si="1096"/>
        <v>1786.33</v>
      </c>
      <c r="QB50" s="64">
        <f t="shared" si="1097"/>
        <v>-136.32999999999993</v>
      </c>
      <c r="QC50" s="62">
        <v>9000</v>
      </c>
      <c r="QD50" s="63">
        <v>9000</v>
      </c>
      <c r="QE50" s="64">
        <f t="shared" si="1098"/>
        <v>0</v>
      </c>
      <c r="QF50" s="65"/>
      <c r="QG50" s="63"/>
      <c r="QH50" s="64">
        <f t="shared" si="1099"/>
        <v>0</v>
      </c>
      <c r="QI50" s="65"/>
      <c r="QJ50" s="63"/>
      <c r="QK50" s="64">
        <f t="shared" si="1100"/>
        <v>0</v>
      </c>
      <c r="QL50" s="65">
        <v>100</v>
      </c>
      <c r="QM50" s="63"/>
      <c r="QN50" s="64">
        <f t="shared" si="1101"/>
        <v>100</v>
      </c>
      <c r="QO50" s="66">
        <f t="shared" si="180"/>
        <v>9100</v>
      </c>
      <c r="QP50" s="67">
        <f t="shared" si="1102"/>
        <v>9000</v>
      </c>
      <c r="QQ50" s="64">
        <f t="shared" si="1103"/>
        <v>100</v>
      </c>
      <c r="QR50" s="62">
        <v>15500</v>
      </c>
      <c r="QS50" s="63"/>
      <c r="QT50" s="64">
        <f t="shared" si="1104"/>
        <v>15500</v>
      </c>
      <c r="QU50" s="65">
        <v>602.79999999999995</v>
      </c>
      <c r="QV50" s="63">
        <v>635</v>
      </c>
      <c r="QW50" s="64">
        <f t="shared" si="1105"/>
        <v>-32.200000000000045</v>
      </c>
      <c r="QX50" s="65"/>
      <c r="QY50" s="63"/>
      <c r="QZ50" s="64">
        <f t="shared" si="1106"/>
        <v>0</v>
      </c>
      <c r="RA50" s="65"/>
      <c r="RB50" s="63"/>
      <c r="RC50" s="64">
        <f t="shared" si="1107"/>
        <v>0</v>
      </c>
      <c r="RD50" s="66">
        <f t="shared" si="187"/>
        <v>16102.8</v>
      </c>
      <c r="RE50" s="67">
        <f t="shared" si="1108"/>
        <v>635</v>
      </c>
      <c r="RF50" s="74"/>
      <c r="RG50" s="72"/>
      <c r="RH50" s="73"/>
      <c r="RI50" s="74"/>
      <c r="RJ50" s="75"/>
      <c r="RK50" s="73"/>
      <c r="RL50" s="74"/>
      <c r="RM50" s="75"/>
      <c r="RN50" s="73"/>
      <c r="RO50" s="74"/>
      <c r="RP50" s="75"/>
      <c r="RQ50" s="73"/>
      <c r="RR50" s="74"/>
      <c r="RS50" s="76"/>
      <c r="RT50" s="77"/>
      <c r="RU50" s="64">
        <f t="shared" si="1109"/>
        <v>0</v>
      </c>
      <c r="RV50" s="62">
        <v>15000</v>
      </c>
      <c r="RW50" s="63">
        <v>15000</v>
      </c>
      <c r="RX50" s="64">
        <f t="shared" si="1110"/>
        <v>0</v>
      </c>
      <c r="RY50" s="65"/>
      <c r="RZ50" s="63"/>
      <c r="SA50" s="64">
        <f t="shared" si="1111"/>
        <v>0</v>
      </c>
      <c r="SB50" s="65"/>
      <c r="SC50" s="63"/>
      <c r="SD50" s="64">
        <f t="shared" si="1112"/>
        <v>0</v>
      </c>
      <c r="SE50" s="65">
        <v>100</v>
      </c>
      <c r="SF50" s="63"/>
      <c r="SG50" s="64">
        <f t="shared" si="1113"/>
        <v>100</v>
      </c>
      <c r="SH50" s="66">
        <f t="shared" si="201"/>
        <v>15100</v>
      </c>
      <c r="SI50" s="67">
        <f t="shared" si="1114"/>
        <v>15000</v>
      </c>
      <c r="SJ50" s="64">
        <f t="shared" si="1115"/>
        <v>100</v>
      </c>
      <c r="SK50" s="62"/>
      <c r="SL50" s="63"/>
      <c r="SM50" s="64">
        <f t="shared" si="1116"/>
        <v>0</v>
      </c>
      <c r="SN50" s="65"/>
      <c r="SO50" s="63"/>
      <c r="SP50" s="64">
        <f t="shared" si="1117"/>
        <v>0</v>
      </c>
      <c r="SQ50" s="65"/>
      <c r="SR50" s="63"/>
      <c r="SS50" s="64">
        <f t="shared" si="1118"/>
        <v>0</v>
      </c>
      <c r="ST50" s="65">
        <v>100</v>
      </c>
      <c r="SU50" s="63"/>
      <c r="SV50" s="64">
        <f t="shared" si="1119"/>
        <v>100</v>
      </c>
      <c r="SW50" s="66">
        <f t="shared" si="208"/>
        <v>100</v>
      </c>
      <c r="SX50" s="67">
        <f t="shared" si="1120"/>
        <v>0</v>
      </c>
      <c r="SY50" s="64">
        <f t="shared" si="1121"/>
        <v>100</v>
      </c>
      <c r="SZ50" s="62">
        <v>985.33</v>
      </c>
      <c r="TA50" s="63">
        <v>985.33</v>
      </c>
      <c r="TB50" s="64">
        <f t="shared" si="1122"/>
        <v>0</v>
      </c>
      <c r="TC50" s="65">
        <v>700.9</v>
      </c>
      <c r="TD50" s="63">
        <v>740.15</v>
      </c>
      <c r="TE50" s="64">
        <f t="shared" si="1123"/>
        <v>-39.25</v>
      </c>
      <c r="TF50" s="65"/>
      <c r="TG50" s="63"/>
      <c r="TH50" s="64">
        <f t="shared" si="1124"/>
        <v>0</v>
      </c>
      <c r="TI50" s="65">
        <v>100</v>
      </c>
      <c r="TJ50" s="63"/>
      <c r="TK50" s="64">
        <f t="shared" si="1125"/>
        <v>100</v>
      </c>
      <c r="TL50" s="66">
        <f t="shared" si="215"/>
        <v>1786.23</v>
      </c>
      <c r="TM50" s="67">
        <f t="shared" si="1126"/>
        <v>1725.48</v>
      </c>
      <c r="TN50" s="64">
        <f t="shared" si="1127"/>
        <v>60.75</v>
      </c>
      <c r="TO50" s="62"/>
      <c r="TP50" s="63"/>
      <c r="TQ50" s="64">
        <f t="shared" si="1128"/>
        <v>0</v>
      </c>
      <c r="TR50" s="65"/>
      <c r="TS50" s="63"/>
      <c r="TT50" s="64">
        <f t="shared" si="1129"/>
        <v>0</v>
      </c>
      <c r="TU50" s="65"/>
      <c r="TV50" s="63">
        <v>8088.47</v>
      </c>
      <c r="TW50" s="64">
        <f t="shared" si="1130"/>
        <v>-8088.47</v>
      </c>
      <c r="TX50" s="65">
        <v>100</v>
      </c>
      <c r="TY50" s="63">
        <v>98.82</v>
      </c>
      <c r="TZ50" s="64">
        <f t="shared" si="1131"/>
        <v>1.1800000000000068</v>
      </c>
      <c r="UA50" s="66">
        <f t="shared" si="222"/>
        <v>100</v>
      </c>
      <c r="UB50" s="67">
        <f t="shared" si="1132"/>
        <v>8187.29</v>
      </c>
      <c r="UC50" s="64">
        <f t="shared" si="1133"/>
        <v>-8087.29</v>
      </c>
      <c r="UD50" s="62">
        <v>6750</v>
      </c>
      <c r="UE50" s="63">
        <v>6750</v>
      </c>
      <c r="UF50" s="64">
        <f t="shared" si="1134"/>
        <v>0</v>
      </c>
      <c r="UG50" s="65">
        <v>497.04</v>
      </c>
      <c r="UH50" s="63">
        <v>546.91</v>
      </c>
      <c r="UI50" s="64">
        <f t="shared" si="1135"/>
        <v>-49.869999999999948</v>
      </c>
      <c r="UJ50" s="65"/>
      <c r="UK50" s="63"/>
      <c r="UL50" s="64">
        <f t="shared" si="1136"/>
        <v>0</v>
      </c>
      <c r="UM50" s="65">
        <v>100</v>
      </c>
      <c r="UN50" s="63"/>
      <c r="UO50" s="64">
        <f t="shared" si="1137"/>
        <v>100</v>
      </c>
      <c r="UP50" s="66">
        <f t="shared" si="226"/>
        <v>7347.04</v>
      </c>
      <c r="UQ50" s="67">
        <f t="shared" si="1138"/>
        <v>7296.91</v>
      </c>
      <c r="UR50" s="64">
        <f t="shared" si="1139"/>
        <v>50.130000000000109</v>
      </c>
      <c r="US50" s="74"/>
      <c r="UT50" s="72"/>
      <c r="UU50" s="73"/>
      <c r="UV50" s="74"/>
      <c r="UW50" s="75"/>
      <c r="UX50" s="73"/>
      <c r="UY50" s="74"/>
      <c r="UZ50" s="75"/>
      <c r="VA50" s="73"/>
      <c r="VB50" s="74"/>
      <c r="VC50" s="75"/>
      <c r="VD50" s="73"/>
      <c r="VE50" s="74"/>
      <c r="VF50" s="76"/>
      <c r="VG50" s="77"/>
      <c r="VH50" s="62"/>
      <c r="VI50" s="63"/>
      <c r="VJ50" s="64">
        <f t="shared" si="1140"/>
        <v>0</v>
      </c>
      <c r="VK50" s="65"/>
      <c r="VL50" s="63"/>
      <c r="VM50" s="64">
        <f t="shared" si="1141"/>
        <v>0</v>
      </c>
      <c r="VN50" s="65"/>
      <c r="VO50" s="63"/>
      <c r="VP50" s="64">
        <f t="shared" si="1142"/>
        <v>0</v>
      </c>
      <c r="VQ50" s="65">
        <v>100</v>
      </c>
      <c r="VR50" s="63"/>
      <c r="VS50" s="64">
        <f t="shared" si="1143"/>
        <v>100</v>
      </c>
      <c r="VT50" s="66">
        <f t="shared" si="240"/>
        <v>100</v>
      </c>
      <c r="VU50" s="67">
        <f t="shared" si="1144"/>
        <v>0</v>
      </c>
      <c r="VV50" s="64">
        <f t="shared" si="1145"/>
        <v>100</v>
      </c>
      <c r="VW50" s="74"/>
      <c r="VX50" s="72"/>
      <c r="VY50" s="73"/>
      <c r="VZ50" s="74"/>
      <c r="WA50" s="75"/>
      <c r="WB50" s="73"/>
      <c r="WC50" s="74"/>
      <c r="WD50" s="75"/>
      <c r="WE50" s="73"/>
      <c r="WF50" s="74"/>
      <c r="WG50" s="75"/>
      <c r="WH50" s="73"/>
      <c r="WI50" s="74"/>
      <c r="WJ50" s="76"/>
      <c r="WK50" s="77"/>
      <c r="WL50" s="62">
        <v>1376.01</v>
      </c>
      <c r="WM50" s="63">
        <v>1376.01</v>
      </c>
      <c r="WN50" s="64">
        <f t="shared" si="1146"/>
        <v>0</v>
      </c>
      <c r="WO50" s="65">
        <v>418.56</v>
      </c>
      <c r="WP50" s="63"/>
      <c r="WQ50" s="64">
        <f t="shared" si="1147"/>
        <v>418.56</v>
      </c>
      <c r="WR50" s="65"/>
      <c r="WS50" s="63"/>
      <c r="WT50" s="64">
        <f t="shared" si="1148"/>
        <v>0</v>
      </c>
      <c r="WU50" s="65">
        <v>100</v>
      </c>
      <c r="WV50" s="63"/>
      <c r="WW50" s="64">
        <f t="shared" si="1149"/>
        <v>100</v>
      </c>
      <c r="WX50" s="66">
        <f t="shared" si="254"/>
        <v>1894.57</v>
      </c>
      <c r="WY50" s="67">
        <f t="shared" si="1150"/>
        <v>1376.01</v>
      </c>
      <c r="WZ50" s="64">
        <f t="shared" si="1151"/>
        <v>518.55999999999995</v>
      </c>
      <c r="XA50" s="62"/>
      <c r="XB50" s="63"/>
      <c r="XC50" s="64">
        <f t="shared" si="1152"/>
        <v>0</v>
      </c>
      <c r="XD50" s="65"/>
      <c r="XE50" s="63"/>
      <c r="XF50" s="64">
        <f t="shared" si="1153"/>
        <v>0</v>
      </c>
      <c r="XG50" s="65"/>
      <c r="XH50" s="63"/>
      <c r="XI50" s="64">
        <f t="shared" si="1154"/>
        <v>0</v>
      </c>
      <c r="XJ50" s="65">
        <v>100</v>
      </c>
      <c r="XK50" s="63"/>
      <c r="XL50" s="64">
        <f t="shared" si="1155"/>
        <v>100</v>
      </c>
      <c r="XM50" s="66">
        <f t="shared" si="261"/>
        <v>100</v>
      </c>
      <c r="XN50" s="67">
        <f t="shared" si="1156"/>
        <v>0</v>
      </c>
      <c r="XO50" s="64">
        <f t="shared" si="1157"/>
        <v>100</v>
      </c>
      <c r="XP50" s="62">
        <v>5202</v>
      </c>
      <c r="XQ50" s="63">
        <v>5202</v>
      </c>
      <c r="XR50" s="64">
        <f t="shared" si="1158"/>
        <v>0</v>
      </c>
      <c r="XS50" s="65">
        <v>844.24</v>
      </c>
      <c r="XT50" s="63">
        <v>844.24</v>
      </c>
      <c r="XU50" s="64">
        <f t="shared" si="1159"/>
        <v>0</v>
      </c>
      <c r="XV50" s="65"/>
      <c r="XW50" s="63"/>
      <c r="XX50" s="64">
        <f t="shared" si="1160"/>
        <v>0</v>
      </c>
      <c r="XY50" s="65">
        <v>100</v>
      </c>
      <c r="XZ50" s="63"/>
      <c r="YA50" s="64">
        <f t="shared" si="1161"/>
        <v>100</v>
      </c>
      <c r="YB50" s="66">
        <f t="shared" si="268"/>
        <v>6146.24</v>
      </c>
      <c r="YC50" s="67">
        <f t="shared" si="1162"/>
        <v>6046.24</v>
      </c>
      <c r="YD50" s="64">
        <f t="shared" si="1163"/>
        <v>100</v>
      </c>
      <c r="YE50" s="62">
        <v>5340</v>
      </c>
      <c r="YF50" s="63">
        <v>5340</v>
      </c>
      <c r="YG50" s="64">
        <f t="shared" si="1164"/>
        <v>0</v>
      </c>
      <c r="YH50" s="65">
        <v>847.85</v>
      </c>
      <c r="YI50" s="63">
        <v>847.85</v>
      </c>
      <c r="YJ50" s="64">
        <f t="shared" si="1165"/>
        <v>0</v>
      </c>
      <c r="YK50" s="65"/>
      <c r="YL50" s="63"/>
      <c r="YM50" s="64">
        <f t="shared" si="1166"/>
        <v>0</v>
      </c>
      <c r="YN50" s="65">
        <v>100</v>
      </c>
      <c r="YO50" s="63"/>
      <c r="YP50" s="64">
        <f t="shared" si="1167"/>
        <v>100</v>
      </c>
      <c r="YQ50" s="66">
        <f t="shared" si="275"/>
        <v>6287.85</v>
      </c>
      <c r="YR50" s="67">
        <f t="shared" si="1168"/>
        <v>6187.85</v>
      </c>
      <c r="YS50" s="64">
        <f t="shared" si="1169"/>
        <v>100</v>
      </c>
      <c r="YT50" s="62">
        <v>5592</v>
      </c>
      <c r="YU50" s="63">
        <v>5592</v>
      </c>
      <c r="YV50" s="64">
        <f t="shared" si="1170"/>
        <v>0</v>
      </c>
      <c r="YW50" s="65">
        <v>695.73</v>
      </c>
      <c r="YX50" s="63">
        <v>695.73</v>
      </c>
      <c r="YY50" s="64">
        <f t="shared" si="1171"/>
        <v>0</v>
      </c>
      <c r="YZ50" s="65"/>
      <c r="ZA50" s="63"/>
      <c r="ZB50" s="64">
        <f t="shared" si="1172"/>
        <v>0</v>
      </c>
      <c r="ZC50" s="65">
        <v>100</v>
      </c>
      <c r="ZD50" s="63"/>
      <c r="ZE50" s="64">
        <f t="shared" si="1173"/>
        <v>100</v>
      </c>
      <c r="ZF50" s="66">
        <f t="shared" si="282"/>
        <v>6387.73</v>
      </c>
      <c r="ZG50" s="67">
        <f t="shared" si="1174"/>
        <v>6287.73</v>
      </c>
      <c r="ZH50" s="74"/>
      <c r="ZI50" s="72"/>
      <c r="ZJ50" s="73"/>
      <c r="ZK50" s="74"/>
      <c r="ZL50" s="75"/>
      <c r="ZM50" s="73"/>
      <c r="ZN50" s="74"/>
      <c r="ZO50" s="75"/>
      <c r="ZP50" s="73"/>
      <c r="ZQ50" s="74"/>
      <c r="ZR50" s="75"/>
      <c r="ZS50" s="73"/>
      <c r="ZT50" s="74"/>
      <c r="ZU50" s="76"/>
      <c r="ZV50" s="77"/>
      <c r="ZW50" s="64">
        <f t="shared" si="1175"/>
        <v>0</v>
      </c>
      <c r="ZX50" s="62">
        <v>24.71</v>
      </c>
      <c r="ZY50" s="63">
        <v>62.91</v>
      </c>
      <c r="ZZ50" s="64">
        <f t="shared" si="1176"/>
        <v>-38.199999999999996</v>
      </c>
      <c r="AAA50" s="66">
        <f t="shared" si="293"/>
        <v>24.71</v>
      </c>
      <c r="AAB50" s="67">
        <f t="shared" si="293"/>
        <v>62.91</v>
      </c>
      <c r="AAC50" s="64">
        <f t="shared" si="1177"/>
        <v>-38.199999999999996</v>
      </c>
      <c r="AAD50" s="85">
        <f t="shared" si="295"/>
        <v>477146.625</v>
      </c>
      <c r="AAE50" s="86">
        <f t="shared" si="295"/>
        <v>488447.09</v>
      </c>
      <c r="AAF50" s="87">
        <f t="shared" si="3"/>
        <v>1.0236834222604005</v>
      </c>
      <c r="AAG50" s="88">
        <f t="shared" si="1178"/>
        <v>11300.465000000026</v>
      </c>
      <c r="AAH50" s="89">
        <f>W56+AL56+BA56+BP56+CE56+CT56+DI56+DX56+EM56+FB56+FQ56+GF56+GU56+HJ56+HY56+IN56+JC56+JR56+KG56+KV56+LZ56+MO56+ND56+NS56+OH56+OW56+PL56+QA56+QP56+RE56+RT56+SI56+TM56+UB56+UQ56+VF56+VU56+WJ56+WY56+XN56+YC56+YR56+ZG56+ZV56+AAB56</f>
        <v>1420798.4799999995</v>
      </c>
      <c r="AAI50" s="92"/>
      <c r="AAJ50" s="92"/>
      <c r="AAK50" s="60"/>
    </row>
    <row r="51" spans="1:713" s="83" customFormat="1" ht="20" customHeight="1" x14ac:dyDescent="0.2">
      <c r="A51" s="151"/>
      <c r="B51" s="93"/>
      <c r="C51" s="90"/>
      <c r="D51" s="90"/>
      <c r="E51" s="60"/>
      <c r="F51" s="61">
        <v>45870</v>
      </c>
      <c r="G51" s="62">
        <f>371675.99/2</f>
        <v>185837.995</v>
      </c>
      <c r="H51" s="63">
        <v>212312.86</v>
      </c>
      <c r="I51" s="64">
        <f t="shared" si="951"/>
        <v>-26474.864999999991</v>
      </c>
      <c r="J51" s="65">
        <v>2157.52</v>
      </c>
      <c r="K51" s="63">
        <v>1749.82</v>
      </c>
      <c r="L51" s="64">
        <f t="shared" si="952"/>
        <v>407.70000000000005</v>
      </c>
      <c r="M51" s="65">
        <v>3500</v>
      </c>
      <c r="N51" s="63"/>
      <c r="O51" s="64">
        <f t="shared" si="953"/>
        <v>3500</v>
      </c>
      <c r="P51" s="65">
        <v>1500</v>
      </c>
      <c r="Q51" s="63">
        <v>1261.53</v>
      </c>
      <c r="R51" s="64">
        <f t="shared" si="954"/>
        <v>238.47000000000003</v>
      </c>
      <c r="S51" s="65">
        <v>362</v>
      </c>
      <c r="T51" s="63"/>
      <c r="U51" s="64">
        <f t="shared" si="955"/>
        <v>362</v>
      </c>
      <c r="V51" s="66">
        <f t="shared" si="956"/>
        <v>193357.51499999998</v>
      </c>
      <c r="W51" s="67">
        <f t="shared" si="956"/>
        <v>215324.21</v>
      </c>
      <c r="X51" s="64">
        <f t="shared" si="957"/>
        <v>-21966.695000000007</v>
      </c>
      <c r="Y51" s="72"/>
      <c r="Z51" s="73"/>
      <c r="AA51" s="74"/>
      <c r="AB51" s="75"/>
      <c r="AC51" s="73"/>
      <c r="AD51" s="74"/>
      <c r="AE51" s="75"/>
      <c r="AF51" s="73"/>
      <c r="AG51" s="74"/>
      <c r="AH51" s="75"/>
      <c r="AI51" s="73"/>
      <c r="AJ51" s="74"/>
      <c r="AK51" s="76"/>
      <c r="AL51" s="77"/>
      <c r="AM51" s="64">
        <f t="shared" si="958"/>
        <v>0</v>
      </c>
      <c r="AN51" s="62">
        <v>6250</v>
      </c>
      <c r="AO51" s="63">
        <v>6250</v>
      </c>
      <c r="AP51" s="64">
        <f t="shared" si="1179"/>
        <v>0</v>
      </c>
      <c r="AQ51" s="65"/>
      <c r="AR51" s="63"/>
      <c r="AS51" s="64">
        <f t="shared" si="959"/>
        <v>0</v>
      </c>
      <c r="AT51" s="65">
        <v>12021.11</v>
      </c>
      <c r="AU51" s="63">
        <v>12021.11</v>
      </c>
      <c r="AV51" s="64">
        <f t="shared" si="960"/>
        <v>0</v>
      </c>
      <c r="AW51" s="65"/>
      <c r="AX51" s="63"/>
      <c r="AY51" s="64">
        <f t="shared" si="961"/>
        <v>0</v>
      </c>
      <c r="AZ51" s="66">
        <f t="shared" si="23"/>
        <v>18271.11</v>
      </c>
      <c r="BA51" s="67">
        <f t="shared" si="962"/>
        <v>18271.11</v>
      </c>
      <c r="BB51" s="64">
        <f t="shared" si="963"/>
        <v>0</v>
      </c>
      <c r="BC51" s="62">
        <v>6150</v>
      </c>
      <c r="BD51" s="63">
        <v>6305.6</v>
      </c>
      <c r="BE51" s="64">
        <f t="shared" si="964"/>
        <v>-155.60000000000036</v>
      </c>
      <c r="BF51" s="65"/>
      <c r="BG51" s="63"/>
      <c r="BH51" s="64">
        <f t="shared" si="965"/>
        <v>0</v>
      </c>
      <c r="BI51" s="65"/>
      <c r="BJ51" s="63">
        <v>1912</v>
      </c>
      <c r="BK51" s="64">
        <f t="shared" si="966"/>
        <v>-1912</v>
      </c>
      <c r="BL51" s="65">
        <v>100</v>
      </c>
      <c r="BM51" s="63"/>
      <c r="BN51" s="64">
        <f t="shared" si="967"/>
        <v>100</v>
      </c>
      <c r="BO51" s="66">
        <f t="shared" si="30"/>
        <v>6250</v>
      </c>
      <c r="BP51" s="67">
        <f t="shared" si="968"/>
        <v>8217.6</v>
      </c>
      <c r="BQ51" s="64">
        <f t="shared" si="969"/>
        <v>-1967.6000000000004</v>
      </c>
      <c r="BR51" s="72"/>
      <c r="BS51" s="73"/>
      <c r="BT51" s="74"/>
      <c r="BU51" s="75"/>
      <c r="BV51" s="73"/>
      <c r="BW51" s="74"/>
      <c r="BX51" s="75"/>
      <c r="BY51" s="73"/>
      <c r="BZ51" s="74"/>
      <c r="CA51" s="75"/>
      <c r="CB51" s="73"/>
      <c r="CC51" s="74"/>
      <c r="CD51" s="76"/>
      <c r="CE51" s="77"/>
      <c r="CF51" s="64">
        <f t="shared" si="970"/>
        <v>0</v>
      </c>
      <c r="CG51" s="62">
        <v>5000</v>
      </c>
      <c r="CH51" s="63">
        <v>5000</v>
      </c>
      <c r="CI51" s="64">
        <f t="shared" si="971"/>
        <v>0</v>
      </c>
      <c r="CJ51" s="65"/>
      <c r="CK51" s="63"/>
      <c r="CL51" s="64">
        <f t="shared" si="972"/>
        <v>0</v>
      </c>
      <c r="CM51" s="65"/>
      <c r="CN51" s="63"/>
      <c r="CO51" s="64">
        <f t="shared" si="973"/>
        <v>0</v>
      </c>
      <c r="CP51" s="65"/>
      <c r="CQ51" s="63"/>
      <c r="CR51" s="64">
        <f t="shared" si="974"/>
        <v>0</v>
      </c>
      <c r="CS51" s="66">
        <f t="shared" si="40"/>
        <v>5000</v>
      </c>
      <c r="CT51" s="67">
        <f t="shared" si="975"/>
        <v>5000</v>
      </c>
      <c r="CU51" s="64">
        <f t="shared" si="976"/>
        <v>0</v>
      </c>
      <c r="CV51" s="62">
        <v>2916.7</v>
      </c>
      <c r="CW51" s="63">
        <v>2562.2199999999998</v>
      </c>
      <c r="CX51" s="64">
        <f t="shared" si="977"/>
        <v>354.48</v>
      </c>
      <c r="CY51" s="65">
        <v>429.15</v>
      </c>
      <c r="CZ51" s="63">
        <v>429.15</v>
      </c>
      <c r="DA51" s="64">
        <f t="shared" si="978"/>
        <v>0</v>
      </c>
      <c r="DB51" s="65"/>
      <c r="DC51" s="63"/>
      <c r="DD51" s="64">
        <f t="shared" si="979"/>
        <v>0</v>
      </c>
      <c r="DE51" s="65"/>
      <c r="DF51" s="63"/>
      <c r="DG51" s="64">
        <f t="shared" si="980"/>
        <v>0</v>
      </c>
      <c r="DH51" s="66">
        <f t="shared" si="43"/>
        <v>3345.85</v>
      </c>
      <c r="DI51" s="67">
        <f t="shared" si="981"/>
        <v>2991.37</v>
      </c>
      <c r="DJ51" s="64">
        <f t="shared" si="982"/>
        <v>354.48</v>
      </c>
      <c r="DK51" s="62">
        <v>2400</v>
      </c>
      <c r="DL51" s="63">
        <v>2400</v>
      </c>
      <c r="DM51" s="64">
        <f t="shared" si="983"/>
        <v>0</v>
      </c>
      <c r="DN51" s="65">
        <v>913.08</v>
      </c>
      <c r="DO51" s="63">
        <v>913.08</v>
      </c>
      <c r="DP51" s="64">
        <f t="shared" si="984"/>
        <v>0</v>
      </c>
      <c r="DQ51" s="65"/>
      <c r="DR51" s="63"/>
      <c r="DS51" s="64">
        <f t="shared" si="985"/>
        <v>0</v>
      </c>
      <c r="DT51" s="65">
        <v>100</v>
      </c>
      <c r="DU51" s="63">
        <v>235.98</v>
      </c>
      <c r="DV51" s="64">
        <f t="shared" si="986"/>
        <v>-135.97999999999999</v>
      </c>
      <c r="DW51" s="66">
        <f t="shared" si="46"/>
        <v>3413.08</v>
      </c>
      <c r="DX51" s="67">
        <f t="shared" si="987"/>
        <v>3549.06</v>
      </c>
      <c r="DY51" s="64">
        <f t="shared" si="988"/>
        <v>-135.98000000000002</v>
      </c>
      <c r="DZ51" s="62">
        <v>12000</v>
      </c>
      <c r="EA51" s="63">
        <v>12000</v>
      </c>
      <c r="EB51" s="64">
        <f t="shared" si="989"/>
        <v>0</v>
      </c>
      <c r="EC51" s="65"/>
      <c r="ED51" s="63"/>
      <c r="EE51" s="64">
        <f t="shared" si="990"/>
        <v>0</v>
      </c>
      <c r="EF51" s="65"/>
      <c r="EG51" s="63"/>
      <c r="EH51" s="64">
        <f t="shared" si="991"/>
        <v>0</v>
      </c>
      <c r="EI51" s="65">
        <v>100</v>
      </c>
      <c r="EJ51" s="63">
        <v>303.81</v>
      </c>
      <c r="EK51" s="64">
        <f t="shared" si="992"/>
        <v>-203.81</v>
      </c>
      <c r="EL51" s="66">
        <f t="shared" si="53"/>
        <v>12100</v>
      </c>
      <c r="EM51" s="67">
        <f t="shared" si="993"/>
        <v>12303.81</v>
      </c>
      <c r="EN51" s="64">
        <f t="shared" si="994"/>
        <v>-203.80999999999949</v>
      </c>
      <c r="EO51" s="62">
        <v>6150</v>
      </c>
      <c r="EP51" s="63">
        <v>6305.6</v>
      </c>
      <c r="EQ51" s="64">
        <f t="shared" si="995"/>
        <v>-155.60000000000036</v>
      </c>
      <c r="ER51" s="65"/>
      <c r="ES51" s="63"/>
      <c r="ET51" s="64">
        <f t="shared" si="996"/>
        <v>0</v>
      </c>
      <c r="EU51" s="65"/>
      <c r="EV51" s="63">
        <v>1912</v>
      </c>
      <c r="EW51" s="64">
        <f t="shared" si="997"/>
        <v>-1912</v>
      </c>
      <c r="EX51" s="65">
        <v>100</v>
      </c>
      <c r="EY51" s="63"/>
      <c r="EZ51" s="64">
        <f t="shared" si="998"/>
        <v>100</v>
      </c>
      <c r="FA51" s="66">
        <f t="shared" si="60"/>
        <v>6250</v>
      </c>
      <c r="FB51" s="67">
        <f t="shared" si="999"/>
        <v>8217.6</v>
      </c>
      <c r="FC51" s="64">
        <f t="shared" si="1000"/>
        <v>-1967.6000000000004</v>
      </c>
      <c r="FD51" s="62">
        <v>6150</v>
      </c>
      <c r="FE51" s="63">
        <v>6305.6</v>
      </c>
      <c r="FF51" s="64">
        <f t="shared" si="1001"/>
        <v>-155.60000000000036</v>
      </c>
      <c r="FG51" s="65"/>
      <c r="FH51" s="63"/>
      <c r="FI51" s="64">
        <f t="shared" si="1002"/>
        <v>0</v>
      </c>
      <c r="FJ51" s="65"/>
      <c r="FK51" s="63">
        <v>1912</v>
      </c>
      <c r="FL51" s="64">
        <f t="shared" si="1003"/>
        <v>-1912</v>
      </c>
      <c r="FM51" s="65">
        <v>100</v>
      </c>
      <c r="FN51" s="63"/>
      <c r="FO51" s="64">
        <f t="shared" si="1004"/>
        <v>100</v>
      </c>
      <c r="FP51" s="66">
        <f t="shared" si="67"/>
        <v>6250</v>
      </c>
      <c r="FQ51" s="67">
        <f t="shared" si="1005"/>
        <v>8217.6</v>
      </c>
      <c r="FR51" s="64">
        <f t="shared" si="1006"/>
        <v>-1967.6000000000004</v>
      </c>
      <c r="FS51" s="62"/>
      <c r="FT51" s="63"/>
      <c r="FU51" s="64">
        <f t="shared" si="1007"/>
        <v>0</v>
      </c>
      <c r="FV51" s="65">
        <v>485.35</v>
      </c>
      <c r="FW51" s="63">
        <v>485.35</v>
      </c>
      <c r="FX51" s="64">
        <f t="shared" si="1008"/>
        <v>0</v>
      </c>
      <c r="FY51" s="65"/>
      <c r="FZ51" s="63"/>
      <c r="GA51" s="64">
        <f t="shared" si="1009"/>
        <v>0</v>
      </c>
      <c r="GB51" s="65"/>
      <c r="GC51" s="63"/>
      <c r="GD51" s="64">
        <f t="shared" si="1010"/>
        <v>0</v>
      </c>
      <c r="GE51" s="66">
        <f t="shared" si="74"/>
        <v>485.35</v>
      </c>
      <c r="GF51" s="67">
        <f t="shared" si="1011"/>
        <v>485.35</v>
      </c>
      <c r="GG51" s="64">
        <f t="shared" si="1012"/>
        <v>0</v>
      </c>
      <c r="GH51" s="62"/>
      <c r="GI51" s="63"/>
      <c r="GJ51" s="64">
        <f t="shared" si="1013"/>
        <v>0</v>
      </c>
      <c r="GK51" s="65">
        <v>660.33</v>
      </c>
      <c r="GL51" s="63">
        <v>660.33</v>
      </c>
      <c r="GM51" s="64">
        <f t="shared" si="1014"/>
        <v>0</v>
      </c>
      <c r="GN51" s="65"/>
      <c r="GO51" s="63"/>
      <c r="GP51" s="64">
        <f t="shared" si="1015"/>
        <v>0</v>
      </c>
      <c r="GQ51" s="65"/>
      <c r="GR51" s="63"/>
      <c r="GS51" s="64">
        <f t="shared" si="1016"/>
        <v>0</v>
      </c>
      <c r="GT51" s="66">
        <f t="shared" si="81"/>
        <v>660.33</v>
      </c>
      <c r="GU51" s="67">
        <f t="shared" si="1017"/>
        <v>660.33</v>
      </c>
      <c r="GV51" s="64">
        <f t="shared" si="1018"/>
        <v>0</v>
      </c>
      <c r="GW51" s="62">
        <v>13350</v>
      </c>
      <c r="GX51" s="63">
        <v>13350</v>
      </c>
      <c r="GY51" s="64">
        <f t="shared" si="1019"/>
        <v>0</v>
      </c>
      <c r="GZ51" s="65">
        <v>568.25</v>
      </c>
      <c r="HA51" s="63">
        <v>568.25</v>
      </c>
      <c r="HB51" s="64">
        <f t="shared" si="1020"/>
        <v>0</v>
      </c>
      <c r="HC51" s="65"/>
      <c r="HD51" s="63"/>
      <c r="HE51" s="64">
        <f t="shared" si="1021"/>
        <v>0</v>
      </c>
      <c r="HF51" s="65">
        <v>100</v>
      </c>
      <c r="HG51" s="63">
        <v>201.41</v>
      </c>
      <c r="HH51" s="64">
        <f t="shared" si="1022"/>
        <v>-101.41</v>
      </c>
      <c r="HI51" s="66">
        <f t="shared" si="84"/>
        <v>14018.25</v>
      </c>
      <c r="HJ51" s="67">
        <f t="shared" si="1023"/>
        <v>14119.66</v>
      </c>
      <c r="HK51" s="64">
        <f t="shared" si="1024"/>
        <v>-101.40999999999985</v>
      </c>
      <c r="HL51" s="62">
        <v>6150</v>
      </c>
      <c r="HM51" s="63">
        <v>6305.6</v>
      </c>
      <c r="HN51" s="64">
        <f t="shared" si="1025"/>
        <v>-155.60000000000036</v>
      </c>
      <c r="HO51" s="65"/>
      <c r="HP51" s="63"/>
      <c r="HQ51" s="64">
        <f t="shared" si="1026"/>
        <v>0</v>
      </c>
      <c r="HR51" s="65"/>
      <c r="HS51" s="63">
        <v>1912</v>
      </c>
      <c r="HT51" s="64">
        <f t="shared" si="1027"/>
        <v>-1912</v>
      </c>
      <c r="HU51" s="65">
        <v>100</v>
      </c>
      <c r="HV51" s="63"/>
      <c r="HW51" s="64">
        <f t="shared" si="1028"/>
        <v>100</v>
      </c>
      <c r="HX51" s="66">
        <f t="shared" si="91"/>
        <v>6250</v>
      </c>
      <c r="HY51" s="67">
        <f t="shared" si="1029"/>
        <v>8217.6</v>
      </c>
      <c r="HZ51" s="64">
        <f t="shared" si="1030"/>
        <v>-1967.6000000000004</v>
      </c>
      <c r="IA51" s="62">
        <f>9864.5</f>
        <v>9864.5</v>
      </c>
      <c r="IB51" s="63">
        <v>9864.5</v>
      </c>
      <c r="IC51" s="64">
        <f t="shared" si="1031"/>
        <v>0</v>
      </c>
      <c r="ID51" s="65"/>
      <c r="IE51" s="63"/>
      <c r="IF51" s="64">
        <f t="shared" si="1032"/>
        <v>0</v>
      </c>
      <c r="IG51" s="65">
        <v>9701.0400000000009</v>
      </c>
      <c r="IH51" s="63">
        <v>9701.0400000000009</v>
      </c>
      <c r="II51" s="64">
        <f t="shared" si="1033"/>
        <v>0</v>
      </c>
      <c r="IJ51" s="65">
        <v>100</v>
      </c>
      <c r="IK51" s="63"/>
      <c r="IL51" s="64">
        <f t="shared" si="1034"/>
        <v>100</v>
      </c>
      <c r="IM51" s="66">
        <f t="shared" si="98"/>
        <v>19665.54</v>
      </c>
      <c r="IN51" s="67">
        <f t="shared" si="1035"/>
        <v>19565.54</v>
      </c>
      <c r="IO51" s="64">
        <f t="shared" si="1036"/>
        <v>100</v>
      </c>
      <c r="IP51" s="62">
        <v>5000</v>
      </c>
      <c r="IQ51" s="63">
        <v>5000</v>
      </c>
      <c r="IR51" s="64">
        <f t="shared" si="1037"/>
        <v>0</v>
      </c>
      <c r="IS51" s="65"/>
      <c r="IT51" s="63"/>
      <c r="IU51" s="64">
        <f t="shared" si="1038"/>
        <v>0</v>
      </c>
      <c r="IV51" s="65"/>
      <c r="IW51" s="63"/>
      <c r="IX51" s="64">
        <f t="shared" si="1039"/>
        <v>0</v>
      </c>
      <c r="IY51" s="65"/>
      <c r="IZ51" s="63"/>
      <c r="JA51" s="64">
        <f t="shared" si="1040"/>
        <v>0</v>
      </c>
      <c r="JB51" s="66">
        <f t="shared" si="105"/>
        <v>5000</v>
      </c>
      <c r="JC51" s="67">
        <f t="shared" si="1041"/>
        <v>5000</v>
      </c>
      <c r="JD51" s="64">
        <f t="shared" si="1042"/>
        <v>0</v>
      </c>
      <c r="JE51" s="72"/>
      <c r="JF51" s="150"/>
      <c r="JG51" s="74"/>
      <c r="JH51" s="75"/>
      <c r="JI51" s="150"/>
      <c r="JJ51" s="74"/>
      <c r="JK51" s="75"/>
      <c r="JL51" s="150"/>
      <c r="JM51" s="74"/>
      <c r="JN51" s="75"/>
      <c r="JO51" s="150"/>
      <c r="JP51" s="74"/>
      <c r="JQ51" s="76"/>
      <c r="JR51" s="77"/>
      <c r="JS51" s="74"/>
      <c r="JT51" s="72"/>
      <c r="JU51" s="73"/>
      <c r="JV51" s="74"/>
      <c r="JW51" s="75"/>
      <c r="JX51" s="73"/>
      <c r="JY51" s="74"/>
      <c r="JZ51" s="75"/>
      <c r="KA51" s="73"/>
      <c r="KB51" s="74"/>
      <c r="KC51" s="75"/>
      <c r="KD51" s="73"/>
      <c r="KE51" s="74"/>
      <c r="KF51" s="76"/>
      <c r="KG51" s="77"/>
      <c r="KH51" s="64">
        <f t="shared" si="1043"/>
        <v>0</v>
      </c>
      <c r="KI51" s="62"/>
      <c r="KJ51" s="63"/>
      <c r="KK51" s="64">
        <f t="shared" si="1044"/>
        <v>0</v>
      </c>
      <c r="KL51" s="65"/>
      <c r="KM51" s="63"/>
      <c r="KN51" s="64">
        <f t="shared" si="1045"/>
        <v>0</v>
      </c>
      <c r="KO51" s="65"/>
      <c r="KP51" s="63"/>
      <c r="KQ51" s="64">
        <f t="shared" si="1046"/>
        <v>0</v>
      </c>
      <c r="KR51" s="65"/>
      <c r="KS51" s="63"/>
      <c r="KT51" s="64">
        <f t="shared" si="1047"/>
        <v>0</v>
      </c>
      <c r="KU51" s="66">
        <f t="shared" si="1"/>
        <v>0</v>
      </c>
      <c r="KV51" s="67">
        <f t="shared" si="1048"/>
        <v>0</v>
      </c>
      <c r="KW51" s="64">
        <f t="shared" si="1049"/>
        <v>0</v>
      </c>
      <c r="KX51" s="72"/>
      <c r="KY51" s="73"/>
      <c r="KZ51" s="74"/>
      <c r="LA51" s="75"/>
      <c r="LB51" s="73"/>
      <c r="LC51" s="74"/>
      <c r="LD51" s="75"/>
      <c r="LE51" s="73"/>
      <c r="LF51" s="74"/>
      <c r="LG51" s="75"/>
      <c r="LH51" s="73"/>
      <c r="LI51" s="74"/>
      <c r="LJ51" s="76"/>
      <c r="LK51" s="77"/>
      <c r="LL51" s="74"/>
      <c r="LM51" s="62">
        <v>9300</v>
      </c>
      <c r="LN51" s="63">
        <v>9300</v>
      </c>
      <c r="LO51" s="64">
        <f t="shared" si="1050"/>
        <v>0</v>
      </c>
      <c r="LP51" s="65"/>
      <c r="LQ51" s="63"/>
      <c r="LR51" s="64">
        <f t="shared" si="1051"/>
        <v>0</v>
      </c>
      <c r="LS51" s="65"/>
      <c r="LT51" s="63">
        <v>2171.17</v>
      </c>
      <c r="LU51" s="64">
        <f t="shared" si="1052"/>
        <v>-2171.17</v>
      </c>
      <c r="LV51" s="65">
        <v>100</v>
      </c>
      <c r="LW51" s="63"/>
      <c r="LX51" s="64">
        <f t="shared" si="1053"/>
        <v>100</v>
      </c>
      <c r="LY51" s="66">
        <f t="shared" si="124"/>
        <v>9400</v>
      </c>
      <c r="LZ51" s="67">
        <f t="shared" si="1054"/>
        <v>11471.17</v>
      </c>
      <c r="MA51" s="64">
        <f t="shared" si="1055"/>
        <v>-2071.17</v>
      </c>
      <c r="MB51" s="62"/>
      <c r="MC51" s="63"/>
      <c r="MD51" s="64">
        <f t="shared" si="1056"/>
        <v>0</v>
      </c>
      <c r="ME51" s="65">
        <v>889.11</v>
      </c>
      <c r="MF51" s="63">
        <v>889.11</v>
      </c>
      <c r="MG51" s="64">
        <f t="shared" si="1057"/>
        <v>0</v>
      </c>
      <c r="MH51" s="65"/>
      <c r="MI51" s="63"/>
      <c r="MJ51" s="64">
        <f t="shared" si="1058"/>
        <v>0</v>
      </c>
      <c r="MK51" s="65">
        <v>100</v>
      </c>
      <c r="ML51" s="63"/>
      <c r="MM51" s="64">
        <f t="shared" si="1059"/>
        <v>100</v>
      </c>
      <c r="MN51" s="66">
        <f t="shared" si="131"/>
        <v>989.11</v>
      </c>
      <c r="MO51" s="67">
        <f t="shared" si="1060"/>
        <v>889.11</v>
      </c>
      <c r="MP51" s="64">
        <f t="shared" si="1061"/>
        <v>100</v>
      </c>
      <c r="MQ51" s="62"/>
      <c r="MR51" s="63"/>
      <c r="MS51" s="64">
        <f t="shared" si="1062"/>
        <v>0</v>
      </c>
      <c r="MT51" s="65"/>
      <c r="MU51" s="63"/>
      <c r="MV51" s="64">
        <f t="shared" si="1063"/>
        <v>0</v>
      </c>
      <c r="MW51" s="65"/>
      <c r="MX51" s="63"/>
      <c r="MY51" s="64">
        <f t="shared" si="1064"/>
        <v>0</v>
      </c>
      <c r="MZ51" s="65"/>
      <c r="NA51" s="63"/>
      <c r="NB51" s="64">
        <f t="shared" si="1065"/>
        <v>0</v>
      </c>
      <c r="NC51" s="66">
        <f t="shared" si="138"/>
        <v>0</v>
      </c>
      <c r="ND51" s="67">
        <f t="shared" si="1066"/>
        <v>0</v>
      </c>
      <c r="NE51" s="64">
        <f t="shared" si="1067"/>
        <v>0</v>
      </c>
      <c r="NF51" s="62"/>
      <c r="NG51" s="63"/>
      <c r="NH51" s="64">
        <f t="shared" si="1068"/>
        <v>0</v>
      </c>
      <c r="NI51" s="65">
        <v>1164.04</v>
      </c>
      <c r="NJ51" s="63">
        <v>1164.04</v>
      </c>
      <c r="NK51" s="64">
        <f t="shared" si="1069"/>
        <v>0</v>
      </c>
      <c r="NL51" s="65"/>
      <c r="NM51" s="63"/>
      <c r="NN51" s="64">
        <f t="shared" si="1070"/>
        <v>0</v>
      </c>
      <c r="NO51" s="65">
        <v>100</v>
      </c>
      <c r="NP51" s="63"/>
      <c r="NQ51" s="64">
        <f t="shared" si="1071"/>
        <v>100</v>
      </c>
      <c r="NR51" s="66">
        <f t="shared" si="145"/>
        <v>1264.04</v>
      </c>
      <c r="NS51" s="67">
        <f t="shared" si="1072"/>
        <v>1164.04</v>
      </c>
      <c r="NT51" s="64">
        <f t="shared" si="1073"/>
        <v>100</v>
      </c>
      <c r="NU51" s="62"/>
      <c r="NV51" s="63"/>
      <c r="NW51" s="64">
        <f t="shared" si="1074"/>
        <v>0</v>
      </c>
      <c r="NX51" s="65">
        <v>1152.73</v>
      </c>
      <c r="NY51" s="63">
        <v>1152.73</v>
      </c>
      <c r="NZ51" s="64">
        <f t="shared" si="1075"/>
        <v>0</v>
      </c>
      <c r="OA51" s="65"/>
      <c r="OB51" s="63"/>
      <c r="OC51" s="64">
        <f t="shared" si="1076"/>
        <v>0</v>
      </c>
      <c r="OD51" s="65">
        <v>100</v>
      </c>
      <c r="OE51" s="63"/>
      <c r="OF51" s="64">
        <f t="shared" si="1077"/>
        <v>100</v>
      </c>
      <c r="OG51" s="66">
        <f t="shared" si="152"/>
        <v>1252.73</v>
      </c>
      <c r="OH51" s="67">
        <f t="shared" si="1078"/>
        <v>1152.73</v>
      </c>
      <c r="OI51" s="64">
        <f t="shared" si="1079"/>
        <v>100</v>
      </c>
      <c r="OJ51" s="62"/>
      <c r="OK51" s="63"/>
      <c r="OL51" s="64">
        <f t="shared" si="1080"/>
        <v>0</v>
      </c>
      <c r="OM51" s="65"/>
      <c r="ON51" s="63"/>
      <c r="OO51" s="64">
        <f t="shared" si="1081"/>
        <v>0</v>
      </c>
      <c r="OP51" s="65"/>
      <c r="OQ51" s="63"/>
      <c r="OR51" s="64">
        <f t="shared" si="1082"/>
        <v>0</v>
      </c>
      <c r="OS51" s="65">
        <v>100</v>
      </c>
      <c r="OT51" s="63">
        <v>184.26</v>
      </c>
      <c r="OU51" s="64">
        <f t="shared" si="1083"/>
        <v>-84.259999999999991</v>
      </c>
      <c r="OV51" s="66">
        <f t="shared" si="159"/>
        <v>100</v>
      </c>
      <c r="OW51" s="67">
        <f t="shared" si="1084"/>
        <v>184.26</v>
      </c>
      <c r="OX51" s="64">
        <f t="shared" si="1085"/>
        <v>-84.259999999999991</v>
      </c>
      <c r="OY51" s="62"/>
      <c r="OZ51" s="63"/>
      <c r="PA51" s="64">
        <f t="shared" si="1086"/>
        <v>0</v>
      </c>
      <c r="PB51" s="65"/>
      <c r="PC51" s="63"/>
      <c r="PD51" s="64">
        <f t="shared" si="1087"/>
        <v>0</v>
      </c>
      <c r="PE51" s="65"/>
      <c r="PF51" s="63"/>
      <c r="PG51" s="64">
        <f t="shared" si="1088"/>
        <v>0</v>
      </c>
      <c r="PH51" s="65">
        <v>100</v>
      </c>
      <c r="PI51" s="63"/>
      <c r="PJ51" s="64">
        <f t="shared" si="1089"/>
        <v>100</v>
      </c>
      <c r="PK51" s="66">
        <f t="shared" si="166"/>
        <v>100</v>
      </c>
      <c r="PL51" s="67">
        <f t="shared" si="1090"/>
        <v>0</v>
      </c>
      <c r="PM51" s="64">
        <f t="shared" si="1091"/>
        <v>100</v>
      </c>
      <c r="PN51" s="62">
        <v>1550</v>
      </c>
      <c r="PO51" s="63">
        <v>1550</v>
      </c>
      <c r="PP51" s="64">
        <f t="shared" si="1092"/>
        <v>0</v>
      </c>
      <c r="PQ51" s="65"/>
      <c r="PR51" s="63"/>
      <c r="PS51" s="64">
        <f t="shared" si="1093"/>
        <v>0</v>
      </c>
      <c r="PT51" s="65"/>
      <c r="PU51" s="63"/>
      <c r="PV51" s="64">
        <f t="shared" si="1094"/>
        <v>0</v>
      </c>
      <c r="PW51" s="65">
        <v>100</v>
      </c>
      <c r="PX51" s="63"/>
      <c r="PY51" s="64">
        <f t="shared" si="1095"/>
        <v>100</v>
      </c>
      <c r="PZ51" s="66">
        <f t="shared" si="173"/>
        <v>1650</v>
      </c>
      <c r="QA51" s="67">
        <f t="shared" si="1096"/>
        <v>1550</v>
      </c>
      <c r="QB51" s="64">
        <f t="shared" si="1097"/>
        <v>100</v>
      </c>
      <c r="QC51" s="62">
        <v>9000</v>
      </c>
      <c r="QD51" s="63">
        <v>9000</v>
      </c>
      <c r="QE51" s="64">
        <f t="shared" si="1098"/>
        <v>0</v>
      </c>
      <c r="QF51" s="65"/>
      <c r="QG51" s="63"/>
      <c r="QH51" s="64">
        <f t="shared" si="1099"/>
        <v>0</v>
      </c>
      <c r="QI51" s="65"/>
      <c r="QJ51" s="63"/>
      <c r="QK51" s="64">
        <f t="shared" si="1100"/>
        <v>0</v>
      </c>
      <c r="QL51" s="65">
        <v>100</v>
      </c>
      <c r="QM51" s="63"/>
      <c r="QN51" s="64">
        <f t="shared" si="1101"/>
        <v>100</v>
      </c>
      <c r="QO51" s="66">
        <f t="shared" si="180"/>
        <v>9100</v>
      </c>
      <c r="QP51" s="67">
        <f t="shared" si="1102"/>
        <v>9000</v>
      </c>
      <c r="QQ51" s="64">
        <f t="shared" si="1103"/>
        <v>100</v>
      </c>
      <c r="QR51" s="62"/>
      <c r="QS51" s="63"/>
      <c r="QT51" s="64">
        <f t="shared" si="1104"/>
        <v>0</v>
      </c>
      <c r="QU51" s="65">
        <v>602.79999999999995</v>
      </c>
      <c r="QV51" s="63">
        <v>635</v>
      </c>
      <c r="QW51" s="64">
        <f t="shared" si="1105"/>
        <v>-32.200000000000045</v>
      </c>
      <c r="QX51" s="65"/>
      <c r="QY51" s="63"/>
      <c r="QZ51" s="64">
        <f t="shared" si="1106"/>
        <v>0</v>
      </c>
      <c r="RA51" s="65"/>
      <c r="RB51" s="63"/>
      <c r="RC51" s="64">
        <f t="shared" si="1107"/>
        <v>0</v>
      </c>
      <c r="RD51" s="66">
        <f t="shared" si="187"/>
        <v>602.79999999999995</v>
      </c>
      <c r="RE51" s="67">
        <f t="shared" si="1108"/>
        <v>635</v>
      </c>
      <c r="RF51" s="74"/>
      <c r="RG51" s="72"/>
      <c r="RH51" s="73"/>
      <c r="RI51" s="74"/>
      <c r="RJ51" s="75"/>
      <c r="RK51" s="73"/>
      <c r="RL51" s="74"/>
      <c r="RM51" s="75"/>
      <c r="RN51" s="73"/>
      <c r="RO51" s="74"/>
      <c r="RP51" s="75"/>
      <c r="RQ51" s="73"/>
      <c r="RR51" s="74"/>
      <c r="RS51" s="76"/>
      <c r="RT51" s="77"/>
      <c r="RU51" s="64">
        <f t="shared" si="1109"/>
        <v>0</v>
      </c>
      <c r="RV51" s="62"/>
      <c r="RW51" s="63"/>
      <c r="RX51" s="64">
        <f t="shared" si="1110"/>
        <v>0</v>
      </c>
      <c r="RY51" s="65"/>
      <c r="RZ51" s="63"/>
      <c r="SA51" s="64">
        <f t="shared" si="1111"/>
        <v>0</v>
      </c>
      <c r="SB51" s="65"/>
      <c r="SC51" s="63"/>
      <c r="SD51" s="64">
        <f t="shared" si="1112"/>
        <v>0</v>
      </c>
      <c r="SE51" s="65">
        <v>100</v>
      </c>
      <c r="SF51" s="63"/>
      <c r="SG51" s="64">
        <f t="shared" si="1113"/>
        <v>100</v>
      </c>
      <c r="SH51" s="66">
        <f t="shared" si="201"/>
        <v>100</v>
      </c>
      <c r="SI51" s="67">
        <f t="shared" si="1114"/>
        <v>0</v>
      </c>
      <c r="SJ51" s="64">
        <f t="shared" si="1115"/>
        <v>100</v>
      </c>
      <c r="SK51" s="62"/>
      <c r="SL51" s="63"/>
      <c r="SM51" s="64">
        <f t="shared" si="1116"/>
        <v>0</v>
      </c>
      <c r="SN51" s="65"/>
      <c r="SO51" s="63"/>
      <c r="SP51" s="64">
        <f t="shared" si="1117"/>
        <v>0</v>
      </c>
      <c r="SQ51" s="65"/>
      <c r="SR51" s="63"/>
      <c r="SS51" s="64">
        <f t="shared" si="1118"/>
        <v>0</v>
      </c>
      <c r="ST51" s="65">
        <v>100</v>
      </c>
      <c r="SU51" s="63">
        <v>206.52</v>
      </c>
      <c r="SV51" s="64">
        <f t="shared" si="1119"/>
        <v>-106.52000000000001</v>
      </c>
      <c r="SW51" s="66">
        <f t="shared" si="208"/>
        <v>100</v>
      </c>
      <c r="SX51" s="67">
        <f t="shared" si="1120"/>
        <v>206.52</v>
      </c>
      <c r="SY51" s="64">
        <f t="shared" si="1121"/>
        <v>-106.52000000000001</v>
      </c>
      <c r="SZ51" s="62">
        <v>985.33</v>
      </c>
      <c r="TA51" s="63">
        <v>985.33</v>
      </c>
      <c r="TB51" s="64">
        <f t="shared" si="1122"/>
        <v>0</v>
      </c>
      <c r="TC51" s="65">
        <v>700.9</v>
      </c>
      <c r="TD51" s="63">
        <v>740.15</v>
      </c>
      <c r="TE51" s="64">
        <f t="shared" si="1123"/>
        <v>-39.25</v>
      </c>
      <c r="TF51" s="65"/>
      <c r="TG51" s="63"/>
      <c r="TH51" s="64">
        <f t="shared" si="1124"/>
        <v>0</v>
      </c>
      <c r="TI51" s="65">
        <v>100</v>
      </c>
      <c r="TJ51" s="63"/>
      <c r="TK51" s="64">
        <f t="shared" si="1125"/>
        <v>100</v>
      </c>
      <c r="TL51" s="66">
        <f t="shared" si="215"/>
        <v>1786.23</v>
      </c>
      <c r="TM51" s="67">
        <f t="shared" si="1126"/>
        <v>1725.48</v>
      </c>
      <c r="TN51" s="64">
        <f t="shared" si="1127"/>
        <v>60.75</v>
      </c>
      <c r="TO51" s="62"/>
      <c r="TP51" s="63"/>
      <c r="TQ51" s="64">
        <f t="shared" si="1128"/>
        <v>0</v>
      </c>
      <c r="TR51" s="65"/>
      <c r="TS51" s="63"/>
      <c r="TT51" s="64">
        <f t="shared" si="1129"/>
        <v>0</v>
      </c>
      <c r="TU51" s="65"/>
      <c r="TV51" s="63">
        <v>181.46</v>
      </c>
      <c r="TW51" s="64">
        <f t="shared" si="1130"/>
        <v>-181.46</v>
      </c>
      <c r="TX51" s="65">
        <v>100</v>
      </c>
      <c r="TY51" s="63">
        <v>119.65</v>
      </c>
      <c r="TZ51" s="64">
        <f t="shared" si="1131"/>
        <v>-19.650000000000006</v>
      </c>
      <c r="UA51" s="66">
        <f t="shared" si="222"/>
        <v>100</v>
      </c>
      <c r="UB51" s="67">
        <f t="shared" si="1132"/>
        <v>301.11</v>
      </c>
      <c r="UC51" s="64">
        <f t="shared" si="1133"/>
        <v>-201.11</v>
      </c>
      <c r="UD51" s="62"/>
      <c r="UE51" s="63"/>
      <c r="UF51" s="64">
        <f t="shared" si="1134"/>
        <v>0</v>
      </c>
      <c r="UG51" s="65">
        <v>497.04</v>
      </c>
      <c r="UH51" s="63">
        <v>546.91</v>
      </c>
      <c r="UI51" s="64">
        <f t="shared" si="1135"/>
        <v>-49.869999999999948</v>
      </c>
      <c r="UJ51" s="65"/>
      <c r="UK51" s="63"/>
      <c r="UL51" s="64">
        <f t="shared" si="1136"/>
        <v>0</v>
      </c>
      <c r="UM51" s="65">
        <v>100</v>
      </c>
      <c r="UN51" s="63"/>
      <c r="UO51" s="64">
        <f t="shared" si="1137"/>
        <v>100</v>
      </c>
      <c r="UP51" s="66">
        <f t="shared" si="226"/>
        <v>597.04</v>
      </c>
      <c r="UQ51" s="67">
        <f t="shared" si="1138"/>
        <v>546.91</v>
      </c>
      <c r="UR51" s="64">
        <f t="shared" si="1139"/>
        <v>50.129999999999995</v>
      </c>
      <c r="US51" s="74"/>
      <c r="UT51" s="72"/>
      <c r="UU51" s="73"/>
      <c r="UV51" s="74"/>
      <c r="UW51" s="75"/>
      <c r="UX51" s="73"/>
      <c r="UY51" s="74"/>
      <c r="UZ51" s="75"/>
      <c r="VA51" s="73"/>
      <c r="VB51" s="74"/>
      <c r="VC51" s="75"/>
      <c r="VD51" s="73"/>
      <c r="VE51" s="74"/>
      <c r="VF51" s="76"/>
      <c r="VG51" s="77"/>
      <c r="VH51" s="62"/>
      <c r="VI51" s="63"/>
      <c r="VJ51" s="64">
        <f t="shared" si="1140"/>
        <v>0</v>
      </c>
      <c r="VK51" s="65"/>
      <c r="VL51" s="63"/>
      <c r="VM51" s="64">
        <f t="shared" si="1141"/>
        <v>0</v>
      </c>
      <c r="VN51" s="65"/>
      <c r="VO51" s="63"/>
      <c r="VP51" s="64">
        <f t="shared" si="1142"/>
        <v>0</v>
      </c>
      <c r="VQ51" s="65">
        <v>100</v>
      </c>
      <c r="VR51" s="63"/>
      <c r="VS51" s="64">
        <f t="shared" si="1143"/>
        <v>100</v>
      </c>
      <c r="VT51" s="66">
        <f t="shared" si="240"/>
        <v>100</v>
      </c>
      <c r="VU51" s="67">
        <f t="shared" si="1144"/>
        <v>0</v>
      </c>
      <c r="VV51" s="64">
        <f t="shared" si="1145"/>
        <v>100</v>
      </c>
      <c r="VW51" s="74"/>
      <c r="VX51" s="72"/>
      <c r="VY51" s="73"/>
      <c r="VZ51" s="74"/>
      <c r="WA51" s="75"/>
      <c r="WB51" s="73"/>
      <c r="WC51" s="74"/>
      <c r="WD51" s="75"/>
      <c r="WE51" s="73"/>
      <c r="WF51" s="74"/>
      <c r="WG51" s="75"/>
      <c r="WH51" s="73"/>
      <c r="WI51" s="74"/>
      <c r="WJ51" s="76"/>
      <c r="WK51" s="77"/>
      <c r="WL51" s="62">
        <v>1376.01</v>
      </c>
      <c r="WM51" s="63">
        <v>1376.01</v>
      </c>
      <c r="WN51" s="64">
        <f t="shared" si="1146"/>
        <v>0</v>
      </c>
      <c r="WO51" s="65"/>
      <c r="WP51" s="63"/>
      <c r="WQ51" s="64">
        <f t="shared" si="1147"/>
        <v>0</v>
      </c>
      <c r="WR51" s="65"/>
      <c r="WS51" s="63"/>
      <c r="WT51" s="64">
        <f t="shared" si="1148"/>
        <v>0</v>
      </c>
      <c r="WU51" s="65">
        <v>100</v>
      </c>
      <c r="WV51" s="63">
        <v>136.25</v>
      </c>
      <c r="WW51" s="64">
        <f t="shared" si="1149"/>
        <v>-36.25</v>
      </c>
      <c r="WX51" s="66">
        <f t="shared" si="254"/>
        <v>1476.01</v>
      </c>
      <c r="WY51" s="67">
        <f t="shared" si="1150"/>
        <v>1512.26</v>
      </c>
      <c r="WZ51" s="64">
        <f t="shared" si="1151"/>
        <v>-36.25</v>
      </c>
      <c r="XA51" s="62"/>
      <c r="XB51" s="63"/>
      <c r="XC51" s="64">
        <f t="shared" si="1152"/>
        <v>0</v>
      </c>
      <c r="XD51" s="65"/>
      <c r="XE51" s="63"/>
      <c r="XF51" s="64">
        <f t="shared" si="1153"/>
        <v>0</v>
      </c>
      <c r="XG51" s="65"/>
      <c r="XH51" s="63"/>
      <c r="XI51" s="64">
        <f t="shared" si="1154"/>
        <v>0</v>
      </c>
      <c r="XJ51" s="65">
        <v>100</v>
      </c>
      <c r="XK51" s="63">
        <v>124.48</v>
      </c>
      <c r="XL51" s="64">
        <f t="shared" si="1155"/>
        <v>-24.480000000000004</v>
      </c>
      <c r="XM51" s="66">
        <f t="shared" si="261"/>
        <v>100</v>
      </c>
      <c r="XN51" s="67">
        <f t="shared" si="1156"/>
        <v>124.48</v>
      </c>
      <c r="XO51" s="64">
        <f t="shared" si="1157"/>
        <v>-24.480000000000004</v>
      </c>
      <c r="XP51" s="62"/>
      <c r="XQ51" s="63"/>
      <c r="XR51" s="64">
        <f t="shared" si="1158"/>
        <v>0</v>
      </c>
      <c r="XS51" s="65">
        <v>844.24</v>
      </c>
      <c r="XT51" s="63">
        <v>844.24</v>
      </c>
      <c r="XU51" s="64">
        <f t="shared" si="1159"/>
        <v>0</v>
      </c>
      <c r="XV51" s="65"/>
      <c r="XW51" s="63"/>
      <c r="XX51" s="64">
        <f t="shared" si="1160"/>
        <v>0</v>
      </c>
      <c r="XY51" s="65">
        <v>100</v>
      </c>
      <c r="XZ51" s="63"/>
      <c r="YA51" s="64">
        <f t="shared" si="1161"/>
        <v>100</v>
      </c>
      <c r="YB51" s="66">
        <f t="shared" si="268"/>
        <v>944.24</v>
      </c>
      <c r="YC51" s="67">
        <f t="shared" si="1162"/>
        <v>844.24</v>
      </c>
      <c r="YD51" s="64">
        <f t="shared" si="1163"/>
        <v>100</v>
      </c>
      <c r="YE51" s="62"/>
      <c r="YF51" s="63"/>
      <c r="YG51" s="64">
        <f t="shared" si="1164"/>
        <v>0</v>
      </c>
      <c r="YH51" s="65">
        <v>847.85</v>
      </c>
      <c r="YI51" s="63">
        <v>847.85</v>
      </c>
      <c r="YJ51" s="64">
        <f t="shared" si="1165"/>
        <v>0</v>
      </c>
      <c r="YK51" s="65"/>
      <c r="YL51" s="63"/>
      <c r="YM51" s="64">
        <f t="shared" si="1166"/>
        <v>0</v>
      </c>
      <c r="YN51" s="65">
        <v>100</v>
      </c>
      <c r="YO51" s="63"/>
      <c r="YP51" s="64">
        <f t="shared" si="1167"/>
        <v>100</v>
      </c>
      <c r="YQ51" s="66">
        <f t="shared" si="275"/>
        <v>947.85</v>
      </c>
      <c r="YR51" s="67">
        <f t="shared" si="1168"/>
        <v>847.85</v>
      </c>
      <c r="YS51" s="64">
        <f t="shared" si="1169"/>
        <v>100</v>
      </c>
      <c r="YT51" s="62"/>
      <c r="YU51" s="63"/>
      <c r="YV51" s="64">
        <f t="shared" si="1170"/>
        <v>0</v>
      </c>
      <c r="YW51" s="65">
        <v>695.73</v>
      </c>
      <c r="YX51" s="63">
        <v>695.73</v>
      </c>
      <c r="YY51" s="64">
        <f t="shared" si="1171"/>
        <v>0</v>
      </c>
      <c r="YZ51" s="65"/>
      <c r="ZA51" s="63"/>
      <c r="ZB51" s="64">
        <f t="shared" si="1172"/>
        <v>0</v>
      </c>
      <c r="ZC51" s="65">
        <v>100</v>
      </c>
      <c r="ZD51" s="63"/>
      <c r="ZE51" s="64">
        <f t="shared" si="1173"/>
        <v>100</v>
      </c>
      <c r="ZF51" s="66">
        <f t="shared" si="282"/>
        <v>795.73</v>
      </c>
      <c r="ZG51" s="67">
        <f t="shared" si="1174"/>
        <v>695.73</v>
      </c>
      <c r="ZH51" s="74"/>
      <c r="ZI51" s="72"/>
      <c r="ZJ51" s="73"/>
      <c r="ZK51" s="74"/>
      <c r="ZL51" s="75"/>
      <c r="ZM51" s="73"/>
      <c r="ZN51" s="74"/>
      <c r="ZO51" s="75"/>
      <c r="ZP51" s="73"/>
      <c r="ZQ51" s="74"/>
      <c r="ZR51" s="75"/>
      <c r="ZS51" s="73"/>
      <c r="ZT51" s="74"/>
      <c r="ZU51" s="76"/>
      <c r="ZV51" s="77"/>
      <c r="ZW51" s="64">
        <f t="shared" si="1175"/>
        <v>0</v>
      </c>
      <c r="ZX51" s="62">
        <v>24.71</v>
      </c>
      <c r="ZY51" s="63">
        <v>62.91</v>
      </c>
      <c r="ZZ51" s="64">
        <f t="shared" si="1176"/>
        <v>-38.199999999999996</v>
      </c>
      <c r="AAA51" s="66">
        <f t="shared" si="293"/>
        <v>24.71</v>
      </c>
      <c r="AAB51" s="67">
        <f t="shared" si="293"/>
        <v>62.91</v>
      </c>
      <c r="AAC51" s="64">
        <f t="shared" si="1177"/>
        <v>-38.199999999999996</v>
      </c>
      <c r="AAD51" s="85">
        <f t="shared" si="295"/>
        <v>331822.80500000005</v>
      </c>
      <c r="AAE51" s="86">
        <f t="shared" si="295"/>
        <v>362991.73</v>
      </c>
      <c r="AAF51" s="87">
        <f t="shared" si="3"/>
        <v>1.0939324378262667</v>
      </c>
      <c r="AAG51" s="88">
        <f t="shared" si="1178"/>
        <v>31168.92499999993</v>
      </c>
      <c r="AAH51" s="89"/>
      <c r="AAI51" s="92"/>
      <c r="AAJ51" s="92"/>
      <c r="AAK51" s="60"/>
    </row>
    <row r="52" spans="1:713" s="83" customFormat="1" ht="20" customHeight="1" x14ac:dyDescent="0.2">
      <c r="A52" s="152"/>
      <c r="B52" s="94">
        <f>B50/B46</f>
        <v>0.96811099742426854</v>
      </c>
      <c r="C52" s="95"/>
      <c r="D52" s="95"/>
      <c r="E52" s="60"/>
      <c r="F52" s="61">
        <v>45901</v>
      </c>
      <c r="G52" s="62"/>
      <c r="H52" s="63"/>
      <c r="I52" s="64">
        <f t="shared" si="951"/>
        <v>0</v>
      </c>
      <c r="J52" s="65">
        <v>2154.35</v>
      </c>
      <c r="K52" s="63">
        <v>1962.22</v>
      </c>
      <c r="L52" s="64">
        <f t="shared" si="952"/>
        <v>192.12999999999988</v>
      </c>
      <c r="M52" s="65"/>
      <c r="N52" s="63"/>
      <c r="O52" s="64">
        <f t="shared" si="953"/>
        <v>0</v>
      </c>
      <c r="P52" s="65">
        <v>1500</v>
      </c>
      <c r="Q52" s="63">
        <v>1414.13</v>
      </c>
      <c r="R52" s="64">
        <f t="shared" si="954"/>
        <v>85.869999999999891</v>
      </c>
      <c r="S52" s="65">
        <v>362</v>
      </c>
      <c r="T52" s="63">
        <v>390.92</v>
      </c>
      <c r="U52" s="64">
        <f t="shared" si="955"/>
        <v>-28.920000000000016</v>
      </c>
      <c r="V52" s="66">
        <f t="shared" si="956"/>
        <v>4016.35</v>
      </c>
      <c r="W52" s="67">
        <f t="shared" si="956"/>
        <v>3767.2700000000004</v>
      </c>
      <c r="X52" s="64">
        <f t="shared" si="957"/>
        <v>249.07999999999947</v>
      </c>
      <c r="Y52" s="72"/>
      <c r="Z52" s="73"/>
      <c r="AA52" s="74"/>
      <c r="AB52" s="75"/>
      <c r="AC52" s="73"/>
      <c r="AD52" s="74"/>
      <c r="AE52" s="75"/>
      <c r="AF52" s="73"/>
      <c r="AG52" s="74"/>
      <c r="AH52" s="75"/>
      <c r="AI52" s="73"/>
      <c r="AJ52" s="74"/>
      <c r="AK52" s="76"/>
      <c r="AL52" s="77"/>
      <c r="AM52" s="64">
        <f t="shared" si="958"/>
        <v>0</v>
      </c>
      <c r="AN52" s="62">
        <v>6250</v>
      </c>
      <c r="AO52" s="63">
        <v>6259</v>
      </c>
      <c r="AP52" s="64">
        <f t="shared" si="1179"/>
        <v>-9</v>
      </c>
      <c r="AQ52" s="65"/>
      <c r="AR52" s="63"/>
      <c r="AS52" s="64">
        <f t="shared" si="959"/>
        <v>0</v>
      </c>
      <c r="AT52" s="65"/>
      <c r="AU52" s="63"/>
      <c r="AV52" s="64">
        <f t="shared" si="960"/>
        <v>0</v>
      </c>
      <c r="AW52" s="65"/>
      <c r="AX52" s="63"/>
      <c r="AY52" s="64">
        <f t="shared" si="961"/>
        <v>0</v>
      </c>
      <c r="AZ52" s="66">
        <f t="shared" si="23"/>
        <v>6250</v>
      </c>
      <c r="BA52" s="67">
        <f t="shared" si="962"/>
        <v>6259</v>
      </c>
      <c r="BB52" s="64">
        <f t="shared" si="963"/>
        <v>-9</v>
      </c>
      <c r="BC52" s="62"/>
      <c r="BD52" s="63"/>
      <c r="BE52" s="64">
        <f t="shared" si="964"/>
        <v>0</v>
      </c>
      <c r="BF52" s="65"/>
      <c r="BG52" s="63"/>
      <c r="BH52" s="64">
        <f t="shared" si="965"/>
        <v>0</v>
      </c>
      <c r="BI52" s="65"/>
      <c r="BJ52" s="63"/>
      <c r="BK52" s="64">
        <f t="shared" si="966"/>
        <v>0</v>
      </c>
      <c r="BL52" s="65">
        <v>100</v>
      </c>
      <c r="BM52" s="63"/>
      <c r="BN52" s="64">
        <f t="shared" si="967"/>
        <v>100</v>
      </c>
      <c r="BO52" s="66">
        <f t="shared" si="30"/>
        <v>100</v>
      </c>
      <c r="BP52" s="67">
        <f t="shared" si="968"/>
        <v>0</v>
      </c>
      <c r="BQ52" s="64">
        <f t="shared" si="969"/>
        <v>100</v>
      </c>
      <c r="BR52" s="72"/>
      <c r="BS52" s="73"/>
      <c r="BT52" s="74"/>
      <c r="BU52" s="75"/>
      <c r="BV52" s="73"/>
      <c r="BW52" s="74"/>
      <c r="BX52" s="75"/>
      <c r="BY52" s="73"/>
      <c r="BZ52" s="74"/>
      <c r="CA52" s="75"/>
      <c r="CB52" s="73"/>
      <c r="CC52" s="74"/>
      <c r="CD52" s="76"/>
      <c r="CE52" s="77"/>
      <c r="CF52" s="64">
        <f t="shared" si="970"/>
        <v>0</v>
      </c>
      <c r="CG52" s="62">
        <v>5000</v>
      </c>
      <c r="CH52" s="63">
        <v>5000</v>
      </c>
      <c r="CI52" s="64">
        <f t="shared" si="971"/>
        <v>0</v>
      </c>
      <c r="CJ52" s="65"/>
      <c r="CK52" s="63"/>
      <c r="CL52" s="64">
        <f t="shared" si="972"/>
        <v>0</v>
      </c>
      <c r="CM52" s="65"/>
      <c r="CN52" s="63"/>
      <c r="CO52" s="64">
        <f t="shared" si="973"/>
        <v>0</v>
      </c>
      <c r="CP52" s="65"/>
      <c r="CQ52" s="63"/>
      <c r="CR52" s="64">
        <f t="shared" si="974"/>
        <v>0</v>
      </c>
      <c r="CS52" s="66">
        <f t="shared" si="40"/>
        <v>5000</v>
      </c>
      <c r="CT52" s="67">
        <f t="shared" si="975"/>
        <v>5000</v>
      </c>
      <c r="CU52" s="64">
        <f t="shared" si="976"/>
        <v>0</v>
      </c>
      <c r="CV52" s="62">
        <v>2916.7</v>
      </c>
      <c r="CW52" s="63">
        <v>2562.2199999999998</v>
      </c>
      <c r="CX52" s="64">
        <f t="shared" si="977"/>
        <v>354.48</v>
      </c>
      <c r="CY52" s="65">
        <v>429.15</v>
      </c>
      <c r="CZ52" s="63">
        <v>429.15</v>
      </c>
      <c r="DA52" s="64">
        <f t="shared" si="978"/>
        <v>0</v>
      </c>
      <c r="DB52" s="65"/>
      <c r="DC52" s="63"/>
      <c r="DD52" s="64">
        <f t="shared" si="979"/>
        <v>0</v>
      </c>
      <c r="DE52" s="65"/>
      <c r="DF52" s="63"/>
      <c r="DG52" s="64">
        <f t="shared" si="980"/>
        <v>0</v>
      </c>
      <c r="DH52" s="66">
        <f t="shared" si="43"/>
        <v>3345.85</v>
      </c>
      <c r="DI52" s="67">
        <f t="shared" si="981"/>
        <v>2991.37</v>
      </c>
      <c r="DJ52" s="64">
        <f t="shared" si="982"/>
        <v>354.48</v>
      </c>
      <c r="DK52" s="62">
        <v>2400</v>
      </c>
      <c r="DL52" s="63">
        <v>2400</v>
      </c>
      <c r="DM52" s="64">
        <f t="shared" si="983"/>
        <v>0</v>
      </c>
      <c r="DN52" s="65">
        <v>913.08</v>
      </c>
      <c r="DO52" s="63">
        <v>913.08</v>
      </c>
      <c r="DP52" s="64">
        <f t="shared" si="984"/>
        <v>0</v>
      </c>
      <c r="DQ52" s="65"/>
      <c r="DR52" s="63"/>
      <c r="DS52" s="64">
        <f t="shared" si="985"/>
        <v>0</v>
      </c>
      <c r="DT52" s="65">
        <v>100</v>
      </c>
      <c r="DU52" s="63"/>
      <c r="DV52" s="64">
        <f t="shared" si="986"/>
        <v>100</v>
      </c>
      <c r="DW52" s="66">
        <f t="shared" si="46"/>
        <v>3413.08</v>
      </c>
      <c r="DX52" s="67">
        <f t="shared" si="987"/>
        <v>3313.08</v>
      </c>
      <c r="DY52" s="64">
        <f t="shared" si="988"/>
        <v>100</v>
      </c>
      <c r="DZ52" s="62"/>
      <c r="EA52" s="63"/>
      <c r="EB52" s="64">
        <f t="shared" si="989"/>
        <v>0</v>
      </c>
      <c r="EC52" s="65"/>
      <c r="ED52" s="63"/>
      <c r="EE52" s="64">
        <f t="shared" si="990"/>
        <v>0</v>
      </c>
      <c r="EF52" s="65"/>
      <c r="EG52" s="63"/>
      <c r="EH52" s="64">
        <f t="shared" si="991"/>
        <v>0</v>
      </c>
      <c r="EI52" s="65">
        <v>100</v>
      </c>
      <c r="EJ52" s="63"/>
      <c r="EK52" s="64">
        <f t="shared" si="992"/>
        <v>100</v>
      </c>
      <c r="EL52" s="66">
        <f t="shared" si="53"/>
        <v>100</v>
      </c>
      <c r="EM52" s="67">
        <f t="shared" si="993"/>
        <v>0</v>
      </c>
      <c r="EN52" s="64">
        <f t="shared" si="994"/>
        <v>100</v>
      </c>
      <c r="EO52" s="62"/>
      <c r="EP52" s="63"/>
      <c r="EQ52" s="64">
        <f t="shared" si="995"/>
        <v>0</v>
      </c>
      <c r="ER52" s="65"/>
      <c r="ES52" s="63"/>
      <c r="ET52" s="64">
        <f t="shared" si="996"/>
        <v>0</v>
      </c>
      <c r="EU52" s="65"/>
      <c r="EV52" s="63"/>
      <c r="EW52" s="64">
        <f t="shared" si="997"/>
        <v>0</v>
      </c>
      <c r="EX52" s="65">
        <v>100</v>
      </c>
      <c r="EY52" s="63"/>
      <c r="EZ52" s="64">
        <f t="shared" si="998"/>
        <v>100</v>
      </c>
      <c r="FA52" s="66">
        <f t="shared" si="60"/>
        <v>100</v>
      </c>
      <c r="FB52" s="67">
        <f t="shared" si="999"/>
        <v>0</v>
      </c>
      <c r="FC52" s="64">
        <f t="shared" si="1000"/>
        <v>100</v>
      </c>
      <c r="FD52" s="62"/>
      <c r="FE52" s="63"/>
      <c r="FF52" s="64">
        <f t="shared" si="1001"/>
        <v>0</v>
      </c>
      <c r="FG52" s="65"/>
      <c r="FH52" s="63"/>
      <c r="FI52" s="64">
        <f t="shared" si="1002"/>
        <v>0</v>
      </c>
      <c r="FJ52" s="65"/>
      <c r="FK52" s="63"/>
      <c r="FL52" s="64">
        <f t="shared" si="1003"/>
        <v>0</v>
      </c>
      <c r="FM52" s="65">
        <v>100</v>
      </c>
      <c r="FN52" s="63"/>
      <c r="FO52" s="64">
        <f t="shared" si="1004"/>
        <v>100</v>
      </c>
      <c r="FP52" s="66">
        <f t="shared" si="67"/>
        <v>100</v>
      </c>
      <c r="FQ52" s="67">
        <f t="shared" si="1005"/>
        <v>0</v>
      </c>
      <c r="FR52" s="64">
        <f t="shared" si="1006"/>
        <v>100</v>
      </c>
      <c r="FS52" s="62"/>
      <c r="FT52" s="63"/>
      <c r="FU52" s="64">
        <f t="shared" si="1007"/>
        <v>0</v>
      </c>
      <c r="FV52" s="65">
        <v>485.35</v>
      </c>
      <c r="FW52" s="63">
        <v>485.35</v>
      </c>
      <c r="FX52" s="64">
        <f t="shared" si="1008"/>
        <v>0</v>
      </c>
      <c r="FY52" s="65"/>
      <c r="FZ52" s="63"/>
      <c r="GA52" s="64">
        <f t="shared" si="1009"/>
        <v>0</v>
      </c>
      <c r="GB52" s="65"/>
      <c r="GC52" s="63"/>
      <c r="GD52" s="64">
        <f t="shared" si="1010"/>
        <v>0</v>
      </c>
      <c r="GE52" s="66">
        <f t="shared" si="74"/>
        <v>485.35</v>
      </c>
      <c r="GF52" s="67">
        <f t="shared" si="1011"/>
        <v>485.35</v>
      </c>
      <c r="GG52" s="64">
        <f t="shared" si="1012"/>
        <v>0</v>
      </c>
      <c r="GH52" s="62"/>
      <c r="GI52" s="63"/>
      <c r="GJ52" s="64">
        <f t="shared" si="1013"/>
        <v>0</v>
      </c>
      <c r="GK52" s="65">
        <v>660.33</v>
      </c>
      <c r="GL52" s="63">
        <v>660.33</v>
      </c>
      <c r="GM52" s="64">
        <f t="shared" si="1014"/>
        <v>0</v>
      </c>
      <c r="GN52" s="65"/>
      <c r="GO52" s="63"/>
      <c r="GP52" s="64">
        <f t="shared" si="1015"/>
        <v>0</v>
      </c>
      <c r="GQ52" s="65"/>
      <c r="GR52" s="63"/>
      <c r="GS52" s="64">
        <f t="shared" si="1016"/>
        <v>0</v>
      </c>
      <c r="GT52" s="66">
        <f t="shared" si="81"/>
        <v>660.33</v>
      </c>
      <c r="GU52" s="67">
        <f t="shared" si="1017"/>
        <v>660.33</v>
      </c>
      <c r="GV52" s="64">
        <f t="shared" si="1018"/>
        <v>0</v>
      </c>
      <c r="GW52" s="62"/>
      <c r="GX52" s="63"/>
      <c r="GY52" s="64">
        <f t="shared" si="1019"/>
        <v>0</v>
      </c>
      <c r="GZ52" s="65">
        <v>568.25</v>
      </c>
      <c r="HA52" s="63">
        <v>568.25</v>
      </c>
      <c r="HB52" s="64">
        <f t="shared" si="1020"/>
        <v>0</v>
      </c>
      <c r="HC52" s="65"/>
      <c r="HD52" s="63"/>
      <c r="HE52" s="64">
        <f t="shared" si="1021"/>
        <v>0</v>
      </c>
      <c r="HF52" s="65">
        <v>100</v>
      </c>
      <c r="HG52" s="63"/>
      <c r="HH52" s="64">
        <f t="shared" si="1022"/>
        <v>100</v>
      </c>
      <c r="HI52" s="66">
        <f t="shared" si="84"/>
        <v>668.25</v>
      </c>
      <c r="HJ52" s="67">
        <f t="shared" si="1023"/>
        <v>568.25</v>
      </c>
      <c r="HK52" s="64">
        <f t="shared" si="1024"/>
        <v>100</v>
      </c>
      <c r="HL52" s="62"/>
      <c r="HM52" s="63"/>
      <c r="HN52" s="64">
        <f t="shared" si="1025"/>
        <v>0</v>
      </c>
      <c r="HO52" s="65"/>
      <c r="HP52" s="63"/>
      <c r="HQ52" s="64">
        <f t="shared" si="1026"/>
        <v>0</v>
      </c>
      <c r="HR52" s="65"/>
      <c r="HS52" s="63"/>
      <c r="HT52" s="64">
        <f t="shared" si="1027"/>
        <v>0</v>
      </c>
      <c r="HU52" s="65">
        <v>100</v>
      </c>
      <c r="HV52" s="63"/>
      <c r="HW52" s="64">
        <f t="shared" si="1028"/>
        <v>100</v>
      </c>
      <c r="HX52" s="66">
        <f t="shared" si="91"/>
        <v>100</v>
      </c>
      <c r="HY52" s="67">
        <f t="shared" si="1029"/>
        <v>0</v>
      </c>
      <c r="HZ52" s="64">
        <f t="shared" si="1030"/>
        <v>100</v>
      </c>
      <c r="IA52" s="62"/>
      <c r="IB52" s="63"/>
      <c r="IC52" s="64">
        <f t="shared" si="1031"/>
        <v>0</v>
      </c>
      <c r="ID52" s="65"/>
      <c r="IE52" s="63"/>
      <c r="IF52" s="64">
        <f t="shared" si="1032"/>
        <v>0</v>
      </c>
      <c r="IG52" s="65"/>
      <c r="IH52" s="63"/>
      <c r="II52" s="64">
        <f t="shared" si="1033"/>
        <v>0</v>
      </c>
      <c r="IJ52" s="65">
        <v>100</v>
      </c>
      <c r="IK52" s="63"/>
      <c r="IL52" s="64">
        <f t="shared" si="1034"/>
        <v>100</v>
      </c>
      <c r="IM52" s="66">
        <f t="shared" si="98"/>
        <v>100</v>
      </c>
      <c r="IN52" s="67">
        <f t="shared" si="1035"/>
        <v>0</v>
      </c>
      <c r="IO52" s="64">
        <f t="shared" si="1036"/>
        <v>100</v>
      </c>
      <c r="IP52" s="62">
        <v>5000</v>
      </c>
      <c r="IQ52" s="63">
        <v>5000</v>
      </c>
      <c r="IR52" s="64">
        <f t="shared" si="1037"/>
        <v>0</v>
      </c>
      <c r="IS52" s="65"/>
      <c r="IT52" s="63"/>
      <c r="IU52" s="64">
        <f t="shared" si="1038"/>
        <v>0</v>
      </c>
      <c r="IV52" s="65"/>
      <c r="IW52" s="63"/>
      <c r="IX52" s="64">
        <f t="shared" si="1039"/>
        <v>0</v>
      </c>
      <c r="IY52" s="65"/>
      <c r="IZ52" s="63"/>
      <c r="JA52" s="64">
        <f t="shared" si="1040"/>
        <v>0</v>
      </c>
      <c r="JB52" s="66">
        <f t="shared" si="105"/>
        <v>5000</v>
      </c>
      <c r="JC52" s="67">
        <f t="shared" si="1041"/>
        <v>5000</v>
      </c>
      <c r="JD52" s="64">
        <f t="shared" si="1042"/>
        <v>0</v>
      </c>
      <c r="JE52" s="72"/>
      <c r="JF52" s="150"/>
      <c r="JG52" s="74"/>
      <c r="JH52" s="75"/>
      <c r="JI52" s="150"/>
      <c r="JJ52" s="74"/>
      <c r="JK52" s="75"/>
      <c r="JL52" s="150"/>
      <c r="JM52" s="74"/>
      <c r="JN52" s="75"/>
      <c r="JO52" s="150"/>
      <c r="JP52" s="74"/>
      <c r="JQ52" s="76"/>
      <c r="JR52" s="77"/>
      <c r="JS52" s="74"/>
      <c r="JT52" s="72"/>
      <c r="JU52" s="73"/>
      <c r="JV52" s="74"/>
      <c r="JW52" s="75"/>
      <c r="JX52" s="73"/>
      <c r="JY52" s="74"/>
      <c r="JZ52" s="75"/>
      <c r="KA52" s="73"/>
      <c r="KB52" s="74"/>
      <c r="KC52" s="75"/>
      <c r="KD52" s="73"/>
      <c r="KE52" s="74"/>
      <c r="KF52" s="76"/>
      <c r="KG52" s="77"/>
      <c r="KH52" s="64">
        <f t="shared" si="1043"/>
        <v>0</v>
      </c>
      <c r="KI52" s="62"/>
      <c r="KJ52" s="63"/>
      <c r="KK52" s="64">
        <f t="shared" si="1044"/>
        <v>0</v>
      </c>
      <c r="KL52" s="65"/>
      <c r="KM52" s="63"/>
      <c r="KN52" s="64">
        <f t="shared" si="1045"/>
        <v>0</v>
      </c>
      <c r="KO52" s="65"/>
      <c r="KP52" s="63"/>
      <c r="KQ52" s="64">
        <f t="shared" si="1046"/>
        <v>0</v>
      </c>
      <c r="KR52" s="65"/>
      <c r="KS52" s="63"/>
      <c r="KT52" s="64">
        <f t="shared" si="1047"/>
        <v>0</v>
      </c>
      <c r="KU52" s="66">
        <f t="shared" si="1"/>
        <v>0</v>
      </c>
      <c r="KV52" s="67">
        <f t="shared" si="1048"/>
        <v>0</v>
      </c>
      <c r="KW52" s="64">
        <f t="shared" si="1049"/>
        <v>0</v>
      </c>
      <c r="KX52" s="72"/>
      <c r="KY52" s="73"/>
      <c r="KZ52" s="74"/>
      <c r="LA52" s="75"/>
      <c r="LB52" s="73"/>
      <c r="LC52" s="74"/>
      <c r="LD52" s="75"/>
      <c r="LE52" s="73"/>
      <c r="LF52" s="74"/>
      <c r="LG52" s="75"/>
      <c r="LH52" s="73"/>
      <c r="LI52" s="74"/>
      <c r="LJ52" s="76"/>
      <c r="LK52" s="77"/>
      <c r="LL52" s="74"/>
      <c r="LM52" s="62"/>
      <c r="LN52" s="63"/>
      <c r="LO52" s="64">
        <f t="shared" si="1050"/>
        <v>0</v>
      </c>
      <c r="LP52" s="65"/>
      <c r="LQ52" s="63"/>
      <c r="LR52" s="64">
        <f t="shared" si="1051"/>
        <v>0</v>
      </c>
      <c r="LS52" s="65"/>
      <c r="LT52" s="63"/>
      <c r="LU52" s="64">
        <f t="shared" si="1052"/>
        <v>0</v>
      </c>
      <c r="LV52" s="65">
        <v>100</v>
      </c>
      <c r="LW52" s="63"/>
      <c r="LX52" s="64">
        <f t="shared" si="1053"/>
        <v>100</v>
      </c>
      <c r="LY52" s="66">
        <f t="shared" si="124"/>
        <v>100</v>
      </c>
      <c r="LZ52" s="67">
        <f t="shared" si="1054"/>
        <v>0</v>
      </c>
      <c r="MA52" s="64">
        <f t="shared" si="1055"/>
        <v>100</v>
      </c>
      <c r="MB52" s="62"/>
      <c r="MC52" s="63"/>
      <c r="MD52" s="64">
        <f t="shared" si="1056"/>
        <v>0</v>
      </c>
      <c r="ME52" s="65">
        <v>889.11</v>
      </c>
      <c r="MF52" s="63">
        <v>889.11</v>
      </c>
      <c r="MG52" s="64">
        <f t="shared" si="1057"/>
        <v>0</v>
      </c>
      <c r="MH52" s="65"/>
      <c r="MI52" s="63"/>
      <c r="MJ52" s="64">
        <f t="shared" si="1058"/>
        <v>0</v>
      </c>
      <c r="MK52" s="65">
        <v>100</v>
      </c>
      <c r="ML52" s="63"/>
      <c r="MM52" s="64">
        <f t="shared" si="1059"/>
        <v>100</v>
      </c>
      <c r="MN52" s="66">
        <f t="shared" si="131"/>
        <v>989.11</v>
      </c>
      <c r="MO52" s="67">
        <f t="shared" si="1060"/>
        <v>889.11</v>
      </c>
      <c r="MP52" s="64">
        <f t="shared" si="1061"/>
        <v>100</v>
      </c>
      <c r="MQ52" s="62"/>
      <c r="MR52" s="63"/>
      <c r="MS52" s="64">
        <f t="shared" si="1062"/>
        <v>0</v>
      </c>
      <c r="MT52" s="65"/>
      <c r="MU52" s="63"/>
      <c r="MV52" s="64">
        <f t="shared" si="1063"/>
        <v>0</v>
      </c>
      <c r="MW52" s="65"/>
      <c r="MX52" s="63"/>
      <c r="MY52" s="64">
        <f t="shared" si="1064"/>
        <v>0</v>
      </c>
      <c r="MZ52" s="65"/>
      <c r="NA52" s="63"/>
      <c r="NB52" s="64">
        <f t="shared" si="1065"/>
        <v>0</v>
      </c>
      <c r="NC52" s="66">
        <f t="shared" si="138"/>
        <v>0</v>
      </c>
      <c r="ND52" s="67">
        <f t="shared" si="1066"/>
        <v>0</v>
      </c>
      <c r="NE52" s="64">
        <f t="shared" si="1067"/>
        <v>0</v>
      </c>
      <c r="NF52" s="62"/>
      <c r="NG52" s="63"/>
      <c r="NH52" s="64">
        <f t="shared" si="1068"/>
        <v>0</v>
      </c>
      <c r="NI52" s="65">
        <v>1164.04</v>
      </c>
      <c r="NJ52" s="63">
        <v>1164.04</v>
      </c>
      <c r="NK52" s="64">
        <f t="shared" si="1069"/>
        <v>0</v>
      </c>
      <c r="NL52" s="65"/>
      <c r="NM52" s="63"/>
      <c r="NN52" s="64">
        <f t="shared" si="1070"/>
        <v>0</v>
      </c>
      <c r="NO52" s="65">
        <v>100</v>
      </c>
      <c r="NP52" s="63">
        <v>296.98</v>
      </c>
      <c r="NQ52" s="64">
        <f t="shared" si="1071"/>
        <v>-196.98000000000002</v>
      </c>
      <c r="NR52" s="66">
        <f t="shared" si="145"/>
        <v>1264.04</v>
      </c>
      <c r="NS52" s="67">
        <f t="shared" si="1072"/>
        <v>1461.02</v>
      </c>
      <c r="NT52" s="64">
        <f t="shared" si="1073"/>
        <v>-196.98000000000002</v>
      </c>
      <c r="NU52" s="62"/>
      <c r="NV52" s="63"/>
      <c r="NW52" s="64">
        <f t="shared" si="1074"/>
        <v>0</v>
      </c>
      <c r="NX52" s="65">
        <v>1152.73</v>
      </c>
      <c r="NY52" s="63">
        <v>1152.73</v>
      </c>
      <c r="NZ52" s="64">
        <f t="shared" si="1075"/>
        <v>0</v>
      </c>
      <c r="OA52" s="65"/>
      <c r="OB52" s="63"/>
      <c r="OC52" s="64">
        <f t="shared" si="1076"/>
        <v>0</v>
      </c>
      <c r="OD52" s="65">
        <v>100</v>
      </c>
      <c r="OE52" s="63">
        <v>175.32</v>
      </c>
      <c r="OF52" s="64">
        <f t="shared" si="1077"/>
        <v>-75.319999999999993</v>
      </c>
      <c r="OG52" s="66">
        <f t="shared" si="152"/>
        <v>1252.73</v>
      </c>
      <c r="OH52" s="67">
        <f t="shared" si="1078"/>
        <v>1328.05</v>
      </c>
      <c r="OI52" s="64">
        <f t="shared" si="1079"/>
        <v>-75.319999999999936</v>
      </c>
      <c r="OJ52" s="62"/>
      <c r="OK52" s="63"/>
      <c r="OL52" s="64">
        <f t="shared" si="1080"/>
        <v>0</v>
      </c>
      <c r="OM52" s="65"/>
      <c r="ON52" s="63"/>
      <c r="OO52" s="64">
        <f t="shared" si="1081"/>
        <v>0</v>
      </c>
      <c r="OP52" s="65"/>
      <c r="OQ52" s="63"/>
      <c r="OR52" s="64">
        <f t="shared" si="1082"/>
        <v>0</v>
      </c>
      <c r="OS52" s="65">
        <v>100</v>
      </c>
      <c r="OT52" s="63"/>
      <c r="OU52" s="64">
        <f t="shared" si="1083"/>
        <v>100</v>
      </c>
      <c r="OV52" s="66">
        <f t="shared" si="159"/>
        <v>100</v>
      </c>
      <c r="OW52" s="67">
        <f t="shared" si="1084"/>
        <v>0</v>
      </c>
      <c r="OX52" s="64">
        <f t="shared" si="1085"/>
        <v>100</v>
      </c>
      <c r="OY52" s="62"/>
      <c r="OZ52" s="63"/>
      <c r="PA52" s="64">
        <f t="shared" si="1086"/>
        <v>0</v>
      </c>
      <c r="PB52" s="65"/>
      <c r="PC52" s="63"/>
      <c r="PD52" s="64">
        <f t="shared" si="1087"/>
        <v>0</v>
      </c>
      <c r="PE52" s="65"/>
      <c r="PF52" s="63">
        <v>1132.6400000000001</v>
      </c>
      <c r="PG52" s="64">
        <f t="shared" si="1088"/>
        <v>-1132.6400000000001</v>
      </c>
      <c r="PH52" s="65">
        <v>100</v>
      </c>
      <c r="PI52" s="63"/>
      <c r="PJ52" s="64">
        <f t="shared" si="1089"/>
        <v>100</v>
      </c>
      <c r="PK52" s="66">
        <f t="shared" si="166"/>
        <v>100</v>
      </c>
      <c r="PL52" s="67">
        <f t="shared" si="1090"/>
        <v>1132.6400000000001</v>
      </c>
      <c r="PM52" s="64">
        <f t="shared" si="1091"/>
        <v>-1032.6400000000001</v>
      </c>
      <c r="PN52" s="62">
        <v>1550</v>
      </c>
      <c r="PO52" s="63">
        <v>1550</v>
      </c>
      <c r="PP52" s="64">
        <f>PN52-PO52</f>
        <v>0</v>
      </c>
      <c r="PQ52" s="65"/>
      <c r="PR52" s="63"/>
      <c r="PS52" s="64">
        <f t="shared" si="1093"/>
        <v>0</v>
      </c>
      <c r="PT52" s="65"/>
      <c r="PU52" s="63"/>
      <c r="PV52" s="64">
        <f t="shared" si="1094"/>
        <v>0</v>
      </c>
      <c r="PW52" s="65">
        <v>100</v>
      </c>
      <c r="PX52" s="63"/>
      <c r="PY52" s="64">
        <f t="shared" si="1095"/>
        <v>100</v>
      </c>
      <c r="PZ52" s="66">
        <f>PN52+PQ52+PT52+PW52</f>
        <v>1650</v>
      </c>
      <c r="QA52" s="67">
        <f>PO52+PR52+PU52++PX52</f>
        <v>1550</v>
      </c>
      <c r="QB52" s="64">
        <f t="shared" si="1097"/>
        <v>100</v>
      </c>
      <c r="QC52" s="62"/>
      <c r="QD52" s="63"/>
      <c r="QE52" s="64">
        <f t="shared" si="1098"/>
        <v>0</v>
      </c>
      <c r="QF52" s="65"/>
      <c r="QG52" s="63"/>
      <c r="QH52" s="64">
        <f t="shared" si="1099"/>
        <v>0</v>
      </c>
      <c r="QI52" s="65"/>
      <c r="QJ52" s="63"/>
      <c r="QK52" s="64">
        <f t="shared" si="1100"/>
        <v>0</v>
      </c>
      <c r="QL52" s="65">
        <v>100</v>
      </c>
      <c r="QM52" s="63"/>
      <c r="QN52" s="64">
        <f t="shared" si="1101"/>
        <v>100</v>
      </c>
      <c r="QO52" s="66">
        <f t="shared" si="180"/>
        <v>100</v>
      </c>
      <c r="QP52" s="67">
        <f t="shared" si="1102"/>
        <v>0</v>
      </c>
      <c r="QQ52" s="64">
        <f t="shared" si="1103"/>
        <v>100</v>
      </c>
      <c r="QR52" s="62"/>
      <c r="QS52" s="63"/>
      <c r="QT52" s="64">
        <f t="shared" si="1104"/>
        <v>0</v>
      </c>
      <c r="QU52" s="65">
        <v>602.79999999999995</v>
      </c>
      <c r="QV52" s="63">
        <v>717.14</v>
      </c>
      <c r="QW52" s="64">
        <f t="shared" si="1105"/>
        <v>-114.34000000000003</v>
      </c>
      <c r="QX52" s="65"/>
      <c r="QY52" s="63"/>
      <c r="QZ52" s="64">
        <f t="shared" si="1106"/>
        <v>0</v>
      </c>
      <c r="RA52" s="65"/>
      <c r="RB52" s="63">
        <v>86.32</v>
      </c>
      <c r="RC52" s="64">
        <f t="shared" si="1107"/>
        <v>-86.32</v>
      </c>
      <c r="RD52" s="66">
        <f t="shared" si="187"/>
        <v>602.79999999999995</v>
      </c>
      <c r="RE52" s="67">
        <f t="shared" si="1108"/>
        <v>803.46</v>
      </c>
      <c r="RF52" s="74"/>
      <c r="RG52" s="72"/>
      <c r="RH52" s="73"/>
      <c r="RI52" s="74"/>
      <c r="RJ52" s="75"/>
      <c r="RK52" s="73"/>
      <c r="RL52" s="74"/>
      <c r="RM52" s="75"/>
      <c r="RN52" s="73"/>
      <c r="RO52" s="74"/>
      <c r="RP52" s="75"/>
      <c r="RQ52" s="73"/>
      <c r="RR52" s="74"/>
      <c r="RS52" s="76"/>
      <c r="RT52" s="77"/>
      <c r="RU52" s="64">
        <f t="shared" si="1109"/>
        <v>0</v>
      </c>
      <c r="RV52" s="62"/>
      <c r="RW52" s="63"/>
      <c r="RX52" s="64">
        <f t="shared" si="1110"/>
        <v>0</v>
      </c>
      <c r="RY52" s="65"/>
      <c r="RZ52" s="63"/>
      <c r="SA52" s="64">
        <f t="shared" si="1111"/>
        <v>0</v>
      </c>
      <c r="SB52" s="65"/>
      <c r="SC52" s="63"/>
      <c r="SD52" s="64">
        <f t="shared" si="1112"/>
        <v>0</v>
      </c>
      <c r="SE52" s="65">
        <v>100</v>
      </c>
      <c r="SF52" s="63">
        <v>83.65</v>
      </c>
      <c r="SG52" s="64">
        <f t="shared" si="1113"/>
        <v>16.349999999999994</v>
      </c>
      <c r="SH52" s="66">
        <f t="shared" si="201"/>
        <v>100</v>
      </c>
      <c r="SI52" s="67">
        <f t="shared" si="1114"/>
        <v>83.65</v>
      </c>
      <c r="SJ52" s="64">
        <f t="shared" si="1115"/>
        <v>16.349999999999994</v>
      </c>
      <c r="SK52" s="62">
        <v>17000</v>
      </c>
      <c r="SL52" s="63">
        <v>17000</v>
      </c>
      <c r="SM52" s="64">
        <f t="shared" si="1116"/>
        <v>0</v>
      </c>
      <c r="SN52" s="65"/>
      <c r="SO52" s="63"/>
      <c r="SP52" s="64">
        <f t="shared" si="1117"/>
        <v>0</v>
      </c>
      <c r="SQ52" s="65"/>
      <c r="SR52" s="63"/>
      <c r="SS52" s="64">
        <f t="shared" si="1118"/>
        <v>0</v>
      </c>
      <c r="ST52" s="65">
        <v>100</v>
      </c>
      <c r="SU52" s="63"/>
      <c r="SV52" s="64">
        <f t="shared" si="1119"/>
        <v>100</v>
      </c>
      <c r="SW52" s="66">
        <f t="shared" si="208"/>
        <v>17100</v>
      </c>
      <c r="SX52" s="67">
        <f t="shared" si="1120"/>
        <v>17000</v>
      </c>
      <c r="SY52" s="64">
        <f t="shared" si="1121"/>
        <v>100</v>
      </c>
      <c r="SZ52" s="62">
        <v>985.33</v>
      </c>
      <c r="TA52" s="63">
        <v>1050</v>
      </c>
      <c r="TB52" s="64">
        <f t="shared" si="1122"/>
        <v>-64.669999999999959</v>
      </c>
      <c r="TC52" s="65">
        <v>700.9</v>
      </c>
      <c r="TD52" s="63">
        <v>740.15</v>
      </c>
      <c r="TE52" s="64">
        <f t="shared" si="1123"/>
        <v>-39.25</v>
      </c>
      <c r="TF52" s="65"/>
      <c r="TG52" s="63"/>
      <c r="TH52" s="64">
        <f t="shared" si="1124"/>
        <v>0</v>
      </c>
      <c r="TI52" s="65">
        <v>100</v>
      </c>
      <c r="TJ52" s="63">
        <v>216.41</v>
      </c>
      <c r="TK52" s="64">
        <f t="shared" si="1125"/>
        <v>-116.41</v>
      </c>
      <c r="TL52" s="66">
        <f t="shared" si="215"/>
        <v>1786.23</v>
      </c>
      <c r="TM52" s="67">
        <f t="shared" si="1126"/>
        <v>2006.5600000000002</v>
      </c>
      <c r="TN52" s="64">
        <f t="shared" si="1127"/>
        <v>-220.33000000000015</v>
      </c>
      <c r="TO52" s="62">
        <v>3875</v>
      </c>
      <c r="TP52" s="63">
        <v>3875</v>
      </c>
      <c r="TQ52" s="64">
        <f t="shared" si="1128"/>
        <v>0</v>
      </c>
      <c r="TR52" s="65"/>
      <c r="TS52" s="63"/>
      <c r="TT52" s="64">
        <f t="shared" si="1129"/>
        <v>0</v>
      </c>
      <c r="TU52" s="65"/>
      <c r="TV52" s="63">
        <v>131.66</v>
      </c>
      <c r="TW52" s="64">
        <f t="shared" si="1130"/>
        <v>-131.66</v>
      </c>
      <c r="TX52" s="65">
        <v>100</v>
      </c>
      <c r="TY52" s="63">
        <v>89.1</v>
      </c>
      <c r="TZ52" s="64">
        <f t="shared" si="1131"/>
        <v>10.900000000000006</v>
      </c>
      <c r="UA52" s="66">
        <f t="shared" si="222"/>
        <v>3975</v>
      </c>
      <c r="UB52" s="67">
        <f t="shared" si="1132"/>
        <v>4095.7599999999998</v>
      </c>
      <c r="UC52" s="64">
        <f t="shared" si="1133"/>
        <v>-120.75999999999976</v>
      </c>
      <c r="UD52" s="62"/>
      <c r="UE52" s="63"/>
      <c r="UF52" s="64">
        <f t="shared" si="1134"/>
        <v>0</v>
      </c>
      <c r="UG52" s="65">
        <v>497.04</v>
      </c>
      <c r="UH52" s="63">
        <v>546.91</v>
      </c>
      <c r="UI52" s="64">
        <f t="shared" si="1135"/>
        <v>-49.869999999999948</v>
      </c>
      <c r="UJ52" s="65"/>
      <c r="UK52" s="63"/>
      <c r="UL52" s="64">
        <f t="shared" si="1136"/>
        <v>0</v>
      </c>
      <c r="UM52" s="65">
        <v>100</v>
      </c>
      <c r="UN52" s="63">
        <v>204.38</v>
      </c>
      <c r="UO52" s="64">
        <f t="shared" si="1137"/>
        <v>-104.38</v>
      </c>
      <c r="UP52" s="66">
        <f t="shared" si="226"/>
        <v>597.04</v>
      </c>
      <c r="UQ52" s="67">
        <f t="shared" si="1138"/>
        <v>751.29</v>
      </c>
      <c r="UR52" s="64">
        <f t="shared" si="1139"/>
        <v>-154.25</v>
      </c>
      <c r="US52" s="74"/>
      <c r="UT52" s="72"/>
      <c r="UU52" s="73"/>
      <c r="UV52" s="74"/>
      <c r="UW52" s="75"/>
      <c r="UX52" s="73"/>
      <c r="UY52" s="74"/>
      <c r="UZ52" s="75"/>
      <c r="VA52" s="73"/>
      <c r="VB52" s="74"/>
      <c r="VC52" s="75"/>
      <c r="VD52" s="73"/>
      <c r="VE52" s="74"/>
      <c r="VF52" s="76"/>
      <c r="VG52" s="77"/>
      <c r="VH52" s="62"/>
      <c r="VI52" s="63"/>
      <c r="VJ52" s="64">
        <f t="shared" si="1140"/>
        <v>0</v>
      </c>
      <c r="VK52" s="65"/>
      <c r="VL52" s="63"/>
      <c r="VM52" s="64">
        <f t="shared" si="1141"/>
        <v>0</v>
      </c>
      <c r="VN52" s="65"/>
      <c r="VO52" s="63"/>
      <c r="VP52" s="64">
        <f t="shared" si="1142"/>
        <v>0</v>
      </c>
      <c r="VQ52" s="65">
        <v>100</v>
      </c>
      <c r="VR52" s="63">
        <v>153.68</v>
      </c>
      <c r="VS52" s="64">
        <f t="shared" si="1143"/>
        <v>-53.680000000000007</v>
      </c>
      <c r="VT52" s="66">
        <f t="shared" si="240"/>
        <v>100</v>
      </c>
      <c r="VU52" s="67">
        <f t="shared" si="1144"/>
        <v>153.68</v>
      </c>
      <c r="VV52" s="64">
        <f t="shared" si="1145"/>
        <v>-53.680000000000007</v>
      </c>
      <c r="VW52" s="74"/>
      <c r="VX52" s="72"/>
      <c r="VY52" s="73"/>
      <c r="VZ52" s="74"/>
      <c r="WA52" s="75"/>
      <c r="WB52" s="73"/>
      <c r="WC52" s="74"/>
      <c r="WD52" s="75"/>
      <c r="WE52" s="73"/>
      <c r="WF52" s="74"/>
      <c r="WG52" s="75"/>
      <c r="WH52" s="73"/>
      <c r="WI52" s="74"/>
      <c r="WJ52" s="76"/>
      <c r="WK52" s="77"/>
      <c r="WL52" s="62">
        <v>1376.01</v>
      </c>
      <c r="WM52" s="63">
        <v>1376.01</v>
      </c>
      <c r="WN52" s="64">
        <f t="shared" si="1146"/>
        <v>0</v>
      </c>
      <c r="WO52" s="65"/>
      <c r="WP52" s="63"/>
      <c r="WQ52" s="64">
        <f t="shared" si="1147"/>
        <v>0</v>
      </c>
      <c r="WR52" s="65"/>
      <c r="WS52" s="63"/>
      <c r="WT52" s="64">
        <f t="shared" si="1148"/>
        <v>0</v>
      </c>
      <c r="WU52" s="65">
        <v>100</v>
      </c>
      <c r="WV52" s="63"/>
      <c r="WW52" s="64">
        <f t="shared" si="1149"/>
        <v>100</v>
      </c>
      <c r="WX52" s="66">
        <f t="shared" si="254"/>
        <v>1476.01</v>
      </c>
      <c r="WY52" s="67">
        <f t="shared" si="1150"/>
        <v>1376.01</v>
      </c>
      <c r="WZ52" s="64">
        <f t="shared" si="1151"/>
        <v>100</v>
      </c>
      <c r="XA52" s="74"/>
      <c r="XB52" s="72"/>
      <c r="XC52" s="73"/>
      <c r="XD52" s="74"/>
      <c r="XE52" s="75"/>
      <c r="XF52" s="73"/>
      <c r="XG52" s="74"/>
      <c r="XH52" s="75"/>
      <c r="XI52" s="73"/>
      <c r="XJ52" s="74"/>
      <c r="XK52" s="75"/>
      <c r="XL52" s="73"/>
      <c r="XM52" s="74"/>
      <c r="XN52" s="76"/>
      <c r="XO52" s="77"/>
      <c r="XP52" s="62"/>
      <c r="XQ52" s="63"/>
      <c r="XR52" s="64">
        <f t="shared" si="1158"/>
        <v>0</v>
      </c>
      <c r="XS52" s="65">
        <v>844.24</v>
      </c>
      <c r="XT52" s="63">
        <v>844.24</v>
      </c>
      <c r="XU52" s="64">
        <f t="shared" si="1159"/>
        <v>0</v>
      </c>
      <c r="XV52" s="65"/>
      <c r="XW52" s="63"/>
      <c r="XX52" s="64">
        <f t="shared" si="1160"/>
        <v>0</v>
      </c>
      <c r="XY52" s="65">
        <v>100</v>
      </c>
      <c r="XZ52" s="63">
        <v>102.2</v>
      </c>
      <c r="YA52" s="64">
        <f t="shared" si="1161"/>
        <v>-2.2000000000000028</v>
      </c>
      <c r="YB52" s="66">
        <f t="shared" si="268"/>
        <v>944.24</v>
      </c>
      <c r="YC52" s="67">
        <f t="shared" si="1162"/>
        <v>946.44</v>
      </c>
      <c r="YD52" s="64">
        <f t="shared" si="1163"/>
        <v>-2.2000000000000455</v>
      </c>
      <c r="YE52" s="62"/>
      <c r="YF52" s="63"/>
      <c r="YG52" s="64">
        <f t="shared" si="1164"/>
        <v>0</v>
      </c>
      <c r="YH52" s="65">
        <v>847.85</v>
      </c>
      <c r="YI52" s="63">
        <v>847.85</v>
      </c>
      <c r="YJ52" s="64">
        <f t="shared" si="1165"/>
        <v>0</v>
      </c>
      <c r="YK52" s="65"/>
      <c r="YL52" s="63"/>
      <c r="YM52" s="64">
        <f t="shared" si="1166"/>
        <v>0</v>
      </c>
      <c r="YN52" s="65">
        <v>100</v>
      </c>
      <c r="YO52" s="63">
        <v>128.4</v>
      </c>
      <c r="YP52" s="64">
        <f t="shared" si="1167"/>
        <v>-28.400000000000006</v>
      </c>
      <c r="YQ52" s="66">
        <f t="shared" si="275"/>
        <v>947.85</v>
      </c>
      <c r="YR52" s="67">
        <f t="shared" si="1168"/>
        <v>976.25</v>
      </c>
      <c r="YS52" s="64">
        <f t="shared" si="1169"/>
        <v>-28.399999999999977</v>
      </c>
      <c r="YT52" s="62"/>
      <c r="YU52" s="63"/>
      <c r="YV52" s="64">
        <f t="shared" si="1170"/>
        <v>0</v>
      </c>
      <c r="YW52" s="65">
        <v>695.73</v>
      </c>
      <c r="YX52" s="63">
        <v>695.73</v>
      </c>
      <c r="YY52" s="64">
        <f t="shared" si="1171"/>
        <v>0</v>
      </c>
      <c r="YZ52" s="65"/>
      <c r="ZA52" s="63"/>
      <c r="ZB52" s="64">
        <f t="shared" si="1172"/>
        <v>0</v>
      </c>
      <c r="ZC52" s="65">
        <v>100</v>
      </c>
      <c r="ZD52" s="63">
        <v>89.1</v>
      </c>
      <c r="ZE52" s="64">
        <f t="shared" si="1173"/>
        <v>10.900000000000006</v>
      </c>
      <c r="ZF52" s="66">
        <f t="shared" si="282"/>
        <v>795.73</v>
      </c>
      <c r="ZG52" s="67">
        <f t="shared" si="1174"/>
        <v>784.83</v>
      </c>
      <c r="ZH52" s="74"/>
      <c r="ZI52" s="72"/>
      <c r="ZJ52" s="73"/>
      <c r="ZK52" s="74"/>
      <c r="ZL52" s="75"/>
      <c r="ZM52" s="73"/>
      <c r="ZN52" s="74"/>
      <c r="ZO52" s="75"/>
      <c r="ZP52" s="73"/>
      <c r="ZQ52" s="74"/>
      <c r="ZR52" s="75"/>
      <c r="ZS52" s="73"/>
      <c r="ZT52" s="74"/>
      <c r="ZU52" s="76"/>
      <c r="ZV52" s="77"/>
      <c r="ZW52" s="64">
        <f t="shared" si="1175"/>
        <v>0</v>
      </c>
      <c r="ZX52" s="62">
        <v>24.71</v>
      </c>
      <c r="ZY52" s="63">
        <v>62.91</v>
      </c>
      <c r="ZZ52" s="64">
        <f t="shared" si="1176"/>
        <v>-38.199999999999996</v>
      </c>
      <c r="AAA52" s="66">
        <f t="shared" si="293"/>
        <v>24.71</v>
      </c>
      <c r="AAB52" s="67">
        <f t="shared" si="293"/>
        <v>62.91</v>
      </c>
      <c r="AAC52" s="64">
        <f t="shared" si="1177"/>
        <v>-38.199999999999996</v>
      </c>
      <c r="AAD52" s="85">
        <f t="shared" si="295"/>
        <v>63419.99</v>
      </c>
      <c r="AAE52" s="86">
        <f t="shared" si="295"/>
        <v>63383.400000000009</v>
      </c>
      <c r="AAF52" s="87">
        <f t="shared" si="3"/>
        <v>0.99942305257380226</v>
      </c>
      <c r="AAG52" s="88">
        <f t="shared" si="1178"/>
        <v>-36.589999999989232</v>
      </c>
      <c r="AAH52" s="94">
        <f>AAH50/AAH46</f>
        <v>0.96811099742426854</v>
      </c>
      <c r="AAI52" s="95"/>
      <c r="AAJ52" s="95"/>
      <c r="AAK52" s="60"/>
    </row>
    <row r="53" spans="1:713" s="83" customFormat="1" ht="20" customHeight="1" x14ac:dyDescent="0.2">
      <c r="A53" s="153"/>
      <c r="B53" s="94"/>
      <c r="C53" s="95"/>
      <c r="D53" s="95"/>
      <c r="E53" s="60"/>
      <c r="F53" s="61">
        <v>45931</v>
      </c>
      <c r="G53" s="62"/>
      <c r="H53" s="63"/>
      <c r="I53" s="64">
        <f t="shared" si="951"/>
        <v>0</v>
      </c>
      <c r="J53" s="65">
        <v>1991.8</v>
      </c>
      <c r="K53" s="63">
        <v>1601.32</v>
      </c>
      <c r="L53" s="64">
        <f t="shared" si="952"/>
        <v>390.48</v>
      </c>
      <c r="M53" s="65">
        <v>3500</v>
      </c>
      <c r="N53" s="63">
        <v>2118.8200000000002</v>
      </c>
      <c r="O53" s="64">
        <f t="shared" si="953"/>
        <v>1381.1799999999998</v>
      </c>
      <c r="P53" s="65">
        <v>1000</v>
      </c>
      <c r="Q53" s="63">
        <v>1047.8800000000001</v>
      </c>
      <c r="R53" s="64">
        <f t="shared" si="954"/>
        <v>-47.880000000000109</v>
      </c>
      <c r="S53" s="65">
        <v>181</v>
      </c>
      <c r="T53" s="63"/>
      <c r="U53" s="64">
        <f t="shared" si="955"/>
        <v>181</v>
      </c>
      <c r="V53" s="66">
        <f t="shared" si="956"/>
        <v>6672.8</v>
      </c>
      <c r="W53" s="67">
        <f t="shared" si="956"/>
        <v>4768.0200000000004</v>
      </c>
      <c r="X53" s="64">
        <f t="shared" si="957"/>
        <v>1904.7799999999997</v>
      </c>
      <c r="Y53" s="72"/>
      <c r="Z53" s="73"/>
      <c r="AA53" s="74"/>
      <c r="AB53" s="75"/>
      <c r="AC53" s="73"/>
      <c r="AD53" s="74"/>
      <c r="AE53" s="75"/>
      <c r="AF53" s="73"/>
      <c r="AG53" s="74"/>
      <c r="AH53" s="75"/>
      <c r="AI53" s="73"/>
      <c r="AJ53" s="74"/>
      <c r="AK53" s="76"/>
      <c r="AL53" s="77"/>
      <c r="AM53" s="64">
        <f t="shared" si="958"/>
        <v>0</v>
      </c>
      <c r="AN53" s="62"/>
      <c r="AO53" s="63"/>
      <c r="AP53" s="64">
        <f t="shared" si="1179"/>
        <v>0</v>
      </c>
      <c r="AQ53" s="65"/>
      <c r="AR53" s="63"/>
      <c r="AS53" s="64">
        <f t="shared" si="959"/>
        <v>0</v>
      </c>
      <c r="AT53" s="65"/>
      <c r="AU53" s="63"/>
      <c r="AV53" s="64">
        <f t="shared" si="960"/>
        <v>0</v>
      </c>
      <c r="AW53" s="65"/>
      <c r="AX53" s="63"/>
      <c r="AY53" s="64">
        <f t="shared" si="961"/>
        <v>0</v>
      </c>
      <c r="AZ53" s="66">
        <f t="shared" si="23"/>
        <v>0</v>
      </c>
      <c r="BA53" s="67">
        <f t="shared" si="962"/>
        <v>0</v>
      </c>
      <c r="BB53" s="64">
        <f t="shared" si="963"/>
        <v>0</v>
      </c>
      <c r="BC53" s="62">
        <v>6150</v>
      </c>
      <c r="BD53" s="63">
        <v>6306</v>
      </c>
      <c r="BE53" s="64">
        <f t="shared" si="964"/>
        <v>-156</v>
      </c>
      <c r="BF53" s="65"/>
      <c r="BG53" s="63"/>
      <c r="BH53" s="64">
        <f t="shared" si="965"/>
        <v>0</v>
      </c>
      <c r="BI53" s="65"/>
      <c r="BJ53" s="63">
        <v>2550</v>
      </c>
      <c r="BK53" s="64">
        <f t="shared" si="966"/>
        <v>-2550</v>
      </c>
      <c r="BL53" s="65">
        <v>100</v>
      </c>
      <c r="BM53" s="63"/>
      <c r="BN53" s="64">
        <f t="shared" si="967"/>
        <v>100</v>
      </c>
      <c r="BO53" s="66">
        <f t="shared" si="30"/>
        <v>6250</v>
      </c>
      <c r="BP53" s="67">
        <f t="shared" si="968"/>
        <v>8856</v>
      </c>
      <c r="BQ53" s="64">
        <f t="shared" si="969"/>
        <v>-2606</v>
      </c>
      <c r="BR53" s="72"/>
      <c r="BS53" s="73"/>
      <c r="BT53" s="74"/>
      <c r="BU53" s="75"/>
      <c r="BV53" s="73"/>
      <c r="BW53" s="74"/>
      <c r="BX53" s="75"/>
      <c r="BY53" s="73"/>
      <c r="BZ53" s="74"/>
      <c r="CA53" s="75"/>
      <c r="CB53" s="73"/>
      <c r="CC53" s="74"/>
      <c r="CD53" s="76"/>
      <c r="CE53" s="77"/>
      <c r="CF53" s="64">
        <f t="shared" si="970"/>
        <v>0</v>
      </c>
      <c r="CG53" s="62"/>
      <c r="CH53" s="63"/>
      <c r="CI53" s="64">
        <f t="shared" si="971"/>
        <v>0</v>
      </c>
      <c r="CJ53" s="65"/>
      <c r="CK53" s="63"/>
      <c r="CL53" s="64">
        <f t="shared" si="972"/>
        <v>0</v>
      </c>
      <c r="CM53" s="65"/>
      <c r="CN53" s="63"/>
      <c r="CO53" s="64">
        <f t="shared" si="973"/>
        <v>0</v>
      </c>
      <c r="CP53" s="65"/>
      <c r="CQ53" s="63"/>
      <c r="CR53" s="64">
        <f t="shared" si="974"/>
        <v>0</v>
      </c>
      <c r="CS53" s="66">
        <f t="shared" si="40"/>
        <v>0</v>
      </c>
      <c r="CT53" s="67">
        <f t="shared" si="975"/>
        <v>0</v>
      </c>
      <c r="CU53" s="64">
        <f t="shared" si="976"/>
        <v>0</v>
      </c>
      <c r="CV53" s="62">
        <v>2916.7</v>
      </c>
      <c r="CW53" s="63">
        <v>2562.2199999999998</v>
      </c>
      <c r="CX53" s="64">
        <f t="shared" si="977"/>
        <v>354.48</v>
      </c>
      <c r="CY53" s="65">
        <v>429.15</v>
      </c>
      <c r="CZ53" s="63">
        <v>429.15</v>
      </c>
      <c r="DA53" s="64">
        <f t="shared" si="978"/>
        <v>0</v>
      </c>
      <c r="DB53" s="65"/>
      <c r="DC53" s="63"/>
      <c r="DD53" s="64">
        <f t="shared" si="979"/>
        <v>0</v>
      </c>
      <c r="DE53" s="65"/>
      <c r="DF53" s="63">
        <v>304.56</v>
      </c>
      <c r="DG53" s="64">
        <f t="shared" si="980"/>
        <v>-304.56</v>
      </c>
      <c r="DH53" s="66">
        <f t="shared" si="43"/>
        <v>3345.85</v>
      </c>
      <c r="DI53" s="67">
        <f t="shared" si="981"/>
        <v>3295.93</v>
      </c>
      <c r="DJ53" s="64">
        <f t="shared" si="982"/>
        <v>49.920000000000073</v>
      </c>
      <c r="DK53" s="62">
        <v>2400</v>
      </c>
      <c r="DL53" s="63">
        <v>2400</v>
      </c>
      <c r="DM53" s="64">
        <f t="shared" si="983"/>
        <v>0</v>
      </c>
      <c r="DN53" s="65">
        <v>913.08</v>
      </c>
      <c r="DO53" s="63">
        <v>913.08</v>
      </c>
      <c r="DP53" s="64">
        <f t="shared" si="984"/>
        <v>0</v>
      </c>
      <c r="DQ53" s="65"/>
      <c r="DR53" s="63"/>
      <c r="DS53" s="64">
        <f t="shared" si="985"/>
        <v>0</v>
      </c>
      <c r="DT53" s="65">
        <v>100</v>
      </c>
      <c r="DU53" s="63">
        <v>206.34</v>
      </c>
      <c r="DV53" s="64">
        <f t="shared" si="986"/>
        <v>-106.34</v>
      </c>
      <c r="DW53" s="66">
        <f t="shared" si="46"/>
        <v>3413.08</v>
      </c>
      <c r="DX53" s="67">
        <f t="shared" si="987"/>
        <v>3519.42</v>
      </c>
      <c r="DY53" s="64">
        <f t="shared" si="988"/>
        <v>-106.34000000000015</v>
      </c>
      <c r="DZ53" s="62"/>
      <c r="EA53" s="63"/>
      <c r="EB53" s="64">
        <f t="shared" si="989"/>
        <v>0</v>
      </c>
      <c r="EC53" s="65"/>
      <c r="ED53" s="63"/>
      <c r="EE53" s="64">
        <f t="shared" si="990"/>
        <v>0</v>
      </c>
      <c r="EF53" s="65"/>
      <c r="EG53" s="63"/>
      <c r="EH53" s="64">
        <f t="shared" si="991"/>
        <v>0</v>
      </c>
      <c r="EI53" s="65">
        <v>100</v>
      </c>
      <c r="EJ53" s="63">
        <v>213.84</v>
      </c>
      <c r="EK53" s="64">
        <f t="shared" si="992"/>
        <v>-113.84</v>
      </c>
      <c r="EL53" s="66">
        <f t="shared" si="53"/>
        <v>100</v>
      </c>
      <c r="EM53" s="67">
        <f t="shared" si="993"/>
        <v>213.84</v>
      </c>
      <c r="EN53" s="64">
        <f t="shared" si="994"/>
        <v>-113.84</v>
      </c>
      <c r="EO53" s="62">
        <v>6150</v>
      </c>
      <c r="EP53" s="63">
        <v>6306</v>
      </c>
      <c r="EQ53" s="64">
        <f t="shared" si="995"/>
        <v>-156</v>
      </c>
      <c r="ER53" s="65"/>
      <c r="ES53" s="63"/>
      <c r="ET53" s="64">
        <f t="shared" si="996"/>
        <v>0</v>
      </c>
      <c r="EU53" s="65"/>
      <c r="EV53" s="63">
        <v>2550</v>
      </c>
      <c r="EW53" s="64">
        <f t="shared" si="997"/>
        <v>-2550</v>
      </c>
      <c r="EX53" s="65">
        <v>100</v>
      </c>
      <c r="EY53" s="63"/>
      <c r="EZ53" s="64">
        <f t="shared" si="998"/>
        <v>100</v>
      </c>
      <c r="FA53" s="66">
        <f t="shared" si="60"/>
        <v>6250</v>
      </c>
      <c r="FB53" s="67">
        <f t="shared" si="999"/>
        <v>8856</v>
      </c>
      <c r="FC53" s="64">
        <f t="shared" si="1000"/>
        <v>-2606</v>
      </c>
      <c r="FD53" s="62">
        <v>6150</v>
      </c>
      <c r="FE53" s="63">
        <v>6306</v>
      </c>
      <c r="FF53" s="64">
        <f t="shared" si="1001"/>
        <v>-156</v>
      </c>
      <c r="FG53" s="65"/>
      <c r="FH53" s="63">
        <v>2550</v>
      </c>
      <c r="FI53" s="64">
        <f t="shared" si="1002"/>
        <v>-2550</v>
      </c>
      <c r="FJ53" s="65"/>
      <c r="FK53" s="63"/>
      <c r="FL53" s="64">
        <f t="shared" si="1003"/>
        <v>0</v>
      </c>
      <c r="FM53" s="65">
        <v>100</v>
      </c>
      <c r="FN53" s="63"/>
      <c r="FO53" s="64">
        <f t="shared" si="1004"/>
        <v>100</v>
      </c>
      <c r="FP53" s="66">
        <f t="shared" si="67"/>
        <v>6250</v>
      </c>
      <c r="FQ53" s="67">
        <f t="shared" si="1005"/>
        <v>8856</v>
      </c>
      <c r="FR53" s="64">
        <f t="shared" si="1006"/>
        <v>-2606</v>
      </c>
      <c r="FS53" s="62"/>
      <c r="FT53" s="63"/>
      <c r="FU53" s="64">
        <f t="shared" si="1007"/>
        <v>0</v>
      </c>
      <c r="FV53" s="65">
        <v>485.35</v>
      </c>
      <c r="FW53" s="63">
        <v>485.35</v>
      </c>
      <c r="FX53" s="64">
        <f t="shared" si="1008"/>
        <v>0</v>
      </c>
      <c r="FY53" s="65"/>
      <c r="FZ53" s="63"/>
      <c r="GA53" s="64">
        <f t="shared" si="1009"/>
        <v>0</v>
      </c>
      <c r="GB53" s="65"/>
      <c r="GC53" s="63"/>
      <c r="GD53" s="64">
        <f t="shared" si="1010"/>
        <v>0</v>
      </c>
      <c r="GE53" s="66">
        <f t="shared" si="74"/>
        <v>485.35</v>
      </c>
      <c r="GF53" s="67">
        <f t="shared" si="1011"/>
        <v>485.35</v>
      </c>
      <c r="GG53" s="64">
        <f t="shared" si="1012"/>
        <v>0</v>
      </c>
      <c r="GH53" s="62"/>
      <c r="GI53" s="63"/>
      <c r="GJ53" s="64">
        <f t="shared" si="1013"/>
        <v>0</v>
      </c>
      <c r="GK53" s="65">
        <v>660.33</v>
      </c>
      <c r="GL53" s="63">
        <v>660.33</v>
      </c>
      <c r="GM53" s="64">
        <f t="shared" si="1014"/>
        <v>0</v>
      </c>
      <c r="GN53" s="65"/>
      <c r="GO53" s="63"/>
      <c r="GP53" s="64">
        <f t="shared" si="1015"/>
        <v>0</v>
      </c>
      <c r="GQ53" s="65"/>
      <c r="GR53" s="63">
        <v>159.65</v>
      </c>
      <c r="GS53" s="64">
        <f t="shared" si="1016"/>
        <v>-159.65</v>
      </c>
      <c r="GT53" s="66">
        <f t="shared" si="81"/>
        <v>660.33</v>
      </c>
      <c r="GU53" s="67">
        <f t="shared" si="1017"/>
        <v>819.98</v>
      </c>
      <c r="GV53" s="64">
        <f t="shared" si="1018"/>
        <v>-159.64999999999998</v>
      </c>
      <c r="GW53" s="62"/>
      <c r="GX53" s="63"/>
      <c r="GY53" s="64">
        <f t="shared" si="1019"/>
        <v>0</v>
      </c>
      <c r="GZ53" s="65">
        <v>568.25</v>
      </c>
      <c r="HA53" s="63">
        <v>568.25</v>
      </c>
      <c r="HB53" s="64">
        <f t="shared" si="1020"/>
        <v>0</v>
      </c>
      <c r="HC53" s="65"/>
      <c r="HD53" s="63"/>
      <c r="HE53" s="64">
        <f t="shared" si="1021"/>
        <v>0</v>
      </c>
      <c r="HF53" s="65">
        <v>100</v>
      </c>
      <c r="HG53" s="63">
        <v>194.57</v>
      </c>
      <c r="HH53" s="64">
        <f t="shared" si="1022"/>
        <v>-94.57</v>
      </c>
      <c r="HI53" s="66">
        <f t="shared" si="84"/>
        <v>668.25</v>
      </c>
      <c r="HJ53" s="67">
        <f t="shared" si="1023"/>
        <v>762.81999999999994</v>
      </c>
      <c r="HK53" s="64">
        <f t="shared" si="1024"/>
        <v>-94.569999999999936</v>
      </c>
      <c r="HL53" s="62">
        <v>6150</v>
      </c>
      <c r="HM53" s="63">
        <v>6306</v>
      </c>
      <c r="HN53" s="64">
        <f t="shared" si="1025"/>
        <v>-156</v>
      </c>
      <c r="HO53" s="65"/>
      <c r="HP53" s="63"/>
      <c r="HQ53" s="64">
        <f t="shared" si="1026"/>
        <v>0</v>
      </c>
      <c r="HR53" s="65"/>
      <c r="HS53" s="63"/>
      <c r="HT53" s="64">
        <f t="shared" si="1027"/>
        <v>0</v>
      </c>
      <c r="HU53" s="65">
        <v>100</v>
      </c>
      <c r="HV53" s="63"/>
      <c r="HW53" s="64">
        <f t="shared" si="1028"/>
        <v>100</v>
      </c>
      <c r="HX53" s="66">
        <f t="shared" si="91"/>
        <v>6250</v>
      </c>
      <c r="HY53" s="67">
        <f t="shared" si="1029"/>
        <v>6306</v>
      </c>
      <c r="HZ53" s="64">
        <f t="shared" si="1030"/>
        <v>-56</v>
      </c>
      <c r="IA53" s="62"/>
      <c r="IB53" s="63"/>
      <c r="IC53" s="64">
        <f t="shared" si="1031"/>
        <v>0</v>
      </c>
      <c r="ID53" s="65"/>
      <c r="IE53" s="63"/>
      <c r="IF53" s="64">
        <f t="shared" si="1032"/>
        <v>0</v>
      </c>
      <c r="IG53" s="65"/>
      <c r="IH53" s="63"/>
      <c r="II53" s="64">
        <f t="shared" si="1033"/>
        <v>0</v>
      </c>
      <c r="IJ53" s="65">
        <v>100</v>
      </c>
      <c r="IK53" s="63"/>
      <c r="IL53" s="64">
        <f t="shared" si="1034"/>
        <v>100</v>
      </c>
      <c r="IM53" s="66">
        <f t="shared" si="98"/>
        <v>100</v>
      </c>
      <c r="IN53" s="67">
        <f t="shared" si="1035"/>
        <v>0</v>
      </c>
      <c r="IO53" s="64">
        <f t="shared" si="1036"/>
        <v>100</v>
      </c>
      <c r="IP53" s="62"/>
      <c r="IQ53" s="63"/>
      <c r="IR53" s="64">
        <f t="shared" si="1037"/>
        <v>0</v>
      </c>
      <c r="IS53" s="65"/>
      <c r="IT53" s="63"/>
      <c r="IU53" s="64">
        <f t="shared" si="1038"/>
        <v>0</v>
      </c>
      <c r="IV53" s="65"/>
      <c r="IW53" s="63"/>
      <c r="IX53" s="64">
        <f t="shared" si="1039"/>
        <v>0</v>
      </c>
      <c r="IY53" s="65"/>
      <c r="IZ53" s="63"/>
      <c r="JA53" s="64">
        <f t="shared" si="1040"/>
        <v>0</v>
      </c>
      <c r="JB53" s="66">
        <f t="shared" si="105"/>
        <v>0</v>
      </c>
      <c r="JC53" s="67">
        <f t="shared" si="1041"/>
        <v>0</v>
      </c>
      <c r="JD53" s="64">
        <f t="shared" si="1042"/>
        <v>0</v>
      </c>
      <c r="JE53" s="72"/>
      <c r="JF53" s="150"/>
      <c r="JG53" s="74"/>
      <c r="JH53" s="75"/>
      <c r="JI53" s="150"/>
      <c r="JJ53" s="74"/>
      <c r="JK53" s="75"/>
      <c r="JL53" s="150"/>
      <c r="JM53" s="74"/>
      <c r="JN53" s="75"/>
      <c r="JO53" s="150"/>
      <c r="JP53" s="74"/>
      <c r="JQ53" s="76"/>
      <c r="JR53" s="77"/>
      <c r="JS53" s="74"/>
      <c r="JT53" s="72"/>
      <c r="JU53" s="73"/>
      <c r="JV53" s="74"/>
      <c r="JW53" s="75"/>
      <c r="JX53" s="73"/>
      <c r="JY53" s="74"/>
      <c r="JZ53" s="75"/>
      <c r="KA53" s="73"/>
      <c r="KB53" s="74"/>
      <c r="KC53" s="75"/>
      <c r="KD53" s="73"/>
      <c r="KE53" s="74"/>
      <c r="KF53" s="76"/>
      <c r="KG53" s="77"/>
      <c r="KH53" s="64">
        <f t="shared" si="1043"/>
        <v>0</v>
      </c>
      <c r="KI53" s="62"/>
      <c r="KJ53" s="63"/>
      <c r="KK53" s="64">
        <f t="shared" si="1044"/>
        <v>0</v>
      </c>
      <c r="KL53" s="65"/>
      <c r="KM53" s="63"/>
      <c r="KN53" s="64">
        <f t="shared" si="1045"/>
        <v>0</v>
      </c>
      <c r="KO53" s="65"/>
      <c r="KP53" s="63"/>
      <c r="KQ53" s="64">
        <f t="shared" si="1046"/>
        <v>0</v>
      </c>
      <c r="KR53" s="65"/>
      <c r="KS53" s="63"/>
      <c r="KT53" s="64">
        <f t="shared" si="1047"/>
        <v>0</v>
      </c>
      <c r="KU53" s="66">
        <f t="shared" si="1"/>
        <v>0</v>
      </c>
      <c r="KV53" s="67">
        <f t="shared" si="1048"/>
        <v>0</v>
      </c>
      <c r="KW53" s="64">
        <f t="shared" si="1049"/>
        <v>0</v>
      </c>
      <c r="KX53" s="72"/>
      <c r="KY53" s="73"/>
      <c r="KZ53" s="74"/>
      <c r="LA53" s="75"/>
      <c r="LB53" s="73"/>
      <c r="LC53" s="74"/>
      <c r="LD53" s="75"/>
      <c r="LE53" s="73"/>
      <c r="LF53" s="74"/>
      <c r="LG53" s="75"/>
      <c r="LH53" s="73"/>
      <c r="LI53" s="74"/>
      <c r="LJ53" s="76"/>
      <c r="LK53" s="77"/>
      <c r="LL53" s="74"/>
      <c r="LM53" s="62"/>
      <c r="LN53" s="63"/>
      <c r="LO53" s="64">
        <f t="shared" si="1050"/>
        <v>0</v>
      </c>
      <c r="LP53" s="65"/>
      <c r="LQ53" s="63">
        <v>183.79</v>
      </c>
      <c r="LR53" s="64">
        <f t="shared" si="1051"/>
        <v>-183.79</v>
      </c>
      <c r="LS53" s="65"/>
      <c r="LT53" s="63">
        <f>1200.4+1191.04</f>
        <v>2391.44</v>
      </c>
      <c r="LU53" s="64">
        <f t="shared" si="1052"/>
        <v>-2391.44</v>
      </c>
      <c r="LV53" s="65">
        <v>100</v>
      </c>
      <c r="LW53" s="63">
        <v>255</v>
      </c>
      <c r="LX53" s="64">
        <f t="shared" si="1053"/>
        <v>-155</v>
      </c>
      <c r="LY53" s="66">
        <f t="shared" si="124"/>
        <v>100</v>
      </c>
      <c r="LZ53" s="67">
        <f t="shared" si="1054"/>
        <v>2830.23</v>
      </c>
      <c r="MA53" s="64">
        <f t="shared" si="1055"/>
        <v>-2730.23</v>
      </c>
      <c r="MB53" s="62"/>
      <c r="MC53" s="63"/>
      <c r="MD53" s="64">
        <f t="shared" si="1056"/>
        <v>0</v>
      </c>
      <c r="ME53" s="65">
        <v>889.11</v>
      </c>
      <c r="MF53" s="63">
        <v>889.11</v>
      </c>
      <c r="MG53" s="64">
        <f t="shared" si="1057"/>
        <v>0</v>
      </c>
      <c r="MH53" s="65"/>
      <c r="MI53" s="63"/>
      <c r="MJ53" s="64">
        <f t="shared" si="1058"/>
        <v>0</v>
      </c>
      <c r="MK53" s="65">
        <v>100</v>
      </c>
      <c r="ML53" s="63">
        <v>388.37</v>
      </c>
      <c r="MM53" s="64">
        <f t="shared" si="1059"/>
        <v>-288.37</v>
      </c>
      <c r="MN53" s="66">
        <f t="shared" si="131"/>
        <v>989.11</v>
      </c>
      <c r="MO53" s="67">
        <f t="shared" si="1060"/>
        <v>1277.48</v>
      </c>
      <c r="MP53" s="64">
        <f t="shared" si="1061"/>
        <v>-288.37</v>
      </c>
      <c r="MQ53" s="62"/>
      <c r="MR53" s="63"/>
      <c r="MS53" s="64">
        <f t="shared" si="1062"/>
        <v>0</v>
      </c>
      <c r="MT53" s="65"/>
      <c r="MU53" s="63"/>
      <c r="MV53" s="64">
        <f t="shared" si="1063"/>
        <v>0</v>
      </c>
      <c r="MW53" s="65"/>
      <c r="MX53" s="63"/>
      <c r="MY53" s="64">
        <f t="shared" si="1064"/>
        <v>0</v>
      </c>
      <c r="MZ53" s="65"/>
      <c r="NA53" s="63"/>
      <c r="NB53" s="64">
        <f t="shared" si="1065"/>
        <v>0</v>
      </c>
      <c r="NC53" s="66">
        <f t="shared" si="138"/>
        <v>0</v>
      </c>
      <c r="ND53" s="67">
        <f t="shared" si="1066"/>
        <v>0</v>
      </c>
      <c r="NE53" s="64">
        <f t="shared" si="1067"/>
        <v>0</v>
      </c>
      <c r="NF53" s="62"/>
      <c r="NG53" s="63"/>
      <c r="NH53" s="64">
        <f t="shared" si="1068"/>
        <v>0</v>
      </c>
      <c r="NI53" s="65">
        <v>1164.04</v>
      </c>
      <c r="NJ53" s="63">
        <v>1164.04</v>
      </c>
      <c r="NK53" s="64">
        <f t="shared" si="1069"/>
        <v>0</v>
      </c>
      <c r="NL53" s="65"/>
      <c r="NM53" s="63"/>
      <c r="NN53" s="64">
        <f t="shared" si="1070"/>
        <v>0</v>
      </c>
      <c r="NO53" s="65">
        <v>100</v>
      </c>
      <c r="NP53" s="63"/>
      <c r="NQ53" s="64">
        <f t="shared" si="1071"/>
        <v>100</v>
      </c>
      <c r="NR53" s="66">
        <f t="shared" si="145"/>
        <v>1264.04</v>
      </c>
      <c r="NS53" s="67">
        <f t="shared" si="1072"/>
        <v>1164.04</v>
      </c>
      <c r="NT53" s="64">
        <f t="shared" si="1073"/>
        <v>100</v>
      </c>
      <c r="NU53" s="62"/>
      <c r="NV53" s="63"/>
      <c r="NW53" s="64">
        <f t="shared" si="1074"/>
        <v>0</v>
      </c>
      <c r="NX53" s="65">
        <v>1152.73</v>
      </c>
      <c r="NY53" s="63">
        <v>1152.73</v>
      </c>
      <c r="NZ53" s="64">
        <f t="shared" si="1075"/>
        <v>0</v>
      </c>
      <c r="OA53" s="65"/>
      <c r="OB53" s="63"/>
      <c r="OC53" s="64">
        <f t="shared" si="1076"/>
        <v>0</v>
      </c>
      <c r="OD53" s="65">
        <v>100</v>
      </c>
      <c r="OE53" s="63">
        <v>84.75</v>
      </c>
      <c r="OF53" s="64">
        <f t="shared" si="1077"/>
        <v>15.25</v>
      </c>
      <c r="OG53" s="66">
        <f t="shared" si="152"/>
        <v>1252.73</v>
      </c>
      <c r="OH53" s="67">
        <f t="shared" si="1078"/>
        <v>1237.48</v>
      </c>
      <c r="OI53" s="64">
        <f t="shared" si="1079"/>
        <v>15.25</v>
      </c>
      <c r="OJ53" s="62"/>
      <c r="OK53" s="63"/>
      <c r="OL53" s="64">
        <f t="shared" si="1080"/>
        <v>0</v>
      </c>
      <c r="OM53" s="65"/>
      <c r="ON53" s="63"/>
      <c r="OO53" s="64">
        <f t="shared" si="1081"/>
        <v>0</v>
      </c>
      <c r="OP53" s="65"/>
      <c r="OQ53" s="63"/>
      <c r="OR53" s="64">
        <f t="shared" si="1082"/>
        <v>0</v>
      </c>
      <c r="OS53" s="65">
        <v>100</v>
      </c>
      <c r="OT53" s="63"/>
      <c r="OU53" s="64">
        <f t="shared" si="1083"/>
        <v>100</v>
      </c>
      <c r="OV53" s="66">
        <f t="shared" si="159"/>
        <v>100</v>
      </c>
      <c r="OW53" s="67">
        <f t="shared" si="1084"/>
        <v>0</v>
      </c>
      <c r="OX53" s="64">
        <f t="shared" si="1085"/>
        <v>100</v>
      </c>
      <c r="OY53" s="62"/>
      <c r="OZ53" s="63"/>
      <c r="PA53" s="64">
        <f t="shared" si="1086"/>
        <v>0</v>
      </c>
      <c r="PB53" s="65"/>
      <c r="PC53" s="63"/>
      <c r="PD53" s="64">
        <f t="shared" si="1087"/>
        <v>0</v>
      </c>
      <c r="PE53" s="65"/>
      <c r="PF53" s="63"/>
      <c r="PG53" s="64">
        <f t="shared" si="1088"/>
        <v>0</v>
      </c>
      <c r="PH53" s="65">
        <v>100</v>
      </c>
      <c r="PI53" s="63">
        <v>136.52000000000001</v>
      </c>
      <c r="PJ53" s="64">
        <f t="shared" si="1089"/>
        <v>-36.52000000000001</v>
      </c>
      <c r="PK53" s="66">
        <f t="shared" si="166"/>
        <v>100</v>
      </c>
      <c r="PL53" s="67">
        <f t="shared" si="1090"/>
        <v>136.52000000000001</v>
      </c>
      <c r="PM53" s="64">
        <f t="shared" si="1091"/>
        <v>-36.52000000000001</v>
      </c>
      <c r="PN53" s="62">
        <v>1550</v>
      </c>
      <c r="PO53" s="63">
        <v>1550</v>
      </c>
      <c r="PP53" s="64">
        <f>PN53-PO53</f>
        <v>0</v>
      </c>
      <c r="PQ53" s="65"/>
      <c r="PR53" s="63"/>
      <c r="PS53" s="64">
        <f t="shared" si="1093"/>
        <v>0</v>
      </c>
      <c r="PT53" s="65"/>
      <c r="PU53" s="63"/>
      <c r="PV53" s="64">
        <f t="shared" si="1094"/>
        <v>0</v>
      </c>
      <c r="PW53" s="65">
        <v>100</v>
      </c>
      <c r="PX53" s="63">
        <v>252.41</v>
      </c>
      <c r="PY53" s="64">
        <f t="shared" si="1095"/>
        <v>-152.41</v>
      </c>
      <c r="PZ53" s="66">
        <f t="shared" si="173"/>
        <v>1650</v>
      </c>
      <c r="QA53" s="67">
        <f>PO53+PR53+PU53++PX53</f>
        <v>1802.41</v>
      </c>
      <c r="QB53" s="64">
        <f t="shared" si="1097"/>
        <v>-152.41000000000008</v>
      </c>
      <c r="QC53" s="62"/>
      <c r="QD53" s="63"/>
      <c r="QE53" s="64">
        <f t="shared" si="1098"/>
        <v>0</v>
      </c>
      <c r="QF53" s="65"/>
      <c r="QG53" s="63"/>
      <c r="QH53" s="64">
        <f t="shared" si="1099"/>
        <v>0</v>
      </c>
      <c r="QI53" s="65"/>
      <c r="QJ53" s="63"/>
      <c r="QK53" s="64">
        <f t="shared" si="1100"/>
        <v>0</v>
      </c>
      <c r="QL53" s="65">
        <v>100</v>
      </c>
      <c r="QM53" s="63"/>
      <c r="QN53" s="64">
        <f t="shared" si="1101"/>
        <v>100</v>
      </c>
      <c r="QO53" s="66">
        <f t="shared" si="180"/>
        <v>100</v>
      </c>
      <c r="QP53" s="67">
        <f t="shared" si="1102"/>
        <v>0</v>
      </c>
      <c r="QQ53" s="64">
        <f t="shared" si="1103"/>
        <v>100</v>
      </c>
      <c r="QR53" s="74"/>
      <c r="QS53" s="74"/>
      <c r="QT53" s="72"/>
      <c r="QU53" s="73"/>
      <c r="QV53" s="74"/>
      <c r="QW53" s="75"/>
      <c r="QX53" s="73"/>
      <c r="QY53" s="74"/>
      <c r="QZ53" s="75"/>
      <c r="RA53" s="73"/>
      <c r="RB53" s="74"/>
      <c r="RC53" s="75"/>
      <c r="RD53" s="73"/>
      <c r="RE53" s="74"/>
      <c r="RF53" s="74"/>
      <c r="RG53" s="72"/>
      <c r="RH53" s="73"/>
      <c r="RI53" s="74"/>
      <c r="RJ53" s="75"/>
      <c r="RK53" s="73"/>
      <c r="RL53" s="74"/>
      <c r="RM53" s="75"/>
      <c r="RN53" s="73"/>
      <c r="RO53" s="74"/>
      <c r="RP53" s="75"/>
      <c r="RQ53" s="73"/>
      <c r="RR53" s="74"/>
      <c r="RS53" s="76"/>
      <c r="RT53" s="77"/>
      <c r="RU53" s="74"/>
      <c r="RV53" s="74"/>
      <c r="RW53" s="72"/>
      <c r="RX53" s="73"/>
      <c r="RY53" s="74"/>
      <c r="RZ53" s="75"/>
      <c r="SA53" s="73"/>
      <c r="SB53" s="74"/>
      <c r="SC53" s="75"/>
      <c r="SD53" s="73"/>
      <c r="SE53" s="74"/>
      <c r="SF53" s="75"/>
      <c r="SG53" s="73"/>
      <c r="SH53" s="74"/>
      <c r="SI53" s="76"/>
      <c r="SJ53" s="64">
        <f t="shared" si="1115"/>
        <v>0</v>
      </c>
      <c r="SK53" s="62"/>
      <c r="SL53" s="63"/>
      <c r="SM53" s="64">
        <f t="shared" si="1116"/>
        <v>0</v>
      </c>
      <c r="SN53" s="65"/>
      <c r="SO53" s="63"/>
      <c r="SP53" s="64">
        <f t="shared" si="1117"/>
        <v>0</v>
      </c>
      <c r="SQ53" s="65"/>
      <c r="SR53" s="63"/>
      <c r="SS53" s="64">
        <f t="shared" si="1118"/>
        <v>0</v>
      </c>
      <c r="ST53" s="65">
        <v>100</v>
      </c>
      <c r="SU53" s="63">
        <v>255.75</v>
      </c>
      <c r="SV53" s="64">
        <f t="shared" si="1119"/>
        <v>-155.75</v>
      </c>
      <c r="SW53" s="66">
        <f t="shared" si="208"/>
        <v>100</v>
      </c>
      <c r="SX53" s="67">
        <f t="shared" si="1120"/>
        <v>255.75</v>
      </c>
      <c r="SY53" s="64">
        <f t="shared" si="1121"/>
        <v>-155.75</v>
      </c>
      <c r="SZ53" s="62">
        <v>985.33</v>
      </c>
      <c r="TA53" s="63">
        <v>1050</v>
      </c>
      <c r="TB53" s="64">
        <f t="shared" si="1122"/>
        <v>-64.669999999999959</v>
      </c>
      <c r="TC53" s="65">
        <v>700.9</v>
      </c>
      <c r="TD53" s="63">
        <v>740.15</v>
      </c>
      <c r="TE53" s="64">
        <f t="shared" si="1123"/>
        <v>-39.25</v>
      </c>
      <c r="TF53" s="65"/>
      <c r="TG53" s="63"/>
      <c r="TH53" s="64">
        <f t="shared" si="1124"/>
        <v>0</v>
      </c>
      <c r="TI53" s="65">
        <v>100</v>
      </c>
      <c r="TJ53" s="63"/>
      <c r="TK53" s="64">
        <f t="shared" si="1125"/>
        <v>100</v>
      </c>
      <c r="TL53" s="66">
        <f t="shared" si="215"/>
        <v>1786.23</v>
      </c>
      <c r="TM53" s="67">
        <f t="shared" si="1126"/>
        <v>1790.15</v>
      </c>
      <c r="TN53" s="64">
        <f t="shared" si="1127"/>
        <v>-3.9200000000000728</v>
      </c>
      <c r="TO53" s="62"/>
      <c r="TP53" s="63"/>
      <c r="TQ53" s="64">
        <f t="shared" si="1128"/>
        <v>0</v>
      </c>
      <c r="TR53" s="65"/>
      <c r="TS53" s="63"/>
      <c r="TT53" s="64">
        <f t="shared" si="1129"/>
        <v>0</v>
      </c>
      <c r="TU53" s="65"/>
      <c r="TV53" s="63"/>
      <c r="TW53" s="64">
        <f t="shared" si="1130"/>
        <v>0</v>
      </c>
      <c r="TX53" s="65">
        <v>100</v>
      </c>
      <c r="TY53" s="63">
        <v>68.36</v>
      </c>
      <c r="TZ53" s="64">
        <f t="shared" si="1131"/>
        <v>31.64</v>
      </c>
      <c r="UA53" s="66">
        <f t="shared" si="222"/>
        <v>100</v>
      </c>
      <c r="UB53" s="67">
        <f t="shared" si="1132"/>
        <v>68.36</v>
      </c>
      <c r="UC53" s="64">
        <f t="shared" si="1133"/>
        <v>31.64</v>
      </c>
      <c r="UD53" s="62"/>
      <c r="UE53" s="63"/>
      <c r="UF53" s="64">
        <f t="shared" si="1134"/>
        <v>0</v>
      </c>
      <c r="UG53" s="65">
        <v>497.04</v>
      </c>
      <c r="UH53" s="63">
        <v>546.91</v>
      </c>
      <c r="UI53" s="64">
        <f t="shared" si="1135"/>
        <v>-49.869999999999948</v>
      </c>
      <c r="UJ53" s="65"/>
      <c r="UK53" s="63"/>
      <c r="UL53" s="64">
        <f t="shared" si="1136"/>
        <v>0</v>
      </c>
      <c r="UM53" s="65">
        <v>100</v>
      </c>
      <c r="UN53" s="63"/>
      <c r="UO53" s="64">
        <f t="shared" si="1137"/>
        <v>100</v>
      </c>
      <c r="UP53" s="66">
        <f t="shared" si="226"/>
        <v>597.04</v>
      </c>
      <c r="UQ53" s="67">
        <f t="shared" si="1138"/>
        <v>546.91</v>
      </c>
      <c r="UR53" s="64">
        <f t="shared" si="1139"/>
        <v>50.129999999999995</v>
      </c>
      <c r="US53" s="74"/>
      <c r="UT53" s="72"/>
      <c r="UU53" s="73"/>
      <c r="UV53" s="74"/>
      <c r="UW53" s="75"/>
      <c r="UX53" s="73"/>
      <c r="UY53" s="74"/>
      <c r="UZ53" s="75"/>
      <c r="VA53" s="73"/>
      <c r="VB53" s="74"/>
      <c r="VC53" s="75"/>
      <c r="VD53" s="73"/>
      <c r="VE53" s="74"/>
      <c r="VF53" s="76"/>
      <c r="VG53" s="77"/>
      <c r="VH53" s="62"/>
      <c r="VI53" s="63"/>
      <c r="VJ53" s="64">
        <f t="shared" si="1140"/>
        <v>0</v>
      </c>
      <c r="VK53" s="65"/>
      <c r="VL53" s="63"/>
      <c r="VM53" s="64">
        <f t="shared" si="1141"/>
        <v>0</v>
      </c>
      <c r="VN53" s="65"/>
      <c r="VO53" s="63"/>
      <c r="VP53" s="64">
        <f t="shared" si="1142"/>
        <v>0</v>
      </c>
      <c r="VQ53" s="65">
        <v>100</v>
      </c>
      <c r="VR53" s="63">
        <v>203.2</v>
      </c>
      <c r="VS53" s="64">
        <f t="shared" si="1143"/>
        <v>-103.19999999999999</v>
      </c>
      <c r="VT53" s="66">
        <f t="shared" si="240"/>
        <v>100</v>
      </c>
      <c r="VU53" s="67">
        <f t="shared" si="1144"/>
        <v>203.2</v>
      </c>
      <c r="VV53" s="64">
        <f t="shared" si="1145"/>
        <v>-103.19999999999999</v>
      </c>
      <c r="VW53" s="74"/>
      <c r="VX53" s="72"/>
      <c r="VY53" s="73"/>
      <c r="VZ53" s="74"/>
      <c r="WA53" s="75"/>
      <c r="WB53" s="73"/>
      <c r="WC53" s="74"/>
      <c r="WD53" s="75"/>
      <c r="WE53" s="73"/>
      <c r="WF53" s="74"/>
      <c r="WG53" s="75"/>
      <c r="WH53" s="73"/>
      <c r="WI53" s="74"/>
      <c r="WJ53" s="76"/>
      <c r="WK53" s="77"/>
      <c r="WL53" s="62">
        <v>1376.01</v>
      </c>
      <c r="WM53" s="63">
        <v>1376.01</v>
      </c>
      <c r="WN53" s="64">
        <f t="shared" si="1146"/>
        <v>0</v>
      </c>
      <c r="WO53" s="65">
        <v>418.56</v>
      </c>
      <c r="WP53" s="63">
        <v>606.71</v>
      </c>
      <c r="WQ53" s="64">
        <f t="shared" si="1147"/>
        <v>-188.15000000000003</v>
      </c>
      <c r="WR53" s="65"/>
      <c r="WS53" s="63"/>
      <c r="WT53" s="64">
        <f t="shared" si="1148"/>
        <v>0</v>
      </c>
      <c r="WU53" s="65">
        <v>100</v>
      </c>
      <c r="WV53" s="63"/>
      <c r="WW53" s="64">
        <f t="shared" si="1149"/>
        <v>100</v>
      </c>
      <c r="WX53" s="66">
        <f t="shared" si="254"/>
        <v>1894.57</v>
      </c>
      <c r="WY53" s="67">
        <f t="shared" si="1150"/>
        <v>1982.72</v>
      </c>
      <c r="WZ53" s="64">
        <f t="shared" si="1151"/>
        <v>-88.150000000000091</v>
      </c>
      <c r="XA53" s="74"/>
      <c r="XB53" s="72"/>
      <c r="XC53" s="73"/>
      <c r="XD53" s="74"/>
      <c r="XE53" s="75"/>
      <c r="XF53" s="73"/>
      <c r="XG53" s="74"/>
      <c r="XH53" s="75"/>
      <c r="XI53" s="73"/>
      <c r="XJ53" s="74"/>
      <c r="XK53" s="75"/>
      <c r="XL53" s="73"/>
      <c r="XM53" s="74"/>
      <c r="XN53" s="76"/>
      <c r="XO53" s="77"/>
      <c r="XP53" s="62"/>
      <c r="XQ53" s="63"/>
      <c r="XR53" s="64">
        <f t="shared" si="1158"/>
        <v>0</v>
      </c>
      <c r="XS53" s="65">
        <v>844.24</v>
      </c>
      <c r="XT53" s="63">
        <v>844.24</v>
      </c>
      <c r="XU53" s="64">
        <f t="shared" si="1159"/>
        <v>0</v>
      </c>
      <c r="XV53" s="65"/>
      <c r="XW53" s="63"/>
      <c r="XX53" s="64">
        <f t="shared" si="1160"/>
        <v>0</v>
      </c>
      <c r="XY53" s="65">
        <v>100</v>
      </c>
      <c r="XZ53" s="63">
        <v>57.45</v>
      </c>
      <c r="YA53" s="64">
        <f t="shared" si="1161"/>
        <v>42.55</v>
      </c>
      <c r="YB53" s="66">
        <f t="shared" si="268"/>
        <v>944.24</v>
      </c>
      <c r="YC53" s="67">
        <f t="shared" si="1162"/>
        <v>901.69</v>
      </c>
      <c r="YD53" s="64">
        <f t="shared" si="1163"/>
        <v>42.549999999999955</v>
      </c>
      <c r="YE53" s="62"/>
      <c r="YF53" s="63"/>
      <c r="YG53" s="64">
        <f t="shared" si="1164"/>
        <v>0</v>
      </c>
      <c r="YH53" s="65">
        <v>847.85</v>
      </c>
      <c r="YI53" s="63">
        <v>847.85</v>
      </c>
      <c r="YJ53" s="64">
        <f>YH53-YI53</f>
        <v>0</v>
      </c>
      <c r="YK53" s="65"/>
      <c r="YL53" s="63"/>
      <c r="YM53" s="64">
        <f t="shared" si="1166"/>
        <v>0</v>
      </c>
      <c r="YN53" s="65">
        <v>100</v>
      </c>
      <c r="YO53" s="63">
        <v>72.739999999999995</v>
      </c>
      <c r="YP53" s="64">
        <f t="shared" si="1167"/>
        <v>27.260000000000005</v>
      </c>
      <c r="YQ53" s="66">
        <f t="shared" si="275"/>
        <v>947.85</v>
      </c>
      <c r="YR53" s="67">
        <f>YF53+YI53+YL53++YO53</f>
        <v>920.59</v>
      </c>
      <c r="YS53" s="64">
        <f t="shared" si="1169"/>
        <v>27.259999999999991</v>
      </c>
      <c r="YT53" s="62"/>
      <c r="YU53" s="63"/>
      <c r="YV53" s="64">
        <f t="shared" si="1170"/>
        <v>0</v>
      </c>
      <c r="YW53" s="65">
        <v>695.73</v>
      </c>
      <c r="YX53" s="63">
        <v>695.73</v>
      </c>
      <c r="YY53" s="64">
        <f t="shared" si="1171"/>
        <v>0</v>
      </c>
      <c r="YZ53" s="65"/>
      <c r="ZA53" s="63"/>
      <c r="ZB53" s="64">
        <f t="shared" si="1172"/>
        <v>0</v>
      </c>
      <c r="ZC53" s="65">
        <v>100</v>
      </c>
      <c r="ZD53" s="63">
        <v>96.74</v>
      </c>
      <c r="ZE53" s="64">
        <f t="shared" si="1173"/>
        <v>3.2600000000000051</v>
      </c>
      <c r="ZF53" s="66">
        <f t="shared" si="282"/>
        <v>795.73</v>
      </c>
      <c r="ZG53" s="67">
        <f t="shared" si="1174"/>
        <v>792.47</v>
      </c>
      <c r="ZH53" s="74"/>
      <c r="ZI53" s="72"/>
      <c r="ZJ53" s="73"/>
      <c r="ZK53" s="74"/>
      <c r="ZL53" s="75"/>
      <c r="ZM53" s="73"/>
      <c r="ZN53" s="74"/>
      <c r="ZO53" s="75"/>
      <c r="ZP53" s="73"/>
      <c r="ZQ53" s="74"/>
      <c r="ZR53" s="75"/>
      <c r="ZS53" s="73"/>
      <c r="ZT53" s="74"/>
      <c r="ZU53" s="76"/>
      <c r="ZV53" s="77"/>
      <c r="ZW53" s="64">
        <f t="shared" si="1175"/>
        <v>0</v>
      </c>
      <c r="ZX53" s="62">
        <v>24.71</v>
      </c>
      <c r="ZY53" s="63">
        <v>62.91</v>
      </c>
      <c r="ZZ53" s="64">
        <f t="shared" si="1176"/>
        <v>-38.199999999999996</v>
      </c>
      <c r="AAA53" s="66">
        <f t="shared" si="293"/>
        <v>24.71</v>
      </c>
      <c r="AAB53" s="67">
        <f t="shared" si="293"/>
        <v>62.91</v>
      </c>
      <c r="AAC53" s="64">
        <f t="shared" si="1177"/>
        <v>-38.199999999999996</v>
      </c>
      <c r="AAD53" s="85">
        <f t="shared" si="295"/>
        <v>53267.200000000004</v>
      </c>
      <c r="AAE53" s="86">
        <f t="shared" si="295"/>
        <v>62649.359999999986</v>
      </c>
      <c r="AAF53" s="87">
        <f t="shared" si="3"/>
        <v>1.1761339060434937</v>
      </c>
      <c r="AAG53" s="88">
        <f t="shared" si="1178"/>
        <v>9382.1599999999817</v>
      </c>
      <c r="AAH53" s="94"/>
      <c r="AAI53" s="95"/>
      <c r="AAJ53" s="95"/>
      <c r="AAK53" s="60"/>
    </row>
    <row r="54" spans="1:713" s="83" customFormat="1" ht="20" customHeight="1" x14ac:dyDescent="0.2">
      <c r="A54" s="152"/>
      <c r="B54" s="96">
        <f>B50-B46</f>
        <v>-46800.260000000242</v>
      </c>
      <c r="C54" s="97"/>
      <c r="D54" s="97"/>
      <c r="E54" s="60"/>
      <c r="F54" s="61">
        <v>45962</v>
      </c>
      <c r="G54" s="62"/>
      <c r="H54" s="63"/>
      <c r="I54" s="64">
        <f t="shared" si="951"/>
        <v>0</v>
      </c>
      <c r="J54" s="65">
        <v>2613.14</v>
      </c>
      <c r="K54" s="63"/>
      <c r="L54" s="64">
        <f t="shared" si="952"/>
        <v>2613.14</v>
      </c>
      <c r="M54" s="65"/>
      <c r="N54" s="63"/>
      <c r="O54" s="64">
        <f t="shared" si="953"/>
        <v>0</v>
      </c>
      <c r="P54" s="65">
        <v>1000</v>
      </c>
      <c r="Q54" s="63">
        <v>722.33</v>
      </c>
      <c r="R54" s="64">
        <f t="shared" si="954"/>
        <v>277.66999999999996</v>
      </c>
      <c r="S54" s="65">
        <v>181</v>
      </c>
      <c r="T54" s="63">
        <v>141.44999999999999</v>
      </c>
      <c r="U54" s="64">
        <f t="shared" si="955"/>
        <v>39.550000000000011</v>
      </c>
      <c r="V54" s="66">
        <f t="shared" si="956"/>
        <v>3794.14</v>
      </c>
      <c r="W54" s="67">
        <f t="shared" si="956"/>
        <v>863.78</v>
      </c>
      <c r="X54" s="64">
        <f t="shared" si="957"/>
        <v>2930.3599999999997</v>
      </c>
      <c r="Y54" s="72"/>
      <c r="Z54" s="73"/>
      <c r="AA54" s="74"/>
      <c r="AB54" s="75"/>
      <c r="AC54" s="73"/>
      <c r="AD54" s="74"/>
      <c r="AE54" s="75"/>
      <c r="AF54" s="73"/>
      <c r="AG54" s="74"/>
      <c r="AH54" s="75"/>
      <c r="AI54" s="73"/>
      <c r="AJ54" s="74"/>
      <c r="AK54" s="76"/>
      <c r="AL54" s="77"/>
      <c r="AM54" s="64">
        <f t="shared" si="958"/>
        <v>0</v>
      </c>
      <c r="AN54" s="62"/>
      <c r="AO54" s="63"/>
      <c r="AP54" s="64">
        <f t="shared" si="1179"/>
        <v>0</v>
      </c>
      <c r="AQ54" s="65"/>
      <c r="AR54" s="63"/>
      <c r="AS54" s="64">
        <f t="shared" si="959"/>
        <v>0</v>
      </c>
      <c r="AT54" s="65"/>
      <c r="AU54" s="63"/>
      <c r="AV54" s="64">
        <f t="shared" si="960"/>
        <v>0</v>
      </c>
      <c r="AW54" s="65"/>
      <c r="AX54" s="63"/>
      <c r="AY54" s="64">
        <f t="shared" si="961"/>
        <v>0</v>
      </c>
      <c r="AZ54" s="66">
        <f t="shared" si="23"/>
        <v>0</v>
      </c>
      <c r="BA54" s="67">
        <f t="shared" si="962"/>
        <v>0</v>
      </c>
      <c r="BB54" s="64">
        <f t="shared" si="963"/>
        <v>0</v>
      </c>
      <c r="BC54" s="62"/>
      <c r="BD54" s="63"/>
      <c r="BE54" s="64">
        <f t="shared" si="964"/>
        <v>0</v>
      </c>
      <c r="BF54" s="65"/>
      <c r="BG54" s="63"/>
      <c r="BH54" s="64">
        <f t="shared" si="965"/>
        <v>0</v>
      </c>
      <c r="BI54" s="65"/>
      <c r="BJ54" s="63"/>
      <c r="BK54" s="64">
        <f t="shared" si="966"/>
        <v>0</v>
      </c>
      <c r="BL54" s="65">
        <v>100</v>
      </c>
      <c r="BM54" s="63"/>
      <c r="BN54" s="64">
        <f t="shared" si="967"/>
        <v>100</v>
      </c>
      <c r="BO54" s="66">
        <f t="shared" si="30"/>
        <v>100</v>
      </c>
      <c r="BP54" s="67">
        <f t="shared" si="968"/>
        <v>0</v>
      </c>
      <c r="BQ54" s="64">
        <f t="shared" si="969"/>
        <v>100</v>
      </c>
      <c r="BR54" s="72"/>
      <c r="BS54" s="73"/>
      <c r="BT54" s="74"/>
      <c r="BU54" s="75"/>
      <c r="BV54" s="73"/>
      <c r="BW54" s="74"/>
      <c r="BX54" s="75"/>
      <c r="BY54" s="73"/>
      <c r="BZ54" s="74"/>
      <c r="CA54" s="75"/>
      <c r="CB54" s="73"/>
      <c r="CC54" s="74"/>
      <c r="CD54" s="76"/>
      <c r="CE54" s="77"/>
      <c r="CF54" s="64">
        <f t="shared" si="970"/>
        <v>0</v>
      </c>
      <c r="CG54" s="62"/>
      <c r="CH54" s="63"/>
      <c r="CI54" s="64">
        <f t="shared" si="971"/>
        <v>0</v>
      </c>
      <c r="CJ54" s="65"/>
      <c r="CK54" s="63"/>
      <c r="CL54" s="64">
        <f t="shared" si="972"/>
        <v>0</v>
      </c>
      <c r="CM54" s="65"/>
      <c r="CN54" s="63"/>
      <c r="CO54" s="64">
        <f t="shared" si="973"/>
        <v>0</v>
      </c>
      <c r="CP54" s="65"/>
      <c r="CQ54" s="63"/>
      <c r="CR54" s="64">
        <f t="shared" si="974"/>
        <v>0</v>
      </c>
      <c r="CS54" s="66">
        <f t="shared" si="40"/>
        <v>0</v>
      </c>
      <c r="CT54" s="67">
        <f t="shared" si="975"/>
        <v>0</v>
      </c>
      <c r="CU54" s="64">
        <f t="shared" si="976"/>
        <v>0</v>
      </c>
      <c r="CV54" s="62">
        <v>2916.7</v>
      </c>
      <c r="CW54" s="63">
        <v>2562.2199999999998</v>
      </c>
      <c r="CX54" s="64">
        <f t="shared" si="977"/>
        <v>354.48</v>
      </c>
      <c r="CY54" s="65">
        <v>429.15</v>
      </c>
      <c r="CZ54" s="63">
        <v>429.15</v>
      </c>
      <c r="DA54" s="64">
        <f t="shared" si="978"/>
        <v>0</v>
      </c>
      <c r="DB54" s="65"/>
      <c r="DC54" s="63">
        <v>1716.6</v>
      </c>
      <c r="DD54" s="64">
        <f t="shared" si="979"/>
        <v>-1716.6</v>
      </c>
      <c r="DE54" s="65"/>
      <c r="DF54" s="63">
        <v>240.02</v>
      </c>
      <c r="DG54" s="64">
        <f t="shared" si="980"/>
        <v>-240.02</v>
      </c>
      <c r="DH54" s="66">
        <f t="shared" si="43"/>
        <v>3345.85</v>
      </c>
      <c r="DI54" s="67">
        <f t="shared" si="981"/>
        <v>4947.99</v>
      </c>
      <c r="DJ54" s="64">
        <f t="shared" si="982"/>
        <v>-1602.1399999999999</v>
      </c>
      <c r="DK54" s="62">
        <v>2400</v>
      </c>
      <c r="DL54" s="63">
        <v>2400</v>
      </c>
      <c r="DM54" s="64">
        <f t="shared" si="983"/>
        <v>0</v>
      </c>
      <c r="DN54" s="65">
        <v>913.08</v>
      </c>
      <c r="DO54" s="63">
        <v>913.08</v>
      </c>
      <c r="DP54" s="64">
        <f t="shared" si="984"/>
        <v>0</v>
      </c>
      <c r="DQ54" s="65"/>
      <c r="DR54" s="63"/>
      <c r="DS54" s="64">
        <f t="shared" si="985"/>
        <v>0</v>
      </c>
      <c r="DT54" s="65">
        <v>100</v>
      </c>
      <c r="DU54" s="63">
        <v>476.05</v>
      </c>
      <c r="DV54" s="64">
        <f t="shared" si="986"/>
        <v>-376.05</v>
      </c>
      <c r="DW54" s="66">
        <f t="shared" si="46"/>
        <v>3413.08</v>
      </c>
      <c r="DX54" s="67">
        <f t="shared" si="987"/>
        <v>3789.13</v>
      </c>
      <c r="DY54" s="64">
        <f t="shared" si="988"/>
        <v>-376.05000000000018</v>
      </c>
      <c r="DZ54" s="62"/>
      <c r="EA54" s="63"/>
      <c r="EB54" s="64">
        <f t="shared" si="989"/>
        <v>0</v>
      </c>
      <c r="EC54" s="65"/>
      <c r="ED54" s="63"/>
      <c r="EE54" s="64">
        <f t="shared" si="990"/>
        <v>0</v>
      </c>
      <c r="EF54" s="65"/>
      <c r="EG54" s="63"/>
      <c r="EH54" s="64">
        <f t="shared" si="991"/>
        <v>0</v>
      </c>
      <c r="EI54" s="65">
        <v>100</v>
      </c>
      <c r="EJ54" s="63"/>
      <c r="EK54" s="64">
        <f t="shared" si="992"/>
        <v>100</v>
      </c>
      <c r="EL54" s="66">
        <f t="shared" si="53"/>
        <v>100</v>
      </c>
      <c r="EM54" s="67">
        <f t="shared" si="993"/>
        <v>0</v>
      </c>
      <c r="EN54" s="64">
        <f t="shared" si="994"/>
        <v>100</v>
      </c>
      <c r="EO54" s="62"/>
      <c r="EP54" s="63"/>
      <c r="EQ54" s="64">
        <f t="shared" si="995"/>
        <v>0</v>
      </c>
      <c r="ER54" s="65"/>
      <c r="ES54" s="63"/>
      <c r="ET54" s="64">
        <f t="shared" si="996"/>
        <v>0</v>
      </c>
      <c r="EU54" s="65"/>
      <c r="EV54" s="63"/>
      <c r="EW54" s="64">
        <f t="shared" si="997"/>
        <v>0</v>
      </c>
      <c r="EX54" s="65">
        <v>100</v>
      </c>
      <c r="EY54" s="63"/>
      <c r="EZ54" s="64">
        <f t="shared" si="998"/>
        <v>100</v>
      </c>
      <c r="FA54" s="66">
        <f t="shared" si="60"/>
        <v>100</v>
      </c>
      <c r="FB54" s="67">
        <f t="shared" si="999"/>
        <v>0</v>
      </c>
      <c r="FC54" s="64">
        <f t="shared" si="1000"/>
        <v>100</v>
      </c>
      <c r="FD54" s="62"/>
      <c r="FE54" s="63"/>
      <c r="FF54" s="64">
        <f t="shared" si="1001"/>
        <v>0</v>
      </c>
      <c r="FG54" s="65"/>
      <c r="FH54" s="63"/>
      <c r="FI54" s="64">
        <f t="shared" si="1002"/>
        <v>0</v>
      </c>
      <c r="FJ54" s="65"/>
      <c r="FK54" s="63"/>
      <c r="FL54" s="64">
        <f t="shared" si="1003"/>
        <v>0</v>
      </c>
      <c r="FM54" s="65">
        <v>100</v>
      </c>
      <c r="FN54" s="63"/>
      <c r="FO54" s="64">
        <f t="shared" si="1004"/>
        <v>100</v>
      </c>
      <c r="FP54" s="66">
        <f t="shared" si="67"/>
        <v>100</v>
      </c>
      <c r="FQ54" s="67">
        <f t="shared" si="1005"/>
        <v>0</v>
      </c>
      <c r="FR54" s="64">
        <f t="shared" si="1006"/>
        <v>100</v>
      </c>
      <c r="FS54" s="62"/>
      <c r="FT54" s="63"/>
      <c r="FU54" s="64">
        <f t="shared" si="1007"/>
        <v>0</v>
      </c>
      <c r="FV54" s="65">
        <v>485.35</v>
      </c>
      <c r="FW54" s="63">
        <v>631.09</v>
      </c>
      <c r="FX54" s="64">
        <f t="shared" si="1008"/>
        <v>-145.74</v>
      </c>
      <c r="FY54" s="65"/>
      <c r="FZ54" s="63"/>
      <c r="GA54" s="64">
        <f t="shared" si="1009"/>
        <v>0</v>
      </c>
      <c r="GB54" s="65"/>
      <c r="GC54" s="63">
        <v>188.72</v>
      </c>
      <c r="GD54" s="64">
        <f t="shared" si="1010"/>
        <v>-188.72</v>
      </c>
      <c r="GE54" s="66">
        <f t="shared" si="74"/>
        <v>485.35</v>
      </c>
      <c r="GF54" s="67">
        <f t="shared" si="1011"/>
        <v>819.81000000000006</v>
      </c>
      <c r="GG54" s="64">
        <f t="shared" si="1012"/>
        <v>-334.46000000000004</v>
      </c>
      <c r="GH54" s="62"/>
      <c r="GI54" s="63"/>
      <c r="GJ54" s="64">
        <f t="shared" si="1013"/>
        <v>0</v>
      </c>
      <c r="GK54" s="65">
        <v>660.33</v>
      </c>
      <c r="GL54" s="63">
        <v>682.23</v>
      </c>
      <c r="GM54" s="64">
        <f t="shared" si="1014"/>
        <v>-21.899999999999977</v>
      </c>
      <c r="GN54" s="65"/>
      <c r="GO54" s="63"/>
      <c r="GP54" s="64">
        <f t="shared" si="1015"/>
        <v>0</v>
      </c>
      <c r="GQ54" s="65"/>
      <c r="GR54" s="63"/>
      <c r="GS54" s="64">
        <f t="shared" si="1016"/>
        <v>0</v>
      </c>
      <c r="GT54" s="66">
        <f t="shared" si="81"/>
        <v>660.33</v>
      </c>
      <c r="GU54" s="67">
        <f t="shared" si="1017"/>
        <v>682.23</v>
      </c>
      <c r="GV54" s="64">
        <f t="shared" si="1018"/>
        <v>-21.899999999999977</v>
      </c>
      <c r="GW54" s="62"/>
      <c r="GX54" s="63"/>
      <c r="GY54" s="64">
        <f t="shared" si="1019"/>
        <v>0</v>
      </c>
      <c r="GZ54" s="65">
        <v>568.25</v>
      </c>
      <c r="HA54" s="63">
        <v>568.25</v>
      </c>
      <c r="HB54" s="64">
        <f t="shared" si="1020"/>
        <v>0</v>
      </c>
      <c r="HC54" s="65"/>
      <c r="HD54" s="63"/>
      <c r="HE54" s="64">
        <f t="shared" si="1021"/>
        <v>0</v>
      </c>
      <c r="HF54" s="65">
        <v>100</v>
      </c>
      <c r="HG54" s="63"/>
      <c r="HH54" s="64">
        <f t="shared" si="1022"/>
        <v>100</v>
      </c>
      <c r="HI54" s="66">
        <f t="shared" si="84"/>
        <v>668.25</v>
      </c>
      <c r="HJ54" s="67">
        <f t="shared" si="1023"/>
        <v>568.25</v>
      </c>
      <c r="HK54" s="64">
        <f t="shared" si="1024"/>
        <v>100</v>
      </c>
      <c r="HL54" s="62"/>
      <c r="HM54" s="63"/>
      <c r="HN54" s="64">
        <f t="shared" si="1025"/>
        <v>0</v>
      </c>
      <c r="HO54" s="65"/>
      <c r="HP54" s="63"/>
      <c r="HQ54" s="64">
        <f t="shared" si="1026"/>
        <v>0</v>
      </c>
      <c r="HR54" s="65"/>
      <c r="HS54" s="63"/>
      <c r="HT54" s="64">
        <f t="shared" si="1027"/>
        <v>0</v>
      </c>
      <c r="HU54" s="65">
        <v>100</v>
      </c>
      <c r="HV54" s="63"/>
      <c r="HW54" s="64">
        <f t="shared" si="1028"/>
        <v>100</v>
      </c>
      <c r="HX54" s="66">
        <f t="shared" si="91"/>
        <v>100</v>
      </c>
      <c r="HY54" s="67">
        <f t="shared" si="1029"/>
        <v>0</v>
      </c>
      <c r="HZ54" s="64">
        <f t="shared" si="1030"/>
        <v>100</v>
      </c>
      <c r="IA54" s="62"/>
      <c r="IB54" s="63"/>
      <c r="IC54" s="64">
        <f t="shared" si="1031"/>
        <v>0</v>
      </c>
      <c r="ID54" s="65"/>
      <c r="IE54" s="63"/>
      <c r="IF54" s="64">
        <f t="shared" si="1032"/>
        <v>0</v>
      </c>
      <c r="IG54" s="65"/>
      <c r="IH54" s="63"/>
      <c r="II54" s="64">
        <f t="shared" si="1033"/>
        <v>0</v>
      </c>
      <c r="IJ54" s="65">
        <v>100</v>
      </c>
      <c r="IK54" s="63"/>
      <c r="IL54" s="64">
        <f t="shared" si="1034"/>
        <v>100</v>
      </c>
      <c r="IM54" s="66">
        <f t="shared" si="98"/>
        <v>100</v>
      </c>
      <c r="IN54" s="67">
        <f t="shared" si="1035"/>
        <v>0</v>
      </c>
      <c r="IO54" s="64">
        <f t="shared" si="1036"/>
        <v>100</v>
      </c>
      <c r="IP54" s="62"/>
      <c r="IQ54" s="63"/>
      <c r="IR54" s="64">
        <f t="shared" si="1037"/>
        <v>0</v>
      </c>
      <c r="IS54" s="65"/>
      <c r="IT54" s="63"/>
      <c r="IU54" s="64">
        <f t="shared" si="1038"/>
        <v>0</v>
      </c>
      <c r="IV54" s="65"/>
      <c r="IW54" s="63"/>
      <c r="IX54" s="64">
        <f t="shared" si="1039"/>
        <v>0</v>
      </c>
      <c r="IY54" s="65"/>
      <c r="IZ54" s="63"/>
      <c r="JA54" s="64">
        <f t="shared" si="1040"/>
        <v>0</v>
      </c>
      <c r="JB54" s="66">
        <f t="shared" si="105"/>
        <v>0</v>
      </c>
      <c r="JC54" s="67">
        <f t="shared" si="1041"/>
        <v>0</v>
      </c>
      <c r="JD54" s="64">
        <f t="shared" si="1042"/>
        <v>0</v>
      </c>
      <c r="JE54" s="72"/>
      <c r="JF54" s="150"/>
      <c r="JG54" s="74"/>
      <c r="JH54" s="75"/>
      <c r="JI54" s="150"/>
      <c r="JJ54" s="74"/>
      <c r="JK54" s="75"/>
      <c r="JL54" s="150"/>
      <c r="JM54" s="74"/>
      <c r="JN54" s="75"/>
      <c r="JO54" s="150"/>
      <c r="JP54" s="74"/>
      <c r="JQ54" s="76"/>
      <c r="JR54" s="77"/>
      <c r="JS54" s="74"/>
      <c r="JT54" s="72"/>
      <c r="JU54" s="73"/>
      <c r="JV54" s="74"/>
      <c r="JW54" s="75"/>
      <c r="JX54" s="73"/>
      <c r="JY54" s="74"/>
      <c r="JZ54" s="75"/>
      <c r="KA54" s="73"/>
      <c r="KB54" s="74"/>
      <c r="KC54" s="75"/>
      <c r="KD54" s="73"/>
      <c r="KE54" s="74"/>
      <c r="KF54" s="76"/>
      <c r="KG54" s="77"/>
      <c r="KH54" s="64">
        <f t="shared" si="1043"/>
        <v>0</v>
      </c>
      <c r="KI54" s="62"/>
      <c r="KJ54" s="63"/>
      <c r="KK54" s="64">
        <f t="shared" si="1044"/>
        <v>0</v>
      </c>
      <c r="KL54" s="65"/>
      <c r="KM54" s="63"/>
      <c r="KN54" s="64">
        <f t="shared" si="1045"/>
        <v>0</v>
      </c>
      <c r="KO54" s="65"/>
      <c r="KP54" s="63"/>
      <c r="KQ54" s="64">
        <f t="shared" si="1046"/>
        <v>0</v>
      </c>
      <c r="KR54" s="65"/>
      <c r="KS54" s="63"/>
      <c r="KT54" s="64">
        <f t="shared" si="1047"/>
        <v>0</v>
      </c>
      <c r="KU54" s="66">
        <f t="shared" si="1"/>
        <v>0</v>
      </c>
      <c r="KV54" s="67">
        <f t="shared" si="1048"/>
        <v>0</v>
      </c>
      <c r="KW54" s="64">
        <f t="shared" si="1049"/>
        <v>0</v>
      </c>
      <c r="KX54" s="72"/>
      <c r="KY54" s="73"/>
      <c r="KZ54" s="74"/>
      <c r="LA54" s="75"/>
      <c r="LB54" s="73"/>
      <c r="LC54" s="74"/>
      <c r="LD54" s="75"/>
      <c r="LE54" s="73"/>
      <c r="LF54" s="74"/>
      <c r="LG54" s="75"/>
      <c r="LH54" s="73"/>
      <c r="LI54" s="74"/>
      <c r="LJ54" s="76"/>
      <c r="LK54" s="77"/>
      <c r="LL54" s="74"/>
      <c r="LM54" s="62"/>
      <c r="LN54" s="63"/>
      <c r="LO54" s="64">
        <f t="shared" si="1050"/>
        <v>0</v>
      </c>
      <c r="LP54" s="65"/>
      <c r="LQ54" s="63">
        <v>624.11</v>
      </c>
      <c r="LR54" s="64">
        <f t="shared" si="1051"/>
        <v>-624.11</v>
      </c>
      <c r="LS54" s="65"/>
      <c r="LT54" s="63"/>
      <c r="LU54" s="64">
        <f t="shared" si="1052"/>
        <v>0</v>
      </c>
      <c r="LV54" s="65">
        <v>100</v>
      </c>
      <c r="LW54" s="63"/>
      <c r="LX54" s="64">
        <f t="shared" si="1053"/>
        <v>100</v>
      </c>
      <c r="LY54" s="66">
        <f t="shared" si="124"/>
        <v>100</v>
      </c>
      <c r="LZ54" s="67">
        <f t="shared" si="1054"/>
        <v>624.11</v>
      </c>
      <c r="MA54" s="64">
        <f t="shared" si="1055"/>
        <v>-524.11</v>
      </c>
      <c r="MB54" s="62"/>
      <c r="MC54" s="63"/>
      <c r="MD54" s="64">
        <f t="shared" si="1056"/>
        <v>0</v>
      </c>
      <c r="ME54" s="65">
        <v>889.11</v>
      </c>
      <c r="MF54" s="63">
        <v>889.11</v>
      </c>
      <c r="MG54" s="64">
        <f t="shared" si="1057"/>
        <v>0</v>
      </c>
      <c r="MH54" s="65"/>
      <c r="MI54" s="63"/>
      <c r="MJ54" s="64">
        <f t="shared" si="1058"/>
        <v>0</v>
      </c>
      <c r="MK54" s="65">
        <v>100</v>
      </c>
      <c r="ML54" s="63">
        <v>291.55</v>
      </c>
      <c r="MM54" s="64">
        <f t="shared" si="1059"/>
        <v>-191.55</v>
      </c>
      <c r="MN54" s="66">
        <f t="shared" si="131"/>
        <v>989.11</v>
      </c>
      <c r="MO54" s="67">
        <f t="shared" si="1060"/>
        <v>1180.6600000000001</v>
      </c>
      <c r="MP54" s="64">
        <f t="shared" si="1061"/>
        <v>-191.55000000000007</v>
      </c>
      <c r="MQ54" s="62"/>
      <c r="MR54" s="63"/>
      <c r="MS54" s="64">
        <f t="shared" si="1062"/>
        <v>0</v>
      </c>
      <c r="MT54" s="65"/>
      <c r="MU54" s="63"/>
      <c r="MV54" s="64">
        <f t="shared" si="1063"/>
        <v>0</v>
      </c>
      <c r="MW54" s="65"/>
      <c r="MX54" s="63"/>
      <c r="MY54" s="64">
        <f t="shared" si="1064"/>
        <v>0</v>
      </c>
      <c r="MZ54" s="65"/>
      <c r="NA54" s="63"/>
      <c r="NB54" s="64">
        <f t="shared" si="1065"/>
        <v>0</v>
      </c>
      <c r="NC54" s="66">
        <f t="shared" si="138"/>
        <v>0</v>
      </c>
      <c r="ND54" s="67">
        <f t="shared" si="1066"/>
        <v>0</v>
      </c>
      <c r="NE54" s="64">
        <f t="shared" si="1067"/>
        <v>0</v>
      </c>
      <c r="NF54" s="62"/>
      <c r="NG54" s="63"/>
      <c r="NH54" s="64">
        <f t="shared" si="1068"/>
        <v>0</v>
      </c>
      <c r="NI54" s="65">
        <v>1164.04</v>
      </c>
      <c r="NJ54" s="63">
        <v>1164.04</v>
      </c>
      <c r="NK54" s="64">
        <f t="shared" si="1069"/>
        <v>0</v>
      </c>
      <c r="NL54" s="65"/>
      <c r="NM54" s="63"/>
      <c r="NN54" s="64">
        <f t="shared" si="1070"/>
        <v>0</v>
      </c>
      <c r="NO54" s="65">
        <v>100</v>
      </c>
      <c r="NP54" s="63"/>
      <c r="NQ54" s="64">
        <f t="shared" si="1071"/>
        <v>100</v>
      </c>
      <c r="NR54" s="66">
        <f t="shared" si="145"/>
        <v>1264.04</v>
      </c>
      <c r="NS54" s="67">
        <f t="shared" si="1072"/>
        <v>1164.04</v>
      </c>
      <c r="NT54" s="64">
        <f t="shared" si="1073"/>
        <v>100</v>
      </c>
      <c r="NU54" s="62"/>
      <c r="NV54" s="63"/>
      <c r="NW54" s="64">
        <f t="shared" si="1074"/>
        <v>0</v>
      </c>
      <c r="NX54" s="65">
        <v>1152.73</v>
      </c>
      <c r="NY54" s="63">
        <v>1152.73</v>
      </c>
      <c r="NZ54" s="64">
        <f t="shared" si="1075"/>
        <v>0</v>
      </c>
      <c r="OA54" s="65"/>
      <c r="OB54" s="63"/>
      <c r="OC54" s="64">
        <f t="shared" si="1076"/>
        <v>0</v>
      </c>
      <c r="OD54" s="65">
        <v>100</v>
      </c>
      <c r="OE54" s="63"/>
      <c r="OF54" s="64">
        <f t="shared" si="1077"/>
        <v>100</v>
      </c>
      <c r="OG54" s="66">
        <f t="shared" si="152"/>
        <v>1252.73</v>
      </c>
      <c r="OH54" s="67">
        <f t="shared" si="1078"/>
        <v>1152.73</v>
      </c>
      <c r="OI54" s="64">
        <f t="shared" si="1079"/>
        <v>100</v>
      </c>
      <c r="OJ54" s="62">
        <v>17500</v>
      </c>
      <c r="OK54" s="63">
        <v>17500</v>
      </c>
      <c r="OL54" s="64">
        <f t="shared" si="1080"/>
        <v>0</v>
      </c>
      <c r="OM54" s="65"/>
      <c r="ON54" s="63"/>
      <c r="OO54" s="64">
        <f t="shared" si="1081"/>
        <v>0</v>
      </c>
      <c r="OP54" s="65">
        <v>1200</v>
      </c>
      <c r="OQ54" s="63"/>
      <c r="OR54" s="64">
        <f t="shared" si="1082"/>
        <v>1200</v>
      </c>
      <c r="OS54" s="65">
        <v>100</v>
      </c>
      <c r="OT54" s="63"/>
      <c r="OU54" s="64">
        <f t="shared" si="1083"/>
        <v>100</v>
      </c>
      <c r="OV54" s="66">
        <f t="shared" si="159"/>
        <v>18800</v>
      </c>
      <c r="OW54" s="67">
        <f t="shared" si="1084"/>
        <v>17500</v>
      </c>
      <c r="OX54" s="64">
        <f t="shared" si="1085"/>
        <v>1300</v>
      </c>
      <c r="OY54" s="62"/>
      <c r="OZ54" s="63"/>
      <c r="PA54" s="64">
        <f t="shared" si="1086"/>
        <v>0</v>
      </c>
      <c r="PB54" s="65"/>
      <c r="PC54" s="63"/>
      <c r="PD54" s="64">
        <f t="shared" si="1087"/>
        <v>0</v>
      </c>
      <c r="PE54" s="65"/>
      <c r="PF54" s="63"/>
      <c r="PG54" s="64">
        <f t="shared" si="1088"/>
        <v>0</v>
      </c>
      <c r="PH54" s="65">
        <v>100</v>
      </c>
      <c r="PI54" s="63"/>
      <c r="PJ54" s="64">
        <f t="shared" si="1089"/>
        <v>100</v>
      </c>
      <c r="PK54" s="66">
        <f t="shared" si="166"/>
        <v>100</v>
      </c>
      <c r="PL54" s="67">
        <f t="shared" si="1090"/>
        <v>0</v>
      </c>
      <c r="PM54" s="64">
        <f t="shared" si="1091"/>
        <v>100</v>
      </c>
      <c r="PN54" s="62">
        <v>1550</v>
      </c>
      <c r="PO54" s="63">
        <v>1550</v>
      </c>
      <c r="PP54" s="64">
        <f t="shared" si="1092"/>
        <v>0</v>
      </c>
      <c r="PQ54" s="65"/>
      <c r="PR54" s="63"/>
      <c r="PS54" s="64">
        <f t="shared" si="1093"/>
        <v>0</v>
      </c>
      <c r="PT54" s="65"/>
      <c r="PU54" s="63"/>
      <c r="PV54" s="64">
        <f t="shared" si="1094"/>
        <v>0</v>
      </c>
      <c r="PW54" s="65">
        <v>100</v>
      </c>
      <c r="PX54" s="63"/>
      <c r="PY54" s="64">
        <f t="shared" si="1095"/>
        <v>100</v>
      </c>
      <c r="PZ54" s="66">
        <f t="shared" si="173"/>
        <v>1650</v>
      </c>
      <c r="QA54" s="67">
        <f t="shared" si="1096"/>
        <v>1550</v>
      </c>
      <c r="QB54" s="64">
        <f t="shared" si="1097"/>
        <v>100</v>
      </c>
      <c r="QC54" s="62"/>
      <c r="QD54" s="63"/>
      <c r="QE54" s="64">
        <f t="shared" si="1098"/>
        <v>0</v>
      </c>
      <c r="QF54" s="65"/>
      <c r="QG54" s="63"/>
      <c r="QH54" s="64">
        <f t="shared" si="1099"/>
        <v>0</v>
      </c>
      <c r="QI54" s="65"/>
      <c r="QJ54" s="63"/>
      <c r="QK54" s="64">
        <f t="shared" si="1100"/>
        <v>0</v>
      </c>
      <c r="QL54" s="65">
        <v>100</v>
      </c>
      <c r="QM54" s="63"/>
      <c r="QN54" s="64">
        <f t="shared" si="1101"/>
        <v>100</v>
      </c>
      <c r="QO54" s="66">
        <f t="shared" si="180"/>
        <v>100</v>
      </c>
      <c r="QP54" s="67">
        <f t="shared" si="1102"/>
        <v>0</v>
      </c>
      <c r="QQ54" s="64">
        <f t="shared" si="1103"/>
        <v>100</v>
      </c>
      <c r="QR54" s="74"/>
      <c r="QS54" s="74"/>
      <c r="QT54" s="72"/>
      <c r="QU54" s="73"/>
      <c r="QV54" s="74"/>
      <c r="QW54" s="75"/>
      <c r="QX54" s="73"/>
      <c r="QY54" s="74"/>
      <c r="QZ54" s="75"/>
      <c r="RA54" s="73"/>
      <c r="RB54" s="74"/>
      <c r="RC54" s="75"/>
      <c r="RD54" s="73"/>
      <c r="RE54" s="74"/>
      <c r="RF54" s="74"/>
      <c r="RG54" s="72"/>
      <c r="RH54" s="73"/>
      <c r="RI54" s="74"/>
      <c r="RJ54" s="75"/>
      <c r="RK54" s="73"/>
      <c r="RL54" s="74"/>
      <c r="RM54" s="75"/>
      <c r="RN54" s="73"/>
      <c r="RO54" s="74"/>
      <c r="RP54" s="75"/>
      <c r="RQ54" s="73"/>
      <c r="RR54" s="74"/>
      <c r="RS54" s="76"/>
      <c r="RT54" s="77"/>
      <c r="RU54" s="74"/>
      <c r="RV54" s="74"/>
      <c r="RW54" s="72"/>
      <c r="RX54" s="73"/>
      <c r="RY54" s="74"/>
      <c r="RZ54" s="75"/>
      <c r="SA54" s="73"/>
      <c r="SB54" s="74"/>
      <c r="SC54" s="75"/>
      <c r="SD54" s="73"/>
      <c r="SE54" s="74"/>
      <c r="SF54" s="75"/>
      <c r="SG54" s="73"/>
      <c r="SH54" s="74"/>
      <c r="SI54" s="76"/>
      <c r="SJ54" s="64">
        <f t="shared" si="1115"/>
        <v>0</v>
      </c>
      <c r="SK54" s="62"/>
      <c r="SL54" s="63"/>
      <c r="SM54" s="64">
        <f t="shared" si="1116"/>
        <v>0</v>
      </c>
      <c r="SN54" s="65"/>
      <c r="SO54" s="63"/>
      <c r="SP54" s="64">
        <f t="shared" si="1117"/>
        <v>0</v>
      </c>
      <c r="SQ54" s="65"/>
      <c r="SR54" s="63"/>
      <c r="SS54" s="64">
        <f t="shared" si="1118"/>
        <v>0</v>
      </c>
      <c r="ST54" s="65">
        <v>100</v>
      </c>
      <c r="SU54" s="63"/>
      <c r="SV54" s="64">
        <f t="shared" si="1119"/>
        <v>100</v>
      </c>
      <c r="SW54" s="66">
        <f t="shared" si="208"/>
        <v>100</v>
      </c>
      <c r="SX54" s="67">
        <f t="shared" si="1120"/>
        <v>0</v>
      </c>
      <c r="SY54" s="64">
        <f t="shared" si="1121"/>
        <v>100</v>
      </c>
      <c r="SZ54" s="62">
        <v>985.33</v>
      </c>
      <c r="TA54" s="63">
        <v>1050</v>
      </c>
      <c r="TB54" s="64">
        <f t="shared" si="1122"/>
        <v>-64.669999999999959</v>
      </c>
      <c r="TC54" s="65">
        <v>700.9</v>
      </c>
      <c r="TD54" s="63">
        <v>740.15</v>
      </c>
      <c r="TE54" s="64">
        <f t="shared" si="1123"/>
        <v>-39.25</v>
      </c>
      <c r="TF54" s="65"/>
      <c r="TG54" s="63"/>
      <c r="TH54" s="64">
        <f t="shared" si="1124"/>
        <v>0</v>
      </c>
      <c r="TI54" s="65">
        <v>100</v>
      </c>
      <c r="TJ54" s="63">
        <v>295.22000000000003</v>
      </c>
      <c r="TK54" s="64">
        <f t="shared" si="1125"/>
        <v>-195.22000000000003</v>
      </c>
      <c r="TL54" s="66">
        <f t="shared" si="215"/>
        <v>1786.23</v>
      </c>
      <c r="TM54" s="67">
        <f t="shared" si="1126"/>
        <v>2085.37</v>
      </c>
      <c r="TN54" s="64">
        <f t="shared" si="1127"/>
        <v>-299.13999999999987</v>
      </c>
      <c r="TO54" s="62"/>
      <c r="TP54" s="63"/>
      <c r="TQ54" s="64">
        <f t="shared" si="1128"/>
        <v>0</v>
      </c>
      <c r="TR54" s="65"/>
      <c r="TS54" s="63"/>
      <c r="TT54" s="64">
        <f t="shared" si="1129"/>
        <v>0</v>
      </c>
      <c r="TU54" s="65"/>
      <c r="TV54" s="63"/>
      <c r="TW54" s="64">
        <f t="shared" si="1130"/>
        <v>0</v>
      </c>
      <c r="TX54" s="65">
        <v>100</v>
      </c>
      <c r="TY54" s="63">
        <v>93.46</v>
      </c>
      <c r="TZ54" s="64">
        <f t="shared" si="1131"/>
        <v>6.5400000000000063</v>
      </c>
      <c r="UA54" s="66">
        <f t="shared" si="222"/>
        <v>100</v>
      </c>
      <c r="UB54" s="67">
        <f t="shared" si="1132"/>
        <v>93.46</v>
      </c>
      <c r="UC54" s="64">
        <f t="shared" si="1133"/>
        <v>6.5400000000000063</v>
      </c>
      <c r="UD54" s="62"/>
      <c r="UE54" s="63"/>
      <c r="UF54" s="64">
        <f t="shared" si="1134"/>
        <v>0</v>
      </c>
      <c r="UG54" s="65">
        <v>497.04</v>
      </c>
      <c r="UH54" s="63">
        <v>546.91</v>
      </c>
      <c r="UI54" s="64">
        <f t="shared" si="1135"/>
        <v>-49.869999999999948</v>
      </c>
      <c r="UJ54" s="65"/>
      <c r="UK54" s="63"/>
      <c r="UL54" s="64">
        <f t="shared" si="1136"/>
        <v>0</v>
      </c>
      <c r="UM54" s="65">
        <v>100</v>
      </c>
      <c r="UN54" s="63"/>
      <c r="UO54" s="64">
        <f t="shared" si="1137"/>
        <v>100</v>
      </c>
      <c r="UP54" s="66">
        <f t="shared" si="226"/>
        <v>597.04</v>
      </c>
      <c r="UQ54" s="67">
        <f t="shared" si="1138"/>
        <v>546.91</v>
      </c>
      <c r="UR54" s="64">
        <f t="shared" si="1139"/>
        <v>50.129999999999995</v>
      </c>
      <c r="US54" s="74"/>
      <c r="UT54" s="72"/>
      <c r="UU54" s="73"/>
      <c r="UV54" s="74"/>
      <c r="UW54" s="75"/>
      <c r="UX54" s="73"/>
      <c r="UY54" s="74"/>
      <c r="UZ54" s="75"/>
      <c r="VA54" s="73"/>
      <c r="VB54" s="74"/>
      <c r="VC54" s="75"/>
      <c r="VD54" s="73"/>
      <c r="VE54" s="74"/>
      <c r="VF54" s="76"/>
      <c r="VG54" s="77"/>
      <c r="VH54" s="62"/>
      <c r="VI54" s="63"/>
      <c r="VJ54" s="64">
        <f t="shared" si="1140"/>
        <v>0</v>
      </c>
      <c r="VK54" s="65"/>
      <c r="VL54" s="63"/>
      <c r="VM54" s="64">
        <f t="shared" si="1141"/>
        <v>0</v>
      </c>
      <c r="VN54" s="65"/>
      <c r="VO54" s="63"/>
      <c r="VP54" s="64">
        <f t="shared" si="1142"/>
        <v>0</v>
      </c>
      <c r="VQ54" s="65">
        <v>100</v>
      </c>
      <c r="VR54" s="63"/>
      <c r="VS54" s="64">
        <f t="shared" si="1143"/>
        <v>100</v>
      </c>
      <c r="VT54" s="66">
        <f t="shared" si="240"/>
        <v>100</v>
      </c>
      <c r="VU54" s="67">
        <f t="shared" si="1144"/>
        <v>0</v>
      </c>
      <c r="VV54" s="64">
        <f t="shared" si="1145"/>
        <v>100</v>
      </c>
      <c r="VW54" s="74"/>
      <c r="VX54" s="72"/>
      <c r="VY54" s="73"/>
      <c r="VZ54" s="74"/>
      <c r="WA54" s="75"/>
      <c r="WB54" s="73"/>
      <c r="WC54" s="74"/>
      <c r="WD54" s="75"/>
      <c r="WE54" s="73"/>
      <c r="WF54" s="74"/>
      <c r="WG54" s="75"/>
      <c r="WH54" s="73"/>
      <c r="WI54" s="74"/>
      <c r="WJ54" s="76"/>
      <c r="WK54" s="77"/>
      <c r="WL54" s="62">
        <v>1376.01</v>
      </c>
      <c r="WM54" s="63">
        <v>1376.01</v>
      </c>
      <c r="WN54" s="64">
        <f t="shared" si="1146"/>
        <v>0</v>
      </c>
      <c r="WO54" s="65"/>
      <c r="WP54" s="63"/>
      <c r="WQ54" s="64">
        <f t="shared" si="1147"/>
        <v>0</v>
      </c>
      <c r="WR54" s="65"/>
      <c r="WS54" s="63"/>
      <c r="WT54" s="64">
        <f t="shared" si="1148"/>
        <v>0</v>
      </c>
      <c r="WU54" s="65">
        <v>100</v>
      </c>
      <c r="WV54" s="63"/>
      <c r="WW54" s="64">
        <f t="shared" si="1149"/>
        <v>100</v>
      </c>
      <c r="WX54" s="66">
        <f t="shared" si="254"/>
        <v>1476.01</v>
      </c>
      <c r="WY54" s="67">
        <f t="shared" si="1150"/>
        <v>1376.01</v>
      </c>
      <c r="WZ54" s="64">
        <f t="shared" si="1151"/>
        <v>100</v>
      </c>
      <c r="XA54" s="74"/>
      <c r="XB54" s="72"/>
      <c r="XC54" s="73"/>
      <c r="XD54" s="74"/>
      <c r="XE54" s="75"/>
      <c r="XF54" s="73"/>
      <c r="XG54" s="74"/>
      <c r="XH54" s="75"/>
      <c r="XI54" s="73"/>
      <c r="XJ54" s="74"/>
      <c r="XK54" s="75"/>
      <c r="XL54" s="73"/>
      <c r="XM54" s="74"/>
      <c r="XN54" s="76"/>
      <c r="XO54" s="77"/>
      <c r="XP54" s="62"/>
      <c r="XQ54" s="63"/>
      <c r="XR54" s="64">
        <f t="shared" si="1158"/>
        <v>0</v>
      </c>
      <c r="XS54" s="65">
        <v>844.24</v>
      </c>
      <c r="XT54" s="63">
        <v>844.24</v>
      </c>
      <c r="XU54" s="64">
        <f t="shared" si="1159"/>
        <v>0</v>
      </c>
      <c r="XV54" s="65"/>
      <c r="XW54" s="63"/>
      <c r="XX54" s="64">
        <f t="shared" si="1160"/>
        <v>0</v>
      </c>
      <c r="XY54" s="65">
        <v>100</v>
      </c>
      <c r="XZ54" s="63">
        <v>83.65</v>
      </c>
      <c r="YA54" s="64">
        <f t="shared" si="1161"/>
        <v>16.349999999999994</v>
      </c>
      <c r="YB54" s="66">
        <f t="shared" si="268"/>
        <v>944.24</v>
      </c>
      <c r="YC54" s="67">
        <f t="shared" si="1162"/>
        <v>927.89</v>
      </c>
      <c r="YD54" s="64">
        <f t="shared" si="1163"/>
        <v>16.350000000000023</v>
      </c>
      <c r="YE54" s="62"/>
      <c r="YF54" s="63"/>
      <c r="YG54" s="64">
        <f t="shared" si="1164"/>
        <v>0</v>
      </c>
      <c r="YH54" s="65">
        <v>847.85</v>
      </c>
      <c r="YI54" s="63">
        <v>847.85</v>
      </c>
      <c r="YJ54" s="64">
        <f>YH54-YI54</f>
        <v>0</v>
      </c>
      <c r="YK54" s="65"/>
      <c r="YL54" s="63"/>
      <c r="YM54" s="64">
        <f t="shared" si="1166"/>
        <v>0</v>
      </c>
      <c r="YN54" s="65">
        <v>100</v>
      </c>
      <c r="YO54" s="63">
        <v>115.29</v>
      </c>
      <c r="YP54" s="64">
        <f t="shared" si="1167"/>
        <v>-15.290000000000006</v>
      </c>
      <c r="YQ54" s="66">
        <f t="shared" si="275"/>
        <v>947.85</v>
      </c>
      <c r="YR54" s="67">
        <f>YF54+YI54+YL54++YO54</f>
        <v>963.14</v>
      </c>
      <c r="YS54" s="64">
        <f t="shared" si="1169"/>
        <v>-15.289999999999964</v>
      </c>
      <c r="YT54" s="62"/>
      <c r="YU54" s="63"/>
      <c r="YV54" s="64">
        <f t="shared" si="1170"/>
        <v>0</v>
      </c>
      <c r="YW54" s="65">
        <v>695.73</v>
      </c>
      <c r="YX54" s="63">
        <v>695.73</v>
      </c>
      <c r="YY54" s="64">
        <f t="shared" si="1171"/>
        <v>0</v>
      </c>
      <c r="YZ54" s="65"/>
      <c r="ZA54" s="63"/>
      <c r="ZB54" s="64">
        <f t="shared" si="1172"/>
        <v>0</v>
      </c>
      <c r="ZC54" s="65">
        <v>100</v>
      </c>
      <c r="ZD54" s="63">
        <v>103.3</v>
      </c>
      <c r="ZE54" s="64">
        <f t="shared" si="1173"/>
        <v>-3.2999999999999972</v>
      </c>
      <c r="ZF54" s="66">
        <f t="shared" si="282"/>
        <v>795.73</v>
      </c>
      <c r="ZG54" s="67">
        <f t="shared" si="1174"/>
        <v>799.03</v>
      </c>
      <c r="ZH54" s="74"/>
      <c r="ZI54" s="72"/>
      <c r="ZJ54" s="73"/>
      <c r="ZK54" s="74"/>
      <c r="ZL54" s="75"/>
      <c r="ZM54" s="73"/>
      <c r="ZN54" s="74"/>
      <c r="ZO54" s="75"/>
      <c r="ZP54" s="73"/>
      <c r="ZQ54" s="74"/>
      <c r="ZR54" s="75"/>
      <c r="ZS54" s="73"/>
      <c r="ZT54" s="74"/>
      <c r="ZU54" s="76"/>
      <c r="ZV54" s="77"/>
      <c r="ZW54" s="64">
        <f t="shared" si="1175"/>
        <v>0</v>
      </c>
      <c r="ZX54" s="62">
        <v>24.71</v>
      </c>
      <c r="ZY54" s="63">
        <v>62.91</v>
      </c>
      <c r="ZZ54" s="64">
        <f t="shared" si="1176"/>
        <v>-38.199999999999996</v>
      </c>
      <c r="AAA54" s="66">
        <f t="shared" si="293"/>
        <v>24.71</v>
      </c>
      <c r="AAB54" s="67">
        <f t="shared" si="293"/>
        <v>62.91</v>
      </c>
      <c r="AAC54" s="64">
        <f t="shared" si="1177"/>
        <v>-38.199999999999996</v>
      </c>
      <c r="AAD54" s="85">
        <f t="shared" si="295"/>
        <v>44069.98</v>
      </c>
      <c r="AAE54" s="86">
        <f t="shared" si="295"/>
        <v>41634.539999999994</v>
      </c>
      <c r="AAF54" s="87">
        <f t="shared" si="3"/>
        <v>0.94473698422372754</v>
      </c>
      <c r="AAG54" s="88">
        <f t="shared" si="1178"/>
        <v>-2435.4400000000096</v>
      </c>
      <c r="AAH54" s="96">
        <f>AAH50-AAH46</f>
        <v>-46800.260000000242</v>
      </c>
      <c r="AAI54" s="97"/>
      <c r="AAJ54" s="97"/>
      <c r="AAK54" s="60"/>
    </row>
    <row r="55" spans="1:713" s="83" customFormat="1" ht="20" customHeight="1" thickBot="1" x14ac:dyDescent="0.25">
      <c r="A55" s="153"/>
      <c r="B55" s="96"/>
      <c r="C55" s="97"/>
      <c r="D55" s="97"/>
      <c r="E55" s="60"/>
      <c r="F55" s="61">
        <v>45992</v>
      </c>
      <c r="G55" s="62"/>
      <c r="H55" s="63"/>
      <c r="I55" s="64">
        <f t="shared" si="951"/>
        <v>0</v>
      </c>
      <c r="J55" s="65">
        <v>3486.88</v>
      </c>
      <c r="K55" s="63"/>
      <c r="L55" s="64">
        <f t="shared" si="952"/>
        <v>3486.88</v>
      </c>
      <c r="M55" s="65">
        <v>3500</v>
      </c>
      <c r="N55" s="63"/>
      <c r="O55" s="64">
        <f t="shared" si="953"/>
        <v>3500</v>
      </c>
      <c r="P55" s="65">
        <v>1000</v>
      </c>
      <c r="Q55" s="63"/>
      <c r="R55" s="64">
        <f t="shared" si="954"/>
        <v>1000</v>
      </c>
      <c r="S55" s="65">
        <v>181</v>
      </c>
      <c r="T55" s="63"/>
      <c r="U55" s="64">
        <f t="shared" si="955"/>
        <v>181</v>
      </c>
      <c r="V55" s="66">
        <f t="shared" si="956"/>
        <v>8167.88</v>
      </c>
      <c r="W55" s="67">
        <f t="shared" si="956"/>
        <v>0</v>
      </c>
      <c r="X55" s="64">
        <f t="shared" si="957"/>
        <v>8167.88</v>
      </c>
      <c r="Y55" s="72"/>
      <c r="Z55" s="73"/>
      <c r="AA55" s="74"/>
      <c r="AB55" s="75"/>
      <c r="AC55" s="73"/>
      <c r="AD55" s="74"/>
      <c r="AE55" s="75"/>
      <c r="AF55" s="73"/>
      <c r="AG55" s="74"/>
      <c r="AH55" s="75"/>
      <c r="AI55" s="73"/>
      <c r="AJ55" s="74"/>
      <c r="AK55" s="76"/>
      <c r="AL55" s="77"/>
      <c r="AM55" s="64">
        <f t="shared" si="958"/>
        <v>0</v>
      </c>
      <c r="AN55" s="62"/>
      <c r="AO55" s="63"/>
      <c r="AP55" s="64">
        <f t="shared" si="1179"/>
        <v>0</v>
      </c>
      <c r="AQ55" s="65"/>
      <c r="AR55" s="63"/>
      <c r="AS55" s="64">
        <f t="shared" si="959"/>
        <v>0</v>
      </c>
      <c r="AT55" s="65"/>
      <c r="AU55" s="63"/>
      <c r="AV55" s="64">
        <f t="shared" si="960"/>
        <v>0</v>
      </c>
      <c r="AW55" s="65"/>
      <c r="AX55" s="63"/>
      <c r="AY55" s="64">
        <f t="shared" si="961"/>
        <v>0</v>
      </c>
      <c r="AZ55" s="66">
        <f t="shared" si="23"/>
        <v>0</v>
      </c>
      <c r="BA55" s="67">
        <f t="shared" si="962"/>
        <v>0</v>
      </c>
      <c r="BB55" s="64">
        <f t="shared" si="963"/>
        <v>0</v>
      </c>
      <c r="BC55" s="62">
        <v>6150</v>
      </c>
      <c r="BD55" s="63"/>
      <c r="BE55" s="64">
        <f t="shared" si="964"/>
        <v>6150</v>
      </c>
      <c r="BF55" s="65"/>
      <c r="BG55" s="63"/>
      <c r="BH55" s="64">
        <f t="shared" si="965"/>
        <v>0</v>
      </c>
      <c r="BI55" s="65"/>
      <c r="BJ55" s="63"/>
      <c r="BK55" s="64">
        <f t="shared" si="966"/>
        <v>0</v>
      </c>
      <c r="BL55" s="65">
        <v>100</v>
      </c>
      <c r="BM55" s="63"/>
      <c r="BN55" s="64">
        <f t="shared" si="967"/>
        <v>100</v>
      </c>
      <c r="BO55" s="66">
        <f t="shared" si="30"/>
        <v>6250</v>
      </c>
      <c r="BP55" s="67">
        <f t="shared" si="968"/>
        <v>0</v>
      </c>
      <c r="BQ55" s="64">
        <f t="shared" si="969"/>
        <v>6250</v>
      </c>
      <c r="BR55" s="72"/>
      <c r="BS55" s="73"/>
      <c r="BT55" s="74"/>
      <c r="BU55" s="75"/>
      <c r="BV55" s="73"/>
      <c r="BW55" s="74"/>
      <c r="BX55" s="75"/>
      <c r="BY55" s="73"/>
      <c r="BZ55" s="74"/>
      <c r="CA55" s="75"/>
      <c r="CB55" s="73"/>
      <c r="CC55" s="74"/>
      <c r="CD55" s="76"/>
      <c r="CE55" s="77"/>
      <c r="CF55" s="64">
        <f t="shared" si="970"/>
        <v>0</v>
      </c>
      <c r="CG55" s="62"/>
      <c r="CH55" s="63"/>
      <c r="CI55" s="64">
        <f t="shared" si="971"/>
        <v>0</v>
      </c>
      <c r="CJ55" s="65"/>
      <c r="CK55" s="63"/>
      <c r="CL55" s="64">
        <f t="shared" si="972"/>
        <v>0</v>
      </c>
      <c r="CM55" s="65"/>
      <c r="CN55" s="63"/>
      <c r="CO55" s="64">
        <f t="shared" si="973"/>
        <v>0</v>
      </c>
      <c r="CP55" s="65"/>
      <c r="CQ55" s="63"/>
      <c r="CR55" s="64">
        <f t="shared" si="974"/>
        <v>0</v>
      </c>
      <c r="CS55" s="66">
        <f t="shared" si="40"/>
        <v>0</v>
      </c>
      <c r="CT55" s="67">
        <f t="shared" si="975"/>
        <v>0</v>
      </c>
      <c r="CU55" s="64">
        <f t="shared" si="976"/>
        <v>0</v>
      </c>
      <c r="CV55" s="62">
        <v>2916.7</v>
      </c>
      <c r="CW55" s="63"/>
      <c r="CX55" s="64">
        <f t="shared" si="977"/>
        <v>2916.7</v>
      </c>
      <c r="CY55" s="65">
        <v>429.15</v>
      </c>
      <c r="CZ55" s="63"/>
      <c r="DA55" s="64">
        <f t="shared" si="978"/>
        <v>429.15</v>
      </c>
      <c r="DB55" s="65"/>
      <c r="DC55" s="63"/>
      <c r="DD55" s="64">
        <f t="shared" si="979"/>
        <v>0</v>
      </c>
      <c r="DE55" s="65"/>
      <c r="DF55" s="63"/>
      <c r="DG55" s="64">
        <f t="shared" si="980"/>
        <v>0</v>
      </c>
      <c r="DH55" s="66">
        <f t="shared" si="43"/>
        <v>3345.85</v>
      </c>
      <c r="DI55" s="67">
        <f t="shared" si="981"/>
        <v>0</v>
      </c>
      <c r="DJ55" s="64">
        <f t="shared" si="982"/>
        <v>3345.85</v>
      </c>
      <c r="DK55" s="62">
        <v>2400</v>
      </c>
      <c r="DL55" s="63"/>
      <c r="DM55" s="64">
        <f t="shared" si="983"/>
        <v>2400</v>
      </c>
      <c r="DN55" s="65">
        <v>913.08</v>
      </c>
      <c r="DO55" s="63"/>
      <c r="DP55" s="64">
        <f t="shared" si="984"/>
        <v>913.08</v>
      </c>
      <c r="DQ55" s="65"/>
      <c r="DR55" s="63"/>
      <c r="DS55" s="64">
        <f t="shared" si="985"/>
        <v>0</v>
      </c>
      <c r="DT55" s="65">
        <v>100</v>
      </c>
      <c r="DU55" s="63"/>
      <c r="DV55" s="64">
        <f t="shared" si="986"/>
        <v>100</v>
      </c>
      <c r="DW55" s="66">
        <f t="shared" si="46"/>
        <v>3413.08</v>
      </c>
      <c r="DX55" s="67">
        <f t="shared" si="987"/>
        <v>0</v>
      </c>
      <c r="DY55" s="64">
        <f t="shared" si="988"/>
        <v>3413.08</v>
      </c>
      <c r="DZ55" s="62"/>
      <c r="EA55" s="63"/>
      <c r="EB55" s="64">
        <f t="shared" si="989"/>
        <v>0</v>
      </c>
      <c r="EC55" s="65"/>
      <c r="ED55" s="63"/>
      <c r="EE55" s="64">
        <f t="shared" si="990"/>
        <v>0</v>
      </c>
      <c r="EF55" s="65"/>
      <c r="EG55" s="63"/>
      <c r="EH55" s="64">
        <f t="shared" si="991"/>
        <v>0</v>
      </c>
      <c r="EI55" s="65">
        <v>100</v>
      </c>
      <c r="EJ55" s="63"/>
      <c r="EK55" s="64">
        <f t="shared" si="992"/>
        <v>100</v>
      </c>
      <c r="EL55" s="66">
        <f t="shared" si="53"/>
        <v>100</v>
      </c>
      <c r="EM55" s="67">
        <f t="shared" si="993"/>
        <v>0</v>
      </c>
      <c r="EN55" s="64">
        <f t="shared" si="994"/>
        <v>100</v>
      </c>
      <c r="EO55" s="62">
        <v>6150</v>
      </c>
      <c r="EP55" s="63"/>
      <c r="EQ55" s="64">
        <f t="shared" si="995"/>
        <v>6150</v>
      </c>
      <c r="ER55" s="65"/>
      <c r="ES55" s="63"/>
      <c r="ET55" s="64">
        <f t="shared" si="996"/>
        <v>0</v>
      </c>
      <c r="EU55" s="65"/>
      <c r="EV55" s="63"/>
      <c r="EW55" s="64">
        <f t="shared" si="997"/>
        <v>0</v>
      </c>
      <c r="EX55" s="65">
        <v>100</v>
      </c>
      <c r="EY55" s="63"/>
      <c r="EZ55" s="64">
        <f t="shared" si="998"/>
        <v>100</v>
      </c>
      <c r="FA55" s="66">
        <f t="shared" si="60"/>
        <v>6250</v>
      </c>
      <c r="FB55" s="67">
        <f t="shared" si="999"/>
        <v>0</v>
      </c>
      <c r="FC55" s="64">
        <f t="shared" si="1000"/>
        <v>6250</v>
      </c>
      <c r="FD55" s="62">
        <v>6150</v>
      </c>
      <c r="FE55" s="63"/>
      <c r="FF55" s="64">
        <f t="shared" si="1001"/>
        <v>6150</v>
      </c>
      <c r="FG55" s="65"/>
      <c r="FH55" s="63"/>
      <c r="FI55" s="64">
        <f t="shared" si="1002"/>
        <v>0</v>
      </c>
      <c r="FJ55" s="65"/>
      <c r="FK55" s="63"/>
      <c r="FL55" s="64">
        <f t="shared" si="1003"/>
        <v>0</v>
      </c>
      <c r="FM55" s="65">
        <v>100</v>
      </c>
      <c r="FN55" s="63"/>
      <c r="FO55" s="64">
        <f t="shared" si="1004"/>
        <v>100</v>
      </c>
      <c r="FP55" s="66">
        <f t="shared" si="67"/>
        <v>6250</v>
      </c>
      <c r="FQ55" s="67">
        <f t="shared" si="1005"/>
        <v>0</v>
      </c>
      <c r="FR55" s="64">
        <f t="shared" si="1006"/>
        <v>6250</v>
      </c>
      <c r="FS55" s="62"/>
      <c r="FT55" s="63"/>
      <c r="FU55" s="64">
        <f t="shared" si="1007"/>
        <v>0</v>
      </c>
      <c r="FV55" s="65">
        <v>485.35</v>
      </c>
      <c r="FW55" s="63"/>
      <c r="FX55" s="64">
        <f t="shared" si="1008"/>
        <v>485.35</v>
      </c>
      <c r="FY55" s="65"/>
      <c r="FZ55" s="63"/>
      <c r="GA55" s="64">
        <f t="shared" si="1009"/>
        <v>0</v>
      </c>
      <c r="GB55" s="65"/>
      <c r="GC55" s="63"/>
      <c r="GD55" s="64">
        <f t="shared" si="1010"/>
        <v>0</v>
      </c>
      <c r="GE55" s="66">
        <f t="shared" si="74"/>
        <v>485.35</v>
      </c>
      <c r="GF55" s="67">
        <f t="shared" si="1011"/>
        <v>0</v>
      </c>
      <c r="GG55" s="64">
        <f t="shared" si="1012"/>
        <v>485.35</v>
      </c>
      <c r="GH55" s="62"/>
      <c r="GI55" s="63"/>
      <c r="GJ55" s="64">
        <f t="shared" si="1013"/>
        <v>0</v>
      </c>
      <c r="GK55" s="65">
        <v>660.33</v>
      </c>
      <c r="GL55" s="63"/>
      <c r="GM55" s="64">
        <f t="shared" si="1014"/>
        <v>660.33</v>
      </c>
      <c r="GN55" s="65"/>
      <c r="GO55" s="63"/>
      <c r="GP55" s="64">
        <f t="shared" si="1015"/>
        <v>0</v>
      </c>
      <c r="GQ55" s="65"/>
      <c r="GR55" s="63"/>
      <c r="GS55" s="64">
        <f t="shared" si="1016"/>
        <v>0</v>
      </c>
      <c r="GT55" s="66">
        <f t="shared" si="81"/>
        <v>660.33</v>
      </c>
      <c r="GU55" s="67">
        <f t="shared" si="1017"/>
        <v>0</v>
      </c>
      <c r="GV55" s="64">
        <f t="shared" si="1018"/>
        <v>660.33</v>
      </c>
      <c r="GW55" s="62"/>
      <c r="GX55" s="63"/>
      <c r="GY55" s="64">
        <f t="shared" si="1019"/>
        <v>0</v>
      </c>
      <c r="GZ55" s="65">
        <v>568.25</v>
      </c>
      <c r="HA55" s="63"/>
      <c r="HB55" s="64">
        <f t="shared" si="1020"/>
        <v>568.25</v>
      </c>
      <c r="HC55" s="65"/>
      <c r="HD55" s="63"/>
      <c r="HE55" s="64">
        <f t="shared" si="1021"/>
        <v>0</v>
      </c>
      <c r="HF55" s="65">
        <v>100</v>
      </c>
      <c r="HG55" s="63"/>
      <c r="HH55" s="64">
        <f t="shared" si="1022"/>
        <v>100</v>
      </c>
      <c r="HI55" s="66">
        <f t="shared" si="84"/>
        <v>668.25</v>
      </c>
      <c r="HJ55" s="67">
        <f t="shared" si="1023"/>
        <v>0</v>
      </c>
      <c r="HK55" s="64">
        <f t="shared" si="1024"/>
        <v>668.25</v>
      </c>
      <c r="HL55" s="62">
        <v>6150</v>
      </c>
      <c r="HM55" s="63"/>
      <c r="HN55" s="64">
        <f t="shared" si="1025"/>
        <v>6150</v>
      </c>
      <c r="HO55" s="65"/>
      <c r="HP55" s="63"/>
      <c r="HQ55" s="64">
        <f t="shared" si="1026"/>
        <v>0</v>
      </c>
      <c r="HR55" s="65"/>
      <c r="HS55" s="63"/>
      <c r="HT55" s="64">
        <f t="shared" si="1027"/>
        <v>0</v>
      </c>
      <c r="HU55" s="65">
        <v>100</v>
      </c>
      <c r="HV55" s="63"/>
      <c r="HW55" s="64">
        <f t="shared" si="1028"/>
        <v>100</v>
      </c>
      <c r="HX55" s="66">
        <f t="shared" si="91"/>
        <v>6250</v>
      </c>
      <c r="HY55" s="67">
        <f t="shared" si="1029"/>
        <v>0</v>
      </c>
      <c r="HZ55" s="64">
        <f t="shared" si="1030"/>
        <v>6250</v>
      </c>
      <c r="IA55" s="62"/>
      <c r="IB55" s="63"/>
      <c r="IC55" s="64">
        <f t="shared" si="1031"/>
        <v>0</v>
      </c>
      <c r="ID55" s="65"/>
      <c r="IE55" s="63"/>
      <c r="IF55" s="64">
        <f t="shared" si="1032"/>
        <v>0</v>
      </c>
      <c r="IG55" s="65"/>
      <c r="IH55" s="63"/>
      <c r="II55" s="64">
        <f t="shared" si="1033"/>
        <v>0</v>
      </c>
      <c r="IJ55" s="65">
        <v>100</v>
      </c>
      <c r="IK55" s="63"/>
      <c r="IL55" s="64">
        <f t="shared" si="1034"/>
        <v>100</v>
      </c>
      <c r="IM55" s="66">
        <f t="shared" si="98"/>
        <v>100</v>
      </c>
      <c r="IN55" s="67">
        <f t="shared" si="1035"/>
        <v>0</v>
      </c>
      <c r="IO55" s="64">
        <f t="shared" si="1036"/>
        <v>100</v>
      </c>
      <c r="IP55" s="62"/>
      <c r="IQ55" s="63"/>
      <c r="IR55" s="64">
        <f t="shared" si="1037"/>
        <v>0</v>
      </c>
      <c r="IS55" s="65"/>
      <c r="IT55" s="63"/>
      <c r="IU55" s="64">
        <f t="shared" si="1038"/>
        <v>0</v>
      </c>
      <c r="IV55" s="65"/>
      <c r="IW55" s="63"/>
      <c r="IX55" s="64">
        <f t="shared" si="1039"/>
        <v>0</v>
      </c>
      <c r="IY55" s="65"/>
      <c r="IZ55" s="63"/>
      <c r="JA55" s="64">
        <f t="shared" si="1040"/>
        <v>0</v>
      </c>
      <c r="JB55" s="66">
        <f t="shared" si="105"/>
        <v>0</v>
      </c>
      <c r="JC55" s="67">
        <f t="shared" si="1041"/>
        <v>0</v>
      </c>
      <c r="JD55" s="64">
        <f t="shared" si="1042"/>
        <v>0</v>
      </c>
      <c r="JE55" s="72"/>
      <c r="JF55" s="150"/>
      <c r="JG55" s="74"/>
      <c r="JH55" s="75"/>
      <c r="JI55" s="150"/>
      <c r="JJ55" s="74"/>
      <c r="JK55" s="75"/>
      <c r="JL55" s="150"/>
      <c r="JM55" s="74"/>
      <c r="JN55" s="75"/>
      <c r="JO55" s="150"/>
      <c r="JP55" s="74"/>
      <c r="JQ55" s="76"/>
      <c r="JR55" s="77"/>
      <c r="JS55" s="74"/>
      <c r="JT55" s="72"/>
      <c r="JU55" s="73"/>
      <c r="JV55" s="74"/>
      <c r="JW55" s="75"/>
      <c r="JX55" s="73"/>
      <c r="JY55" s="74"/>
      <c r="JZ55" s="75"/>
      <c r="KA55" s="73"/>
      <c r="KB55" s="74"/>
      <c r="KC55" s="75"/>
      <c r="KD55" s="73"/>
      <c r="KE55" s="74"/>
      <c r="KF55" s="76"/>
      <c r="KG55" s="77"/>
      <c r="KH55" s="64">
        <f t="shared" si="1043"/>
        <v>0</v>
      </c>
      <c r="KI55" s="62"/>
      <c r="KJ55" s="63"/>
      <c r="KK55" s="64">
        <f t="shared" si="1044"/>
        <v>0</v>
      </c>
      <c r="KL55" s="65"/>
      <c r="KM55" s="63"/>
      <c r="KN55" s="64">
        <f t="shared" si="1045"/>
        <v>0</v>
      </c>
      <c r="KO55" s="65"/>
      <c r="KP55" s="63"/>
      <c r="KQ55" s="64">
        <f t="shared" si="1046"/>
        <v>0</v>
      </c>
      <c r="KR55" s="65"/>
      <c r="KS55" s="63"/>
      <c r="KT55" s="64">
        <f t="shared" si="1047"/>
        <v>0</v>
      </c>
      <c r="KU55" s="66">
        <f t="shared" si="1"/>
        <v>0</v>
      </c>
      <c r="KV55" s="67">
        <f t="shared" si="1048"/>
        <v>0</v>
      </c>
      <c r="KW55" s="64">
        <f t="shared" si="1049"/>
        <v>0</v>
      </c>
      <c r="KX55" s="72"/>
      <c r="KY55" s="73"/>
      <c r="KZ55" s="74"/>
      <c r="LA55" s="75"/>
      <c r="LB55" s="73"/>
      <c r="LC55" s="74"/>
      <c r="LD55" s="75"/>
      <c r="LE55" s="73"/>
      <c r="LF55" s="74"/>
      <c r="LG55" s="75"/>
      <c r="LH55" s="73"/>
      <c r="LI55" s="74"/>
      <c r="LJ55" s="76"/>
      <c r="LK55" s="77"/>
      <c r="LL55" s="74"/>
      <c r="LM55" s="62"/>
      <c r="LN55" s="63"/>
      <c r="LO55" s="64">
        <f t="shared" si="1050"/>
        <v>0</v>
      </c>
      <c r="LP55" s="65"/>
      <c r="LQ55" s="63"/>
      <c r="LR55" s="64">
        <f t="shared" si="1051"/>
        <v>0</v>
      </c>
      <c r="LS55" s="65"/>
      <c r="LT55" s="63"/>
      <c r="LU55" s="64">
        <f t="shared" si="1052"/>
        <v>0</v>
      </c>
      <c r="LV55" s="65">
        <v>100</v>
      </c>
      <c r="LW55" s="63"/>
      <c r="LX55" s="64">
        <f t="shared" si="1053"/>
        <v>100</v>
      </c>
      <c r="LY55" s="66">
        <f t="shared" si="124"/>
        <v>100</v>
      </c>
      <c r="LZ55" s="67">
        <f t="shared" si="1054"/>
        <v>0</v>
      </c>
      <c r="MA55" s="64">
        <f t="shared" si="1055"/>
        <v>100</v>
      </c>
      <c r="MB55" s="62"/>
      <c r="MC55" s="63"/>
      <c r="MD55" s="64">
        <f t="shared" si="1056"/>
        <v>0</v>
      </c>
      <c r="ME55" s="65">
        <v>889.11</v>
      </c>
      <c r="MF55" s="63"/>
      <c r="MG55" s="64">
        <f t="shared" si="1057"/>
        <v>889.11</v>
      </c>
      <c r="MH55" s="65"/>
      <c r="MI55" s="63"/>
      <c r="MJ55" s="64">
        <f t="shared" si="1058"/>
        <v>0</v>
      </c>
      <c r="MK55" s="65">
        <v>100</v>
      </c>
      <c r="ML55" s="63"/>
      <c r="MM55" s="64">
        <f t="shared" si="1059"/>
        <v>100</v>
      </c>
      <c r="MN55" s="66">
        <f t="shared" si="131"/>
        <v>989.11</v>
      </c>
      <c r="MO55" s="67">
        <f t="shared" si="1060"/>
        <v>0</v>
      </c>
      <c r="MP55" s="64">
        <f t="shared" si="1061"/>
        <v>989.11</v>
      </c>
      <c r="MQ55" s="62"/>
      <c r="MR55" s="63"/>
      <c r="MS55" s="64">
        <f t="shared" si="1062"/>
        <v>0</v>
      </c>
      <c r="MT55" s="65"/>
      <c r="MU55" s="63"/>
      <c r="MV55" s="64">
        <f t="shared" si="1063"/>
        <v>0</v>
      </c>
      <c r="MW55" s="65"/>
      <c r="MX55" s="63"/>
      <c r="MY55" s="64">
        <f t="shared" si="1064"/>
        <v>0</v>
      </c>
      <c r="MZ55" s="65"/>
      <c r="NA55" s="63"/>
      <c r="NB55" s="64">
        <f t="shared" si="1065"/>
        <v>0</v>
      </c>
      <c r="NC55" s="66">
        <f t="shared" si="138"/>
        <v>0</v>
      </c>
      <c r="ND55" s="67">
        <f t="shared" si="1066"/>
        <v>0</v>
      </c>
      <c r="NE55" s="64">
        <f t="shared" si="1067"/>
        <v>0</v>
      </c>
      <c r="NF55" s="62"/>
      <c r="NG55" s="63"/>
      <c r="NH55" s="64">
        <f t="shared" si="1068"/>
        <v>0</v>
      </c>
      <c r="NI55" s="65">
        <v>1164.04</v>
      </c>
      <c r="NJ55" s="63"/>
      <c r="NK55" s="64">
        <f t="shared" si="1069"/>
        <v>1164.04</v>
      </c>
      <c r="NL55" s="65"/>
      <c r="NM55" s="63"/>
      <c r="NN55" s="64">
        <f t="shared" si="1070"/>
        <v>0</v>
      </c>
      <c r="NO55" s="65">
        <v>100</v>
      </c>
      <c r="NP55" s="63"/>
      <c r="NQ55" s="64">
        <f t="shared" si="1071"/>
        <v>100</v>
      </c>
      <c r="NR55" s="66">
        <f t="shared" si="145"/>
        <v>1264.04</v>
      </c>
      <c r="NS55" s="67">
        <f t="shared" si="1072"/>
        <v>0</v>
      </c>
      <c r="NT55" s="64">
        <f t="shared" si="1073"/>
        <v>1264.04</v>
      </c>
      <c r="NU55" s="62"/>
      <c r="NV55" s="63"/>
      <c r="NW55" s="64">
        <f t="shared" si="1074"/>
        <v>0</v>
      </c>
      <c r="NX55" s="65">
        <v>1152.73</v>
      </c>
      <c r="NY55" s="63">
        <v>1152.73</v>
      </c>
      <c r="NZ55" s="64">
        <f t="shared" si="1075"/>
        <v>0</v>
      </c>
      <c r="OA55" s="65"/>
      <c r="OB55" s="63"/>
      <c r="OC55" s="64">
        <f t="shared" si="1076"/>
        <v>0</v>
      </c>
      <c r="OD55" s="65">
        <v>100</v>
      </c>
      <c r="OE55" s="63"/>
      <c r="OF55" s="64">
        <f t="shared" si="1077"/>
        <v>100</v>
      </c>
      <c r="OG55" s="66">
        <f t="shared" si="152"/>
        <v>1252.73</v>
      </c>
      <c r="OH55" s="67">
        <f t="shared" si="1078"/>
        <v>1152.73</v>
      </c>
      <c r="OI55" s="64">
        <f t="shared" si="1079"/>
        <v>100</v>
      </c>
      <c r="OJ55" s="62"/>
      <c r="OK55" s="63"/>
      <c r="OL55" s="64">
        <f t="shared" si="1080"/>
        <v>0</v>
      </c>
      <c r="OM55" s="65"/>
      <c r="ON55" s="63"/>
      <c r="OO55" s="64">
        <f t="shared" si="1081"/>
        <v>0</v>
      </c>
      <c r="OP55" s="65"/>
      <c r="OQ55" s="63"/>
      <c r="OR55" s="64">
        <f t="shared" si="1082"/>
        <v>0</v>
      </c>
      <c r="OS55" s="65">
        <v>100</v>
      </c>
      <c r="OT55" s="63"/>
      <c r="OU55" s="64">
        <f t="shared" si="1083"/>
        <v>100</v>
      </c>
      <c r="OV55" s="66">
        <f t="shared" si="159"/>
        <v>100</v>
      </c>
      <c r="OW55" s="67">
        <f t="shared" si="1084"/>
        <v>0</v>
      </c>
      <c r="OX55" s="64">
        <f t="shared" si="1085"/>
        <v>100</v>
      </c>
      <c r="OY55" s="62"/>
      <c r="OZ55" s="63"/>
      <c r="PA55" s="64">
        <f t="shared" si="1086"/>
        <v>0</v>
      </c>
      <c r="PB55" s="65"/>
      <c r="PC55" s="63"/>
      <c r="PD55" s="64">
        <f t="shared" si="1087"/>
        <v>0</v>
      </c>
      <c r="PE55" s="65"/>
      <c r="PF55" s="63"/>
      <c r="PG55" s="64">
        <f t="shared" si="1088"/>
        <v>0</v>
      </c>
      <c r="PH55" s="65">
        <v>100</v>
      </c>
      <c r="PI55" s="63"/>
      <c r="PJ55" s="64">
        <f t="shared" si="1089"/>
        <v>100</v>
      </c>
      <c r="PK55" s="66">
        <f t="shared" si="166"/>
        <v>100</v>
      </c>
      <c r="PL55" s="67">
        <f t="shared" si="1090"/>
        <v>0</v>
      </c>
      <c r="PM55" s="64">
        <f t="shared" si="1091"/>
        <v>100</v>
      </c>
      <c r="PN55" s="62">
        <v>1550</v>
      </c>
      <c r="PO55" s="63"/>
      <c r="PP55" s="64">
        <f t="shared" si="1092"/>
        <v>1550</v>
      </c>
      <c r="PQ55" s="65"/>
      <c r="PR55" s="63"/>
      <c r="PS55" s="64">
        <f t="shared" si="1093"/>
        <v>0</v>
      </c>
      <c r="PT55" s="65"/>
      <c r="PU55" s="63"/>
      <c r="PV55" s="64">
        <f t="shared" si="1094"/>
        <v>0</v>
      </c>
      <c r="PW55" s="65">
        <v>100</v>
      </c>
      <c r="PX55" s="63"/>
      <c r="PY55" s="64">
        <f t="shared" si="1095"/>
        <v>100</v>
      </c>
      <c r="PZ55" s="66">
        <f t="shared" si="173"/>
        <v>1650</v>
      </c>
      <c r="QA55" s="67">
        <f t="shared" si="1096"/>
        <v>0</v>
      </c>
      <c r="QB55" s="64">
        <f t="shared" si="1097"/>
        <v>1650</v>
      </c>
      <c r="QC55" s="62"/>
      <c r="QD55" s="63"/>
      <c r="QE55" s="64">
        <f t="shared" si="1098"/>
        <v>0</v>
      </c>
      <c r="QF55" s="65"/>
      <c r="QG55" s="63"/>
      <c r="QH55" s="64">
        <f t="shared" si="1099"/>
        <v>0</v>
      </c>
      <c r="QI55" s="65"/>
      <c r="QJ55" s="63"/>
      <c r="QK55" s="64">
        <f t="shared" si="1100"/>
        <v>0</v>
      </c>
      <c r="QL55" s="65">
        <v>100</v>
      </c>
      <c r="QM55" s="63"/>
      <c r="QN55" s="64">
        <f t="shared" si="1101"/>
        <v>100</v>
      </c>
      <c r="QO55" s="66">
        <f t="shared" si="180"/>
        <v>100</v>
      </c>
      <c r="QP55" s="67">
        <f t="shared" si="1102"/>
        <v>0</v>
      </c>
      <c r="QQ55" s="64">
        <f t="shared" si="1103"/>
        <v>100</v>
      </c>
      <c r="QR55" s="74"/>
      <c r="QS55" s="74"/>
      <c r="QT55" s="72"/>
      <c r="QU55" s="73"/>
      <c r="QV55" s="74"/>
      <c r="QW55" s="75"/>
      <c r="QX55" s="73"/>
      <c r="QY55" s="74"/>
      <c r="QZ55" s="75"/>
      <c r="RA55" s="73"/>
      <c r="RB55" s="74"/>
      <c r="RC55" s="75"/>
      <c r="RD55" s="73"/>
      <c r="RE55" s="74"/>
      <c r="RF55" s="74"/>
      <c r="RG55" s="72"/>
      <c r="RH55" s="73"/>
      <c r="RI55" s="74"/>
      <c r="RJ55" s="75"/>
      <c r="RK55" s="73"/>
      <c r="RL55" s="74"/>
      <c r="RM55" s="75"/>
      <c r="RN55" s="73"/>
      <c r="RO55" s="74"/>
      <c r="RP55" s="75"/>
      <c r="RQ55" s="73"/>
      <c r="RR55" s="74"/>
      <c r="RS55" s="76"/>
      <c r="RT55" s="77"/>
      <c r="RU55" s="74"/>
      <c r="RV55" s="74"/>
      <c r="RW55" s="72"/>
      <c r="RX55" s="73"/>
      <c r="RY55" s="74"/>
      <c r="RZ55" s="75"/>
      <c r="SA55" s="73"/>
      <c r="SB55" s="74"/>
      <c r="SC55" s="75"/>
      <c r="SD55" s="73"/>
      <c r="SE55" s="74"/>
      <c r="SF55" s="75"/>
      <c r="SG55" s="73"/>
      <c r="SH55" s="74"/>
      <c r="SI55" s="76"/>
      <c r="SJ55" s="64">
        <f t="shared" si="1115"/>
        <v>0</v>
      </c>
      <c r="SK55" s="62"/>
      <c r="SL55" s="63"/>
      <c r="SM55" s="64">
        <f t="shared" si="1116"/>
        <v>0</v>
      </c>
      <c r="SN55" s="65"/>
      <c r="SO55" s="63"/>
      <c r="SP55" s="64">
        <f t="shared" si="1117"/>
        <v>0</v>
      </c>
      <c r="SQ55" s="65"/>
      <c r="SR55" s="63"/>
      <c r="SS55" s="64">
        <f t="shared" si="1118"/>
        <v>0</v>
      </c>
      <c r="ST55" s="65">
        <v>100</v>
      </c>
      <c r="SU55" s="63"/>
      <c r="SV55" s="64">
        <f t="shared" si="1119"/>
        <v>100</v>
      </c>
      <c r="SW55" s="66">
        <f t="shared" si="208"/>
        <v>100</v>
      </c>
      <c r="SX55" s="67">
        <f t="shared" si="1120"/>
        <v>0</v>
      </c>
      <c r="SY55" s="64">
        <f t="shared" si="1121"/>
        <v>100</v>
      </c>
      <c r="SZ55" s="62">
        <v>985.33</v>
      </c>
      <c r="TA55" s="63"/>
      <c r="TB55" s="64">
        <f t="shared" si="1122"/>
        <v>985.33</v>
      </c>
      <c r="TC55" s="65">
        <v>700.9</v>
      </c>
      <c r="TD55" s="63"/>
      <c r="TE55" s="64">
        <f t="shared" si="1123"/>
        <v>700.9</v>
      </c>
      <c r="TF55" s="65"/>
      <c r="TG55" s="63"/>
      <c r="TH55" s="64">
        <f t="shared" si="1124"/>
        <v>0</v>
      </c>
      <c r="TI55" s="65">
        <v>100</v>
      </c>
      <c r="TJ55" s="63"/>
      <c r="TK55" s="64">
        <f t="shared" si="1125"/>
        <v>100</v>
      </c>
      <c r="TL55" s="66">
        <f t="shared" si="215"/>
        <v>1786.23</v>
      </c>
      <c r="TM55" s="67">
        <f t="shared" si="1126"/>
        <v>0</v>
      </c>
      <c r="TN55" s="64">
        <f t="shared" si="1127"/>
        <v>1786.23</v>
      </c>
      <c r="TO55" s="62">
        <v>3875</v>
      </c>
      <c r="TP55" s="63"/>
      <c r="TQ55" s="64">
        <f t="shared" si="1128"/>
        <v>3875</v>
      </c>
      <c r="TR55" s="65"/>
      <c r="TS55" s="63"/>
      <c r="TT55" s="64">
        <f t="shared" si="1129"/>
        <v>0</v>
      </c>
      <c r="TU55" s="65"/>
      <c r="TV55" s="63"/>
      <c r="TW55" s="64">
        <f t="shared" si="1130"/>
        <v>0</v>
      </c>
      <c r="TX55" s="65">
        <v>100</v>
      </c>
      <c r="TY55" s="63"/>
      <c r="TZ55" s="64">
        <f t="shared" si="1131"/>
        <v>100</v>
      </c>
      <c r="UA55" s="66">
        <f t="shared" si="222"/>
        <v>3975</v>
      </c>
      <c r="UB55" s="67">
        <f t="shared" si="1132"/>
        <v>0</v>
      </c>
      <c r="UC55" s="64">
        <f t="shared" si="1133"/>
        <v>3975</v>
      </c>
      <c r="UD55" s="62"/>
      <c r="UE55" s="63"/>
      <c r="UF55" s="64">
        <f t="shared" si="1134"/>
        <v>0</v>
      </c>
      <c r="UG55" s="65">
        <v>497.04</v>
      </c>
      <c r="UH55" s="63"/>
      <c r="UI55" s="64">
        <f t="shared" si="1135"/>
        <v>497.04</v>
      </c>
      <c r="UJ55" s="65"/>
      <c r="UK55" s="63"/>
      <c r="UL55" s="64">
        <f t="shared" si="1136"/>
        <v>0</v>
      </c>
      <c r="UM55" s="65">
        <v>100</v>
      </c>
      <c r="UN55" s="63"/>
      <c r="UO55" s="64">
        <f t="shared" si="1137"/>
        <v>100</v>
      </c>
      <c r="UP55" s="66">
        <f t="shared" si="226"/>
        <v>597.04</v>
      </c>
      <c r="UQ55" s="67">
        <f t="shared" si="1138"/>
        <v>0</v>
      </c>
      <c r="UR55" s="64">
        <f t="shared" si="1139"/>
        <v>597.04</v>
      </c>
      <c r="US55" s="74"/>
      <c r="UT55" s="72"/>
      <c r="UU55" s="73"/>
      <c r="UV55" s="74"/>
      <c r="UW55" s="75"/>
      <c r="UX55" s="73"/>
      <c r="UY55" s="74"/>
      <c r="UZ55" s="75"/>
      <c r="VA55" s="73"/>
      <c r="VB55" s="74"/>
      <c r="VC55" s="75"/>
      <c r="VD55" s="73"/>
      <c r="VE55" s="74"/>
      <c r="VF55" s="76"/>
      <c r="VG55" s="77"/>
      <c r="VH55" s="62"/>
      <c r="VI55" s="63"/>
      <c r="VJ55" s="64">
        <f t="shared" si="1140"/>
        <v>0</v>
      </c>
      <c r="VK55" s="65"/>
      <c r="VL55" s="63"/>
      <c r="VM55" s="64">
        <f t="shared" si="1141"/>
        <v>0</v>
      </c>
      <c r="VN55" s="65"/>
      <c r="VO55" s="63"/>
      <c r="VP55" s="64">
        <f t="shared" si="1142"/>
        <v>0</v>
      </c>
      <c r="VQ55" s="65">
        <v>100</v>
      </c>
      <c r="VR55" s="63"/>
      <c r="VS55" s="64">
        <f t="shared" si="1143"/>
        <v>100</v>
      </c>
      <c r="VT55" s="66">
        <f t="shared" si="240"/>
        <v>100</v>
      </c>
      <c r="VU55" s="67">
        <f t="shared" si="1144"/>
        <v>0</v>
      </c>
      <c r="VV55" s="64">
        <f t="shared" si="1145"/>
        <v>100</v>
      </c>
      <c r="VW55" s="74"/>
      <c r="VX55" s="72"/>
      <c r="VY55" s="73"/>
      <c r="VZ55" s="74"/>
      <c r="WA55" s="75"/>
      <c r="WB55" s="73"/>
      <c r="WC55" s="74"/>
      <c r="WD55" s="75"/>
      <c r="WE55" s="73"/>
      <c r="WF55" s="74"/>
      <c r="WG55" s="75"/>
      <c r="WH55" s="73"/>
      <c r="WI55" s="74"/>
      <c r="WJ55" s="76"/>
      <c r="WK55" s="77"/>
      <c r="WL55" s="62">
        <v>1376.01</v>
      </c>
      <c r="WM55" s="63">
        <v>1376.01</v>
      </c>
      <c r="WN55" s="64">
        <f t="shared" si="1146"/>
        <v>0</v>
      </c>
      <c r="WO55" s="65"/>
      <c r="WP55" s="63"/>
      <c r="WQ55" s="64">
        <f t="shared" si="1147"/>
        <v>0</v>
      </c>
      <c r="WR55" s="65"/>
      <c r="WS55" s="63"/>
      <c r="WT55" s="64">
        <f t="shared" si="1148"/>
        <v>0</v>
      </c>
      <c r="WU55" s="65">
        <v>100</v>
      </c>
      <c r="WV55" s="63"/>
      <c r="WW55" s="64">
        <f t="shared" si="1149"/>
        <v>100</v>
      </c>
      <c r="WX55" s="66">
        <f t="shared" si="254"/>
        <v>1476.01</v>
      </c>
      <c r="WY55" s="67">
        <f t="shared" si="1150"/>
        <v>1376.01</v>
      </c>
      <c r="WZ55" s="64">
        <f t="shared" si="1151"/>
        <v>100</v>
      </c>
      <c r="XA55" s="74"/>
      <c r="XB55" s="72"/>
      <c r="XC55" s="73"/>
      <c r="XD55" s="74"/>
      <c r="XE55" s="75"/>
      <c r="XF55" s="73"/>
      <c r="XG55" s="74"/>
      <c r="XH55" s="75"/>
      <c r="XI55" s="73"/>
      <c r="XJ55" s="74"/>
      <c r="XK55" s="75"/>
      <c r="XL55" s="73"/>
      <c r="XM55" s="74"/>
      <c r="XN55" s="76"/>
      <c r="XO55" s="77"/>
      <c r="XP55" s="62"/>
      <c r="XQ55" s="63"/>
      <c r="XR55" s="64">
        <f t="shared" si="1158"/>
        <v>0</v>
      </c>
      <c r="XS55" s="65">
        <v>844.24</v>
      </c>
      <c r="XT55" s="63">
        <v>844.24</v>
      </c>
      <c r="XU55" s="64">
        <f t="shared" si="1159"/>
        <v>0</v>
      </c>
      <c r="XV55" s="65"/>
      <c r="XW55" s="63"/>
      <c r="XX55" s="64">
        <f t="shared" si="1160"/>
        <v>0</v>
      </c>
      <c r="XY55" s="65">
        <v>100</v>
      </c>
      <c r="XZ55" s="63"/>
      <c r="YA55" s="64">
        <f t="shared" si="1161"/>
        <v>100</v>
      </c>
      <c r="YB55" s="66">
        <f t="shared" si="268"/>
        <v>944.24</v>
      </c>
      <c r="YC55" s="67">
        <f t="shared" si="1162"/>
        <v>844.24</v>
      </c>
      <c r="YD55" s="64">
        <f t="shared" si="1163"/>
        <v>100</v>
      </c>
      <c r="YE55" s="62"/>
      <c r="YF55" s="63"/>
      <c r="YG55" s="64">
        <f t="shared" si="1164"/>
        <v>0</v>
      </c>
      <c r="YH55" s="65">
        <v>847.85</v>
      </c>
      <c r="YI55" s="63">
        <v>847.85</v>
      </c>
      <c r="YJ55" s="64">
        <f t="shared" si="1165"/>
        <v>0</v>
      </c>
      <c r="YK55" s="65"/>
      <c r="YL55" s="63"/>
      <c r="YM55" s="64">
        <f t="shared" si="1166"/>
        <v>0</v>
      </c>
      <c r="YN55" s="65">
        <v>100</v>
      </c>
      <c r="YO55" s="63"/>
      <c r="YP55" s="64">
        <f t="shared" si="1167"/>
        <v>100</v>
      </c>
      <c r="YQ55" s="66">
        <f t="shared" si="275"/>
        <v>947.85</v>
      </c>
      <c r="YR55" s="67">
        <f t="shared" si="1168"/>
        <v>847.85</v>
      </c>
      <c r="YS55" s="64">
        <f t="shared" si="1169"/>
        <v>100</v>
      </c>
      <c r="YT55" s="62"/>
      <c r="YU55" s="63"/>
      <c r="YV55" s="64">
        <f t="shared" si="1170"/>
        <v>0</v>
      </c>
      <c r="YW55" s="65">
        <v>695.73</v>
      </c>
      <c r="YX55" s="63">
        <v>695.73</v>
      </c>
      <c r="YY55" s="64">
        <f t="shared" si="1171"/>
        <v>0</v>
      </c>
      <c r="YZ55" s="65"/>
      <c r="ZA55" s="63"/>
      <c r="ZB55" s="64">
        <f t="shared" si="1172"/>
        <v>0</v>
      </c>
      <c r="ZC55" s="65">
        <v>100</v>
      </c>
      <c r="ZD55" s="63"/>
      <c r="ZE55" s="64">
        <f t="shared" si="1173"/>
        <v>100</v>
      </c>
      <c r="ZF55" s="66">
        <f t="shared" si="282"/>
        <v>795.73</v>
      </c>
      <c r="ZG55" s="67">
        <f t="shared" si="1174"/>
        <v>695.73</v>
      </c>
      <c r="ZH55" s="74"/>
      <c r="ZI55" s="72"/>
      <c r="ZJ55" s="73"/>
      <c r="ZK55" s="74"/>
      <c r="ZL55" s="75"/>
      <c r="ZM55" s="73"/>
      <c r="ZN55" s="74"/>
      <c r="ZO55" s="75"/>
      <c r="ZP55" s="73"/>
      <c r="ZQ55" s="74"/>
      <c r="ZR55" s="75"/>
      <c r="ZS55" s="73"/>
      <c r="ZT55" s="74"/>
      <c r="ZU55" s="76"/>
      <c r="ZV55" s="77"/>
      <c r="ZW55" s="64">
        <f t="shared" si="1175"/>
        <v>0</v>
      </c>
      <c r="ZX55" s="62">
        <v>24.71</v>
      </c>
      <c r="ZY55" s="63">
        <v>62.91</v>
      </c>
      <c r="ZZ55" s="64">
        <f t="shared" si="1176"/>
        <v>-38.199999999999996</v>
      </c>
      <c r="AAA55" s="66">
        <f t="shared" si="293"/>
        <v>24.71</v>
      </c>
      <c r="AAB55" s="67">
        <f t="shared" si="293"/>
        <v>62.91</v>
      </c>
      <c r="AAC55" s="64">
        <f t="shared" si="1177"/>
        <v>-38.199999999999996</v>
      </c>
      <c r="AAD55" s="85">
        <f t="shared" si="295"/>
        <v>58218.720000000001</v>
      </c>
      <c r="AAE55" s="98">
        <f t="shared" si="295"/>
        <v>4916.5599999999995</v>
      </c>
      <c r="AAF55" s="99">
        <f t="shared" si="3"/>
        <v>8.4449812706291025E-2</v>
      </c>
      <c r="AAG55" s="100">
        <f t="shared" si="1178"/>
        <v>-53302.16</v>
      </c>
      <c r="AAH55" s="96"/>
      <c r="AAI55" s="97"/>
      <c r="AAJ55" s="97"/>
      <c r="AAK55" s="60"/>
    </row>
    <row r="56" spans="1:713" s="83" customFormat="1" ht="20" customHeight="1" thickBot="1" x14ac:dyDescent="0.25">
      <c r="A56" s="152"/>
      <c r="F56" s="101" t="s">
        <v>164</v>
      </c>
      <c r="G56" s="102">
        <f t="shared" ref="G56:X56" si="1180">SUM(G44:G55)</f>
        <v>371675.99</v>
      </c>
      <c r="H56" s="103">
        <f t="shared" si="1180"/>
        <v>428379.78</v>
      </c>
      <c r="I56" s="104">
        <f t="shared" si="1180"/>
        <v>-56703.790000000008</v>
      </c>
      <c r="J56" s="103">
        <f t="shared" si="1180"/>
        <v>37095.769999999997</v>
      </c>
      <c r="K56" s="105">
        <f t="shared" si="1180"/>
        <v>35882.799999999996</v>
      </c>
      <c r="L56" s="104">
        <f t="shared" si="1180"/>
        <v>1212.9699999999989</v>
      </c>
      <c r="M56" s="103">
        <f t="shared" si="1180"/>
        <v>20500</v>
      </c>
      <c r="N56" s="105">
        <f t="shared" si="1180"/>
        <v>15196.24</v>
      </c>
      <c r="O56" s="104">
        <f t="shared" si="1180"/>
        <v>5303.76</v>
      </c>
      <c r="P56" s="103">
        <f t="shared" si="1180"/>
        <v>11000</v>
      </c>
      <c r="Q56" s="105">
        <f t="shared" si="1180"/>
        <v>8669.7300000000014</v>
      </c>
      <c r="R56" s="104">
        <f t="shared" si="1180"/>
        <v>2330.27</v>
      </c>
      <c r="S56" s="103">
        <f t="shared" si="1180"/>
        <v>2896</v>
      </c>
      <c r="T56" s="105">
        <f t="shared" si="1180"/>
        <v>1808.59</v>
      </c>
      <c r="U56" s="104">
        <f t="shared" si="1180"/>
        <v>1087.4099999999999</v>
      </c>
      <c r="V56" s="103">
        <f t="shared" si="1180"/>
        <v>443167.75999999995</v>
      </c>
      <c r="W56" s="106">
        <f t="shared" si="1180"/>
        <v>489937.14</v>
      </c>
      <c r="X56" s="104">
        <f t="shared" si="1180"/>
        <v>-46769.380000000026</v>
      </c>
      <c r="Y56" s="107"/>
      <c r="Z56" s="108"/>
      <c r="AA56" s="109"/>
      <c r="AB56" s="108"/>
      <c r="AC56" s="110"/>
      <c r="AD56" s="109"/>
      <c r="AE56" s="108"/>
      <c r="AF56" s="110"/>
      <c r="AG56" s="109"/>
      <c r="AH56" s="108"/>
      <c r="AI56" s="110"/>
      <c r="AJ56" s="109"/>
      <c r="AK56" s="108"/>
      <c r="AL56" s="111"/>
      <c r="AM56" s="104">
        <f>SUM(AM44:AM55)</f>
        <v>0</v>
      </c>
      <c r="AN56" s="102">
        <f t="shared" ref="AN56:AX56" si="1181">SUM(AN44:AN55)</f>
        <v>25000</v>
      </c>
      <c r="AO56" s="103">
        <f t="shared" si="1181"/>
        <v>25009</v>
      </c>
      <c r="AP56" s="104">
        <f t="shared" si="1181"/>
        <v>-9</v>
      </c>
      <c r="AQ56" s="103">
        <f t="shared" si="1181"/>
        <v>0</v>
      </c>
      <c r="AR56" s="105">
        <f t="shared" si="1181"/>
        <v>0</v>
      </c>
      <c r="AS56" s="104">
        <f t="shared" si="1181"/>
        <v>0</v>
      </c>
      <c r="AT56" s="103">
        <f t="shared" si="1181"/>
        <v>12021.11</v>
      </c>
      <c r="AU56" s="105">
        <f t="shared" si="1181"/>
        <v>12021.11</v>
      </c>
      <c r="AV56" s="104">
        <f t="shared" si="1181"/>
        <v>0</v>
      </c>
      <c r="AW56" s="103">
        <f t="shared" si="1181"/>
        <v>0</v>
      </c>
      <c r="AX56" s="105">
        <f t="shared" si="1181"/>
        <v>0</v>
      </c>
      <c r="AY56" s="104">
        <f>SUM(AY44:AY55)</f>
        <v>0</v>
      </c>
      <c r="AZ56" s="103">
        <f t="shared" si="23"/>
        <v>37021.11</v>
      </c>
      <c r="BA56" s="106">
        <f>SUM(BA44:BA55)</f>
        <v>37030.11</v>
      </c>
      <c r="BB56" s="104">
        <f t="shared" ref="BB56:BN56" si="1182">SUM(BB44:BB55)</f>
        <v>-9</v>
      </c>
      <c r="BC56" s="102">
        <f t="shared" si="1182"/>
        <v>36900</v>
      </c>
      <c r="BD56" s="103">
        <f t="shared" si="1182"/>
        <v>31528.400000000001</v>
      </c>
      <c r="BE56" s="104">
        <f t="shared" si="1182"/>
        <v>5371.5999999999985</v>
      </c>
      <c r="BF56" s="103">
        <f t="shared" si="1182"/>
        <v>0</v>
      </c>
      <c r="BG56" s="105">
        <f t="shared" si="1182"/>
        <v>0</v>
      </c>
      <c r="BH56" s="104">
        <f t="shared" si="1182"/>
        <v>0</v>
      </c>
      <c r="BI56" s="103">
        <f t="shared" si="1182"/>
        <v>8000</v>
      </c>
      <c r="BJ56" s="105">
        <f t="shared" si="1182"/>
        <v>7466.74</v>
      </c>
      <c r="BK56" s="104">
        <f t="shared" si="1182"/>
        <v>533.26000000000022</v>
      </c>
      <c r="BL56" s="103">
        <f t="shared" si="1182"/>
        <v>1200</v>
      </c>
      <c r="BM56" s="105">
        <f t="shared" si="1182"/>
        <v>614.82000000000005</v>
      </c>
      <c r="BN56" s="104">
        <f t="shared" si="1182"/>
        <v>585.17999999999995</v>
      </c>
      <c r="BO56" s="103">
        <f t="shared" si="30"/>
        <v>46100</v>
      </c>
      <c r="BP56" s="106">
        <f>SUM(BP44:BP55)</f>
        <v>39609.96</v>
      </c>
      <c r="BQ56" s="104">
        <f>SUM(BQ44:BQ55)</f>
        <v>6490.0399999999991</v>
      </c>
      <c r="BR56" s="107"/>
      <c r="BS56" s="108"/>
      <c r="BT56" s="109"/>
      <c r="BU56" s="108"/>
      <c r="BV56" s="110"/>
      <c r="BW56" s="109"/>
      <c r="BX56" s="108"/>
      <c r="BY56" s="110"/>
      <c r="BZ56" s="109"/>
      <c r="CA56" s="108"/>
      <c r="CB56" s="110"/>
      <c r="CC56" s="109"/>
      <c r="CD56" s="108"/>
      <c r="CE56" s="111"/>
      <c r="CF56" s="104">
        <f t="shared" ref="CF56:CR56" si="1183">SUM(CF44:CF55)</f>
        <v>0</v>
      </c>
      <c r="CG56" s="102">
        <f t="shared" si="1183"/>
        <v>20000</v>
      </c>
      <c r="CH56" s="103">
        <f t="shared" si="1183"/>
        <v>20000</v>
      </c>
      <c r="CI56" s="104">
        <f t="shared" si="1183"/>
        <v>0</v>
      </c>
      <c r="CJ56" s="103">
        <f t="shared" si="1183"/>
        <v>0</v>
      </c>
      <c r="CK56" s="105">
        <f t="shared" si="1183"/>
        <v>0</v>
      </c>
      <c r="CL56" s="104">
        <f t="shared" si="1183"/>
        <v>0</v>
      </c>
      <c r="CM56" s="103">
        <f t="shared" si="1183"/>
        <v>0</v>
      </c>
      <c r="CN56" s="105">
        <f t="shared" si="1183"/>
        <v>0</v>
      </c>
      <c r="CO56" s="104">
        <f t="shared" si="1183"/>
        <v>0</v>
      </c>
      <c r="CP56" s="103">
        <f t="shared" si="1183"/>
        <v>0</v>
      </c>
      <c r="CQ56" s="105">
        <f t="shared" si="1183"/>
        <v>0</v>
      </c>
      <c r="CR56" s="104">
        <f t="shared" si="1183"/>
        <v>0</v>
      </c>
      <c r="CS56" s="103">
        <f t="shared" si="40"/>
        <v>20000</v>
      </c>
      <c r="CT56" s="106">
        <f>SUM(CT44:CT55)</f>
        <v>20000</v>
      </c>
      <c r="CU56" s="104">
        <f t="shared" ref="CU56:DG56" si="1184">SUM(CU44:CU55)</f>
        <v>0</v>
      </c>
      <c r="CV56" s="102">
        <f t="shared" si="1184"/>
        <v>35000.400000000001</v>
      </c>
      <c r="CW56" s="103">
        <f t="shared" si="1184"/>
        <v>28893.38</v>
      </c>
      <c r="CX56" s="104">
        <f t="shared" si="1184"/>
        <v>6107.02</v>
      </c>
      <c r="CY56" s="103">
        <f t="shared" si="1184"/>
        <v>5149.7999999999993</v>
      </c>
      <c r="CZ56" s="105">
        <f t="shared" si="1184"/>
        <v>4720.6499999999996</v>
      </c>
      <c r="DA56" s="104">
        <f t="shared" si="1184"/>
        <v>429.15</v>
      </c>
      <c r="DB56" s="103">
        <f t="shared" si="1184"/>
        <v>3000</v>
      </c>
      <c r="DC56" s="105">
        <f t="shared" si="1184"/>
        <v>5015.17</v>
      </c>
      <c r="DD56" s="104">
        <f t="shared" si="1184"/>
        <v>-2015.1699999999996</v>
      </c>
      <c r="DE56" s="103">
        <f t="shared" si="1184"/>
        <v>0</v>
      </c>
      <c r="DF56" s="105">
        <f t="shared" si="1184"/>
        <v>739.74</v>
      </c>
      <c r="DG56" s="104">
        <f t="shared" si="1184"/>
        <v>-739.74</v>
      </c>
      <c r="DH56" s="103">
        <f t="shared" si="43"/>
        <v>43150.2</v>
      </c>
      <c r="DI56" s="106">
        <f>SUM(DI44:DI55)</f>
        <v>39368.939999999988</v>
      </c>
      <c r="DJ56" s="104">
        <f t="shared" ref="DJ56:DV56" si="1185">SUM(DJ44:DJ55)</f>
        <v>3781.2600000000007</v>
      </c>
      <c r="DK56" s="102">
        <f t="shared" si="1185"/>
        <v>28800</v>
      </c>
      <c r="DL56" s="103">
        <f t="shared" si="1185"/>
        <v>26400</v>
      </c>
      <c r="DM56" s="104">
        <f t="shared" si="1185"/>
        <v>2400</v>
      </c>
      <c r="DN56" s="103">
        <f t="shared" si="1185"/>
        <v>10956.960000000001</v>
      </c>
      <c r="DO56" s="105">
        <f t="shared" si="1185"/>
        <v>10043.880000000001</v>
      </c>
      <c r="DP56" s="104">
        <f t="shared" si="1185"/>
        <v>913.08</v>
      </c>
      <c r="DQ56" s="103">
        <f t="shared" si="1185"/>
        <v>0</v>
      </c>
      <c r="DR56" s="105">
        <f t="shared" si="1185"/>
        <v>1512.35</v>
      </c>
      <c r="DS56" s="104">
        <f t="shared" si="1185"/>
        <v>-1512.35</v>
      </c>
      <c r="DT56" s="103">
        <f t="shared" si="1185"/>
        <v>1200</v>
      </c>
      <c r="DU56" s="105">
        <f t="shared" si="1185"/>
        <v>1961.1999999999998</v>
      </c>
      <c r="DV56" s="104">
        <f t="shared" si="1185"/>
        <v>-761.2</v>
      </c>
      <c r="DW56" s="103">
        <f t="shared" si="46"/>
        <v>40956.959999999999</v>
      </c>
      <c r="DX56" s="106">
        <f>SUM(DX44:DX55)</f>
        <v>39917.429999999993</v>
      </c>
      <c r="DY56" s="104">
        <f t="shared" ref="DY56:EK56" si="1186">SUM(DY44:DY55)</f>
        <v>1039.5299999999988</v>
      </c>
      <c r="DZ56" s="102">
        <f t="shared" si="1186"/>
        <v>24000</v>
      </c>
      <c r="EA56" s="103">
        <f t="shared" si="1186"/>
        <v>24000</v>
      </c>
      <c r="EB56" s="104">
        <f t="shared" si="1186"/>
        <v>0</v>
      </c>
      <c r="EC56" s="103">
        <f t="shared" si="1186"/>
        <v>0</v>
      </c>
      <c r="ED56" s="105">
        <f t="shared" si="1186"/>
        <v>0</v>
      </c>
      <c r="EE56" s="104">
        <f t="shared" si="1186"/>
        <v>0</v>
      </c>
      <c r="EF56" s="103">
        <f t="shared" si="1186"/>
        <v>0</v>
      </c>
      <c r="EG56" s="105">
        <f t="shared" si="1186"/>
        <v>0</v>
      </c>
      <c r="EH56" s="104">
        <f t="shared" si="1186"/>
        <v>0</v>
      </c>
      <c r="EI56" s="103">
        <f t="shared" si="1186"/>
        <v>1200</v>
      </c>
      <c r="EJ56" s="105">
        <f t="shared" si="1186"/>
        <v>1010.4</v>
      </c>
      <c r="EK56" s="104">
        <f t="shared" si="1186"/>
        <v>189.6</v>
      </c>
      <c r="EL56" s="103">
        <f t="shared" si="53"/>
        <v>25200</v>
      </c>
      <c r="EM56" s="106">
        <f>SUM(EM44:EM55)</f>
        <v>25010.399999999998</v>
      </c>
      <c r="EN56" s="104">
        <f t="shared" ref="EN56:EZ56" si="1187">SUM(EN44:EN55)</f>
        <v>189.60000000000051</v>
      </c>
      <c r="EO56" s="102">
        <f t="shared" si="1187"/>
        <v>36900</v>
      </c>
      <c r="EP56" s="103">
        <f t="shared" si="1187"/>
        <v>31528.400000000001</v>
      </c>
      <c r="EQ56" s="104">
        <f t="shared" si="1187"/>
        <v>5371.5999999999985</v>
      </c>
      <c r="ER56" s="103">
        <f t="shared" si="1187"/>
        <v>3600</v>
      </c>
      <c r="ES56" s="105">
        <f t="shared" si="1187"/>
        <v>1594.89</v>
      </c>
      <c r="ET56" s="104">
        <f t="shared" si="1187"/>
        <v>2005.11</v>
      </c>
      <c r="EU56" s="103">
        <f t="shared" si="1187"/>
        <v>4500</v>
      </c>
      <c r="EV56" s="105">
        <f t="shared" si="1187"/>
        <v>6352.58</v>
      </c>
      <c r="EW56" s="104">
        <f t="shared" si="1187"/>
        <v>-1852.58</v>
      </c>
      <c r="EX56" s="103">
        <f t="shared" si="1187"/>
        <v>1200</v>
      </c>
      <c r="EY56" s="105">
        <f t="shared" si="1187"/>
        <v>0</v>
      </c>
      <c r="EZ56" s="104">
        <f t="shared" si="1187"/>
        <v>1200</v>
      </c>
      <c r="FA56" s="103">
        <f t="shared" si="60"/>
        <v>46200</v>
      </c>
      <c r="FB56" s="106">
        <f>SUM(FB44:FB55)</f>
        <v>39475.870000000003</v>
      </c>
      <c r="FC56" s="104">
        <f t="shared" ref="FC56:FO56" si="1188">SUM(FC44:FC55)</f>
        <v>6724.1299999999983</v>
      </c>
      <c r="FD56" s="102">
        <f t="shared" si="1188"/>
        <v>36900</v>
      </c>
      <c r="FE56" s="103">
        <f t="shared" si="1188"/>
        <v>31528.400000000001</v>
      </c>
      <c r="FF56" s="104">
        <f t="shared" si="1188"/>
        <v>5371.5999999999985</v>
      </c>
      <c r="FG56" s="103">
        <f t="shared" si="1188"/>
        <v>3600</v>
      </c>
      <c r="FH56" s="105">
        <f t="shared" si="1188"/>
        <v>4144.8900000000003</v>
      </c>
      <c r="FI56" s="104">
        <f t="shared" si="1188"/>
        <v>-544.8900000000001</v>
      </c>
      <c r="FJ56" s="103">
        <f t="shared" si="1188"/>
        <v>4500</v>
      </c>
      <c r="FK56" s="105">
        <f t="shared" si="1188"/>
        <v>3802.58</v>
      </c>
      <c r="FL56" s="104">
        <f t="shared" si="1188"/>
        <v>697.42000000000007</v>
      </c>
      <c r="FM56" s="103">
        <f t="shared" si="1188"/>
        <v>1200</v>
      </c>
      <c r="FN56" s="105">
        <f t="shared" si="1188"/>
        <v>0</v>
      </c>
      <c r="FO56" s="104">
        <f t="shared" si="1188"/>
        <v>1200</v>
      </c>
      <c r="FP56" s="103">
        <f t="shared" si="67"/>
        <v>46200</v>
      </c>
      <c r="FQ56" s="106">
        <f>SUM(FQ44:FQ55)</f>
        <v>39475.870000000003</v>
      </c>
      <c r="FR56" s="104">
        <f t="shared" ref="FR56:GD56" si="1189">SUM(FR44:FR55)</f>
        <v>6724.1299999999983</v>
      </c>
      <c r="FS56" s="102">
        <f t="shared" si="1189"/>
        <v>20000</v>
      </c>
      <c r="FT56" s="103">
        <f t="shared" si="1189"/>
        <v>20000</v>
      </c>
      <c r="FU56" s="104">
        <f t="shared" si="1189"/>
        <v>0</v>
      </c>
      <c r="FV56" s="103">
        <f t="shared" si="1189"/>
        <v>5824.2000000000007</v>
      </c>
      <c r="FW56" s="105">
        <f t="shared" si="1189"/>
        <v>5484.59</v>
      </c>
      <c r="FX56" s="104">
        <f t="shared" si="1189"/>
        <v>339.61</v>
      </c>
      <c r="FY56" s="103">
        <f t="shared" si="1189"/>
        <v>3650</v>
      </c>
      <c r="FZ56" s="105">
        <f t="shared" si="1189"/>
        <v>1081.52</v>
      </c>
      <c r="GA56" s="104">
        <f t="shared" si="1189"/>
        <v>2568.48</v>
      </c>
      <c r="GB56" s="103">
        <f t="shared" si="1189"/>
        <v>0</v>
      </c>
      <c r="GC56" s="105">
        <f t="shared" si="1189"/>
        <v>188.72</v>
      </c>
      <c r="GD56" s="104">
        <f t="shared" si="1189"/>
        <v>-188.72</v>
      </c>
      <c r="GE56" s="103">
        <f t="shared" si="74"/>
        <v>29474.2</v>
      </c>
      <c r="GF56" s="106">
        <f>SUM(GF44:GF55)</f>
        <v>26754.829999999994</v>
      </c>
      <c r="GG56" s="104">
        <f t="shared" ref="GG56:GS56" si="1190">SUM(GG44:GG55)</f>
        <v>2719.3700000000003</v>
      </c>
      <c r="GH56" s="102">
        <f t="shared" si="1190"/>
        <v>20000</v>
      </c>
      <c r="GI56" s="103">
        <f t="shared" si="1190"/>
        <v>20000</v>
      </c>
      <c r="GJ56" s="104">
        <f t="shared" si="1190"/>
        <v>0</v>
      </c>
      <c r="GK56" s="103">
        <f t="shared" si="1190"/>
        <v>7923.96</v>
      </c>
      <c r="GL56" s="105">
        <f t="shared" si="1190"/>
        <v>7285.5300000000007</v>
      </c>
      <c r="GM56" s="104">
        <f t="shared" si="1190"/>
        <v>638.43000000000006</v>
      </c>
      <c r="GN56" s="103">
        <f t="shared" si="1190"/>
        <v>3650</v>
      </c>
      <c r="GO56" s="105">
        <f t="shared" si="1190"/>
        <v>77.239999999999995</v>
      </c>
      <c r="GP56" s="104">
        <f t="shared" si="1190"/>
        <v>3572.76</v>
      </c>
      <c r="GQ56" s="103">
        <f t="shared" si="1190"/>
        <v>0</v>
      </c>
      <c r="GR56" s="105">
        <f t="shared" si="1190"/>
        <v>159.65</v>
      </c>
      <c r="GS56" s="104">
        <f t="shared" si="1190"/>
        <v>-159.65</v>
      </c>
      <c r="GT56" s="103">
        <f t="shared" si="81"/>
        <v>31573.96</v>
      </c>
      <c r="GU56" s="106">
        <f>SUM(GU44:GU55)</f>
        <v>27522.420000000006</v>
      </c>
      <c r="GV56" s="104">
        <f t="shared" ref="GV56:HH56" si="1191">SUM(GV44:GV55)</f>
        <v>4051.5399999999995</v>
      </c>
      <c r="GW56" s="102">
        <f t="shared" si="1191"/>
        <v>26700</v>
      </c>
      <c r="GX56" s="103">
        <f t="shared" si="1191"/>
        <v>26700</v>
      </c>
      <c r="GY56" s="104">
        <f t="shared" si="1191"/>
        <v>0</v>
      </c>
      <c r="GZ56" s="103">
        <f t="shared" si="1191"/>
        <v>6819</v>
      </c>
      <c r="HA56" s="105">
        <f t="shared" si="1191"/>
        <v>6250.75</v>
      </c>
      <c r="HB56" s="104">
        <f t="shared" si="1191"/>
        <v>568.25</v>
      </c>
      <c r="HC56" s="103">
        <f t="shared" si="1191"/>
        <v>0</v>
      </c>
      <c r="HD56" s="105">
        <f t="shared" si="1191"/>
        <v>0</v>
      </c>
      <c r="HE56" s="104">
        <f t="shared" si="1191"/>
        <v>0</v>
      </c>
      <c r="HF56" s="103">
        <f t="shared" si="1191"/>
        <v>1200</v>
      </c>
      <c r="HG56" s="105">
        <f t="shared" si="1191"/>
        <v>944.56</v>
      </c>
      <c r="HH56" s="104">
        <f t="shared" si="1191"/>
        <v>255.43999999999997</v>
      </c>
      <c r="HI56" s="103">
        <f t="shared" si="84"/>
        <v>34719</v>
      </c>
      <c r="HJ56" s="106">
        <f>SUM(HJ44:HJ55)</f>
        <v>33895.310000000005</v>
      </c>
      <c r="HK56" s="104">
        <f t="shared" ref="HK56:HW56" si="1192">SUM(HK44:HK55)</f>
        <v>823.69000000000017</v>
      </c>
      <c r="HL56" s="102">
        <f t="shared" si="1192"/>
        <v>36900</v>
      </c>
      <c r="HM56" s="103">
        <f t="shared" si="1192"/>
        <v>31528.400000000001</v>
      </c>
      <c r="HN56" s="104">
        <f t="shared" si="1192"/>
        <v>5371.5999999999985</v>
      </c>
      <c r="HO56" s="103">
        <f t="shared" si="1192"/>
        <v>4400</v>
      </c>
      <c r="HP56" s="105">
        <f t="shared" si="1192"/>
        <v>0</v>
      </c>
      <c r="HQ56" s="104">
        <f t="shared" si="1192"/>
        <v>4400</v>
      </c>
      <c r="HR56" s="103">
        <f t="shared" si="1192"/>
        <v>4800</v>
      </c>
      <c r="HS56" s="105">
        <f t="shared" si="1192"/>
        <v>4916.74</v>
      </c>
      <c r="HT56" s="104">
        <f t="shared" si="1192"/>
        <v>-116.74000000000001</v>
      </c>
      <c r="HU56" s="103">
        <f t="shared" si="1192"/>
        <v>1200</v>
      </c>
      <c r="HV56" s="105">
        <f t="shared" si="1192"/>
        <v>0</v>
      </c>
      <c r="HW56" s="104">
        <f t="shared" si="1192"/>
        <v>1200</v>
      </c>
      <c r="HX56" s="103">
        <f t="shared" si="91"/>
        <v>47300</v>
      </c>
      <c r="HY56" s="106">
        <f>SUM(HY44:HY55)</f>
        <v>36445.14</v>
      </c>
      <c r="HZ56" s="104">
        <f t="shared" ref="HZ56:IL56" si="1193">SUM(HZ44:HZ55)</f>
        <v>10854.859999999999</v>
      </c>
      <c r="IA56" s="102">
        <f t="shared" si="1193"/>
        <v>19729</v>
      </c>
      <c r="IB56" s="103">
        <f t="shared" si="1193"/>
        <v>19729</v>
      </c>
      <c r="IC56" s="104">
        <f t="shared" si="1193"/>
        <v>0</v>
      </c>
      <c r="ID56" s="103">
        <f t="shared" si="1193"/>
        <v>0</v>
      </c>
      <c r="IE56" s="105">
        <f t="shared" si="1193"/>
        <v>0</v>
      </c>
      <c r="IF56" s="104">
        <f t="shared" si="1193"/>
        <v>0</v>
      </c>
      <c r="IG56" s="103">
        <f t="shared" si="1193"/>
        <v>9701.0400000000009</v>
      </c>
      <c r="IH56" s="105">
        <f t="shared" si="1193"/>
        <v>9701.0400000000009</v>
      </c>
      <c r="II56" s="104">
        <f t="shared" si="1193"/>
        <v>0</v>
      </c>
      <c r="IJ56" s="103">
        <f t="shared" si="1193"/>
        <v>1200</v>
      </c>
      <c r="IK56" s="105">
        <f t="shared" si="1193"/>
        <v>0</v>
      </c>
      <c r="IL56" s="104">
        <f t="shared" si="1193"/>
        <v>1200</v>
      </c>
      <c r="IM56" s="103">
        <f t="shared" si="98"/>
        <v>30630.04</v>
      </c>
      <c r="IN56" s="106">
        <f>SUM(IN44:IN55)</f>
        <v>29430.04</v>
      </c>
      <c r="IO56" s="104">
        <f t="shared" ref="IO56:JA56" si="1194">SUM(IO44:IO55)</f>
        <v>1200</v>
      </c>
      <c r="IP56" s="102">
        <f t="shared" si="1194"/>
        <v>20000</v>
      </c>
      <c r="IQ56" s="103">
        <f t="shared" si="1194"/>
        <v>20000</v>
      </c>
      <c r="IR56" s="104">
        <f t="shared" si="1194"/>
        <v>0</v>
      </c>
      <c r="IS56" s="103">
        <f t="shared" si="1194"/>
        <v>0</v>
      </c>
      <c r="IT56" s="105">
        <f t="shared" si="1194"/>
        <v>0</v>
      </c>
      <c r="IU56" s="104">
        <f t="shared" si="1194"/>
        <v>0</v>
      </c>
      <c r="IV56" s="103">
        <f t="shared" si="1194"/>
        <v>0</v>
      </c>
      <c r="IW56" s="105">
        <f t="shared" si="1194"/>
        <v>0</v>
      </c>
      <c r="IX56" s="104">
        <f t="shared" si="1194"/>
        <v>0</v>
      </c>
      <c r="IY56" s="103">
        <f t="shared" si="1194"/>
        <v>0</v>
      </c>
      <c r="IZ56" s="105">
        <f t="shared" si="1194"/>
        <v>0</v>
      </c>
      <c r="JA56" s="104">
        <f t="shared" si="1194"/>
        <v>0</v>
      </c>
      <c r="JB56" s="103">
        <f t="shared" si="105"/>
        <v>20000</v>
      </c>
      <c r="JC56" s="106">
        <f>SUM(JC44:JC55)</f>
        <v>20000</v>
      </c>
      <c r="JD56" s="104">
        <f>SUM(JD44:JD55)</f>
        <v>0</v>
      </c>
      <c r="JE56" s="107"/>
      <c r="JF56" s="108"/>
      <c r="JG56" s="109"/>
      <c r="JH56" s="108"/>
      <c r="JI56" s="110"/>
      <c r="JJ56" s="109"/>
      <c r="JK56" s="108"/>
      <c r="JL56" s="110"/>
      <c r="JM56" s="109"/>
      <c r="JN56" s="108"/>
      <c r="JO56" s="110"/>
      <c r="JP56" s="109"/>
      <c r="JQ56" s="108"/>
      <c r="JR56" s="111"/>
      <c r="JS56" s="109"/>
      <c r="JT56" s="107"/>
      <c r="JU56" s="108"/>
      <c r="JV56" s="109"/>
      <c r="JW56" s="108"/>
      <c r="JX56" s="110"/>
      <c r="JY56" s="109"/>
      <c r="JZ56" s="108"/>
      <c r="KA56" s="110"/>
      <c r="KB56" s="109"/>
      <c r="KC56" s="108"/>
      <c r="KD56" s="110"/>
      <c r="KE56" s="109"/>
      <c r="KF56" s="108"/>
      <c r="KG56" s="111"/>
      <c r="KH56" s="104">
        <f t="shared" ref="KH56:KT56" si="1195">SUM(KH44:KH55)</f>
        <v>0</v>
      </c>
      <c r="KI56" s="102">
        <f t="shared" si="1195"/>
        <v>100000</v>
      </c>
      <c r="KJ56" s="103">
        <f t="shared" si="1195"/>
        <v>100000</v>
      </c>
      <c r="KK56" s="104">
        <f t="shared" si="1195"/>
        <v>0</v>
      </c>
      <c r="KL56" s="103">
        <f t="shared" si="1195"/>
        <v>0</v>
      </c>
      <c r="KM56" s="105">
        <f t="shared" si="1195"/>
        <v>0</v>
      </c>
      <c r="KN56" s="104">
        <f t="shared" si="1195"/>
        <v>0</v>
      </c>
      <c r="KO56" s="103">
        <f t="shared" si="1195"/>
        <v>0</v>
      </c>
      <c r="KP56" s="105">
        <f t="shared" si="1195"/>
        <v>0</v>
      </c>
      <c r="KQ56" s="104">
        <f t="shared" si="1195"/>
        <v>0</v>
      </c>
      <c r="KR56" s="103">
        <f t="shared" si="1195"/>
        <v>0</v>
      </c>
      <c r="KS56" s="105">
        <f t="shared" si="1195"/>
        <v>0</v>
      </c>
      <c r="KT56" s="104">
        <f t="shared" si="1195"/>
        <v>0</v>
      </c>
      <c r="KU56" s="103">
        <f t="shared" si="1"/>
        <v>100000</v>
      </c>
      <c r="KV56" s="106">
        <f>SUM(KV44:KV55)</f>
        <v>100000</v>
      </c>
      <c r="KW56" s="104">
        <f>SUM(KW44:KW55)</f>
        <v>0</v>
      </c>
      <c r="KX56" s="122"/>
      <c r="KY56" s="123"/>
      <c r="KZ56" s="124"/>
      <c r="LA56" s="123"/>
      <c r="LB56" s="125"/>
      <c r="LC56" s="124"/>
      <c r="LD56" s="123"/>
      <c r="LE56" s="125"/>
      <c r="LF56" s="124"/>
      <c r="LG56" s="123"/>
      <c r="LH56" s="125"/>
      <c r="LI56" s="109"/>
      <c r="LJ56" s="108"/>
      <c r="LK56" s="111"/>
      <c r="LL56" s="109"/>
      <c r="LM56" s="102">
        <f t="shared" ref="LM56:LX56" si="1196">SUM(LM44:LM55)</f>
        <v>18600</v>
      </c>
      <c r="LN56" s="103">
        <f t="shared" si="1196"/>
        <v>18600</v>
      </c>
      <c r="LO56" s="104">
        <f t="shared" si="1196"/>
        <v>0</v>
      </c>
      <c r="LP56" s="103">
        <f t="shared" si="1196"/>
        <v>0</v>
      </c>
      <c r="LQ56" s="105">
        <f t="shared" si="1196"/>
        <v>2275.5100000000002</v>
      </c>
      <c r="LR56" s="104">
        <f t="shared" si="1196"/>
        <v>-2275.5100000000002</v>
      </c>
      <c r="LS56" s="103">
        <f t="shared" si="1196"/>
        <v>0</v>
      </c>
      <c r="LT56" s="105">
        <f t="shared" si="1196"/>
        <v>4992.6100000000006</v>
      </c>
      <c r="LU56" s="104">
        <f t="shared" si="1196"/>
        <v>-4992.6100000000006</v>
      </c>
      <c r="LV56" s="103">
        <f t="shared" si="1196"/>
        <v>1200</v>
      </c>
      <c r="LW56" s="105">
        <f t="shared" si="1196"/>
        <v>1245.3899999999999</v>
      </c>
      <c r="LX56" s="104">
        <f t="shared" si="1196"/>
        <v>-45.389999999999986</v>
      </c>
      <c r="LY56" s="103">
        <f t="shared" si="124"/>
        <v>19800</v>
      </c>
      <c r="LZ56" s="106">
        <f>SUM(LZ44:LZ55)</f>
        <v>27113.51</v>
      </c>
      <c r="MA56" s="104">
        <f t="shared" ref="MA56:MM56" si="1197">SUM(MA44:MA55)</f>
        <v>-7313.5100000000011</v>
      </c>
      <c r="MB56" s="102">
        <f t="shared" si="1197"/>
        <v>7800</v>
      </c>
      <c r="MC56" s="103">
        <f t="shared" si="1197"/>
        <v>7800</v>
      </c>
      <c r="MD56" s="104">
        <f t="shared" si="1197"/>
        <v>0</v>
      </c>
      <c r="ME56" s="103">
        <f t="shared" si="1197"/>
        <v>10669.32</v>
      </c>
      <c r="MF56" s="105">
        <f t="shared" si="1197"/>
        <v>9780.2099999999991</v>
      </c>
      <c r="MG56" s="104">
        <f t="shared" si="1197"/>
        <v>889.11</v>
      </c>
      <c r="MH56" s="103">
        <f t="shared" si="1197"/>
        <v>0</v>
      </c>
      <c r="MI56" s="105">
        <f t="shared" si="1197"/>
        <v>0</v>
      </c>
      <c r="MJ56" s="104">
        <f t="shared" si="1197"/>
        <v>0</v>
      </c>
      <c r="MK56" s="103">
        <f t="shared" si="1197"/>
        <v>1200</v>
      </c>
      <c r="ML56" s="105">
        <f t="shared" si="1197"/>
        <v>1160.03</v>
      </c>
      <c r="MM56" s="104">
        <f t="shared" si="1197"/>
        <v>39.96999999999997</v>
      </c>
      <c r="MN56" s="103">
        <f t="shared" si="131"/>
        <v>19669.32</v>
      </c>
      <c r="MO56" s="106">
        <f>SUM(MO44:MO55)</f>
        <v>18740.240000000002</v>
      </c>
      <c r="MP56" s="104">
        <f t="shared" ref="MP56:NB56" si="1198">SUM(MP44:MP55)</f>
        <v>929.07999999999993</v>
      </c>
      <c r="MQ56" s="102">
        <f t="shared" si="1198"/>
        <v>18200</v>
      </c>
      <c r="MR56" s="103">
        <f t="shared" si="1198"/>
        <v>18200</v>
      </c>
      <c r="MS56" s="104">
        <f t="shared" si="1198"/>
        <v>0</v>
      </c>
      <c r="MT56" s="103">
        <f t="shared" si="1198"/>
        <v>0</v>
      </c>
      <c r="MU56" s="105">
        <f t="shared" si="1198"/>
        <v>0</v>
      </c>
      <c r="MV56" s="104">
        <f t="shared" si="1198"/>
        <v>0</v>
      </c>
      <c r="MW56" s="103">
        <f t="shared" si="1198"/>
        <v>0</v>
      </c>
      <c r="MX56" s="105">
        <f t="shared" si="1198"/>
        <v>0</v>
      </c>
      <c r="MY56" s="104">
        <f t="shared" si="1198"/>
        <v>0</v>
      </c>
      <c r="MZ56" s="103">
        <f t="shared" si="1198"/>
        <v>0</v>
      </c>
      <c r="NA56" s="105">
        <f t="shared" si="1198"/>
        <v>0</v>
      </c>
      <c r="NB56" s="104">
        <f t="shared" si="1198"/>
        <v>0</v>
      </c>
      <c r="NC56" s="103">
        <f t="shared" si="138"/>
        <v>18200</v>
      </c>
      <c r="ND56" s="106">
        <f>SUM(ND44:ND55)</f>
        <v>18200</v>
      </c>
      <c r="NE56" s="104">
        <f t="shared" ref="NE56:NQ56" si="1199">SUM(NE44:NE55)</f>
        <v>0</v>
      </c>
      <c r="NF56" s="102">
        <f t="shared" si="1199"/>
        <v>12000</v>
      </c>
      <c r="NG56" s="103">
        <f t="shared" si="1199"/>
        <v>12000</v>
      </c>
      <c r="NH56" s="104">
        <f t="shared" si="1199"/>
        <v>0</v>
      </c>
      <c r="NI56" s="103">
        <f t="shared" si="1199"/>
        <v>13968.480000000003</v>
      </c>
      <c r="NJ56" s="105">
        <f t="shared" si="1199"/>
        <v>12804.440000000002</v>
      </c>
      <c r="NK56" s="104">
        <f t="shared" si="1199"/>
        <v>1164.04</v>
      </c>
      <c r="NL56" s="103">
        <f t="shared" si="1199"/>
        <v>0</v>
      </c>
      <c r="NM56" s="105">
        <f t="shared" si="1199"/>
        <v>146.55000000000001</v>
      </c>
      <c r="NN56" s="104">
        <f t="shared" si="1199"/>
        <v>-146.55000000000001</v>
      </c>
      <c r="NO56" s="103">
        <f t="shared" si="1199"/>
        <v>1200</v>
      </c>
      <c r="NP56" s="105">
        <f t="shared" si="1199"/>
        <v>296.98</v>
      </c>
      <c r="NQ56" s="104">
        <f t="shared" si="1199"/>
        <v>903.02</v>
      </c>
      <c r="NR56" s="103">
        <f t="shared" si="145"/>
        <v>27168.480000000003</v>
      </c>
      <c r="NS56" s="106">
        <f>SUM(NS44:NS55)</f>
        <v>25247.970000000005</v>
      </c>
      <c r="NT56" s="104">
        <f t="shared" ref="NT56:OF56" si="1200">SUM(NT44:NT55)</f>
        <v>1920.51</v>
      </c>
      <c r="NU56" s="102">
        <f t="shared" si="1200"/>
        <v>10368</v>
      </c>
      <c r="NV56" s="103">
        <f t="shared" si="1200"/>
        <v>10368</v>
      </c>
      <c r="NW56" s="104">
        <f t="shared" si="1200"/>
        <v>0</v>
      </c>
      <c r="NX56" s="103">
        <f t="shared" si="1200"/>
        <v>13832.759999999997</v>
      </c>
      <c r="NY56" s="105">
        <f t="shared" si="1200"/>
        <v>13832.759999999997</v>
      </c>
      <c r="NZ56" s="104">
        <f t="shared" si="1200"/>
        <v>0</v>
      </c>
      <c r="OA56" s="103">
        <f t="shared" si="1200"/>
        <v>884.31</v>
      </c>
      <c r="OB56" s="105">
        <f t="shared" si="1200"/>
        <v>0</v>
      </c>
      <c r="OC56" s="104">
        <f t="shared" si="1200"/>
        <v>884.31</v>
      </c>
      <c r="OD56" s="103">
        <f t="shared" si="1200"/>
        <v>1200</v>
      </c>
      <c r="OE56" s="105">
        <f t="shared" si="1200"/>
        <v>486.37</v>
      </c>
      <c r="OF56" s="104">
        <f t="shared" si="1200"/>
        <v>713.63000000000011</v>
      </c>
      <c r="OG56" s="103">
        <f t="shared" si="152"/>
        <v>26285.069999999996</v>
      </c>
      <c r="OH56" s="106">
        <f>SUM(OH44:OH55)</f>
        <v>24687.129999999994</v>
      </c>
      <c r="OI56" s="104">
        <f t="shared" ref="OI56:OU56" si="1201">SUM(OI44:OI55)</f>
        <v>1597.94</v>
      </c>
      <c r="OJ56" s="102">
        <f t="shared" si="1201"/>
        <v>17500</v>
      </c>
      <c r="OK56" s="103">
        <f t="shared" si="1201"/>
        <v>17500</v>
      </c>
      <c r="OL56" s="104">
        <f t="shared" si="1201"/>
        <v>0</v>
      </c>
      <c r="OM56" s="103">
        <f t="shared" si="1201"/>
        <v>0</v>
      </c>
      <c r="ON56" s="105">
        <f t="shared" si="1201"/>
        <v>0</v>
      </c>
      <c r="OO56" s="104">
        <f t="shared" si="1201"/>
        <v>0</v>
      </c>
      <c r="OP56" s="103">
        <f t="shared" si="1201"/>
        <v>1200</v>
      </c>
      <c r="OQ56" s="105">
        <f t="shared" si="1201"/>
        <v>0</v>
      </c>
      <c r="OR56" s="104">
        <f t="shared" si="1201"/>
        <v>1200</v>
      </c>
      <c r="OS56" s="103">
        <f t="shared" si="1201"/>
        <v>1200</v>
      </c>
      <c r="OT56" s="105">
        <f t="shared" si="1201"/>
        <v>184.26</v>
      </c>
      <c r="OU56" s="104">
        <f t="shared" si="1201"/>
        <v>1015.74</v>
      </c>
      <c r="OV56" s="103">
        <f t="shared" si="159"/>
        <v>19900</v>
      </c>
      <c r="OW56" s="106">
        <f>SUM(OW44:OW55)</f>
        <v>17684.259999999998</v>
      </c>
      <c r="OX56" s="104">
        <f t="shared" ref="OX56:PJ56" si="1202">SUM(OX44:OX55)</f>
        <v>2215.7399999999998</v>
      </c>
      <c r="OY56" s="102">
        <f t="shared" si="1202"/>
        <v>15800</v>
      </c>
      <c r="OZ56" s="103">
        <f t="shared" si="1202"/>
        <v>15800</v>
      </c>
      <c r="PA56" s="104">
        <f t="shared" si="1202"/>
        <v>0</v>
      </c>
      <c r="PB56" s="103">
        <f t="shared" si="1202"/>
        <v>600</v>
      </c>
      <c r="PC56" s="105">
        <f t="shared" si="1202"/>
        <v>0</v>
      </c>
      <c r="PD56" s="104">
        <f t="shared" si="1202"/>
        <v>600</v>
      </c>
      <c r="PE56" s="103">
        <f t="shared" si="1202"/>
        <v>0</v>
      </c>
      <c r="PF56" s="105">
        <f t="shared" si="1202"/>
        <v>1132.6400000000001</v>
      </c>
      <c r="PG56" s="104">
        <f t="shared" si="1202"/>
        <v>-1132.6400000000001</v>
      </c>
      <c r="PH56" s="103">
        <f t="shared" si="1202"/>
        <v>1200</v>
      </c>
      <c r="PI56" s="105">
        <f t="shared" si="1202"/>
        <v>253.21</v>
      </c>
      <c r="PJ56" s="104">
        <f t="shared" si="1202"/>
        <v>946.79</v>
      </c>
      <c r="PK56" s="103">
        <f t="shared" si="166"/>
        <v>17600</v>
      </c>
      <c r="PL56" s="106">
        <f>SUM(PL44:PL55)</f>
        <v>17185.850000000002</v>
      </c>
      <c r="PM56" s="104">
        <f t="shared" ref="PM56:PY56" si="1203">SUM(PM44:PM55)</f>
        <v>414.14999999999986</v>
      </c>
      <c r="PN56" s="102">
        <f t="shared" si="1203"/>
        <v>18600</v>
      </c>
      <c r="PO56" s="103">
        <f t="shared" si="1203"/>
        <v>17050</v>
      </c>
      <c r="PP56" s="104">
        <f t="shared" si="1203"/>
        <v>1550</v>
      </c>
      <c r="PQ56" s="103">
        <f t="shared" si="1203"/>
        <v>0</v>
      </c>
      <c r="PR56" s="105">
        <f t="shared" si="1203"/>
        <v>0</v>
      </c>
      <c r="PS56" s="104">
        <f t="shared" si="1203"/>
        <v>0</v>
      </c>
      <c r="PT56" s="103">
        <f t="shared" si="1203"/>
        <v>0</v>
      </c>
      <c r="PU56" s="105">
        <f t="shared" si="1203"/>
        <v>0</v>
      </c>
      <c r="PV56" s="104">
        <f t="shared" si="1203"/>
        <v>0</v>
      </c>
      <c r="PW56" s="103">
        <f t="shared" si="1203"/>
        <v>1200</v>
      </c>
      <c r="PX56" s="105">
        <f t="shared" si="1203"/>
        <v>1231.72</v>
      </c>
      <c r="PY56" s="104">
        <f t="shared" si="1203"/>
        <v>-31.72</v>
      </c>
      <c r="PZ56" s="103">
        <f t="shared" si="173"/>
        <v>19800</v>
      </c>
      <c r="QA56" s="106">
        <f>SUM(QA44:QA55)</f>
        <v>18281.72</v>
      </c>
      <c r="QB56" s="104">
        <f t="shared" ref="QB56:QN56" si="1204">SUM(QB44:QB55)</f>
        <v>1518.28</v>
      </c>
      <c r="QC56" s="102">
        <f t="shared" si="1204"/>
        <v>18000</v>
      </c>
      <c r="QD56" s="103">
        <f t="shared" si="1204"/>
        <v>18000</v>
      </c>
      <c r="QE56" s="104">
        <f t="shared" si="1204"/>
        <v>0</v>
      </c>
      <c r="QF56" s="103">
        <f t="shared" si="1204"/>
        <v>0</v>
      </c>
      <c r="QG56" s="105">
        <f t="shared" si="1204"/>
        <v>0</v>
      </c>
      <c r="QH56" s="104">
        <f t="shared" si="1204"/>
        <v>0</v>
      </c>
      <c r="QI56" s="103">
        <f t="shared" si="1204"/>
        <v>0</v>
      </c>
      <c r="QJ56" s="105">
        <f t="shared" si="1204"/>
        <v>0</v>
      </c>
      <c r="QK56" s="104">
        <f t="shared" si="1204"/>
        <v>0</v>
      </c>
      <c r="QL56" s="103">
        <f t="shared" si="1204"/>
        <v>1200</v>
      </c>
      <c r="QM56" s="105">
        <f t="shared" si="1204"/>
        <v>114.74</v>
      </c>
      <c r="QN56" s="104">
        <f t="shared" si="1204"/>
        <v>1085.26</v>
      </c>
      <c r="QO56" s="103">
        <f t="shared" si="180"/>
        <v>19200</v>
      </c>
      <c r="QP56" s="106">
        <f>SUM(QP44:QP55)</f>
        <v>18114.739999999998</v>
      </c>
      <c r="QQ56" s="104">
        <f t="shared" ref="QQ56:RC56" si="1205">SUM(QQ44:QQ55)</f>
        <v>1085.26</v>
      </c>
      <c r="QR56" s="102">
        <f t="shared" si="1205"/>
        <v>15500</v>
      </c>
      <c r="QS56" s="103">
        <f t="shared" si="1205"/>
        <v>0</v>
      </c>
      <c r="QT56" s="104">
        <f t="shared" si="1205"/>
        <v>15500</v>
      </c>
      <c r="QU56" s="103">
        <f t="shared" si="1205"/>
        <v>5425.2000000000007</v>
      </c>
      <c r="QV56" s="105">
        <f t="shared" si="1205"/>
        <v>5697.42</v>
      </c>
      <c r="QW56" s="104">
        <f t="shared" si="1205"/>
        <v>-272.22000000000025</v>
      </c>
      <c r="QX56" s="103">
        <f t="shared" si="1205"/>
        <v>5000</v>
      </c>
      <c r="QY56" s="105">
        <f t="shared" si="1205"/>
        <v>2789.8999999999996</v>
      </c>
      <c r="QZ56" s="104">
        <f t="shared" si="1205"/>
        <v>2210.1000000000004</v>
      </c>
      <c r="RA56" s="103">
        <f t="shared" si="1205"/>
        <v>0</v>
      </c>
      <c r="RB56" s="105">
        <f t="shared" si="1205"/>
        <v>86.32</v>
      </c>
      <c r="RC56" s="104">
        <f t="shared" si="1205"/>
        <v>-86.32</v>
      </c>
      <c r="RD56" s="103">
        <f>QR56+QU56+QX56+RA56</f>
        <v>25925.200000000001</v>
      </c>
      <c r="RE56" s="106">
        <f>SUM(RE44:RE55)</f>
        <v>8573.64</v>
      </c>
      <c r="RF56" s="104">
        <f>SUM(RF44:RF55)</f>
        <v>0</v>
      </c>
      <c r="RG56" s="107"/>
      <c r="RH56" s="108"/>
      <c r="RI56" s="109"/>
      <c r="RJ56" s="108"/>
      <c r="RK56" s="110"/>
      <c r="RL56" s="109"/>
      <c r="RM56" s="108"/>
      <c r="RN56" s="110"/>
      <c r="RO56" s="109"/>
      <c r="RP56" s="108"/>
      <c r="RQ56" s="110"/>
      <c r="RR56" s="109"/>
      <c r="RS56" s="108"/>
      <c r="RT56" s="111"/>
      <c r="RU56" s="109"/>
      <c r="RV56" s="102">
        <f t="shared" ref="RV56:SG56" si="1206">SUM(RV44:RV55)</f>
        <v>15000</v>
      </c>
      <c r="RW56" s="103">
        <f t="shared" si="1206"/>
        <v>15000</v>
      </c>
      <c r="RX56" s="104">
        <f t="shared" si="1206"/>
        <v>0</v>
      </c>
      <c r="RY56" s="103">
        <f t="shared" si="1206"/>
        <v>0</v>
      </c>
      <c r="RZ56" s="105">
        <f t="shared" si="1206"/>
        <v>0</v>
      </c>
      <c r="SA56" s="104">
        <f t="shared" si="1206"/>
        <v>0</v>
      </c>
      <c r="SB56" s="103">
        <f t="shared" si="1206"/>
        <v>1400</v>
      </c>
      <c r="SC56" s="105">
        <f t="shared" si="1206"/>
        <v>0</v>
      </c>
      <c r="SD56" s="104">
        <f t="shared" si="1206"/>
        <v>1400</v>
      </c>
      <c r="SE56" s="103">
        <f t="shared" si="1206"/>
        <v>900</v>
      </c>
      <c r="SF56" s="105">
        <f t="shared" si="1206"/>
        <v>262.26</v>
      </c>
      <c r="SG56" s="104">
        <f t="shared" si="1206"/>
        <v>637.74</v>
      </c>
      <c r="SH56" s="103">
        <f>RV56+RY56+SB56+SE56</f>
        <v>17300</v>
      </c>
      <c r="SI56" s="106">
        <f>SUM(SI44:SI55)</f>
        <v>15262.26</v>
      </c>
      <c r="SJ56" s="104">
        <f>SUM(SJ44:SJ55)</f>
        <v>2037.74</v>
      </c>
      <c r="SK56" s="102">
        <f t="shared" ref="SK56:SV56" si="1207">SUM(SK44:SK55)</f>
        <v>17000</v>
      </c>
      <c r="SL56" s="103">
        <f t="shared" si="1207"/>
        <v>17000</v>
      </c>
      <c r="SM56" s="104">
        <f t="shared" si="1207"/>
        <v>0</v>
      </c>
      <c r="SN56" s="103">
        <f t="shared" si="1207"/>
        <v>0</v>
      </c>
      <c r="SO56" s="105">
        <f t="shared" si="1207"/>
        <v>0</v>
      </c>
      <c r="SP56" s="104">
        <f t="shared" si="1207"/>
        <v>0</v>
      </c>
      <c r="SQ56" s="103">
        <f t="shared" si="1207"/>
        <v>0</v>
      </c>
      <c r="SR56" s="105">
        <f t="shared" si="1207"/>
        <v>0</v>
      </c>
      <c r="SS56" s="104">
        <f t="shared" si="1207"/>
        <v>0</v>
      </c>
      <c r="ST56" s="103">
        <f t="shared" si="1207"/>
        <v>1200</v>
      </c>
      <c r="SU56" s="105">
        <f t="shared" si="1207"/>
        <v>1599.47</v>
      </c>
      <c r="SV56" s="104">
        <f t="shared" si="1207"/>
        <v>-399.47</v>
      </c>
      <c r="SW56" s="103">
        <f t="shared" si="208"/>
        <v>18200</v>
      </c>
      <c r="SX56" s="106">
        <f>SUM(SX44:SX55)</f>
        <v>18599.47</v>
      </c>
      <c r="SY56" s="104">
        <f t="shared" ref="SY56:TK56" si="1208">SUM(SY44:SY55)</f>
        <v>-399.47</v>
      </c>
      <c r="SZ56" s="102">
        <f t="shared" si="1208"/>
        <v>11823.960000000001</v>
      </c>
      <c r="TA56" s="103">
        <f t="shared" si="1208"/>
        <v>11032.64</v>
      </c>
      <c r="TB56" s="104">
        <f t="shared" si="1208"/>
        <v>791.32000000000016</v>
      </c>
      <c r="TC56" s="103">
        <f t="shared" si="1208"/>
        <v>8410.7999999999975</v>
      </c>
      <c r="TD56" s="105">
        <f t="shared" si="1208"/>
        <v>8141.6499999999978</v>
      </c>
      <c r="TE56" s="104">
        <f t="shared" si="1208"/>
        <v>269.14999999999998</v>
      </c>
      <c r="TF56" s="103">
        <f t="shared" si="1208"/>
        <v>1800</v>
      </c>
      <c r="TG56" s="105">
        <f t="shared" si="1208"/>
        <v>0</v>
      </c>
      <c r="TH56" s="104">
        <f t="shared" si="1208"/>
        <v>1800</v>
      </c>
      <c r="TI56" s="103">
        <f t="shared" si="1208"/>
        <v>1200</v>
      </c>
      <c r="TJ56" s="105">
        <f t="shared" si="1208"/>
        <v>765.12</v>
      </c>
      <c r="TK56" s="104">
        <f t="shared" si="1208"/>
        <v>434.88</v>
      </c>
      <c r="TL56" s="103">
        <f t="shared" si="215"/>
        <v>23234.76</v>
      </c>
      <c r="TM56" s="106">
        <f>SUM(TM44:TM55)</f>
        <v>19939.409999999996</v>
      </c>
      <c r="TN56" s="104">
        <f t="shared" ref="TN56:TZ56" si="1209">SUM(TN44:TN55)</f>
        <v>3295.35</v>
      </c>
      <c r="TO56" s="102">
        <f t="shared" si="1209"/>
        <v>7750</v>
      </c>
      <c r="TP56" s="103">
        <f t="shared" si="1209"/>
        <v>3875</v>
      </c>
      <c r="TQ56" s="104">
        <f t="shared" si="1209"/>
        <v>3875</v>
      </c>
      <c r="TR56" s="103">
        <f t="shared" si="1209"/>
        <v>0</v>
      </c>
      <c r="TS56" s="105">
        <f t="shared" si="1209"/>
        <v>0</v>
      </c>
      <c r="TT56" s="104">
        <f t="shared" si="1209"/>
        <v>0</v>
      </c>
      <c r="TU56" s="103">
        <f t="shared" si="1209"/>
        <v>0</v>
      </c>
      <c r="TV56" s="105">
        <f t="shared" si="1209"/>
        <v>8401.59</v>
      </c>
      <c r="TW56" s="104">
        <f t="shared" si="1209"/>
        <v>-8401.59</v>
      </c>
      <c r="TX56" s="103">
        <f t="shared" si="1209"/>
        <v>1200</v>
      </c>
      <c r="TY56" s="105">
        <f t="shared" si="1209"/>
        <v>769.24000000000012</v>
      </c>
      <c r="TZ56" s="104">
        <f t="shared" si="1209"/>
        <v>430.76000000000005</v>
      </c>
      <c r="UA56" s="103">
        <f t="shared" si="222"/>
        <v>8950</v>
      </c>
      <c r="UB56" s="106">
        <f>SUM(UB44:UB55)</f>
        <v>13045.83</v>
      </c>
      <c r="UC56" s="104">
        <f t="shared" ref="UC56:UO56" si="1210">SUM(UC44:UC55)</f>
        <v>-4095.83</v>
      </c>
      <c r="UD56" s="102">
        <f t="shared" si="1210"/>
        <v>13500</v>
      </c>
      <c r="UE56" s="103">
        <f t="shared" si="1210"/>
        <v>12375</v>
      </c>
      <c r="UF56" s="104">
        <f t="shared" si="1210"/>
        <v>1125</v>
      </c>
      <c r="UG56" s="103">
        <f t="shared" si="1210"/>
        <v>5964.4800000000005</v>
      </c>
      <c r="UH56" s="105">
        <f t="shared" si="1210"/>
        <v>5838.59</v>
      </c>
      <c r="UI56" s="104">
        <f t="shared" si="1210"/>
        <v>125.89000000000021</v>
      </c>
      <c r="UJ56" s="103">
        <f t="shared" si="1210"/>
        <v>0</v>
      </c>
      <c r="UK56" s="105">
        <f t="shared" si="1210"/>
        <v>0</v>
      </c>
      <c r="UL56" s="104">
        <f t="shared" si="1210"/>
        <v>0</v>
      </c>
      <c r="UM56" s="103">
        <f t="shared" si="1210"/>
        <v>1200</v>
      </c>
      <c r="UN56" s="105">
        <f t="shared" si="1210"/>
        <v>204.38</v>
      </c>
      <c r="UO56" s="104">
        <f t="shared" si="1210"/>
        <v>995.62</v>
      </c>
      <c r="UP56" s="103">
        <f t="shared" si="226"/>
        <v>20664.48</v>
      </c>
      <c r="UQ56" s="106">
        <f>SUM(UQ44:UQ55)</f>
        <v>18417.97</v>
      </c>
      <c r="UR56" s="104">
        <f>SUM(UR44:UR55)</f>
        <v>2246.5099999999993</v>
      </c>
      <c r="US56" s="109"/>
      <c r="UT56" s="107"/>
      <c r="UU56" s="108"/>
      <c r="UV56" s="109"/>
      <c r="UW56" s="108"/>
      <c r="UX56" s="110"/>
      <c r="UY56" s="109"/>
      <c r="UZ56" s="108"/>
      <c r="VA56" s="110"/>
      <c r="VB56" s="109"/>
      <c r="VC56" s="108"/>
      <c r="VD56" s="110"/>
      <c r="VE56" s="109"/>
      <c r="VF56" s="108"/>
      <c r="VG56" s="111"/>
      <c r="VH56" s="102">
        <f t="shared" ref="VH56:VS56" si="1211">SUM(VH44:VH55)</f>
        <v>18600</v>
      </c>
      <c r="VI56" s="103">
        <f t="shared" si="1211"/>
        <v>18600</v>
      </c>
      <c r="VJ56" s="104">
        <f t="shared" si="1211"/>
        <v>0</v>
      </c>
      <c r="VK56" s="103">
        <f t="shared" si="1211"/>
        <v>0</v>
      </c>
      <c r="VL56" s="105">
        <f t="shared" si="1211"/>
        <v>0</v>
      </c>
      <c r="VM56" s="104">
        <f t="shared" si="1211"/>
        <v>0</v>
      </c>
      <c r="VN56" s="103">
        <f t="shared" si="1211"/>
        <v>0</v>
      </c>
      <c r="VO56" s="105">
        <f t="shared" si="1211"/>
        <v>0</v>
      </c>
      <c r="VP56" s="104">
        <f t="shared" si="1211"/>
        <v>0</v>
      </c>
      <c r="VQ56" s="103">
        <f t="shared" si="1211"/>
        <v>1200</v>
      </c>
      <c r="VR56" s="105">
        <f t="shared" si="1211"/>
        <v>721.48</v>
      </c>
      <c r="VS56" s="104">
        <f t="shared" si="1211"/>
        <v>478.52</v>
      </c>
      <c r="VT56" s="103">
        <f t="shared" si="240"/>
        <v>19800</v>
      </c>
      <c r="VU56" s="106">
        <f>SUM(VU44:VU55)</f>
        <v>19321.48</v>
      </c>
      <c r="VV56" s="104">
        <f>SUM(VV44:VV55)</f>
        <v>478.52</v>
      </c>
      <c r="VW56" s="109"/>
      <c r="VX56" s="107"/>
      <c r="VY56" s="108"/>
      <c r="VZ56" s="109"/>
      <c r="WA56" s="108"/>
      <c r="WB56" s="110"/>
      <c r="WC56" s="109"/>
      <c r="WD56" s="108"/>
      <c r="WE56" s="110"/>
      <c r="WF56" s="109"/>
      <c r="WG56" s="108"/>
      <c r="WH56" s="110"/>
      <c r="WI56" s="109"/>
      <c r="WJ56" s="108"/>
      <c r="WK56" s="111"/>
      <c r="WL56" s="102">
        <f t="shared" ref="WL56:WW56" si="1212">SUM(WL44:WL55)</f>
        <v>16512.12</v>
      </c>
      <c r="WM56" s="103">
        <f t="shared" si="1212"/>
        <v>16512.12</v>
      </c>
      <c r="WN56" s="104">
        <f t="shared" si="1212"/>
        <v>0</v>
      </c>
      <c r="WO56" s="103">
        <f t="shared" si="1212"/>
        <v>1674.24</v>
      </c>
      <c r="WP56" s="105">
        <f t="shared" si="1212"/>
        <v>1775.73</v>
      </c>
      <c r="WQ56" s="104">
        <f t="shared" si="1212"/>
        <v>-101.49000000000001</v>
      </c>
      <c r="WR56" s="103">
        <f t="shared" si="1212"/>
        <v>0</v>
      </c>
      <c r="WS56" s="105">
        <f t="shared" si="1212"/>
        <v>0</v>
      </c>
      <c r="WT56" s="104">
        <f t="shared" si="1212"/>
        <v>0</v>
      </c>
      <c r="WU56" s="103">
        <f t="shared" si="1212"/>
        <v>1200</v>
      </c>
      <c r="WV56" s="105">
        <f t="shared" si="1212"/>
        <v>136.25</v>
      </c>
      <c r="WW56" s="104">
        <f t="shared" si="1212"/>
        <v>1063.75</v>
      </c>
      <c r="WX56" s="103">
        <f t="shared" si="254"/>
        <v>19386.36</v>
      </c>
      <c r="WY56" s="106">
        <f>SUM(WY44:WY55)</f>
        <v>18424.099999999999</v>
      </c>
      <c r="WZ56" s="104">
        <f t="shared" ref="WZ56:XL56" si="1213">SUM(WZ44:WZ55)</f>
        <v>962.25999999999976</v>
      </c>
      <c r="XA56" s="102">
        <f t="shared" si="1213"/>
        <v>15000</v>
      </c>
      <c r="XB56" s="103">
        <f t="shared" si="1213"/>
        <v>15000</v>
      </c>
      <c r="XC56" s="104">
        <f t="shared" si="1213"/>
        <v>0</v>
      </c>
      <c r="XD56" s="103">
        <f t="shared" si="1213"/>
        <v>0</v>
      </c>
      <c r="XE56" s="105">
        <f t="shared" si="1213"/>
        <v>0</v>
      </c>
      <c r="XF56" s="104">
        <f t="shared" si="1213"/>
        <v>0</v>
      </c>
      <c r="XG56" s="103">
        <f t="shared" si="1213"/>
        <v>2500</v>
      </c>
      <c r="XH56" s="105">
        <f t="shared" si="1213"/>
        <v>0</v>
      </c>
      <c r="XI56" s="104">
        <f t="shared" si="1213"/>
        <v>2500</v>
      </c>
      <c r="XJ56" s="103">
        <f t="shared" si="1213"/>
        <v>800</v>
      </c>
      <c r="XK56" s="105">
        <f t="shared" si="1213"/>
        <v>713.68000000000006</v>
      </c>
      <c r="XL56" s="104">
        <f t="shared" si="1213"/>
        <v>86.319999999999951</v>
      </c>
      <c r="XM56" s="103">
        <f t="shared" si="261"/>
        <v>18300</v>
      </c>
      <c r="XN56" s="106">
        <f>SUM(XN44:XN55)</f>
        <v>15713.68</v>
      </c>
      <c r="XO56" s="104">
        <f t="shared" ref="XO56:YA56" si="1214">SUM(XO44:XO55)</f>
        <v>2586.3200000000002</v>
      </c>
      <c r="XP56" s="102">
        <f t="shared" si="1214"/>
        <v>10404</v>
      </c>
      <c r="XQ56" s="103">
        <f t="shared" si="1214"/>
        <v>10404</v>
      </c>
      <c r="XR56" s="104">
        <f t="shared" si="1214"/>
        <v>0</v>
      </c>
      <c r="XS56" s="103">
        <f t="shared" si="1214"/>
        <v>10130.879999999999</v>
      </c>
      <c r="XT56" s="105">
        <f t="shared" si="1214"/>
        <v>10130.879999999999</v>
      </c>
      <c r="XU56" s="104">
        <f t="shared" si="1214"/>
        <v>0</v>
      </c>
      <c r="XV56" s="103">
        <f t="shared" si="1214"/>
        <v>0</v>
      </c>
      <c r="XW56" s="105">
        <f t="shared" si="1214"/>
        <v>0</v>
      </c>
      <c r="XX56" s="104">
        <f t="shared" si="1214"/>
        <v>0</v>
      </c>
      <c r="XY56" s="103">
        <f t="shared" si="1214"/>
        <v>1200</v>
      </c>
      <c r="XZ56" s="105">
        <f t="shared" si="1214"/>
        <v>396.53</v>
      </c>
      <c r="YA56" s="104">
        <f t="shared" si="1214"/>
        <v>803.46999999999991</v>
      </c>
      <c r="YB56" s="103">
        <f t="shared" si="268"/>
        <v>21734.879999999997</v>
      </c>
      <c r="YC56" s="106">
        <f>SUM(YC44:YC55)</f>
        <v>20931.409999999996</v>
      </c>
      <c r="YD56" s="104">
        <f t="shared" ref="YD56:YP56" si="1215">SUM(YD44:YD55)</f>
        <v>803.46999999999991</v>
      </c>
      <c r="YE56" s="102">
        <f t="shared" si="1215"/>
        <v>10680</v>
      </c>
      <c r="YF56" s="103">
        <f t="shared" si="1215"/>
        <v>10680</v>
      </c>
      <c r="YG56" s="104">
        <f t="shared" si="1215"/>
        <v>0</v>
      </c>
      <c r="YH56" s="103">
        <f t="shared" si="1215"/>
        <v>10174.200000000003</v>
      </c>
      <c r="YI56" s="105">
        <f t="shared" si="1215"/>
        <v>10174.200000000003</v>
      </c>
      <c r="YJ56" s="104">
        <f t="shared" si="1215"/>
        <v>0</v>
      </c>
      <c r="YK56" s="103">
        <f t="shared" si="1215"/>
        <v>1000</v>
      </c>
      <c r="YL56" s="105">
        <f t="shared" si="1215"/>
        <v>0</v>
      </c>
      <c r="YM56" s="104">
        <f t="shared" si="1215"/>
        <v>1000</v>
      </c>
      <c r="YN56" s="103">
        <f t="shared" si="1215"/>
        <v>1200</v>
      </c>
      <c r="YO56" s="105">
        <f t="shared" si="1215"/>
        <v>621.42999999999995</v>
      </c>
      <c r="YP56" s="104">
        <f t="shared" si="1215"/>
        <v>578.56999999999994</v>
      </c>
      <c r="YQ56" s="103">
        <f t="shared" si="275"/>
        <v>23054.200000000004</v>
      </c>
      <c r="YR56" s="106">
        <f>SUM(YR44:YR55)</f>
        <v>21475.629999999997</v>
      </c>
      <c r="YS56" s="104">
        <f t="shared" ref="YS56:ZE56" si="1216">SUM(YS44:YS55)</f>
        <v>1578.57</v>
      </c>
      <c r="YT56" s="102">
        <f t="shared" si="1216"/>
        <v>11184</v>
      </c>
      <c r="YU56" s="103">
        <f t="shared" si="1216"/>
        <v>11184</v>
      </c>
      <c r="YV56" s="104">
        <f t="shared" si="1216"/>
        <v>0</v>
      </c>
      <c r="YW56" s="103">
        <f t="shared" si="1216"/>
        <v>8348.7599999999984</v>
      </c>
      <c r="YX56" s="105">
        <f t="shared" si="1216"/>
        <v>8348.7599999999984</v>
      </c>
      <c r="YY56" s="104">
        <f t="shared" si="1216"/>
        <v>0</v>
      </c>
      <c r="YZ56" s="103">
        <f t="shared" si="1216"/>
        <v>1000</v>
      </c>
      <c r="ZA56" s="105">
        <f t="shared" si="1216"/>
        <v>0</v>
      </c>
      <c r="ZB56" s="104">
        <f t="shared" si="1216"/>
        <v>1000</v>
      </c>
      <c r="ZC56" s="103">
        <f t="shared" si="1216"/>
        <v>1200</v>
      </c>
      <c r="ZD56" s="105">
        <f t="shared" si="1216"/>
        <v>454.02</v>
      </c>
      <c r="ZE56" s="104">
        <f t="shared" si="1216"/>
        <v>745.98</v>
      </c>
      <c r="ZF56" s="103">
        <f t="shared" si="282"/>
        <v>21732.76</v>
      </c>
      <c r="ZG56" s="106">
        <f>SUM(ZG44:ZG55)</f>
        <v>19986.78</v>
      </c>
      <c r="ZH56" s="109"/>
      <c r="ZI56" s="107"/>
      <c r="ZJ56" s="108"/>
      <c r="ZK56" s="109"/>
      <c r="ZL56" s="108"/>
      <c r="ZM56" s="110"/>
      <c r="ZN56" s="109"/>
      <c r="ZO56" s="108"/>
      <c r="ZP56" s="110"/>
      <c r="ZQ56" s="109"/>
      <c r="ZR56" s="108"/>
      <c r="ZS56" s="110"/>
      <c r="ZT56" s="109"/>
      <c r="ZU56" s="108"/>
      <c r="ZV56" s="111"/>
      <c r="ZW56" s="104">
        <f>SUM(ZW44:ZW55)</f>
        <v>0</v>
      </c>
      <c r="ZX56" s="102">
        <f>SUM(ZX44:ZX55)</f>
        <v>296.52000000000004</v>
      </c>
      <c r="ZY56" s="103">
        <f>SUM(ZY44:ZY55)</f>
        <v>577.40999999999985</v>
      </c>
      <c r="ZZ56" s="104">
        <f>SUM(ZZ44:ZZ55)</f>
        <v>-280.88999999999993</v>
      </c>
      <c r="AAA56" s="103">
        <f t="shared" si="293"/>
        <v>296.52000000000004</v>
      </c>
      <c r="AAB56" s="106">
        <f t="shared" si="293"/>
        <v>577.40999999999985</v>
      </c>
      <c r="AAC56" s="104">
        <f>SUM(AAC44:AAC55)</f>
        <v>-280.88999999999993</v>
      </c>
      <c r="AAD56" s="112">
        <f t="shared" si="295"/>
        <v>1467598.7399999998</v>
      </c>
      <c r="AAE56" s="113">
        <f t="shared" si="295"/>
        <v>1438820.54</v>
      </c>
      <c r="AAF56" s="114">
        <f t="shared" si="3"/>
        <v>0.98039096163301442</v>
      </c>
      <c r="AAG56" s="113">
        <f>SUM(AAG44:AAG55)</f>
        <v>-28778.200000000059</v>
      </c>
    </row>
    <row r="57" spans="1:713" s="83" customFormat="1" ht="20" customHeight="1" x14ac:dyDescent="0.2">
      <c r="A57" s="153"/>
      <c r="B57" s="58" t="s">
        <v>136</v>
      </c>
      <c r="C57" s="59"/>
      <c r="D57" s="59"/>
      <c r="E57" s="60">
        <v>2026</v>
      </c>
      <c r="F57" s="61">
        <v>46023</v>
      </c>
      <c r="G57" s="62"/>
      <c r="H57" s="63"/>
      <c r="I57" s="64">
        <f t="shared" ref="I57:I68" si="1217">G57-H57</f>
        <v>0</v>
      </c>
      <c r="J57" s="65">
        <v>4812.04</v>
      </c>
      <c r="K57" s="63"/>
      <c r="L57" s="64">
        <f t="shared" ref="L57:L68" si="1218">J57-K57</f>
        <v>4812.04</v>
      </c>
      <c r="M57" s="65">
        <v>2500</v>
      </c>
      <c r="N57" s="63"/>
      <c r="O57" s="64">
        <f t="shared" ref="O57:O68" si="1219">M57-N57</f>
        <v>2500</v>
      </c>
      <c r="P57" s="65">
        <v>500</v>
      </c>
      <c r="Q57" s="63"/>
      <c r="R57" s="64">
        <f t="shared" ref="R57:R68" si="1220">P57-Q57</f>
        <v>500</v>
      </c>
      <c r="S57" s="65">
        <v>181</v>
      </c>
      <c r="T57" s="63"/>
      <c r="U57" s="64">
        <f t="shared" ref="U57:U68" si="1221">S57-T57</f>
        <v>181</v>
      </c>
      <c r="V57" s="66">
        <f t="shared" ref="V57:W68" si="1222">G57+J57+M57+P57+S57</f>
        <v>7993.04</v>
      </c>
      <c r="W57" s="67">
        <f t="shared" si="1222"/>
        <v>0</v>
      </c>
      <c r="X57" s="64">
        <f t="shared" ref="X57:X68" si="1223">V57-W57</f>
        <v>7993.04</v>
      </c>
      <c r="Y57" s="72"/>
      <c r="Z57" s="73"/>
      <c r="AA57" s="74"/>
      <c r="AB57" s="75"/>
      <c r="AC57" s="73"/>
      <c r="AD57" s="74"/>
      <c r="AE57" s="75"/>
      <c r="AF57" s="73"/>
      <c r="AG57" s="74"/>
      <c r="AH57" s="75"/>
      <c r="AI57" s="73"/>
      <c r="AJ57" s="74"/>
      <c r="AK57" s="76"/>
      <c r="AL57" s="77"/>
      <c r="AM57" s="64">
        <f t="shared" ref="AM57:AM68" si="1224">AK57-AL57</f>
        <v>0</v>
      </c>
      <c r="AN57" s="62"/>
      <c r="AO57" s="63"/>
      <c r="AP57" s="64">
        <f>AN57-AO57</f>
        <v>0</v>
      </c>
      <c r="AQ57" s="65"/>
      <c r="AR57" s="63"/>
      <c r="AS57" s="64">
        <f t="shared" ref="AS57:AS68" si="1225">AQ57-AR57</f>
        <v>0</v>
      </c>
      <c r="AT57" s="65"/>
      <c r="AU57" s="63"/>
      <c r="AV57" s="64">
        <f t="shared" ref="AV57:AV68" si="1226">AT57-AU57</f>
        <v>0</v>
      </c>
      <c r="AW57" s="65"/>
      <c r="AX57" s="63"/>
      <c r="AY57" s="64">
        <f t="shared" ref="AY57:AY68" si="1227">AW57-AX57</f>
        <v>0</v>
      </c>
      <c r="AZ57" s="66">
        <f t="shared" si="23"/>
        <v>0</v>
      </c>
      <c r="BA57" s="67">
        <f t="shared" ref="BA57:BA68" si="1228">AO57+AR57+AU57++AX57</f>
        <v>0</v>
      </c>
      <c r="BB57" s="64">
        <f t="shared" ref="BB57:BB68" si="1229">AZ57-BA57</f>
        <v>0</v>
      </c>
      <c r="BC57" s="62"/>
      <c r="BD57" s="63"/>
      <c r="BE57" s="64">
        <f t="shared" ref="BE57:BE68" si="1230">BC57-BD57</f>
        <v>0</v>
      </c>
      <c r="BF57" s="65"/>
      <c r="BG57" s="63"/>
      <c r="BH57" s="64">
        <f t="shared" ref="BH57:BH68" si="1231">BF57-BG57</f>
        <v>0</v>
      </c>
      <c r="BI57" s="65"/>
      <c r="BJ57" s="63"/>
      <c r="BK57" s="64">
        <f t="shared" ref="BK57:BK68" si="1232">BI57-BJ57</f>
        <v>0</v>
      </c>
      <c r="BL57" s="65">
        <v>100</v>
      </c>
      <c r="BM57" s="63"/>
      <c r="BN57" s="64">
        <f t="shared" ref="BN57:BN68" si="1233">BL57-BM57</f>
        <v>100</v>
      </c>
      <c r="BO57" s="66">
        <f t="shared" si="30"/>
        <v>100</v>
      </c>
      <c r="BP57" s="67">
        <f t="shared" ref="BP57:BP68" si="1234">BD57+BG57+BJ57++BM57</f>
        <v>0</v>
      </c>
      <c r="BQ57" s="64">
        <f t="shared" ref="BQ57:BQ68" si="1235">BO57-BP57</f>
        <v>100</v>
      </c>
      <c r="BR57" s="72"/>
      <c r="BS57" s="73"/>
      <c r="BT57" s="74"/>
      <c r="BU57" s="75"/>
      <c r="BV57" s="73"/>
      <c r="BW57" s="74"/>
      <c r="BX57" s="75"/>
      <c r="BY57" s="73"/>
      <c r="BZ57" s="74"/>
      <c r="CA57" s="75"/>
      <c r="CB57" s="73"/>
      <c r="CC57" s="74"/>
      <c r="CD57" s="76"/>
      <c r="CE57" s="77"/>
      <c r="CF57" s="64">
        <f t="shared" ref="CF57:CF68" si="1236">CD57-CE57</f>
        <v>0</v>
      </c>
      <c r="CG57" s="62"/>
      <c r="CH57" s="63"/>
      <c r="CI57" s="64">
        <f t="shared" ref="CI57:CI68" si="1237">CG57-CH57</f>
        <v>0</v>
      </c>
      <c r="CJ57" s="65"/>
      <c r="CK57" s="63"/>
      <c r="CL57" s="64">
        <f t="shared" ref="CL57:CL68" si="1238">CJ57-CK57</f>
        <v>0</v>
      </c>
      <c r="CM57" s="65"/>
      <c r="CN57" s="63"/>
      <c r="CO57" s="64">
        <f t="shared" ref="CO57:CO68" si="1239">CM57-CN57</f>
        <v>0</v>
      </c>
      <c r="CP57" s="65"/>
      <c r="CQ57" s="63"/>
      <c r="CR57" s="64">
        <f t="shared" ref="CR57:CR68" si="1240">CP57-CQ57</f>
        <v>0</v>
      </c>
      <c r="CS57" s="66">
        <f t="shared" si="40"/>
        <v>0</v>
      </c>
      <c r="CT57" s="67">
        <f t="shared" ref="CT57:CT68" si="1241">CH57+CK57+CN57++CQ57</f>
        <v>0</v>
      </c>
      <c r="CU57" s="64">
        <f t="shared" ref="CU57:CU68" si="1242">CS57-CT57</f>
        <v>0</v>
      </c>
      <c r="CV57" s="62">
        <v>2916.7</v>
      </c>
      <c r="CW57" s="63"/>
      <c r="CX57" s="64">
        <f t="shared" ref="CX57:CX68" si="1243">CV57-CW57</f>
        <v>2916.7</v>
      </c>
      <c r="CY57" s="65">
        <v>429.15</v>
      </c>
      <c r="CZ57" s="63"/>
      <c r="DA57" s="64">
        <f t="shared" ref="DA57:DA68" si="1244">CY57-CZ57</f>
        <v>429.15</v>
      </c>
      <c r="DB57" s="65"/>
      <c r="DC57" s="63"/>
      <c r="DD57" s="64">
        <f t="shared" ref="DD57:DD68" si="1245">DB57-DC57</f>
        <v>0</v>
      </c>
      <c r="DE57" s="65"/>
      <c r="DF57" s="63"/>
      <c r="DG57" s="64">
        <f t="shared" ref="DG57:DG68" si="1246">DE57-DF57</f>
        <v>0</v>
      </c>
      <c r="DH57" s="66">
        <f t="shared" si="43"/>
        <v>3345.85</v>
      </c>
      <c r="DI57" s="67">
        <f t="shared" ref="DI57:DI68" si="1247">CW57+CZ57+DC57++DF57</f>
        <v>0</v>
      </c>
      <c r="DJ57" s="64">
        <f t="shared" ref="DJ57:DJ68" si="1248">DH57-DI57</f>
        <v>3345.85</v>
      </c>
      <c r="DK57" s="62">
        <v>2400</v>
      </c>
      <c r="DL57" s="63"/>
      <c r="DM57" s="64">
        <f t="shared" ref="DM57:DM68" si="1249">DK57-DL57</f>
        <v>2400</v>
      </c>
      <c r="DN57" s="65">
        <v>913.08</v>
      </c>
      <c r="DO57" s="63"/>
      <c r="DP57" s="64">
        <f t="shared" ref="DP57:DP68" si="1250">DN57-DO57</f>
        <v>913.08</v>
      </c>
      <c r="DQ57" s="65"/>
      <c r="DR57" s="63"/>
      <c r="DS57" s="64">
        <f t="shared" ref="DS57:DS68" si="1251">DQ57-DR57</f>
        <v>0</v>
      </c>
      <c r="DT57" s="65">
        <v>100</v>
      </c>
      <c r="DU57" s="63"/>
      <c r="DV57" s="64">
        <f t="shared" ref="DV57:DV68" si="1252">DT57-DU57</f>
        <v>100</v>
      </c>
      <c r="DW57" s="66">
        <f t="shared" si="46"/>
        <v>3413.08</v>
      </c>
      <c r="DX57" s="67">
        <f t="shared" ref="DX57:DX68" si="1253">DL57+DO57+DR57++DU57</f>
        <v>0</v>
      </c>
      <c r="DY57" s="64">
        <f t="shared" ref="DY57:DY68" si="1254">DW57-DX57</f>
        <v>3413.08</v>
      </c>
      <c r="DZ57" s="62"/>
      <c r="EA57" s="63"/>
      <c r="EB57" s="64">
        <f t="shared" ref="EB57:EB68" si="1255">DZ57-EA57</f>
        <v>0</v>
      </c>
      <c r="EC57" s="65"/>
      <c r="ED57" s="63"/>
      <c r="EE57" s="64">
        <f t="shared" ref="EE57:EE68" si="1256">EC57-ED57</f>
        <v>0</v>
      </c>
      <c r="EF57" s="65"/>
      <c r="EG57" s="63"/>
      <c r="EH57" s="64">
        <f t="shared" ref="EH57:EH68" si="1257">EF57-EG57</f>
        <v>0</v>
      </c>
      <c r="EI57" s="65">
        <v>100</v>
      </c>
      <c r="EJ57" s="63"/>
      <c r="EK57" s="64">
        <f t="shared" ref="EK57:EK68" si="1258">EI57-EJ57</f>
        <v>100</v>
      </c>
      <c r="EL57" s="66">
        <f t="shared" si="53"/>
        <v>100</v>
      </c>
      <c r="EM57" s="67">
        <f t="shared" ref="EM57:EM68" si="1259">EA57+ED57+EG57++EJ57</f>
        <v>0</v>
      </c>
      <c r="EN57" s="64">
        <f t="shared" ref="EN57:EN68" si="1260">EL57-EM57</f>
        <v>100</v>
      </c>
      <c r="EO57" s="62"/>
      <c r="EP57" s="63"/>
      <c r="EQ57" s="64">
        <f t="shared" ref="EQ57:EQ68" si="1261">EO57-EP57</f>
        <v>0</v>
      </c>
      <c r="ER57" s="65"/>
      <c r="ES57" s="63"/>
      <c r="ET57" s="64">
        <f t="shared" ref="ET57:ET68" si="1262">ER57-ES57</f>
        <v>0</v>
      </c>
      <c r="EU57" s="65"/>
      <c r="EV57" s="63"/>
      <c r="EW57" s="64">
        <f t="shared" ref="EW57:EW68" si="1263">EU57-EV57</f>
        <v>0</v>
      </c>
      <c r="EX57" s="65">
        <v>100</v>
      </c>
      <c r="EY57" s="63"/>
      <c r="EZ57" s="64">
        <f t="shared" ref="EZ57:EZ68" si="1264">EX57-EY57</f>
        <v>100</v>
      </c>
      <c r="FA57" s="66">
        <f t="shared" si="60"/>
        <v>100</v>
      </c>
      <c r="FB57" s="67">
        <f t="shared" ref="FB57:FB68" si="1265">EP57+ES57+EV57++EY57</f>
        <v>0</v>
      </c>
      <c r="FC57" s="64">
        <f t="shared" ref="FC57:FC68" si="1266">FA57-FB57</f>
        <v>100</v>
      </c>
      <c r="FD57" s="62"/>
      <c r="FE57" s="63"/>
      <c r="FF57" s="64">
        <f t="shared" ref="FF57:FF68" si="1267">FD57-FE57</f>
        <v>0</v>
      </c>
      <c r="FG57" s="65"/>
      <c r="FH57" s="63"/>
      <c r="FI57" s="64">
        <f t="shared" ref="FI57:FI68" si="1268">FG57-FH57</f>
        <v>0</v>
      </c>
      <c r="FJ57" s="65"/>
      <c r="FK57" s="63"/>
      <c r="FL57" s="64">
        <f t="shared" ref="FL57:FL68" si="1269">FJ57-FK57</f>
        <v>0</v>
      </c>
      <c r="FM57" s="65">
        <v>100</v>
      </c>
      <c r="FN57" s="63"/>
      <c r="FO57" s="64">
        <f t="shared" ref="FO57:FO68" si="1270">FM57-FN57</f>
        <v>100</v>
      </c>
      <c r="FP57" s="66">
        <f t="shared" si="67"/>
        <v>100</v>
      </c>
      <c r="FQ57" s="67">
        <f t="shared" ref="FQ57:FQ68" si="1271">FE57+FH57+FK57++FN57</f>
        <v>0</v>
      </c>
      <c r="FR57" s="64">
        <f t="shared" ref="FR57:FR68" si="1272">FP57-FQ57</f>
        <v>100</v>
      </c>
      <c r="FS57" s="62"/>
      <c r="FT57" s="63"/>
      <c r="FU57" s="64">
        <f t="shared" ref="FU57:FU68" si="1273">FS57-FT57</f>
        <v>0</v>
      </c>
      <c r="FV57" s="65">
        <v>485.35</v>
      </c>
      <c r="FW57" s="63"/>
      <c r="FX57" s="64">
        <f t="shared" ref="FX57:FX68" si="1274">FV57-FW57</f>
        <v>485.35</v>
      </c>
      <c r="FY57" s="65"/>
      <c r="FZ57" s="63"/>
      <c r="GA57" s="64">
        <f t="shared" ref="GA57:GA68" si="1275">FY57-FZ57</f>
        <v>0</v>
      </c>
      <c r="GB57" s="65"/>
      <c r="GC57" s="63"/>
      <c r="GD57" s="64">
        <f t="shared" ref="GD57:GD68" si="1276">GB57-GC57</f>
        <v>0</v>
      </c>
      <c r="GE57" s="66">
        <f t="shared" si="74"/>
        <v>485.35</v>
      </c>
      <c r="GF57" s="67">
        <f t="shared" ref="GF57:GF68" si="1277">FT57+FW57+FZ57++GC57</f>
        <v>0</v>
      </c>
      <c r="GG57" s="64">
        <f t="shared" ref="GG57:GG68" si="1278">GE57-GF57</f>
        <v>485.35</v>
      </c>
      <c r="GH57" s="62"/>
      <c r="GI57" s="63"/>
      <c r="GJ57" s="64">
        <f t="shared" ref="GJ57:GJ68" si="1279">GH57-GI57</f>
        <v>0</v>
      </c>
      <c r="GK57" s="65">
        <v>660.33</v>
      </c>
      <c r="GL57" s="63"/>
      <c r="GM57" s="64">
        <f t="shared" ref="GM57:GM68" si="1280">GK57-GL57</f>
        <v>660.33</v>
      </c>
      <c r="GN57" s="65"/>
      <c r="GO57" s="63"/>
      <c r="GP57" s="64">
        <f t="shared" ref="GP57:GP68" si="1281">GN57-GO57</f>
        <v>0</v>
      </c>
      <c r="GQ57" s="65"/>
      <c r="GR57" s="63"/>
      <c r="GS57" s="64">
        <f t="shared" ref="GS57:GS68" si="1282">GQ57-GR57</f>
        <v>0</v>
      </c>
      <c r="GT57" s="66">
        <f t="shared" si="81"/>
        <v>660.33</v>
      </c>
      <c r="GU57" s="67">
        <f t="shared" ref="GU57:GU68" si="1283">GI57+GL57+GO57++GR57</f>
        <v>0</v>
      </c>
      <c r="GV57" s="64">
        <f t="shared" ref="GV57:GV68" si="1284">GT57-GU57</f>
        <v>660.33</v>
      </c>
      <c r="GW57" s="62"/>
      <c r="GX57" s="63"/>
      <c r="GY57" s="64">
        <f t="shared" ref="GY57:GY68" si="1285">GW57-GX57</f>
        <v>0</v>
      </c>
      <c r="GZ57" s="65">
        <v>568.25</v>
      </c>
      <c r="HA57" s="63"/>
      <c r="HB57" s="64">
        <f t="shared" ref="HB57:HB68" si="1286">GZ57-HA57</f>
        <v>568.25</v>
      </c>
      <c r="HC57" s="65"/>
      <c r="HD57" s="63"/>
      <c r="HE57" s="64">
        <f t="shared" ref="HE57:HE68" si="1287">HC57-HD57</f>
        <v>0</v>
      </c>
      <c r="HF57" s="65">
        <v>100</v>
      </c>
      <c r="HG57" s="63"/>
      <c r="HH57" s="64">
        <f t="shared" ref="HH57:HH68" si="1288">HF57-HG57</f>
        <v>100</v>
      </c>
      <c r="HI57" s="66">
        <f t="shared" si="84"/>
        <v>668.25</v>
      </c>
      <c r="HJ57" s="67">
        <f t="shared" ref="HJ57:HJ68" si="1289">GX57+HA57+HD57++HG57</f>
        <v>0</v>
      </c>
      <c r="HK57" s="64">
        <f t="shared" ref="HK57:HK68" si="1290">HI57-HJ57</f>
        <v>668.25</v>
      </c>
      <c r="HL57" s="62"/>
      <c r="HM57" s="63"/>
      <c r="HN57" s="64">
        <f t="shared" ref="HN57:HN68" si="1291">HL57-HM57</f>
        <v>0</v>
      </c>
      <c r="HO57" s="65"/>
      <c r="HP57" s="63"/>
      <c r="HQ57" s="64">
        <f t="shared" ref="HQ57:HQ68" si="1292">HO57-HP57</f>
        <v>0</v>
      </c>
      <c r="HR57" s="65"/>
      <c r="HS57" s="63"/>
      <c r="HT57" s="64">
        <f t="shared" ref="HT57:HT68" si="1293">HR57-HS57</f>
        <v>0</v>
      </c>
      <c r="HU57" s="65">
        <v>100</v>
      </c>
      <c r="HV57" s="63"/>
      <c r="HW57" s="64">
        <f t="shared" ref="HW57:HW68" si="1294">HU57-HV57</f>
        <v>100</v>
      </c>
      <c r="HX57" s="66">
        <f t="shared" si="91"/>
        <v>100</v>
      </c>
      <c r="HY57" s="67">
        <f t="shared" ref="HY57:HY68" si="1295">HM57+HP57+HS57++HV57</f>
        <v>0</v>
      </c>
      <c r="HZ57" s="64">
        <f t="shared" ref="HZ57:HZ68" si="1296">HX57-HY57</f>
        <v>100</v>
      </c>
      <c r="IA57" s="62"/>
      <c r="IB57" s="63"/>
      <c r="IC57" s="64">
        <f t="shared" ref="IC57:IC68" si="1297">IA57-IB57</f>
        <v>0</v>
      </c>
      <c r="ID57" s="65"/>
      <c r="IE57" s="63"/>
      <c r="IF57" s="64">
        <f t="shared" ref="IF57:IF68" si="1298">ID57-IE57</f>
        <v>0</v>
      </c>
      <c r="IG57" s="65"/>
      <c r="IH57" s="63"/>
      <c r="II57" s="64">
        <f t="shared" ref="II57:II68" si="1299">IG57-IH57</f>
        <v>0</v>
      </c>
      <c r="IJ57" s="65">
        <v>100</v>
      </c>
      <c r="IK57" s="63"/>
      <c r="IL57" s="64">
        <f t="shared" ref="IL57:IL68" si="1300">IJ57-IK57</f>
        <v>100</v>
      </c>
      <c r="IM57" s="66">
        <f t="shared" si="98"/>
        <v>100</v>
      </c>
      <c r="IN57" s="67">
        <f t="shared" ref="IN57:IN68" si="1301">IB57+IE57+IH57++IK57</f>
        <v>0</v>
      </c>
      <c r="IO57" s="64">
        <f t="shared" ref="IO57:IO68" si="1302">IM57-IN57</f>
        <v>100</v>
      </c>
      <c r="IP57" s="62"/>
      <c r="IQ57" s="63"/>
      <c r="IR57" s="64">
        <f t="shared" ref="IR57:IR68" si="1303">IP57-IQ57</f>
        <v>0</v>
      </c>
      <c r="IS57" s="65"/>
      <c r="IT57" s="63"/>
      <c r="IU57" s="64">
        <f t="shared" ref="IU57:IU68" si="1304">IS57-IT57</f>
        <v>0</v>
      </c>
      <c r="IV57" s="65"/>
      <c r="IW57" s="63"/>
      <c r="IX57" s="64">
        <f t="shared" ref="IX57:IX68" si="1305">IV57-IW57</f>
        <v>0</v>
      </c>
      <c r="IY57" s="65"/>
      <c r="IZ57" s="63"/>
      <c r="JA57" s="64">
        <f t="shared" ref="JA57:JA68" si="1306">IY57-IZ57</f>
        <v>0</v>
      </c>
      <c r="JB57" s="66">
        <f t="shared" si="105"/>
        <v>0</v>
      </c>
      <c r="JC57" s="67">
        <f t="shared" ref="JC57:JC68" si="1307">IQ57+IT57+IW57++IZ57</f>
        <v>0</v>
      </c>
      <c r="JD57" s="64">
        <f t="shared" ref="JD57:JD68" si="1308">JB57-JC57</f>
        <v>0</v>
      </c>
      <c r="JE57" s="72"/>
      <c r="JF57" s="150"/>
      <c r="JG57" s="74"/>
      <c r="JH57" s="75"/>
      <c r="JI57" s="150"/>
      <c r="JJ57" s="74"/>
      <c r="JK57" s="75"/>
      <c r="JL57" s="150"/>
      <c r="JM57" s="74"/>
      <c r="JN57" s="75"/>
      <c r="JO57" s="150"/>
      <c r="JP57" s="74"/>
      <c r="JQ57" s="76"/>
      <c r="JR57" s="77"/>
      <c r="JS57" s="74"/>
      <c r="JT57" s="72"/>
      <c r="JU57" s="73"/>
      <c r="JV57" s="74"/>
      <c r="JW57" s="75"/>
      <c r="JX57" s="73"/>
      <c r="JY57" s="74"/>
      <c r="JZ57" s="75"/>
      <c r="KA57" s="73"/>
      <c r="KB57" s="74"/>
      <c r="KC57" s="75"/>
      <c r="KD57" s="73"/>
      <c r="KE57" s="74"/>
      <c r="KF57" s="76"/>
      <c r="KG57" s="77"/>
      <c r="KH57" s="64">
        <f t="shared" ref="KH57:KH68" si="1309">KF57-KG57</f>
        <v>0</v>
      </c>
      <c r="KI57" s="62"/>
      <c r="KJ57" s="63"/>
      <c r="KK57" s="64">
        <f t="shared" ref="KK57:KK68" si="1310">KI57-KJ57</f>
        <v>0</v>
      </c>
      <c r="KL57" s="65"/>
      <c r="KM57" s="63"/>
      <c r="KN57" s="64">
        <f t="shared" ref="KN57:KN68" si="1311">KL57-KM57</f>
        <v>0</v>
      </c>
      <c r="KO57" s="65"/>
      <c r="KP57" s="63"/>
      <c r="KQ57" s="64">
        <f t="shared" ref="KQ57:KQ68" si="1312">KO57-KP57</f>
        <v>0</v>
      </c>
      <c r="KR57" s="65"/>
      <c r="KS57" s="63"/>
      <c r="KT57" s="64">
        <f t="shared" ref="KT57:KT68" si="1313">KR57-KS57</f>
        <v>0</v>
      </c>
      <c r="KU57" s="66">
        <f t="shared" si="1"/>
        <v>0</v>
      </c>
      <c r="KV57" s="67">
        <f t="shared" ref="KV57:KV68" si="1314">KJ57+KM57+KP57++KS57</f>
        <v>0</v>
      </c>
      <c r="KW57" s="64">
        <f t="shared" ref="KW57:KW68" si="1315">KU57-KV57</f>
        <v>0</v>
      </c>
      <c r="KX57" s="72"/>
      <c r="KY57" s="73"/>
      <c r="KZ57" s="74"/>
      <c r="LA57" s="75"/>
      <c r="LB57" s="73"/>
      <c r="LC57" s="74"/>
      <c r="LD57" s="75"/>
      <c r="LE57" s="73"/>
      <c r="LF57" s="74"/>
      <c r="LG57" s="75"/>
      <c r="LH57" s="73"/>
      <c r="LI57" s="74"/>
      <c r="LJ57" s="76"/>
      <c r="LK57" s="77"/>
      <c r="LL57" s="74"/>
      <c r="LM57" s="62"/>
      <c r="LN57" s="63"/>
      <c r="LO57" s="64">
        <f t="shared" ref="LO57:LO68" si="1316">LM57-LN57</f>
        <v>0</v>
      </c>
      <c r="LP57" s="65"/>
      <c r="LQ57" s="63"/>
      <c r="LR57" s="64">
        <f t="shared" ref="LR57:LR68" si="1317">LP57-LQ57</f>
        <v>0</v>
      </c>
      <c r="LS57" s="65"/>
      <c r="LT57" s="63"/>
      <c r="LU57" s="64">
        <f t="shared" ref="LU57:LU68" si="1318">LS57-LT57</f>
        <v>0</v>
      </c>
      <c r="LV57" s="65">
        <v>100</v>
      </c>
      <c r="LW57" s="63"/>
      <c r="LX57" s="64">
        <f t="shared" ref="LX57:LX68" si="1319">LV57-LW57</f>
        <v>100</v>
      </c>
      <c r="LY57" s="66">
        <f t="shared" si="124"/>
        <v>100</v>
      </c>
      <c r="LZ57" s="67">
        <f t="shared" ref="LZ57:LZ68" si="1320">LN57+LQ57+LT57++LW57</f>
        <v>0</v>
      </c>
      <c r="MA57" s="64">
        <f t="shared" ref="MA57:MA68" si="1321">LY57-LZ57</f>
        <v>100</v>
      </c>
      <c r="MB57" s="62"/>
      <c r="MC57" s="63"/>
      <c r="MD57" s="64">
        <f t="shared" ref="MD57:MD68" si="1322">MB57-MC57</f>
        <v>0</v>
      </c>
      <c r="ME57" s="65">
        <v>889.11</v>
      </c>
      <c r="MF57" s="63"/>
      <c r="MG57" s="64">
        <f t="shared" ref="MG57:MG68" si="1323">ME57-MF57</f>
        <v>889.11</v>
      </c>
      <c r="MH57" s="65"/>
      <c r="MI57" s="63"/>
      <c r="MJ57" s="64">
        <f t="shared" ref="MJ57:MJ68" si="1324">MH57-MI57</f>
        <v>0</v>
      </c>
      <c r="MK57" s="65">
        <v>100</v>
      </c>
      <c r="ML57" s="63"/>
      <c r="MM57" s="64">
        <f t="shared" ref="MM57:MM68" si="1325">MK57-ML57</f>
        <v>100</v>
      </c>
      <c r="MN57" s="66">
        <f t="shared" si="131"/>
        <v>989.11</v>
      </c>
      <c r="MO57" s="67">
        <f t="shared" ref="MO57:MO68" si="1326">MC57+MF57+MI57++ML57</f>
        <v>0</v>
      </c>
      <c r="MP57" s="64">
        <f t="shared" ref="MP57:MP68" si="1327">MN57-MO57</f>
        <v>989.11</v>
      </c>
      <c r="MQ57" s="62"/>
      <c r="MR57" s="63"/>
      <c r="MS57" s="64">
        <f t="shared" ref="MS57:MS68" si="1328">MQ57-MR57</f>
        <v>0</v>
      </c>
      <c r="MT57" s="65"/>
      <c r="MU57" s="63"/>
      <c r="MV57" s="64">
        <f t="shared" ref="MV57:MV68" si="1329">MT57-MU57</f>
        <v>0</v>
      </c>
      <c r="MW57" s="65"/>
      <c r="MX57" s="63"/>
      <c r="MY57" s="64">
        <f t="shared" ref="MY57:MY68" si="1330">MW57-MX57</f>
        <v>0</v>
      </c>
      <c r="MZ57" s="65"/>
      <c r="NA57" s="63"/>
      <c r="NB57" s="64">
        <f t="shared" ref="NB57:NB68" si="1331">MZ57-NA57</f>
        <v>0</v>
      </c>
      <c r="NC57" s="66">
        <f t="shared" si="138"/>
        <v>0</v>
      </c>
      <c r="ND57" s="67">
        <f t="shared" ref="ND57:ND68" si="1332">MR57+MU57+MX57++NA57</f>
        <v>0</v>
      </c>
      <c r="NE57" s="64">
        <f t="shared" ref="NE57:NE68" si="1333">NC57-ND57</f>
        <v>0</v>
      </c>
      <c r="NF57" s="62"/>
      <c r="NG57" s="63"/>
      <c r="NH57" s="64">
        <f t="shared" ref="NH57:NH68" si="1334">NF57-NG57</f>
        <v>0</v>
      </c>
      <c r="NI57" s="65">
        <v>1164.04</v>
      </c>
      <c r="NJ57" s="63"/>
      <c r="NK57" s="64">
        <f t="shared" ref="NK57:NK68" si="1335">NI57-NJ57</f>
        <v>1164.04</v>
      </c>
      <c r="NL57" s="65"/>
      <c r="NM57" s="63"/>
      <c r="NN57" s="64">
        <f t="shared" ref="NN57:NN68" si="1336">NL57-NM57</f>
        <v>0</v>
      </c>
      <c r="NO57" s="65">
        <v>100</v>
      </c>
      <c r="NP57" s="63"/>
      <c r="NQ57" s="64">
        <f t="shared" ref="NQ57:NQ68" si="1337">NO57-NP57</f>
        <v>100</v>
      </c>
      <c r="NR57" s="66">
        <f t="shared" si="145"/>
        <v>1264.04</v>
      </c>
      <c r="NS57" s="67">
        <f t="shared" ref="NS57:NS68" si="1338">NG57+NJ57+NM57++NP57</f>
        <v>0</v>
      </c>
      <c r="NT57" s="64">
        <f t="shared" ref="NT57:NT68" si="1339">NR57-NS57</f>
        <v>1264.04</v>
      </c>
      <c r="NU57" s="62"/>
      <c r="NV57" s="63"/>
      <c r="NW57" s="64">
        <f t="shared" ref="NW57:NW68" si="1340">NU57-NV57</f>
        <v>0</v>
      </c>
      <c r="NX57" s="65">
        <v>1152.73</v>
      </c>
      <c r="NY57" s="63"/>
      <c r="NZ57" s="64">
        <f t="shared" ref="NZ57:NZ68" si="1341">NX57-NY57</f>
        <v>1152.73</v>
      </c>
      <c r="OA57" s="65"/>
      <c r="OB57" s="63"/>
      <c r="OC57" s="64">
        <f t="shared" ref="OC57:OC68" si="1342">OA57-OB57</f>
        <v>0</v>
      </c>
      <c r="OD57" s="65">
        <v>100</v>
      </c>
      <c r="OE57" s="63"/>
      <c r="OF57" s="64">
        <f t="shared" ref="OF57:OF68" si="1343">OD57-OE57</f>
        <v>100</v>
      </c>
      <c r="OG57" s="66">
        <f t="shared" si="152"/>
        <v>1252.73</v>
      </c>
      <c r="OH57" s="67">
        <f t="shared" ref="OH57:OH68" si="1344">NV57+NY57+OB57++OE57</f>
        <v>0</v>
      </c>
      <c r="OI57" s="64">
        <f t="shared" ref="OI57:OI68" si="1345">OG57-OH57</f>
        <v>1252.73</v>
      </c>
      <c r="OJ57" s="62"/>
      <c r="OK57" s="63"/>
      <c r="OL57" s="64">
        <f t="shared" ref="OL57:OL68" si="1346">OJ57-OK57</f>
        <v>0</v>
      </c>
      <c r="OM57" s="65"/>
      <c r="ON57" s="63"/>
      <c r="OO57" s="64">
        <f t="shared" ref="OO57:OO68" si="1347">OM57-ON57</f>
        <v>0</v>
      </c>
      <c r="OP57" s="65"/>
      <c r="OQ57" s="63"/>
      <c r="OR57" s="64">
        <f t="shared" ref="OR57:OR68" si="1348">OP57-OQ57</f>
        <v>0</v>
      </c>
      <c r="OS57" s="65">
        <v>100</v>
      </c>
      <c r="OT57" s="63"/>
      <c r="OU57" s="64">
        <f t="shared" ref="OU57:OU68" si="1349">OS57-OT57</f>
        <v>100</v>
      </c>
      <c r="OV57" s="66">
        <f t="shared" si="159"/>
        <v>100</v>
      </c>
      <c r="OW57" s="67">
        <f t="shared" ref="OW57:OW68" si="1350">OK57+ON57+OQ57++OT57</f>
        <v>0</v>
      </c>
      <c r="OX57" s="64">
        <f t="shared" ref="OX57:OX68" si="1351">OV57-OW57</f>
        <v>100</v>
      </c>
      <c r="OY57" s="62"/>
      <c r="OZ57" s="63"/>
      <c r="PA57" s="64">
        <f t="shared" ref="PA57:PA68" si="1352">OY57-OZ57</f>
        <v>0</v>
      </c>
      <c r="PB57" s="65"/>
      <c r="PC57" s="63"/>
      <c r="PD57" s="64">
        <f t="shared" ref="PD57:PD68" si="1353">PB57-PC57</f>
        <v>0</v>
      </c>
      <c r="PE57" s="65"/>
      <c r="PF57" s="63"/>
      <c r="PG57" s="64">
        <f t="shared" ref="PG57:PG68" si="1354">PE57-PF57</f>
        <v>0</v>
      </c>
      <c r="PH57" s="65">
        <v>100</v>
      </c>
      <c r="PI57" s="63"/>
      <c r="PJ57" s="64">
        <f t="shared" ref="PJ57:PJ68" si="1355">PH57-PI57</f>
        <v>100</v>
      </c>
      <c r="PK57" s="66">
        <f t="shared" si="166"/>
        <v>100</v>
      </c>
      <c r="PL57" s="67">
        <f t="shared" ref="PL57:PL68" si="1356">OZ57+PC57+PF57++PI57</f>
        <v>0</v>
      </c>
      <c r="PM57" s="64">
        <f t="shared" ref="PM57:PM68" si="1357">PK57-PL57</f>
        <v>100</v>
      </c>
      <c r="PN57" s="62">
        <v>1550</v>
      </c>
      <c r="PO57" s="63"/>
      <c r="PP57" s="64">
        <f t="shared" ref="PP57:PP68" si="1358">PN57-PO57</f>
        <v>1550</v>
      </c>
      <c r="PQ57" s="65"/>
      <c r="PR57" s="63"/>
      <c r="PS57" s="64">
        <f t="shared" ref="PS57:PS68" si="1359">PQ57-PR57</f>
        <v>0</v>
      </c>
      <c r="PT57" s="65"/>
      <c r="PU57" s="63"/>
      <c r="PV57" s="64">
        <f t="shared" ref="PV57:PV68" si="1360">PT57-PU57</f>
        <v>0</v>
      </c>
      <c r="PW57" s="65">
        <v>100</v>
      </c>
      <c r="PX57" s="63"/>
      <c r="PY57" s="64">
        <f t="shared" ref="PY57:PY68" si="1361">PW57-PX57</f>
        <v>100</v>
      </c>
      <c r="PZ57" s="66">
        <f t="shared" si="173"/>
        <v>1650</v>
      </c>
      <c r="QA57" s="67">
        <f t="shared" ref="QA57:QA68" si="1362">PO57+PR57+PU57++PX57</f>
        <v>0</v>
      </c>
      <c r="QB57" s="64">
        <f t="shared" ref="QB57:QB68" si="1363">PZ57-QA57</f>
        <v>1650</v>
      </c>
      <c r="QC57" s="62"/>
      <c r="QD57" s="63"/>
      <c r="QE57" s="64">
        <f t="shared" ref="QE57:QE68" si="1364">QC57-QD57</f>
        <v>0</v>
      </c>
      <c r="QF57" s="65"/>
      <c r="QG57" s="63"/>
      <c r="QH57" s="64">
        <f t="shared" ref="QH57:QH68" si="1365">QF57-QG57</f>
        <v>0</v>
      </c>
      <c r="QI57" s="65"/>
      <c r="QJ57" s="63"/>
      <c r="QK57" s="64">
        <f t="shared" ref="QK57:QK68" si="1366">QI57-QJ57</f>
        <v>0</v>
      </c>
      <c r="QL57" s="65">
        <v>100</v>
      </c>
      <c r="QM57" s="63"/>
      <c r="QN57" s="64">
        <f t="shared" ref="QN57:QN68" si="1367">QL57-QM57</f>
        <v>100</v>
      </c>
      <c r="QO57" s="66">
        <f t="shared" si="180"/>
        <v>100</v>
      </c>
      <c r="QP57" s="67">
        <f t="shared" ref="QP57:QP68" si="1368">QD57+QG57+QJ57++QM57</f>
        <v>0</v>
      </c>
      <c r="QQ57" s="64">
        <f t="shared" ref="QQ57:QQ68" si="1369">QO57-QP57</f>
        <v>100</v>
      </c>
      <c r="QR57" s="74"/>
      <c r="QS57" s="74"/>
      <c r="QT57" s="72"/>
      <c r="QU57" s="73"/>
      <c r="QV57" s="74"/>
      <c r="QW57" s="75"/>
      <c r="QX57" s="73"/>
      <c r="QY57" s="74"/>
      <c r="QZ57" s="75"/>
      <c r="RA57" s="73"/>
      <c r="RB57" s="74"/>
      <c r="RC57" s="75"/>
      <c r="RD57" s="73"/>
      <c r="RE57" s="74"/>
      <c r="RF57" s="74"/>
      <c r="RG57" s="72"/>
      <c r="RH57" s="73"/>
      <c r="RI57" s="74"/>
      <c r="RJ57" s="75"/>
      <c r="RK57" s="73"/>
      <c r="RL57" s="74"/>
      <c r="RM57" s="75"/>
      <c r="RN57" s="73"/>
      <c r="RO57" s="74"/>
      <c r="RP57" s="75"/>
      <c r="RQ57" s="73"/>
      <c r="RR57" s="74"/>
      <c r="RS57" s="76"/>
      <c r="RT57" s="77"/>
      <c r="RU57" s="74"/>
      <c r="RV57" s="74"/>
      <c r="RW57" s="72"/>
      <c r="RX57" s="73"/>
      <c r="RY57" s="74"/>
      <c r="RZ57" s="75"/>
      <c r="SA57" s="73"/>
      <c r="SB57" s="74"/>
      <c r="SC57" s="75"/>
      <c r="SD57" s="73"/>
      <c r="SE57" s="74"/>
      <c r="SF57" s="75"/>
      <c r="SG57" s="73"/>
      <c r="SH57" s="74"/>
      <c r="SI57" s="76"/>
      <c r="SJ57" s="64">
        <f t="shared" ref="SJ57:SJ68" si="1370">SH57-SI57</f>
        <v>0</v>
      </c>
      <c r="SK57" s="62"/>
      <c r="SL57" s="63"/>
      <c r="SM57" s="64">
        <f t="shared" ref="SM57:SM68" si="1371">SK57-SL57</f>
        <v>0</v>
      </c>
      <c r="SN57" s="65"/>
      <c r="SO57" s="63"/>
      <c r="SP57" s="64">
        <f t="shared" ref="SP57:SP68" si="1372">SN57-SO57</f>
        <v>0</v>
      </c>
      <c r="SQ57" s="65"/>
      <c r="SR57" s="63"/>
      <c r="SS57" s="64">
        <f t="shared" ref="SS57:SS68" si="1373">SQ57-SR57</f>
        <v>0</v>
      </c>
      <c r="ST57" s="65">
        <v>100</v>
      </c>
      <c r="SU57" s="63"/>
      <c r="SV57" s="64">
        <f t="shared" ref="SV57:SV68" si="1374">ST57-SU57</f>
        <v>100</v>
      </c>
      <c r="SW57" s="66">
        <f t="shared" si="208"/>
        <v>100</v>
      </c>
      <c r="SX57" s="67">
        <f t="shared" ref="SX57:SX68" si="1375">SL57+SO57+SR57++SU57</f>
        <v>0</v>
      </c>
      <c r="SY57" s="64">
        <f t="shared" ref="SY57:SY68" si="1376">SW57-SX57</f>
        <v>100</v>
      </c>
      <c r="SZ57" s="62">
        <v>985.33</v>
      </c>
      <c r="TA57" s="63"/>
      <c r="TB57" s="64">
        <f t="shared" ref="TB57:TB68" si="1377">SZ57-TA57</f>
        <v>985.33</v>
      </c>
      <c r="TC57" s="65">
        <v>700.9</v>
      </c>
      <c r="TD57" s="63"/>
      <c r="TE57" s="64">
        <f t="shared" ref="TE57:TE68" si="1378">TC57-TD57</f>
        <v>700.9</v>
      </c>
      <c r="TF57" s="65"/>
      <c r="TG57" s="63"/>
      <c r="TH57" s="64">
        <f t="shared" ref="TH57:TH68" si="1379">TF57-TG57</f>
        <v>0</v>
      </c>
      <c r="TI57" s="65">
        <v>100</v>
      </c>
      <c r="TJ57" s="63"/>
      <c r="TK57" s="64">
        <f t="shared" ref="TK57:TK68" si="1380">TI57-TJ57</f>
        <v>100</v>
      </c>
      <c r="TL57" s="66">
        <f t="shared" si="215"/>
        <v>1786.23</v>
      </c>
      <c r="TM57" s="67">
        <f t="shared" ref="TM57:TM68" si="1381">TA57+TD57+TG57++TJ57</f>
        <v>0</v>
      </c>
      <c r="TN57" s="64">
        <f t="shared" ref="TN57:TN68" si="1382">TL57-TM57</f>
        <v>1786.23</v>
      </c>
      <c r="TO57" s="62"/>
      <c r="TP57" s="63"/>
      <c r="TQ57" s="64">
        <f t="shared" ref="TQ57:TQ68" si="1383">TO57-TP57</f>
        <v>0</v>
      </c>
      <c r="TR57" s="65"/>
      <c r="TS57" s="63"/>
      <c r="TT57" s="64">
        <f t="shared" ref="TT57:TT68" si="1384">TR57-TS57</f>
        <v>0</v>
      </c>
      <c r="TU57" s="65"/>
      <c r="TV57" s="63"/>
      <c r="TW57" s="64">
        <f t="shared" ref="TW57:TW68" si="1385">TU57-TV57</f>
        <v>0</v>
      </c>
      <c r="TX57" s="65">
        <v>100</v>
      </c>
      <c r="TY57" s="63"/>
      <c r="TZ57" s="64">
        <f t="shared" ref="TZ57:TZ68" si="1386">TX57-TY57</f>
        <v>100</v>
      </c>
      <c r="UA57" s="66">
        <f t="shared" si="222"/>
        <v>100</v>
      </c>
      <c r="UB57" s="67">
        <f t="shared" ref="UB57:UB68" si="1387">TP57+TS57+TV57++TY57</f>
        <v>0</v>
      </c>
      <c r="UC57" s="64">
        <f t="shared" ref="UC57:UC68" si="1388">UA57-UB57</f>
        <v>100</v>
      </c>
      <c r="UD57" s="62">
        <v>1125</v>
      </c>
      <c r="UE57" s="63"/>
      <c r="UF57" s="64">
        <f t="shared" ref="UF57:UF68" si="1389">UD57-UE57</f>
        <v>1125</v>
      </c>
      <c r="UG57" s="65">
        <v>497.04</v>
      </c>
      <c r="UH57" s="63"/>
      <c r="UI57" s="64">
        <f t="shared" ref="UI57:UI68" si="1390">UG57-UH57</f>
        <v>497.04</v>
      </c>
      <c r="UJ57" s="65"/>
      <c r="UK57" s="63"/>
      <c r="UL57" s="64">
        <f t="shared" ref="UL57:UL68" si="1391">UJ57-UK57</f>
        <v>0</v>
      </c>
      <c r="UM57" s="65">
        <v>100</v>
      </c>
      <c r="UN57" s="63"/>
      <c r="UO57" s="64">
        <f t="shared" ref="UO57:UO68" si="1392">UM57-UN57</f>
        <v>100</v>
      </c>
      <c r="UP57" s="66">
        <f t="shared" si="226"/>
        <v>1722.04</v>
      </c>
      <c r="UQ57" s="67">
        <f t="shared" ref="UQ57:UQ68" si="1393">UE57+UH57+UK57++UN57</f>
        <v>0</v>
      </c>
      <c r="UR57" s="64">
        <f t="shared" ref="UR57:UR68" si="1394">UP57-UQ57</f>
        <v>1722.04</v>
      </c>
      <c r="US57" s="74"/>
      <c r="UT57" s="72"/>
      <c r="UU57" s="73"/>
      <c r="UV57" s="74"/>
      <c r="UW57" s="75"/>
      <c r="UX57" s="73"/>
      <c r="UY57" s="74"/>
      <c r="UZ57" s="75"/>
      <c r="VA57" s="73"/>
      <c r="VB57" s="74"/>
      <c r="VC57" s="75"/>
      <c r="VD57" s="73"/>
      <c r="VE57" s="74"/>
      <c r="VF57" s="76"/>
      <c r="VG57" s="77"/>
      <c r="VH57" s="62"/>
      <c r="VI57" s="63"/>
      <c r="VJ57" s="64">
        <f t="shared" ref="VJ57:VJ68" si="1395">VH57-VI57</f>
        <v>0</v>
      </c>
      <c r="VK57" s="65"/>
      <c r="VL57" s="63"/>
      <c r="VM57" s="64">
        <f t="shared" ref="VM57:VM68" si="1396">VK57-VL57</f>
        <v>0</v>
      </c>
      <c r="VN57" s="65"/>
      <c r="VO57" s="63"/>
      <c r="VP57" s="64">
        <f t="shared" ref="VP57:VP68" si="1397">VN57-VO57</f>
        <v>0</v>
      </c>
      <c r="VQ57" s="65">
        <v>100</v>
      </c>
      <c r="VR57" s="63"/>
      <c r="VS57" s="64">
        <f t="shared" ref="VS57:VS68" si="1398">VQ57-VR57</f>
        <v>100</v>
      </c>
      <c r="VT57" s="66">
        <f t="shared" si="240"/>
        <v>100</v>
      </c>
      <c r="VU57" s="67">
        <f t="shared" ref="VU57:VU68" si="1399">VI57+VL57+VO57++VR57</f>
        <v>0</v>
      </c>
      <c r="VV57" s="64">
        <f t="shared" ref="VV57:VV68" si="1400">VT57-VU57</f>
        <v>100</v>
      </c>
      <c r="VW57" s="74"/>
      <c r="VX57" s="72"/>
      <c r="VY57" s="73"/>
      <c r="VZ57" s="74"/>
      <c r="WA57" s="75"/>
      <c r="WB57" s="73"/>
      <c r="WC57" s="74"/>
      <c r="WD57" s="75"/>
      <c r="WE57" s="73"/>
      <c r="WF57" s="74"/>
      <c r="WG57" s="75"/>
      <c r="WH57" s="73"/>
      <c r="WI57" s="74"/>
      <c r="WJ57" s="76"/>
      <c r="WK57" s="77"/>
      <c r="WL57" s="74"/>
      <c r="WM57" s="72"/>
      <c r="WN57" s="73"/>
      <c r="WO57" s="74"/>
      <c r="WP57" s="75"/>
      <c r="WQ57" s="73"/>
      <c r="WR57" s="74"/>
      <c r="WS57" s="75"/>
      <c r="WT57" s="73"/>
      <c r="WU57" s="74"/>
      <c r="WV57" s="75"/>
      <c r="WW57" s="73"/>
      <c r="WX57" s="74"/>
      <c r="WY57" s="76"/>
      <c r="WZ57" s="77"/>
      <c r="XA57" s="74"/>
      <c r="XB57" s="72"/>
      <c r="XC57" s="73"/>
      <c r="XD57" s="74"/>
      <c r="XE57" s="75"/>
      <c r="XF57" s="73"/>
      <c r="XG57" s="74"/>
      <c r="XH57" s="75"/>
      <c r="XI57" s="73"/>
      <c r="XJ57" s="74"/>
      <c r="XK57" s="75"/>
      <c r="XL57" s="73"/>
      <c r="XM57" s="74"/>
      <c r="XN57" s="76"/>
      <c r="XO57" s="77"/>
      <c r="XP57" s="62"/>
      <c r="XQ57" s="63"/>
      <c r="XR57" s="64">
        <f t="shared" ref="XR57:XR68" si="1401">XP57-XQ57</f>
        <v>0</v>
      </c>
      <c r="XS57" s="65">
        <v>844.24</v>
      </c>
      <c r="XT57" s="63"/>
      <c r="XU57" s="64">
        <f t="shared" ref="XU57:XU68" si="1402">XS57-XT57</f>
        <v>844.24</v>
      </c>
      <c r="XV57" s="65"/>
      <c r="XW57" s="63"/>
      <c r="XX57" s="64">
        <f t="shared" ref="XX57:XX68" si="1403">XV57-XW57</f>
        <v>0</v>
      </c>
      <c r="XY57" s="65">
        <v>100</v>
      </c>
      <c r="XZ57" s="63"/>
      <c r="YA57" s="64">
        <f t="shared" ref="YA57:YA68" si="1404">XY57-XZ57</f>
        <v>100</v>
      </c>
      <c r="YB57" s="66">
        <f t="shared" si="268"/>
        <v>944.24</v>
      </c>
      <c r="YC57" s="67">
        <f t="shared" ref="YC57:YC68" si="1405">XQ57+XT57+XW57++XZ57</f>
        <v>0</v>
      </c>
      <c r="YD57" s="64">
        <f t="shared" ref="YD57:YD68" si="1406">YB57-YC57</f>
        <v>944.24</v>
      </c>
      <c r="YE57" s="62"/>
      <c r="YF57" s="63"/>
      <c r="YG57" s="64">
        <f t="shared" ref="YG57:YG68" si="1407">YE57-YF57</f>
        <v>0</v>
      </c>
      <c r="YH57" s="65">
        <v>847.85</v>
      </c>
      <c r="YI57" s="63"/>
      <c r="YJ57" s="64">
        <f t="shared" ref="YJ57:YJ68" si="1408">YH57-YI57</f>
        <v>847.85</v>
      </c>
      <c r="YK57" s="65"/>
      <c r="YL57" s="63"/>
      <c r="YM57" s="64">
        <f t="shared" ref="YM57:YM68" si="1409">YK57-YL57</f>
        <v>0</v>
      </c>
      <c r="YN57" s="65">
        <v>100</v>
      </c>
      <c r="YO57" s="63"/>
      <c r="YP57" s="64">
        <f t="shared" ref="YP57:YP68" si="1410">YN57-YO57</f>
        <v>100</v>
      </c>
      <c r="YQ57" s="66">
        <f t="shared" si="275"/>
        <v>947.85</v>
      </c>
      <c r="YR57" s="67">
        <f t="shared" ref="YR57:YR68" si="1411">YF57+YI57+YL57++YO57</f>
        <v>0</v>
      </c>
      <c r="YS57" s="64">
        <f t="shared" ref="YS57:YS68" si="1412">YQ57-YR57</f>
        <v>947.85</v>
      </c>
      <c r="YT57" s="62"/>
      <c r="YU57" s="63"/>
      <c r="YV57" s="64">
        <f t="shared" ref="YV57:YV68" si="1413">YT57-YU57</f>
        <v>0</v>
      </c>
      <c r="YW57" s="65">
        <v>695.73</v>
      </c>
      <c r="YX57" s="63"/>
      <c r="YY57" s="64">
        <f t="shared" ref="YY57:YY68" si="1414">YW57-YX57</f>
        <v>695.73</v>
      </c>
      <c r="YZ57" s="65"/>
      <c r="ZA57" s="63"/>
      <c r="ZB57" s="64">
        <f t="shared" ref="ZB57:ZB68" si="1415">YZ57-ZA57</f>
        <v>0</v>
      </c>
      <c r="ZC57" s="65">
        <v>100</v>
      </c>
      <c r="ZD57" s="63"/>
      <c r="ZE57" s="64">
        <f t="shared" ref="ZE57:ZE68" si="1416">ZC57-ZD57</f>
        <v>100</v>
      </c>
      <c r="ZF57" s="66">
        <f t="shared" si="282"/>
        <v>795.73</v>
      </c>
      <c r="ZG57" s="67">
        <f t="shared" ref="ZG57:ZG68" si="1417">YU57+YX57+ZA57++ZD57</f>
        <v>0</v>
      </c>
      <c r="ZH57" s="74"/>
      <c r="ZI57" s="72"/>
      <c r="ZJ57" s="73"/>
      <c r="ZK57" s="74"/>
      <c r="ZL57" s="75"/>
      <c r="ZM57" s="73"/>
      <c r="ZN57" s="74"/>
      <c r="ZO57" s="75"/>
      <c r="ZP57" s="73"/>
      <c r="ZQ57" s="74"/>
      <c r="ZR57" s="75"/>
      <c r="ZS57" s="73"/>
      <c r="ZT57" s="74"/>
      <c r="ZU57" s="76"/>
      <c r="ZV57" s="77"/>
      <c r="ZW57" s="64">
        <f t="shared" ref="ZW57:ZW68" si="1418">ZU57-ZV57</f>
        <v>0</v>
      </c>
      <c r="ZX57" s="62">
        <v>24.71</v>
      </c>
      <c r="ZY57" s="63"/>
      <c r="ZZ57" s="64">
        <f t="shared" ref="ZZ57:ZZ68" si="1419">ZX57-ZY57</f>
        <v>24.71</v>
      </c>
      <c r="AAA57" s="66">
        <f t="shared" si="293"/>
        <v>24.71</v>
      </c>
      <c r="AAB57" s="67">
        <f t="shared" si="293"/>
        <v>0</v>
      </c>
      <c r="AAC57" s="64">
        <f t="shared" ref="AAC57:AAC68" si="1420">AAA57-AAB57</f>
        <v>24.71</v>
      </c>
      <c r="AAD57" s="78">
        <f t="shared" si="295"/>
        <v>29217.870000000003</v>
      </c>
      <c r="AAE57" s="79">
        <f t="shared" si="295"/>
        <v>0</v>
      </c>
      <c r="AAF57" s="80">
        <f t="shared" si="3"/>
        <v>0</v>
      </c>
      <c r="AAG57" s="81">
        <f t="shared" ref="AAG57:AAG68" si="1421">AAE57-AAD57</f>
        <v>-29217.870000000003</v>
      </c>
      <c r="AAH57" s="58" t="s">
        <v>136</v>
      </c>
      <c r="AAI57" s="59"/>
      <c r="AAJ57" s="59"/>
      <c r="AAK57" s="60">
        <v>2026</v>
      </c>
    </row>
    <row r="58" spans="1:713" s="83" customFormat="1" ht="20" customHeight="1" x14ac:dyDescent="0.2">
      <c r="A58" s="152"/>
      <c r="B58" s="58"/>
      <c r="C58" s="59"/>
      <c r="D58" s="59"/>
      <c r="E58" s="60"/>
      <c r="F58" s="61">
        <v>46054</v>
      </c>
      <c r="G58" s="62"/>
      <c r="H58" s="63"/>
      <c r="I58" s="64">
        <f t="shared" si="1217"/>
        <v>0</v>
      </c>
      <c r="J58" s="65">
        <v>4160.16</v>
      </c>
      <c r="K58" s="63"/>
      <c r="L58" s="64">
        <f t="shared" si="1218"/>
        <v>4160.16</v>
      </c>
      <c r="M58" s="65">
        <v>2500</v>
      </c>
      <c r="N58" s="63"/>
      <c r="O58" s="64">
        <f t="shared" si="1219"/>
        <v>2500</v>
      </c>
      <c r="P58" s="65">
        <v>500</v>
      </c>
      <c r="Q58" s="63"/>
      <c r="R58" s="64">
        <f t="shared" si="1220"/>
        <v>500</v>
      </c>
      <c r="S58" s="65">
        <v>181</v>
      </c>
      <c r="T58" s="63"/>
      <c r="U58" s="64">
        <f t="shared" si="1221"/>
        <v>181</v>
      </c>
      <c r="V58" s="66">
        <f t="shared" si="1222"/>
        <v>7341.16</v>
      </c>
      <c r="W58" s="67">
        <f t="shared" si="1222"/>
        <v>0</v>
      </c>
      <c r="X58" s="64">
        <f t="shared" si="1223"/>
        <v>7341.16</v>
      </c>
      <c r="Y58" s="72"/>
      <c r="Z58" s="73"/>
      <c r="AA58" s="74"/>
      <c r="AB58" s="75"/>
      <c r="AC58" s="73"/>
      <c r="AD58" s="74"/>
      <c r="AE58" s="75"/>
      <c r="AF58" s="73"/>
      <c r="AG58" s="74"/>
      <c r="AH58" s="75"/>
      <c r="AI58" s="73"/>
      <c r="AJ58" s="74"/>
      <c r="AK58" s="76"/>
      <c r="AL58" s="77"/>
      <c r="AM58" s="64">
        <f t="shared" si="1224"/>
        <v>0</v>
      </c>
      <c r="AN58" s="62"/>
      <c r="AO58" s="63"/>
      <c r="AP58" s="64">
        <f t="shared" ref="AP58:AP68" si="1422">AN58-AO58</f>
        <v>0</v>
      </c>
      <c r="AQ58" s="65"/>
      <c r="AR58" s="63"/>
      <c r="AS58" s="64">
        <f t="shared" si="1225"/>
        <v>0</v>
      </c>
      <c r="AT58" s="65"/>
      <c r="AU58" s="63"/>
      <c r="AV58" s="64">
        <f t="shared" si="1226"/>
        <v>0</v>
      </c>
      <c r="AW58" s="65"/>
      <c r="AX58" s="63"/>
      <c r="AY58" s="64">
        <f t="shared" si="1227"/>
        <v>0</v>
      </c>
      <c r="AZ58" s="66">
        <f t="shared" si="23"/>
        <v>0</v>
      </c>
      <c r="BA58" s="67">
        <f t="shared" si="1228"/>
        <v>0</v>
      </c>
      <c r="BB58" s="64">
        <f t="shared" si="1229"/>
        <v>0</v>
      </c>
      <c r="BC58" s="62">
        <v>6150</v>
      </c>
      <c r="BD58" s="63"/>
      <c r="BE58" s="64">
        <f t="shared" si="1230"/>
        <v>6150</v>
      </c>
      <c r="BF58" s="65"/>
      <c r="BG58" s="63"/>
      <c r="BH58" s="64">
        <f t="shared" si="1231"/>
        <v>0</v>
      </c>
      <c r="BI58" s="65"/>
      <c r="BJ58" s="63"/>
      <c r="BK58" s="64">
        <f t="shared" si="1232"/>
        <v>0</v>
      </c>
      <c r="BL58" s="65">
        <v>100</v>
      </c>
      <c r="BM58" s="63"/>
      <c r="BN58" s="64">
        <f t="shared" si="1233"/>
        <v>100</v>
      </c>
      <c r="BO58" s="66">
        <f t="shared" si="30"/>
        <v>6250</v>
      </c>
      <c r="BP58" s="67">
        <f t="shared" si="1234"/>
        <v>0</v>
      </c>
      <c r="BQ58" s="64">
        <f t="shared" si="1235"/>
        <v>6250</v>
      </c>
      <c r="BR58" s="72"/>
      <c r="BS58" s="73"/>
      <c r="BT58" s="74"/>
      <c r="BU58" s="75"/>
      <c r="BV58" s="73"/>
      <c r="BW58" s="74"/>
      <c r="BX58" s="75"/>
      <c r="BY58" s="73"/>
      <c r="BZ58" s="74"/>
      <c r="CA58" s="75"/>
      <c r="CB58" s="73"/>
      <c r="CC58" s="74"/>
      <c r="CD58" s="76"/>
      <c r="CE58" s="77"/>
      <c r="CF58" s="64">
        <f t="shared" si="1236"/>
        <v>0</v>
      </c>
      <c r="CG58" s="62"/>
      <c r="CH58" s="63"/>
      <c r="CI58" s="64">
        <f t="shared" si="1237"/>
        <v>0</v>
      </c>
      <c r="CJ58" s="65"/>
      <c r="CK58" s="63"/>
      <c r="CL58" s="64">
        <f t="shared" si="1238"/>
        <v>0</v>
      </c>
      <c r="CM58" s="65"/>
      <c r="CN58" s="63"/>
      <c r="CO58" s="64">
        <f t="shared" si="1239"/>
        <v>0</v>
      </c>
      <c r="CP58" s="65"/>
      <c r="CQ58" s="63"/>
      <c r="CR58" s="64">
        <f t="shared" si="1240"/>
        <v>0</v>
      </c>
      <c r="CS58" s="66">
        <f t="shared" si="40"/>
        <v>0</v>
      </c>
      <c r="CT58" s="67">
        <f t="shared" si="1241"/>
        <v>0</v>
      </c>
      <c r="CU58" s="64">
        <f t="shared" si="1242"/>
        <v>0</v>
      </c>
      <c r="CV58" s="62">
        <v>2916.7</v>
      </c>
      <c r="CW58" s="63"/>
      <c r="CX58" s="64">
        <f t="shared" si="1243"/>
        <v>2916.7</v>
      </c>
      <c r="CY58" s="65">
        <v>429.15</v>
      </c>
      <c r="CZ58" s="63"/>
      <c r="DA58" s="64">
        <f t="shared" si="1244"/>
        <v>429.15</v>
      </c>
      <c r="DB58" s="65"/>
      <c r="DC58" s="63"/>
      <c r="DD58" s="64">
        <f t="shared" si="1245"/>
        <v>0</v>
      </c>
      <c r="DE58" s="65"/>
      <c r="DF58" s="63"/>
      <c r="DG58" s="64">
        <f t="shared" si="1246"/>
        <v>0</v>
      </c>
      <c r="DH58" s="66">
        <f t="shared" si="43"/>
        <v>3345.85</v>
      </c>
      <c r="DI58" s="67">
        <f t="shared" si="1247"/>
        <v>0</v>
      </c>
      <c r="DJ58" s="64">
        <f t="shared" si="1248"/>
        <v>3345.85</v>
      </c>
      <c r="DK58" s="62">
        <v>2400</v>
      </c>
      <c r="DL58" s="63"/>
      <c r="DM58" s="64">
        <f t="shared" si="1249"/>
        <v>2400</v>
      </c>
      <c r="DN58" s="65">
        <v>913.08</v>
      </c>
      <c r="DO58" s="63"/>
      <c r="DP58" s="64">
        <f t="shared" si="1250"/>
        <v>913.08</v>
      </c>
      <c r="DQ58" s="65"/>
      <c r="DR58" s="63"/>
      <c r="DS58" s="64">
        <f t="shared" si="1251"/>
        <v>0</v>
      </c>
      <c r="DT58" s="65">
        <v>100</v>
      </c>
      <c r="DU58" s="63"/>
      <c r="DV58" s="64">
        <f t="shared" si="1252"/>
        <v>100</v>
      </c>
      <c r="DW58" s="66">
        <f t="shared" si="46"/>
        <v>3413.08</v>
      </c>
      <c r="DX58" s="67">
        <f t="shared" si="1253"/>
        <v>0</v>
      </c>
      <c r="DY58" s="64">
        <f t="shared" si="1254"/>
        <v>3413.08</v>
      </c>
      <c r="DZ58" s="62"/>
      <c r="EA58" s="63"/>
      <c r="EB58" s="64">
        <f t="shared" si="1255"/>
        <v>0</v>
      </c>
      <c r="EC58" s="65"/>
      <c r="ED58" s="63"/>
      <c r="EE58" s="64">
        <f t="shared" si="1256"/>
        <v>0</v>
      </c>
      <c r="EF58" s="65"/>
      <c r="EG58" s="63"/>
      <c r="EH58" s="64">
        <f t="shared" si="1257"/>
        <v>0</v>
      </c>
      <c r="EI58" s="65">
        <v>100</v>
      </c>
      <c r="EJ58" s="63"/>
      <c r="EK58" s="64">
        <f t="shared" si="1258"/>
        <v>100</v>
      </c>
      <c r="EL58" s="66">
        <f t="shared" si="53"/>
        <v>100</v>
      </c>
      <c r="EM58" s="67">
        <f t="shared" si="1259"/>
        <v>0</v>
      </c>
      <c r="EN58" s="64">
        <f t="shared" si="1260"/>
        <v>100</v>
      </c>
      <c r="EO58" s="62">
        <v>6150</v>
      </c>
      <c r="EP58" s="63"/>
      <c r="EQ58" s="64">
        <f t="shared" si="1261"/>
        <v>6150</v>
      </c>
      <c r="ER58" s="65"/>
      <c r="ES58" s="63"/>
      <c r="ET58" s="64">
        <f t="shared" si="1262"/>
        <v>0</v>
      </c>
      <c r="EU58" s="65"/>
      <c r="EV58" s="63"/>
      <c r="EW58" s="64">
        <f t="shared" si="1263"/>
        <v>0</v>
      </c>
      <c r="EX58" s="65">
        <v>100</v>
      </c>
      <c r="EY58" s="63"/>
      <c r="EZ58" s="64">
        <f t="shared" si="1264"/>
        <v>100</v>
      </c>
      <c r="FA58" s="66">
        <f t="shared" si="60"/>
        <v>6250</v>
      </c>
      <c r="FB58" s="67">
        <f t="shared" si="1265"/>
        <v>0</v>
      </c>
      <c r="FC58" s="64">
        <f t="shared" si="1266"/>
        <v>6250</v>
      </c>
      <c r="FD58" s="62">
        <v>6150</v>
      </c>
      <c r="FE58" s="63"/>
      <c r="FF58" s="64">
        <f t="shared" si="1267"/>
        <v>6150</v>
      </c>
      <c r="FG58" s="65"/>
      <c r="FH58" s="63"/>
      <c r="FI58" s="64">
        <f t="shared" si="1268"/>
        <v>0</v>
      </c>
      <c r="FJ58" s="65"/>
      <c r="FK58" s="63"/>
      <c r="FL58" s="64">
        <f t="shared" si="1269"/>
        <v>0</v>
      </c>
      <c r="FM58" s="65">
        <v>100</v>
      </c>
      <c r="FN58" s="63"/>
      <c r="FO58" s="64">
        <f t="shared" si="1270"/>
        <v>100</v>
      </c>
      <c r="FP58" s="66">
        <f t="shared" si="67"/>
        <v>6250</v>
      </c>
      <c r="FQ58" s="67">
        <f t="shared" si="1271"/>
        <v>0</v>
      </c>
      <c r="FR58" s="64">
        <f t="shared" si="1272"/>
        <v>6250</v>
      </c>
      <c r="FS58" s="62"/>
      <c r="FT58" s="63"/>
      <c r="FU58" s="64">
        <f t="shared" si="1273"/>
        <v>0</v>
      </c>
      <c r="FV58" s="65">
        <v>485.35</v>
      </c>
      <c r="FW58" s="63"/>
      <c r="FX58" s="64">
        <f t="shared" si="1274"/>
        <v>485.35</v>
      </c>
      <c r="FY58" s="65"/>
      <c r="FZ58" s="63"/>
      <c r="GA58" s="64">
        <f t="shared" si="1275"/>
        <v>0</v>
      </c>
      <c r="GB58" s="65"/>
      <c r="GC58" s="63"/>
      <c r="GD58" s="64">
        <f t="shared" si="1276"/>
        <v>0</v>
      </c>
      <c r="GE58" s="66">
        <f t="shared" si="74"/>
        <v>485.35</v>
      </c>
      <c r="GF58" s="67">
        <f t="shared" si="1277"/>
        <v>0</v>
      </c>
      <c r="GG58" s="64">
        <f t="shared" si="1278"/>
        <v>485.35</v>
      </c>
      <c r="GH58" s="62"/>
      <c r="GI58" s="63"/>
      <c r="GJ58" s="64">
        <f t="shared" si="1279"/>
        <v>0</v>
      </c>
      <c r="GK58" s="65">
        <v>660.33</v>
      </c>
      <c r="GL58" s="63"/>
      <c r="GM58" s="64">
        <f t="shared" si="1280"/>
        <v>660.33</v>
      </c>
      <c r="GN58" s="65"/>
      <c r="GO58" s="63"/>
      <c r="GP58" s="64">
        <f t="shared" si="1281"/>
        <v>0</v>
      </c>
      <c r="GQ58" s="65"/>
      <c r="GR58" s="63"/>
      <c r="GS58" s="64">
        <f t="shared" si="1282"/>
        <v>0</v>
      </c>
      <c r="GT58" s="66">
        <f t="shared" si="81"/>
        <v>660.33</v>
      </c>
      <c r="GU58" s="67">
        <f t="shared" si="1283"/>
        <v>0</v>
      </c>
      <c r="GV58" s="64">
        <f t="shared" si="1284"/>
        <v>660.33</v>
      </c>
      <c r="GW58" s="62"/>
      <c r="GX58" s="63"/>
      <c r="GY58" s="64">
        <f t="shared" si="1285"/>
        <v>0</v>
      </c>
      <c r="GZ58" s="65">
        <v>568.25</v>
      </c>
      <c r="HA58" s="63"/>
      <c r="HB58" s="64">
        <f t="shared" si="1286"/>
        <v>568.25</v>
      </c>
      <c r="HC58" s="65"/>
      <c r="HD58" s="63"/>
      <c r="HE58" s="64">
        <f t="shared" si="1287"/>
        <v>0</v>
      </c>
      <c r="HF58" s="65">
        <v>100</v>
      </c>
      <c r="HG58" s="63"/>
      <c r="HH58" s="64">
        <f t="shared" si="1288"/>
        <v>100</v>
      </c>
      <c r="HI58" s="66">
        <f t="shared" si="84"/>
        <v>668.25</v>
      </c>
      <c r="HJ58" s="67">
        <f t="shared" si="1289"/>
        <v>0</v>
      </c>
      <c r="HK58" s="64">
        <f t="shared" si="1290"/>
        <v>668.25</v>
      </c>
      <c r="HL58" s="62">
        <v>6150</v>
      </c>
      <c r="HM58" s="63"/>
      <c r="HN58" s="64">
        <f t="shared" si="1291"/>
        <v>6150</v>
      </c>
      <c r="HO58" s="65"/>
      <c r="HP58" s="63"/>
      <c r="HQ58" s="64">
        <f t="shared" si="1292"/>
        <v>0</v>
      </c>
      <c r="HR58" s="65"/>
      <c r="HS58" s="63"/>
      <c r="HT58" s="64">
        <f t="shared" si="1293"/>
        <v>0</v>
      </c>
      <c r="HU58" s="65">
        <v>100</v>
      </c>
      <c r="HV58" s="63"/>
      <c r="HW58" s="64">
        <f t="shared" si="1294"/>
        <v>100</v>
      </c>
      <c r="HX58" s="66">
        <f t="shared" si="91"/>
        <v>6250</v>
      </c>
      <c r="HY58" s="67">
        <f t="shared" si="1295"/>
        <v>0</v>
      </c>
      <c r="HZ58" s="64">
        <f t="shared" si="1296"/>
        <v>6250</v>
      </c>
      <c r="IA58" s="62"/>
      <c r="IB58" s="63"/>
      <c r="IC58" s="64">
        <f t="shared" si="1297"/>
        <v>0</v>
      </c>
      <c r="ID58" s="65"/>
      <c r="IE58" s="63"/>
      <c r="IF58" s="64">
        <f t="shared" si="1298"/>
        <v>0</v>
      </c>
      <c r="IG58" s="65"/>
      <c r="IH58" s="63"/>
      <c r="II58" s="64">
        <f t="shared" si="1299"/>
        <v>0</v>
      </c>
      <c r="IJ58" s="65">
        <v>100</v>
      </c>
      <c r="IK58" s="63"/>
      <c r="IL58" s="64">
        <f t="shared" si="1300"/>
        <v>100</v>
      </c>
      <c r="IM58" s="66">
        <f t="shared" si="98"/>
        <v>100</v>
      </c>
      <c r="IN58" s="67">
        <f t="shared" si="1301"/>
        <v>0</v>
      </c>
      <c r="IO58" s="64">
        <f t="shared" si="1302"/>
        <v>100</v>
      </c>
      <c r="IP58" s="62"/>
      <c r="IQ58" s="63"/>
      <c r="IR58" s="64">
        <f t="shared" si="1303"/>
        <v>0</v>
      </c>
      <c r="IS58" s="65"/>
      <c r="IT58" s="63"/>
      <c r="IU58" s="64">
        <f t="shared" si="1304"/>
        <v>0</v>
      </c>
      <c r="IV58" s="65"/>
      <c r="IW58" s="63"/>
      <c r="IX58" s="64">
        <f t="shared" si="1305"/>
        <v>0</v>
      </c>
      <c r="IY58" s="65"/>
      <c r="IZ58" s="63"/>
      <c r="JA58" s="64">
        <f t="shared" si="1306"/>
        <v>0</v>
      </c>
      <c r="JB58" s="66">
        <f t="shared" si="105"/>
        <v>0</v>
      </c>
      <c r="JC58" s="67">
        <f t="shared" si="1307"/>
        <v>0</v>
      </c>
      <c r="JD58" s="64">
        <f t="shared" si="1308"/>
        <v>0</v>
      </c>
      <c r="JE58" s="72"/>
      <c r="JF58" s="150"/>
      <c r="JG58" s="74"/>
      <c r="JH58" s="75"/>
      <c r="JI58" s="150"/>
      <c r="JJ58" s="74"/>
      <c r="JK58" s="75"/>
      <c r="JL58" s="150"/>
      <c r="JM58" s="74"/>
      <c r="JN58" s="75"/>
      <c r="JO58" s="150"/>
      <c r="JP58" s="74"/>
      <c r="JQ58" s="76"/>
      <c r="JR58" s="77"/>
      <c r="JS58" s="74"/>
      <c r="JT58" s="72"/>
      <c r="JU58" s="73"/>
      <c r="JV58" s="74"/>
      <c r="JW58" s="75"/>
      <c r="JX58" s="73"/>
      <c r="JY58" s="74"/>
      <c r="JZ58" s="75"/>
      <c r="KA58" s="73"/>
      <c r="KB58" s="74"/>
      <c r="KC58" s="75"/>
      <c r="KD58" s="73"/>
      <c r="KE58" s="74"/>
      <c r="KF58" s="76"/>
      <c r="KG58" s="77"/>
      <c r="KH58" s="64">
        <f t="shared" si="1309"/>
        <v>0</v>
      </c>
      <c r="KI58" s="62"/>
      <c r="KJ58" s="63"/>
      <c r="KK58" s="64">
        <f t="shared" si="1310"/>
        <v>0</v>
      </c>
      <c r="KL58" s="65"/>
      <c r="KM58" s="63"/>
      <c r="KN58" s="64">
        <f t="shared" si="1311"/>
        <v>0</v>
      </c>
      <c r="KO58" s="65"/>
      <c r="KP58" s="63"/>
      <c r="KQ58" s="64">
        <f t="shared" si="1312"/>
        <v>0</v>
      </c>
      <c r="KR58" s="65"/>
      <c r="KS58" s="63"/>
      <c r="KT58" s="64">
        <f t="shared" si="1313"/>
        <v>0</v>
      </c>
      <c r="KU58" s="66">
        <f t="shared" si="1"/>
        <v>0</v>
      </c>
      <c r="KV58" s="67">
        <f t="shared" si="1314"/>
        <v>0</v>
      </c>
      <c r="KW58" s="64">
        <f t="shared" si="1315"/>
        <v>0</v>
      </c>
      <c r="KX58" s="72"/>
      <c r="KY58" s="73"/>
      <c r="KZ58" s="74"/>
      <c r="LA58" s="75"/>
      <c r="LB58" s="73"/>
      <c r="LC58" s="74"/>
      <c r="LD58" s="75"/>
      <c r="LE58" s="73"/>
      <c r="LF58" s="74"/>
      <c r="LG58" s="75"/>
      <c r="LH58" s="73"/>
      <c r="LI58" s="74"/>
      <c r="LJ58" s="76"/>
      <c r="LK58" s="77"/>
      <c r="LL58" s="74"/>
      <c r="LM58" s="62"/>
      <c r="LN58" s="63"/>
      <c r="LO58" s="64">
        <f t="shared" si="1316"/>
        <v>0</v>
      </c>
      <c r="LP58" s="65"/>
      <c r="LQ58" s="63"/>
      <c r="LR58" s="64">
        <f t="shared" si="1317"/>
        <v>0</v>
      </c>
      <c r="LS58" s="65"/>
      <c r="LT58" s="63"/>
      <c r="LU58" s="64">
        <f t="shared" si="1318"/>
        <v>0</v>
      </c>
      <c r="LV58" s="65">
        <v>100</v>
      </c>
      <c r="LW58" s="63"/>
      <c r="LX58" s="64">
        <f t="shared" si="1319"/>
        <v>100</v>
      </c>
      <c r="LY58" s="66">
        <f t="shared" si="124"/>
        <v>100</v>
      </c>
      <c r="LZ58" s="67">
        <f t="shared" si="1320"/>
        <v>0</v>
      </c>
      <c r="MA58" s="64">
        <f t="shared" si="1321"/>
        <v>100</v>
      </c>
      <c r="MB58" s="62"/>
      <c r="MC58" s="63"/>
      <c r="MD58" s="64">
        <f t="shared" si="1322"/>
        <v>0</v>
      </c>
      <c r="ME58" s="65">
        <v>889.11</v>
      </c>
      <c r="MF58" s="63"/>
      <c r="MG58" s="64">
        <f t="shared" si="1323"/>
        <v>889.11</v>
      </c>
      <c r="MH58" s="65"/>
      <c r="MI58" s="63"/>
      <c r="MJ58" s="64">
        <f t="shared" si="1324"/>
        <v>0</v>
      </c>
      <c r="MK58" s="65">
        <v>100</v>
      </c>
      <c r="ML58" s="63"/>
      <c r="MM58" s="64">
        <f t="shared" si="1325"/>
        <v>100</v>
      </c>
      <c r="MN58" s="66">
        <f t="shared" si="131"/>
        <v>989.11</v>
      </c>
      <c r="MO58" s="67">
        <f t="shared" si="1326"/>
        <v>0</v>
      </c>
      <c r="MP58" s="64">
        <f t="shared" si="1327"/>
        <v>989.11</v>
      </c>
      <c r="MQ58" s="62"/>
      <c r="MR58" s="63"/>
      <c r="MS58" s="64">
        <f t="shared" si="1328"/>
        <v>0</v>
      </c>
      <c r="MT58" s="65"/>
      <c r="MU58" s="63"/>
      <c r="MV58" s="64">
        <f t="shared" si="1329"/>
        <v>0</v>
      </c>
      <c r="MW58" s="65"/>
      <c r="MX58" s="63"/>
      <c r="MY58" s="64">
        <f t="shared" si="1330"/>
        <v>0</v>
      </c>
      <c r="MZ58" s="65"/>
      <c r="NA58" s="63"/>
      <c r="NB58" s="64">
        <f t="shared" si="1331"/>
        <v>0</v>
      </c>
      <c r="NC58" s="66">
        <f t="shared" si="138"/>
        <v>0</v>
      </c>
      <c r="ND58" s="67">
        <f t="shared" si="1332"/>
        <v>0</v>
      </c>
      <c r="NE58" s="64">
        <f t="shared" si="1333"/>
        <v>0</v>
      </c>
      <c r="NF58" s="62"/>
      <c r="NG58" s="63"/>
      <c r="NH58" s="64">
        <f t="shared" si="1334"/>
        <v>0</v>
      </c>
      <c r="NI58" s="65">
        <v>1164.04</v>
      </c>
      <c r="NJ58" s="63"/>
      <c r="NK58" s="64">
        <f t="shared" si="1335"/>
        <v>1164.04</v>
      </c>
      <c r="NL58" s="65"/>
      <c r="NM58" s="63"/>
      <c r="NN58" s="64">
        <f t="shared" si="1336"/>
        <v>0</v>
      </c>
      <c r="NO58" s="65">
        <v>100</v>
      </c>
      <c r="NP58" s="63"/>
      <c r="NQ58" s="64">
        <f t="shared" si="1337"/>
        <v>100</v>
      </c>
      <c r="NR58" s="66">
        <f t="shared" si="145"/>
        <v>1264.04</v>
      </c>
      <c r="NS58" s="67">
        <f t="shared" si="1338"/>
        <v>0</v>
      </c>
      <c r="NT58" s="64">
        <f t="shared" si="1339"/>
        <v>1264.04</v>
      </c>
      <c r="NU58" s="62"/>
      <c r="NV58" s="63"/>
      <c r="NW58" s="64">
        <f t="shared" si="1340"/>
        <v>0</v>
      </c>
      <c r="NX58" s="65">
        <v>1152.73</v>
      </c>
      <c r="NY58" s="63"/>
      <c r="NZ58" s="64">
        <f t="shared" si="1341"/>
        <v>1152.73</v>
      </c>
      <c r="OA58" s="65"/>
      <c r="OB58" s="63"/>
      <c r="OC58" s="64">
        <f t="shared" si="1342"/>
        <v>0</v>
      </c>
      <c r="OD58" s="65">
        <v>100</v>
      </c>
      <c r="OE58" s="63"/>
      <c r="OF58" s="64">
        <f t="shared" si="1343"/>
        <v>100</v>
      </c>
      <c r="OG58" s="66">
        <f t="shared" si="152"/>
        <v>1252.73</v>
      </c>
      <c r="OH58" s="67">
        <f t="shared" si="1344"/>
        <v>0</v>
      </c>
      <c r="OI58" s="64">
        <f t="shared" si="1345"/>
        <v>1252.73</v>
      </c>
      <c r="OJ58" s="62"/>
      <c r="OK58" s="63"/>
      <c r="OL58" s="64">
        <f t="shared" si="1346"/>
        <v>0</v>
      </c>
      <c r="OM58" s="65"/>
      <c r="ON58" s="63"/>
      <c r="OO58" s="64">
        <f t="shared" si="1347"/>
        <v>0</v>
      </c>
      <c r="OP58" s="65"/>
      <c r="OQ58" s="63"/>
      <c r="OR58" s="64">
        <f t="shared" si="1348"/>
        <v>0</v>
      </c>
      <c r="OS58" s="65">
        <v>100</v>
      </c>
      <c r="OT58" s="63"/>
      <c r="OU58" s="64">
        <f t="shared" si="1349"/>
        <v>100</v>
      </c>
      <c r="OV58" s="66">
        <f t="shared" si="159"/>
        <v>100</v>
      </c>
      <c r="OW58" s="67">
        <f t="shared" si="1350"/>
        <v>0</v>
      </c>
      <c r="OX58" s="64">
        <f t="shared" si="1351"/>
        <v>100</v>
      </c>
      <c r="OY58" s="62"/>
      <c r="OZ58" s="63"/>
      <c r="PA58" s="64">
        <f t="shared" si="1352"/>
        <v>0</v>
      </c>
      <c r="PB58" s="65"/>
      <c r="PC58" s="63"/>
      <c r="PD58" s="64">
        <f t="shared" si="1353"/>
        <v>0</v>
      </c>
      <c r="PE58" s="65"/>
      <c r="PF58" s="63"/>
      <c r="PG58" s="64">
        <f t="shared" si="1354"/>
        <v>0</v>
      </c>
      <c r="PH58" s="65">
        <v>100</v>
      </c>
      <c r="PI58" s="63"/>
      <c r="PJ58" s="64">
        <f t="shared" si="1355"/>
        <v>100</v>
      </c>
      <c r="PK58" s="66">
        <f t="shared" si="166"/>
        <v>100</v>
      </c>
      <c r="PL58" s="67">
        <f t="shared" si="1356"/>
        <v>0</v>
      </c>
      <c r="PM58" s="64">
        <f t="shared" si="1357"/>
        <v>100</v>
      </c>
      <c r="PN58" s="62">
        <v>1550</v>
      </c>
      <c r="PO58" s="63"/>
      <c r="PP58" s="64">
        <f t="shared" si="1358"/>
        <v>1550</v>
      </c>
      <c r="PQ58" s="65"/>
      <c r="PR58" s="63"/>
      <c r="PS58" s="64">
        <f t="shared" si="1359"/>
        <v>0</v>
      </c>
      <c r="PT58" s="65"/>
      <c r="PU58" s="63"/>
      <c r="PV58" s="64">
        <f t="shared" si="1360"/>
        <v>0</v>
      </c>
      <c r="PW58" s="65">
        <v>100</v>
      </c>
      <c r="PX58" s="63"/>
      <c r="PY58" s="64">
        <f t="shared" si="1361"/>
        <v>100</v>
      </c>
      <c r="PZ58" s="66">
        <f t="shared" si="173"/>
        <v>1650</v>
      </c>
      <c r="QA58" s="67">
        <f t="shared" si="1362"/>
        <v>0</v>
      </c>
      <c r="QB58" s="64">
        <f t="shared" si="1363"/>
        <v>1650</v>
      </c>
      <c r="QC58" s="62"/>
      <c r="QD58" s="63"/>
      <c r="QE58" s="64">
        <f t="shared" si="1364"/>
        <v>0</v>
      </c>
      <c r="QF58" s="65"/>
      <c r="QG58" s="63"/>
      <c r="QH58" s="64">
        <f t="shared" si="1365"/>
        <v>0</v>
      </c>
      <c r="QI58" s="65"/>
      <c r="QJ58" s="63"/>
      <c r="QK58" s="64">
        <f t="shared" si="1366"/>
        <v>0</v>
      </c>
      <c r="QL58" s="65">
        <v>100</v>
      </c>
      <c r="QM58" s="63"/>
      <c r="QN58" s="64">
        <f t="shared" si="1367"/>
        <v>100</v>
      </c>
      <c r="QO58" s="66">
        <f t="shared" si="180"/>
        <v>100</v>
      </c>
      <c r="QP58" s="67">
        <f t="shared" si="1368"/>
        <v>0</v>
      </c>
      <c r="QQ58" s="64">
        <f t="shared" si="1369"/>
        <v>100</v>
      </c>
      <c r="QR58" s="74"/>
      <c r="QS58" s="74"/>
      <c r="QT58" s="72"/>
      <c r="QU58" s="73"/>
      <c r="QV58" s="74"/>
      <c r="QW58" s="75"/>
      <c r="QX58" s="73"/>
      <c r="QY58" s="74"/>
      <c r="QZ58" s="75"/>
      <c r="RA58" s="73"/>
      <c r="RB58" s="74"/>
      <c r="RC58" s="75"/>
      <c r="RD58" s="73"/>
      <c r="RE58" s="74"/>
      <c r="RF58" s="74"/>
      <c r="RG58" s="72"/>
      <c r="RH58" s="73"/>
      <c r="RI58" s="74"/>
      <c r="RJ58" s="75"/>
      <c r="RK58" s="73"/>
      <c r="RL58" s="74"/>
      <c r="RM58" s="75"/>
      <c r="RN58" s="73"/>
      <c r="RO58" s="74"/>
      <c r="RP58" s="75"/>
      <c r="RQ58" s="73"/>
      <c r="RR58" s="74"/>
      <c r="RS58" s="76"/>
      <c r="RT58" s="77"/>
      <c r="RU58" s="74"/>
      <c r="RV58" s="74"/>
      <c r="RW58" s="72"/>
      <c r="RX58" s="73"/>
      <c r="RY58" s="74"/>
      <c r="RZ58" s="75"/>
      <c r="SA58" s="73"/>
      <c r="SB58" s="74"/>
      <c r="SC58" s="75"/>
      <c r="SD58" s="73"/>
      <c r="SE58" s="74"/>
      <c r="SF58" s="75"/>
      <c r="SG58" s="73"/>
      <c r="SH58" s="74"/>
      <c r="SI58" s="76"/>
      <c r="SJ58" s="64">
        <f t="shared" si="1370"/>
        <v>0</v>
      </c>
      <c r="SK58" s="62"/>
      <c r="SL58" s="63"/>
      <c r="SM58" s="64">
        <f t="shared" si="1371"/>
        <v>0</v>
      </c>
      <c r="SN58" s="65"/>
      <c r="SO58" s="63"/>
      <c r="SP58" s="64">
        <f t="shared" si="1372"/>
        <v>0</v>
      </c>
      <c r="SQ58" s="65"/>
      <c r="SR58" s="63"/>
      <c r="SS58" s="64">
        <f t="shared" si="1373"/>
        <v>0</v>
      </c>
      <c r="ST58" s="65">
        <v>100</v>
      </c>
      <c r="SU58" s="63"/>
      <c r="SV58" s="64">
        <f t="shared" si="1374"/>
        <v>100</v>
      </c>
      <c r="SW58" s="66">
        <f t="shared" si="208"/>
        <v>100</v>
      </c>
      <c r="SX58" s="67">
        <f t="shared" si="1375"/>
        <v>0</v>
      </c>
      <c r="SY58" s="64">
        <f t="shared" si="1376"/>
        <v>100</v>
      </c>
      <c r="SZ58" s="62">
        <v>985.33</v>
      </c>
      <c r="TA58" s="63"/>
      <c r="TB58" s="64">
        <f t="shared" si="1377"/>
        <v>985.33</v>
      </c>
      <c r="TC58" s="65">
        <v>700.9</v>
      </c>
      <c r="TD58" s="63"/>
      <c r="TE58" s="64">
        <f t="shared" si="1378"/>
        <v>700.9</v>
      </c>
      <c r="TF58" s="65">
        <v>1800</v>
      </c>
      <c r="TG58" s="63"/>
      <c r="TH58" s="64">
        <f t="shared" si="1379"/>
        <v>1800</v>
      </c>
      <c r="TI58" s="65">
        <v>100</v>
      </c>
      <c r="TJ58" s="63"/>
      <c r="TK58" s="64">
        <f t="shared" si="1380"/>
        <v>100</v>
      </c>
      <c r="TL58" s="66">
        <f t="shared" si="215"/>
        <v>3586.23</v>
      </c>
      <c r="TM58" s="67">
        <f t="shared" si="1381"/>
        <v>0</v>
      </c>
      <c r="TN58" s="64">
        <f t="shared" si="1382"/>
        <v>3586.23</v>
      </c>
      <c r="TO58" s="62"/>
      <c r="TP58" s="63"/>
      <c r="TQ58" s="64">
        <f t="shared" si="1383"/>
        <v>0</v>
      </c>
      <c r="TR58" s="65"/>
      <c r="TS58" s="63"/>
      <c r="TT58" s="64">
        <f t="shared" si="1384"/>
        <v>0</v>
      </c>
      <c r="TU58" s="65"/>
      <c r="TV58" s="63"/>
      <c r="TW58" s="64">
        <f t="shared" si="1385"/>
        <v>0</v>
      </c>
      <c r="TX58" s="65">
        <v>100</v>
      </c>
      <c r="TY58" s="63"/>
      <c r="TZ58" s="64">
        <f t="shared" si="1386"/>
        <v>100</v>
      </c>
      <c r="UA58" s="66">
        <f t="shared" si="222"/>
        <v>100</v>
      </c>
      <c r="UB58" s="67">
        <f t="shared" si="1387"/>
        <v>0</v>
      </c>
      <c r="UC58" s="64">
        <f t="shared" si="1388"/>
        <v>100</v>
      </c>
      <c r="UD58" s="62">
        <v>1125</v>
      </c>
      <c r="UE58" s="63"/>
      <c r="UF58" s="64">
        <f t="shared" si="1389"/>
        <v>1125</v>
      </c>
      <c r="UG58" s="65">
        <v>497.04</v>
      </c>
      <c r="UH58" s="63"/>
      <c r="UI58" s="64">
        <f t="shared" si="1390"/>
        <v>497.04</v>
      </c>
      <c r="UJ58" s="65"/>
      <c r="UK58" s="63"/>
      <c r="UL58" s="64">
        <f t="shared" si="1391"/>
        <v>0</v>
      </c>
      <c r="UM58" s="65">
        <v>100</v>
      </c>
      <c r="UN58" s="63"/>
      <c r="UO58" s="64">
        <f t="shared" si="1392"/>
        <v>100</v>
      </c>
      <c r="UP58" s="66">
        <f t="shared" si="226"/>
        <v>1722.04</v>
      </c>
      <c r="UQ58" s="67">
        <f t="shared" si="1393"/>
        <v>0</v>
      </c>
      <c r="UR58" s="64">
        <f t="shared" si="1394"/>
        <v>1722.04</v>
      </c>
      <c r="US58" s="74"/>
      <c r="UT58" s="72"/>
      <c r="UU58" s="73"/>
      <c r="UV58" s="74"/>
      <c r="UW58" s="75"/>
      <c r="UX58" s="73"/>
      <c r="UY58" s="74"/>
      <c r="UZ58" s="75"/>
      <c r="VA58" s="73"/>
      <c r="VB58" s="74"/>
      <c r="VC58" s="75"/>
      <c r="VD58" s="73"/>
      <c r="VE58" s="74"/>
      <c r="VF58" s="76"/>
      <c r="VG58" s="77"/>
      <c r="VH58" s="62"/>
      <c r="VI58" s="63"/>
      <c r="VJ58" s="64">
        <f t="shared" si="1395"/>
        <v>0</v>
      </c>
      <c r="VK58" s="65"/>
      <c r="VL58" s="63"/>
      <c r="VM58" s="64">
        <f t="shared" si="1396"/>
        <v>0</v>
      </c>
      <c r="VN58" s="65"/>
      <c r="VO58" s="63"/>
      <c r="VP58" s="64">
        <f t="shared" si="1397"/>
        <v>0</v>
      </c>
      <c r="VQ58" s="65">
        <v>100</v>
      </c>
      <c r="VR58" s="63"/>
      <c r="VS58" s="64">
        <f t="shared" si="1398"/>
        <v>100</v>
      </c>
      <c r="VT58" s="66">
        <f t="shared" si="240"/>
        <v>100</v>
      </c>
      <c r="VU58" s="67">
        <f t="shared" si="1399"/>
        <v>0</v>
      </c>
      <c r="VV58" s="64">
        <f t="shared" si="1400"/>
        <v>100</v>
      </c>
      <c r="VW58" s="74"/>
      <c r="VX58" s="72"/>
      <c r="VY58" s="73"/>
      <c r="VZ58" s="74"/>
      <c r="WA58" s="75"/>
      <c r="WB58" s="73"/>
      <c r="WC58" s="74"/>
      <c r="WD58" s="75"/>
      <c r="WE58" s="73"/>
      <c r="WF58" s="74"/>
      <c r="WG58" s="75"/>
      <c r="WH58" s="73"/>
      <c r="WI58" s="74"/>
      <c r="WJ58" s="76"/>
      <c r="WK58" s="77"/>
      <c r="WL58" s="74"/>
      <c r="WM58" s="72"/>
      <c r="WN58" s="73"/>
      <c r="WO58" s="74"/>
      <c r="WP58" s="75"/>
      <c r="WQ58" s="73"/>
      <c r="WR58" s="74"/>
      <c r="WS58" s="75"/>
      <c r="WT58" s="73"/>
      <c r="WU58" s="74"/>
      <c r="WV58" s="75"/>
      <c r="WW58" s="73"/>
      <c r="WX58" s="74"/>
      <c r="WY58" s="76"/>
      <c r="WZ58" s="77"/>
      <c r="XA58" s="74"/>
      <c r="XB58" s="72"/>
      <c r="XC58" s="73"/>
      <c r="XD58" s="74"/>
      <c r="XE58" s="75"/>
      <c r="XF58" s="73"/>
      <c r="XG58" s="74"/>
      <c r="XH58" s="75"/>
      <c r="XI58" s="73"/>
      <c r="XJ58" s="74"/>
      <c r="XK58" s="75"/>
      <c r="XL58" s="73"/>
      <c r="XM58" s="74"/>
      <c r="XN58" s="76"/>
      <c r="XO58" s="77"/>
      <c r="XP58" s="62"/>
      <c r="XQ58" s="63"/>
      <c r="XR58" s="64">
        <f t="shared" si="1401"/>
        <v>0</v>
      </c>
      <c r="XS58" s="65">
        <v>844.24</v>
      </c>
      <c r="XT58" s="63"/>
      <c r="XU58" s="64">
        <f t="shared" si="1402"/>
        <v>844.24</v>
      </c>
      <c r="XV58" s="65"/>
      <c r="XW58" s="63"/>
      <c r="XX58" s="64">
        <f t="shared" si="1403"/>
        <v>0</v>
      </c>
      <c r="XY58" s="65">
        <v>100</v>
      </c>
      <c r="XZ58" s="63"/>
      <c r="YA58" s="64">
        <f t="shared" si="1404"/>
        <v>100</v>
      </c>
      <c r="YB58" s="66">
        <f t="shared" si="268"/>
        <v>944.24</v>
      </c>
      <c r="YC58" s="67">
        <f t="shared" si="1405"/>
        <v>0</v>
      </c>
      <c r="YD58" s="64">
        <f t="shared" si="1406"/>
        <v>944.24</v>
      </c>
      <c r="YE58" s="62"/>
      <c r="YF58" s="63"/>
      <c r="YG58" s="64">
        <f t="shared" si="1407"/>
        <v>0</v>
      </c>
      <c r="YH58" s="65">
        <v>847.85</v>
      </c>
      <c r="YI58" s="63"/>
      <c r="YJ58" s="64">
        <f t="shared" si="1408"/>
        <v>847.85</v>
      </c>
      <c r="YK58" s="65"/>
      <c r="YL58" s="63"/>
      <c r="YM58" s="64">
        <f t="shared" si="1409"/>
        <v>0</v>
      </c>
      <c r="YN58" s="65">
        <v>100</v>
      </c>
      <c r="YO58" s="63"/>
      <c r="YP58" s="64">
        <f t="shared" si="1410"/>
        <v>100</v>
      </c>
      <c r="YQ58" s="66">
        <f t="shared" si="275"/>
        <v>947.85</v>
      </c>
      <c r="YR58" s="67">
        <f t="shared" si="1411"/>
        <v>0</v>
      </c>
      <c r="YS58" s="64">
        <f t="shared" si="1412"/>
        <v>947.85</v>
      </c>
      <c r="YT58" s="62"/>
      <c r="YU58" s="63"/>
      <c r="YV58" s="64">
        <f t="shared" si="1413"/>
        <v>0</v>
      </c>
      <c r="YW58" s="65">
        <v>695.73</v>
      </c>
      <c r="YX58" s="63"/>
      <c r="YY58" s="64">
        <f t="shared" si="1414"/>
        <v>695.73</v>
      </c>
      <c r="YZ58" s="65"/>
      <c r="ZA58" s="63"/>
      <c r="ZB58" s="64">
        <f t="shared" si="1415"/>
        <v>0</v>
      </c>
      <c r="ZC58" s="65">
        <v>100</v>
      </c>
      <c r="ZD58" s="63"/>
      <c r="ZE58" s="64">
        <f t="shared" si="1416"/>
        <v>100</v>
      </c>
      <c r="ZF58" s="66">
        <f t="shared" si="282"/>
        <v>795.73</v>
      </c>
      <c r="ZG58" s="67">
        <f t="shared" si="1417"/>
        <v>0</v>
      </c>
      <c r="ZH58" s="74"/>
      <c r="ZI58" s="72"/>
      <c r="ZJ58" s="73"/>
      <c r="ZK58" s="74"/>
      <c r="ZL58" s="75"/>
      <c r="ZM58" s="73"/>
      <c r="ZN58" s="74"/>
      <c r="ZO58" s="75"/>
      <c r="ZP58" s="73"/>
      <c r="ZQ58" s="74"/>
      <c r="ZR58" s="75"/>
      <c r="ZS58" s="73"/>
      <c r="ZT58" s="74"/>
      <c r="ZU58" s="76"/>
      <c r="ZV58" s="77"/>
      <c r="ZW58" s="64">
        <f t="shared" si="1418"/>
        <v>0</v>
      </c>
      <c r="ZX58" s="62">
        <v>24.71</v>
      </c>
      <c r="ZY58" s="63"/>
      <c r="ZZ58" s="64">
        <f t="shared" si="1419"/>
        <v>24.71</v>
      </c>
      <c r="AAA58" s="66">
        <f t="shared" si="293"/>
        <v>24.71</v>
      </c>
      <c r="AAB58" s="67">
        <f t="shared" si="293"/>
        <v>0</v>
      </c>
      <c r="AAC58" s="64">
        <f t="shared" si="1420"/>
        <v>24.71</v>
      </c>
      <c r="AAD58" s="85">
        <f t="shared" si="295"/>
        <v>54965.990000000005</v>
      </c>
      <c r="AAE58" s="86">
        <f t="shared" si="295"/>
        <v>0</v>
      </c>
      <c r="AAF58" s="87">
        <f t="shared" si="3"/>
        <v>0</v>
      </c>
      <c r="AAG58" s="88">
        <f t="shared" si="1421"/>
        <v>-54965.990000000005</v>
      </c>
      <c r="AAH58" s="58"/>
      <c r="AAI58" s="59"/>
      <c r="AAJ58" s="59"/>
      <c r="AAK58" s="60"/>
    </row>
    <row r="59" spans="1:713" s="83" customFormat="1" ht="20" customHeight="1" x14ac:dyDescent="0.2">
      <c r="A59" s="153"/>
      <c r="B59" s="89">
        <f>AAH59</f>
        <v>1405416.1799999997</v>
      </c>
      <c r="C59" s="90"/>
      <c r="D59" s="90"/>
      <c r="E59" s="60"/>
      <c r="F59" s="61">
        <v>46082</v>
      </c>
      <c r="G59" s="62"/>
      <c r="H59" s="63"/>
      <c r="I59" s="64">
        <f t="shared" si="1217"/>
        <v>0</v>
      </c>
      <c r="J59" s="65">
        <v>4134.46</v>
      </c>
      <c r="K59" s="63"/>
      <c r="L59" s="64">
        <f t="shared" si="1218"/>
        <v>4134.46</v>
      </c>
      <c r="M59" s="65">
        <v>2500</v>
      </c>
      <c r="N59" s="63"/>
      <c r="O59" s="64">
        <f t="shared" si="1219"/>
        <v>2500</v>
      </c>
      <c r="P59" s="65">
        <v>500</v>
      </c>
      <c r="Q59" s="63"/>
      <c r="R59" s="64">
        <f t="shared" si="1220"/>
        <v>500</v>
      </c>
      <c r="S59" s="65">
        <v>181</v>
      </c>
      <c r="T59" s="63"/>
      <c r="U59" s="64">
        <f t="shared" si="1221"/>
        <v>181</v>
      </c>
      <c r="V59" s="66">
        <f t="shared" si="1222"/>
        <v>7315.46</v>
      </c>
      <c r="W59" s="67">
        <f t="shared" si="1222"/>
        <v>0</v>
      </c>
      <c r="X59" s="64">
        <f t="shared" si="1223"/>
        <v>7315.46</v>
      </c>
      <c r="Y59" s="72"/>
      <c r="Z59" s="73"/>
      <c r="AA59" s="74"/>
      <c r="AB59" s="75"/>
      <c r="AC59" s="73"/>
      <c r="AD59" s="74"/>
      <c r="AE59" s="75"/>
      <c r="AF59" s="73"/>
      <c r="AG59" s="74"/>
      <c r="AH59" s="75"/>
      <c r="AI59" s="73"/>
      <c r="AJ59" s="74"/>
      <c r="AK59" s="76"/>
      <c r="AL59" s="77"/>
      <c r="AM59" s="64">
        <f t="shared" si="1224"/>
        <v>0</v>
      </c>
      <c r="AN59" s="62"/>
      <c r="AO59" s="63"/>
      <c r="AP59" s="64">
        <f t="shared" si="1422"/>
        <v>0</v>
      </c>
      <c r="AQ59" s="65"/>
      <c r="AR59" s="63"/>
      <c r="AS59" s="64">
        <f t="shared" si="1225"/>
        <v>0</v>
      </c>
      <c r="AT59" s="65"/>
      <c r="AU59" s="63"/>
      <c r="AV59" s="64">
        <f t="shared" si="1226"/>
        <v>0</v>
      </c>
      <c r="AW59" s="65"/>
      <c r="AX59" s="63"/>
      <c r="AY59" s="64">
        <f t="shared" si="1227"/>
        <v>0</v>
      </c>
      <c r="AZ59" s="66">
        <f t="shared" si="23"/>
        <v>0</v>
      </c>
      <c r="BA59" s="67">
        <f t="shared" si="1228"/>
        <v>0</v>
      </c>
      <c r="BB59" s="64">
        <f t="shared" si="1229"/>
        <v>0</v>
      </c>
      <c r="BC59" s="62"/>
      <c r="BD59" s="63"/>
      <c r="BE59" s="64">
        <f t="shared" si="1230"/>
        <v>0</v>
      </c>
      <c r="BF59" s="65"/>
      <c r="BG59" s="63"/>
      <c r="BH59" s="64">
        <f t="shared" si="1231"/>
        <v>0</v>
      </c>
      <c r="BI59" s="65"/>
      <c r="BJ59" s="63"/>
      <c r="BK59" s="64">
        <f t="shared" si="1232"/>
        <v>0</v>
      </c>
      <c r="BL59" s="65">
        <v>100</v>
      </c>
      <c r="BM59" s="63"/>
      <c r="BN59" s="64">
        <f t="shared" si="1233"/>
        <v>100</v>
      </c>
      <c r="BO59" s="66">
        <f t="shared" si="30"/>
        <v>100</v>
      </c>
      <c r="BP59" s="67">
        <f t="shared" si="1234"/>
        <v>0</v>
      </c>
      <c r="BQ59" s="64">
        <f t="shared" si="1235"/>
        <v>100</v>
      </c>
      <c r="BR59" s="72"/>
      <c r="BS59" s="73"/>
      <c r="BT59" s="74"/>
      <c r="BU59" s="75"/>
      <c r="BV59" s="73"/>
      <c r="BW59" s="74"/>
      <c r="BX59" s="75"/>
      <c r="BY59" s="73"/>
      <c r="BZ59" s="74"/>
      <c r="CA59" s="75"/>
      <c r="CB59" s="73"/>
      <c r="CC59" s="74"/>
      <c r="CD59" s="76"/>
      <c r="CE59" s="77"/>
      <c r="CF59" s="64">
        <f t="shared" si="1236"/>
        <v>0</v>
      </c>
      <c r="CG59" s="62"/>
      <c r="CH59" s="63"/>
      <c r="CI59" s="64">
        <f t="shared" si="1237"/>
        <v>0</v>
      </c>
      <c r="CJ59" s="65"/>
      <c r="CK59" s="63"/>
      <c r="CL59" s="64">
        <f t="shared" si="1238"/>
        <v>0</v>
      </c>
      <c r="CM59" s="65"/>
      <c r="CN59" s="63"/>
      <c r="CO59" s="64">
        <f t="shared" si="1239"/>
        <v>0</v>
      </c>
      <c r="CP59" s="65"/>
      <c r="CQ59" s="63"/>
      <c r="CR59" s="64">
        <f t="shared" si="1240"/>
        <v>0</v>
      </c>
      <c r="CS59" s="66">
        <f t="shared" si="40"/>
        <v>0</v>
      </c>
      <c r="CT59" s="67">
        <f t="shared" si="1241"/>
        <v>0</v>
      </c>
      <c r="CU59" s="64">
        <f t="shared" si="1242"/>
        <v>0</v>
      </c>
      <c r="CV59" s="62">
        <v>2916.7</v>
      </c>
      <c r="CW59" s="63"/>
      <c r="CX59" s="64">
        <f t="shared" si="1243"/>
        <v>2916.7</v>
      </c>
      <c r="CY59" s="65">
        <v>429.15</v>
      </c>
      <c r="CZ59" s="63"/>
      <c r="DA59" s="64">
        <f t="shared" si="1244"/>
        <v>429.15</v>
      </c>
      <c r="DB59" s="65"/>
      <c r="DC59" s="63"/>
      <c r="DD59" s="64">
        <f t="shared" si="1245"/>
        <v>0</v>
      </c>
      <c r="DE59" s="65"/>
      <c r="DF59" s="63"/>
      <c r="DG59" s="64">
        <f t="shared" si="1246"/>
        <v>0</v>
      </c>
      <c r="DH59" s="66">
        <f t="shared" si="43"/>
        <v>3345.85</v>
      </c>
      <c r="DI59" s="67">
        <f t="shared" si="1247"/>
        <v>0</v>
      </c>
      <c r="DJ59" s="64">
        <f t="shared" si="1248"/>
        <v>3345.85</v>
      </c>
      <c r="DK59" s="62">
        <v>2400</v>
      </c>
      <c r="DL59" s="63"/>
      <c r="DM59" s="64">
        <f t="shared" si="1249"/>
        <v>2400</v>
      </c>
      <c r="DN59" s="65">
        <v>913.08</v>
      </c>
      <c r="DO59" s="63"/>
      <c r="DP59" s="64">
        <f t="shared" si="1250"/>
        <v>913.08</v>
      </c>
      <c r="DQ59" s="65"/>
      <c r="DR59" s="63"/>
      <c r="DS59" s="64">
        <f t="shared" si="1251"/>
        <v>0</v>
      </c>
      <c r="DT59" s="65">
        <v>100</v>
      </c>
      <c r="DU59" s="63"/>
      <c r="DV59" s="64">
        <f t="shared" si="1252"/>
        <v>100</v>
      </c>
      <c r="DW59" s="66">
        <f t="shared" si="46"/>
        <v>3413.08</v>
      </c>
      <c r="DX59" s="67">
        <f t="shared" si="1253"/>
        <v>0</v>
      </c>
      <c r="DY59" s="64">
        <f t="shared" si="1254"/>
        <v>3413.08</v>
      </c>
      <c r="DZ59" s="62"/>
      <c r="EA59" s="63"/>
      <c r="EB59" s="64">
        <f t="shared" si="1255"/>
        <v>0</v>
      </c>
      <c r="EC59" s="65"/>
      <c r="ED59" s="63"/>
      <c r="EE59" s="64">
        <f t="shared" si="1256"/>
        <v>0</v>
      </c>
      <c r="EF59" s="65"/>
      <c r="EG59" s="63"/>
      <c r="EH59" s="64">
        <f t="shared" si="1257"/>
        <v>0</v>
      </c>
      <c r="EI59" s="65">
        <v>100</v>
      </c>
      <c r="EJ59" s="63"/>
      <c r="EK59" s="64">
        <f t="shared" si="1258"/>
        <v>100</v>
      </c>
      <c r="EL59" s="66">
        <f t="shared" si="53"/>
        <v>100</v>
      </c>
      <c r="EM59" s="67">
        <f t="shared" si="1259"/>
        <v>0</v>
      </c>
      <c r="EN59" s="64">
        <f t="shared" si="1260"/>
        <v>100</v>
      </c>
      <c r="EO59" s="62"/>
      <c r="EP59" s="63"/>
      <c r="EQ59" s="64">
        <f t="shared" si="1261"/>
        <v>0</v>
      </c>
      <c r="ER59" s="65"/>
      <c r="ES59" s="63"/>
      <c r="ET59" s="64">
        <f t="shared" si="1262"/>
        <v>0</v>
      </c>
      <c r="EU59" s="65"/>
      <c r="EV59" s="63"/>
      <c r="EW59" s="64">
        <f t="shared" si="1263"/>
        <v>0</v>
      </c>
      <c r="EX59" s="65">
        <v>100</v>
      </c>
      <c r="EY59" s="63"/>
      <c r="EZ59" s="64">
        <f t="shared" si="1264"/>
        <v>100</v>
      </c>
      <c r="FA59" s="66">
        <f t="shared" si="60"/>
        <v>100</v>
      </c>
      <c r="FB59" s="67">
        <f t="shared" si="1265"/>
        <v>0</v>
      </c>
      <c r="FC59" s="64">
        <f t="shared" si="1266"/>
        <v>100</v>
      </c>
      <c r="FD59" s="62"/>
      <c r="FE59" s="63"/>
      <c r="FF59" s="64">
        <f t="shared" si="1267"/>
        <v>0</v>
      </c>
      <c r="FG59" s="65"/>
      <c r="FH59" s="63"/>
      <c r="FI59" s="64">
        <f t="shared" si="1268"/>
        <v>0</v>
      </c>
      <c r="FJ59" s="65"/>
      <c r="FK59" s="63"/>
      <c r="FL59" s="64">
        <f t="shared" si="1269"/>
        <v>0</v>
      </c>
      <c r="FM59" s="65">
        <v>100</v>
      </c>
      <c r="FN59" s="63"/>
      <c r="FO59" s="64">
        <f t="shared" si="1270"/>
        <v>100</v>
      </c>
      <c r="FP59" s="66">
        <f t="shared" si="67"/>
        <v>100</v>
      </c>
      <c r="FQ59" s="67">
        <f t="shared" si="1271"/>
        <v>0</v>
      </c>
      <c r="FR59" s="64">
        <f t="shared" si="1272"/>
        <v>100</v>
      </c>
      <c r="FS59" s="62"/>
      <c r="FT59" s="63"/>
      <c r="FU59" s="64">
        <f t="shared" si="1273"/>
        <v>0</v>
      </c>
      <c r="FV59" s="65">
        <v>485.35</v>
      </c>
      <c r="FW59" s="63"/>
      <c r="FX59" s="64">
        <f t="shared" si="1274"/>
        <v>485.35</v>
      </c>
      <c r="FY59" s="65">
        <v>3650</v>
      </c>
      <c r="FZ59" s="63"/>
      <c r="GA59" s="64">
        <f t="shared" si="1275"/>
        <v>3650</v>
      </c>
      <c r="GB59" s="65"/>
      <c r="GC59" s="63"/>
      <c r="GD59" s="64">
        <f t="shared" si="1276"/>
        <v>0</v>
      </c>
      <c r="GE59" s="66">
        <f t="shared" si="74"/>
        <v>4135.3500000000004</v>
      </c>
      <c r="GF59" s="67">
        <f t="shared" si="1277"/>
        <v>0</v>
      </c>
      <c r="GG59" s="64">
        <f t="shared" si="1278"/>
        <v>4135.3500000000004</v>
      </c>
      <c r="GH59" s="62"/>
      <c r="GI59" s="63"/>
      <c r="GJ59" s="64">
        <f t="shared" si="1279"/>
        <v>0</v>
      </c>
      <c r="GK59" s="65">
        <v>660.33</v>
      </c>
      <c r="GL59" s="63"/>
      <c r="GM59" s="64">
        <f t="shared" si="1280"/>
        <v>660.33</v>
      </c>
      <c r="GN59" s="65">
        <v>3650</v>
      </c>
      <c r="GO59" s="63"/>
      <c r="GP59" s="64">
        <f t="shared" si="1281"/>
        <v>3650</v>
      </c>
      <c r="GQ59" s="65"/>
      <c r="GR59" s="63"/>
      <c r="GS59" s="64">
        <f t="shared" si="1282"/>
        <v>0</v>
      </c>
      <c r="GT59" s="66">
        <f t="shared" si="81"/>
        <v>4310.33</v>
      </c>
      <c r="GU59" s="67">
        <f t="shared" si="1283"/>
        <v>0</v>
      </c>
      <c r="GV59" s="64">
        <f t="shared" si="1284"/>
        <v>4310.33</v>
      </c>
      <c r="GW59" s="62"/>
      <c r="GX59" s="63"/>
      <c r="GY59" s="64">
        <f t="shared" si="1285"/>
        <v>0</v>
      </c>
      <c r="GZ59" s="65">
        <v>568.25</v>
      </c>
      <c r="HA59" s="63"/>
      <c r="HB59" s="64">
        <f t="shared" si="1286"/>
        <v>568.25</v>
      </c>
      <c r="HC59" s="65"/>
      <c r="HD59" s="63"/>
      <c r="HE59" s="64">
        <f t="shared" si="1287"/>
        <v>0</v>
      </c>
      <c r="HF59" s="65">
        <v>100</v>
      </c>
      <c r="HG59" s="63"/>
      <c r="HH59" s="64">
        <f t="shared" si="1288"/>
        <v>100</v>
      </c>
      <c r="HI59" s="66">
        <f t="shared" si="84"/>
        <v>668.25</v>
      </c>
      <c r="HJ59" s="67">
        <f t="shared" si="1289"/>
        <v>0</v>
      </c>
      <c r="HK59" s="64">
        <f t="shared" si="1290"/>
        <v>668.25</v>
      </c>
      <c r="HL59" s="62"/>
      <c r="HM59" s="63"/>
      <c r="HN59" s="64">
        <f t="shared" si="1291"/>
        <v>0</v>
      </c>
      <c r="HO59" s="65"/>
      <c r="HP59" s="63"/>
      <c r="HQ59" s="64">
        <f t="shared" si="1292"/>
        <v>0</v>
      </c>
      <c r="HR59" s="65"/>
      <c r="HS59" s="63"/>
      <c r="HT59" s="64">
        <f t="shared" si="1293"/>
        <v>0</v>
      </c>
      <c r="HU59" s="65">
        <v>100</v>
      </c>
      <c r="HV59" s="63"/>
      <c r="HW59" s="64">
        <f t="shared" si="1294"/>
        <v>100</v>
      </c>
      <c r="HX59" s="66">
        <f t="shared" si="91"/>
        <v>100</v>
      </c>
      <c r="HY59" s="67">
        <f t="shared" si="1295"/>
        <v>0</v>
      </c>
      <c r="HZ59" s="64">
        <f t="shared" si="1296"/>
        <v>100</v>
      </c>
      <c r="IA59" s="62"/>
      <c r="IB59" s="63"/>
      <c r="IC59" s="64">
        <f t="shared" si="1297"/>
        <v>0</v>
      </c>
      <c r="ID59" s="65"/>
      <c r="IE59" s="63"/>
      <c r="IF59" s="64">
        <f t="shared" si="1298"/>
        <v>0</v>
      </c>
      <c r="IG59" s="65"/>
      <c r="IH59" s="63"/>
      <c r="II59" s="64">
        <f t="shared" si="1299"/>
        <v>0</v>
      </c>
      <c r="IJ59" s="65">
        <v>100</v>
      </c>
      <c r="IK59" s="63"/>
      <c r="IL59" s="64">
        <f t="shared" si="1300"/>
        <v>100</v>
      </c>
      <c r="IM59" s="66">
        <f t="shared" si="98"/>
        <v>100</v>
      </c>
      <c r="IN59" s="67">
        <f t="shared" si="1301"/>
        <v>0</v>
      </c>
      <c r="IO59" s="64">
        <f t="shared" si="1302"/>
        <v>100</v>
      </c>
      <c r="IP59" s="62"/>
      <c r="IQ59" s="63"/>
      <c r="IR59" s="64">
        <f t="shared" si="1303"/>
        <v>0</v>
      </c>
      <c r="IS59" s="65"/>
      <c r="IT59" s="63"/>
      <c r="IU59" s="64">
        <f t="shared" si="1304"/>
        <v>0</v>
      </c>
      <c r="IV59" s="65"/>
      <c r="IW59" s="63"/>
      <c r="IX59" s="64">
        <f t="shared" si="1305"/>
        <v>0</v>
      </c>
      <c r="IY59" s="65"/>
      <c r="IZ59" s="63"/>
      <c r="JA59" s="64">
        <f t="shared" si="1306"/>
        <v>0</v>
      </c>
      <c r="JB59" s="66">
        <f t="shared" si="105"/>
        <v>0</v>
      </c>
      <c r="JC59" s="67">
        <f t="shared" si="1307"/>
        <v>0</v>
      </c>
      <c r="JD59" s="64">
        <f t="shared" si="1308"/>
        <v>0</v>
      </c>
      <c r="JE59" s="72"/>
      <c r="JF59" s="150"/>
      <c r="JG59" s="74"/>
      <c r="JH59" s="75"/>
      <c r="JI59" s="150"/>
      <c r="JJ59" s="74"/>
      <c r="JK59" s="75"/>
      <c r="JL59" s="150"/>
      <c r="JM59" s="74"/>
      <c r="JN59" s="75"/>
      <c r="JO59" s="150"/>
      <c r="JP59" s="74"/>
      <c r="JQ59" s="76"/>
      <c r="JR59" s="77"/>
      <c r="JS59" s="74"/>
      <c r="JT59" s="72"/>
      <c r="JU59" s="73"/>
      <c r="JV59" s="74"/>
      <c r="JW59" s="75"/>
      <c r="JX59" s="73"/>
      <c r="JY59" s="74"/>
      <c r="JZ59" s="75"/>
      <c r="KA59" s="73"/>
      <c r="KB59" s="74"/>
      <c r="KC59" s="75"/>
      <c r="KD59" s="73"/>
      <c r="KE59" s="74"/>
      <c r="KF59" s="76"/>
      <c r="KG59" s="77"/>
      <c r="KH59" s="64">
        <f t="shared" si="1309"/>
        <v>0</v>
      </c>
      <c r="KI59" s="62"/>
      <c r="KJ59" s="63"/>
      <c r="KK59" s="64">
        <f t="shared" si="1310"/>
        <v>0</v>
      </c>
      <c r="KL59" s="65"/>
      <c r="KM59" s="63"/>
      <c r="KN59" s="64">
        <f t="shared" si="1311"/>
        <v>0</v>
      </c>
      <c r="KO59" s="65"/>
      <c r="KP59" s="63"/>
      <c r="KQ59" s="64">
        <f t="shared" si="1312"/>
        <v>0</v>
      </c>
      <c r="KR59" s="65"/>
      <c r="KS59" s="63"/>
      <c r="KT59" s="64">
        <f t="shared" si="1313"/>
        <v>0</v>
      </c>
      <c r="KU59" s="66">
        <f t="shared" si="1"/>
        <v>0</v>
      </c>
      <c r="KV59" s="67">
        <f t="shared" si="1314"/>
        <v>0</v>
      </c>
      <c r="KW59" s="64">
        <f t="shared" si="1315"/>
        <v>0</v>
      </c>
      <c r="KX59" s="72"/>
      <c r="KY59" s="73"/>
      <c r="KZ59" s="74"/>
      <c r="LA59" s="75"/>
      <c r="LB59" s="73"/>
      <c r="LC59" s="74"/>
      <c r="LD59" s="75"/>
      <c r="LE59" s="73"/>
      <c r="LF59" s="74"/>
      <c r="LG59" s="75"/>
      <c r="LH59" s="73"/>
      <c r="LI59" s="74"/>
      <c r="LJ59" s="76"/>
      <c r="LK59" s="77"/>
      <c r="LL59" s="74"/>
      <c r="LM59" s="62"/>
      <c r="LN59" s="63"/>
      <c r="LO59" s="64">
        <f t="shared" si="1316"/>
        <v>0</v>
      </c>
      <c r="LP59" s="65"/>
      <c r="LQ59" s="63"/>
      <c r="LR59" s="64">
        <f t="shared" si="1317"/>
        <v>0</v>
      </c>
      <c r="LS59" s="65"/>
      <c r="LT59" s="63"/>
      <c r="LU59" s="64">
        <f t="shared" si="1318"/>
        <v>0</v>
      </c>
      <c r="LV59" s="65">
        <v>100</v>
      </c>
      <c r="LW59" s="63"/>
      <c r="LX59" s="64">
        <f t="shared" si="1319"/>
        <v>100</v>
      </c>
      <c r="LY59" s="66">
        <f t="shared" si="124"/>
        <v>100</v>
      </c>
      <c r="LZ59" s="67">
        <f t="shared" si="1320"/>
        <v>0</v>
      </c>
      <c r="MA59" s="64">
        <f t="shared" si="1321"/>
        <v>100</v>
      </c>
      <c r="MB59" s="62"/>
      <c r="MC59" s="63"/>
      <c r="MD59" s="64">
        <f t="shared" si="1322"/>
        <v>0</v>
      </c>
      <c r="ME59" s="65">
        <v>889.11</v>
      </c>
      <c r="MF59" s="63"/>
      <c r="MG59" s="64">
        <f t="shared" si="1323"/>
        <v>889.11</v>
      </c>
      <c r="MH59" s="65"/>
      <c r="MI59" s="63"/>
      <c r="MJ59" s="64">
        <f t="shared" si="1324"/>
        <v>0</v>
      </c>
      <c r="MK59" s="65">
        <v>100</v>
      </c>
      <c r="ML59" s="63"/>
      <c r="MM59" s="64">
        <f t="shared" si="1325"/>
        <v>100</v>
      </c>
      <c r="MN59" s="66">
        <f t="shared" si="131"/>
        <v>989.11</v>
      </c>
      <c r="MO59" s="67">
        <f t="shared" si="1326"/>
        <v>0</v>
      </c>
      <c r="MP59" s="64">
        <f t="shared" si="1327"/>
        <v>989.11</v>
      </c>
      <c r="MQ59" s="62"/>
      <c r="MR59" s="63"/>
      <c r="MS59" s="64">
        <f t="shared" si="1328"/>
        <v>0</v>
      </c>
      <c r="MT59" s="65"/>
      <c r="MU59" s="63"/>
      <c r="MV59" s="64">
        <f t="shared" si="1329"/>
        <v>0</v>
      </c>
      <c r="MW59" s="65"/>
      <c r="MX59" s="63"/>
      <c r="MY59" s="64">
        <f t="shared" si="1330"/>
        <v>0</v>
      </c>
      <c r="MZ59" s="65"/>
      <c r="NA59" s="63"/>
      <c r="NB59" s="64">
        <f t="shared" si="1331"/>
        <v>0</v>
      </c>
      <c r="NC59" s="66">
        <f t="shared" si="138"/>
        <v>0</v>
      </c>
      <c r="ND59" s="67">
        <f t="shared" si="1332"/>
        <v>0</v>
      </c>
      <c r="NE59" s="64">
        <f t="shared" si="1333"/>
        <v>0</v>
      </c>
      <c r="NF59" s="62"/>
      <c r="NG59" s="63"/>
      <c r="NH59" s="64">
        <f t="shared" si="1334"/>
        <v>0</v>
      </c>
      <c r="NI59" s="65">
        <v>1164.04</v>
      </c>
      <c r="NJ59" s="63"/>
      <c r="NK59" s="64">
        <f t="shared" si="1335"/>
        <v>1164.04</v>
      </c>
      <c r="NL59" s="65"/>
      <c r="NM59" s="63"/>
      <c r="NN59" s="64">
        <f t="shared" si="1336"/>
        <v>0</v>
      </c>
      <c r="NO59" s="65">
        <v>100</v>
      </c>
      <c r="NP59" s="63"/>
      <c r="NQ59" s="64">
        <f t="shared" si="1337"/>
        <v>100</v>
      </c>
      <c r="NR59" s="66">
        <f t="shared" si="145"/>
        <v>1264.04</v>
      </c>
      <c r="NS59" s="67">
        <f t="shared" si="1338"/>
        <v>0</v>
      </c>
      <c r="NT59" s="64">
        <f t="shared" si="1339"/>
        <v>1264.04</v>
      </c>
      <c r="NU59" s="62"/>
      <c r="NV59" s="63"/>
      <c r="NW59" s="64">
        <f t="shared" si="1340"/>
        <v>0</v>
      </c>
      <c r="NX59" s="65">
        <v>1152.73</v>
      </c>
      <c r="NY59" s="63"/>
      <c r="NZ59" s="64">
        <f t="shared" si="1341"/>
        <v>1152.73</v>
      </c>
      <c r="OA59" s="65">
        <v>884.31</v>
      </c>
      <c r="OB59" s="63"/>
      <c r="OC59" s="64">
        <f t="shared" si="1342"/>
        <v>884.31</v>
      </c>
      <c r="OD59" s="65">
        <v>100</v>
      </c>
      <c r="OE59" s="63"/>
      <c r="OF59" s="64">
        <f t="shared" si="1343"/>
        <v>100</v>
      </c>
      <c r="OG59" s="66">
        <f t="shared" si="152"/>
        <v>2137.04</v>
      </c>
      <c r="OH59" s="67">
        <f t="shared" si="1344"/>
        <v>0</v>
      </c>
      <c r="OI59" s="64">
        <f t="shared" si="1345"/>
        <v>2137.04</v>
      </c>
      <c r="OJ59" s="62"/>
      <c r="OK59" s="63"/>
      <c r="OL59" s="64">
        <f t="shared" si="1346"/>
        <v>0</v>
      </c>
      <c r="OM59" s="65"/>
      <c r="ON59" s="63"/>
      <c r="OO59" s="64">
        <f t="shared" si="1347"/>
        <v>0</v>
      </c>
      <c r="OP59" s="65"/>
      <c r="OQ59" s="63"/>
      <c r="OR59" s="64">
        <f t="shared" si="1348"/>
        <v>0</v>
      </c>
      <c r="OS59" s="65">
        <v>100</v>
      </c>
      <c r="OT59" s="63"/>
      <c r="OU59" s="64">
        <f t="shared" si="1349"/>
        <v>100</v>
      </c>
      <c r="OV59" s="66">
        <f t="shared" si="159"/>
        <v>100</v>
      </c>
      <c r="OW59" s="67">
        <f t="shared" si="1350"/>
        <v>0</v>
      </c>
      <c r="OX59" s="64">
        <f t="shared" si="1351"/>
        <v>100</v>
      </c>
      <c r="OY59" s="62"/>
      <c r="OZ59" s="63"/>
      <c r="PA59" s="64">
        <f t="shared" si="1352"/>
        <v>0</v>
      </c>
      <c r="PB59" s="65"/>
      <c r="PC59" s="63"/>
      <c r="PD59" s="64">
        <f t="shared" si="1353"/>
        <v>0</v>
      </c>
      <c r="PE59" s="65"/>
      <c r="PF59" s="63"/>
      <c r="PG59" s="64">
        <f t="shared" si="1354"/>
        <v>0</v>
      </c>
      <c r="PH59" s="65">
        <v>100</v>
      </c>
      <c r="PI59" s="63"/>
      <c r="PJ59" s="64">
        <f t="shared" si="1355"/>
        <v>100</v>
      </c>
      <c r="PK59" s="66">
        <f t="shared" si="166"/>
        <v>100</v>
      </c>
      <c r="PL59" s="67">
        <f t="shared" si="1356"/>
        <v>0</v>
      </c>
      <c r="PM59" s="64">
        <f t="shared" si="1357"/>
        <v>100</v>
      </c>
      <c r="PN59" s="62">
        <v>1550</v>
      </c>
      <c r="PO59" s="63"/>
      <c r="PP59" s="64">
        <f t="shared" si="1358"/>
        <v>1550</v>
      </c>
      <c r="PQ59" s="65"/>
      <c r="PR59" s="63"/>
      <c r="PS59" s="64">
        <f t="shared" si="1359"/>
        <v>0</v>
      </c>
      <c r="PT59" s="65"/>
      <c r="PU59" s="63"/>
      <c r="PV59" s="64">
        <f t="shared" si="1360"/>
        <v>0</v>
      </c>
      <c r="PW59" s="65">
        <v>100</v>
      </c>
      <c r="PX59" s="63"/>
      <c r="PY59" s="64">
        <f t="shared" si="1361"/>
        <v>100</v>
      </c>
      <c r="PZ59" s="66">
        <f t="shared" si="173"/>
        <v>1650</v>
      </c>
      <c r="QA59" s="67">
        <f t="shared" si="1362"/>
        <v>0</v>
      </c>
      <c r="QB59" s="64">
        <f t="shared" si="1363"/>
        <v>1650</v>
      </c>
      <c r="QC59" s="62"/>
      <c r="QD59" s="63"/>
      <c r="QE59" s="64">
        <f t="shared" si="1364"/>
        <v>0</v>
      </c>
      <c r="QF59" s="65"/>
      <c r="QG59" s="63"/>
      <c r="QH59" s="64">
        <f t="shared" si="1365"/>
        <v>0</v>
      </c>
      <c r="QI59" s="65"/>
      <c r="QJ59" s="63"/>
      <c r="QK59" s="64">
        <f t="shared" si="1366"/>
        <v>0</v>
      </c>
      <c r="QL59" s="65">
        <v>100</v>
      </c>
      <c r="QM59" s="63"/>
      <c r="QN59" s="64">
        <f t="shared" si="1367"/>
        <v>100</v>
      </c>
      <c r="QO59" s="66">
        <f t="shared" si="180"/>
        <v>100</v>
      </c>
      <c r="QP59" s="67">
        <f t="shared" si="1368"/>
        <v>0</v>
      </c>
      <c r="QQ59" s="64">
        <f t="shared" si="1369"/>
        <v>100</v>
      </c>
      <c r="QR59" s="74"/>
      <c r="QS59" s="74"/>
      <c r="QT59" s="72"/>
      <c r="QU59" s="73"/>
      <c r="QV59" s="74"/>
      <c r="QW59" s="75"/>
      <c r="QX59" s="73"/>
      <c r="QY59" s="74"/>
      <c r="QZ59" s="75"/>
      <c r="RA59" s="73"/>
      <c r="RB59" s="74"/>
      <c r="RC59" s="75"/>
      <c r="RD59" s="73"/>
      <c r="RE59" s="74"/>
      <c r="RF59" s="74"/>
      <c r="RG59" s="72"/>
      <c r="RH59" s="73"/>
      <c r="RI59" s="74"/>
      <c r="RJ59" s="75"/>
      <c r="RK59" s="73"/>
      <c r="RL59" s="74"/>
      <c r="RM59" s="75"/>
      <c r="RN59" s="73"/>
      <c r="RO59" s="74"/>
      <c r="RP59" s="75"/>
      <c r="RQ59" s="73"/>
      <c r="RR59" s="74"/>
      <c r="RS59" s="76"/>
      <c r="RT59" s="77"/>
      <c r="RU59" s="74"/>
      <c r="RV59" s="74"/>
      <c r="RW59" s="72"/>
      <c r="RX59" s="73"/>
      <c r="RY59" s="74"/>
      <c r="RZ59" s="75"/>
      <c r="SA59" s="73"/>
      <c r="SB59" s="74"/>
      <c r="SC59" s="75"/>
      <c r="SD59" s="73"/>
      <c r="SE59" s="74"/>
      <c r="SF59" s="75"/>
      <c r="SG59" s="73"/>
      <c r="SH59" s="74"/>
      <c r="SI59" s="76"/>
      <c r="SJ59" s="64">
        <f t="shared" si="1370"/>
        <v>0</v>
      </c>
      <c r="SK59" s="62"/>
      <c r="SL59" s="63"/>
      <c r="SM59" s="64">
        <f t="shared" si="1371"/>
        <v>0</v>
      </c>
      <c r="SN59" s="65"/>
      <c r="SO59" s="63"/>
      <c r="SP59" s="64">
        <f t="shared" si="1372"/>
        <v>0</v>
      </c>
      <c r="SQ59" s="65"/>
      <c r="SR59" s="63"/>
      <c r="SS59" s="64">
        <f t="shared" si="1373"/>
        <v>0</v>
      </c>
      <c r="ST59" s="65">
        <v>100</v>
      </c>
      <c r="SU59" s="63"/>
      <c r="SV59" s="64">
        <f t="shared" si="1374"/>
        <v>100</v>
      </c>
      <c r="SW59" s="66">
        <f t="shared" si="208"/>
        <v>100</v>
      </c>
      <c r="SX59" s="67">
        <f t="shared" si="1375"/>
        <v>0</v>
      </c>
      <c r="SY59" s="64">
        <f t="shared" si="1376"/>
        <v>100</v>
      </c>
      <c r="SZ59" s="62">
        <v>985.33</v>
      </c>
      <c r="TA59" s="63"/>
      <c r="TB59" s="64">
        <f t="shared" si="1377"/>
        <v>985.33</v>
      </c>
      <c r="TC59" s="65">
        <v>700.9</v>
      </c>
      <c r="TD59" s="63"/>
      <c r="TE59" s="64">
        <f t="shared" si="1378"/>
        <v>700.9</v>
      </c>
      <c r="TF59" s="65"/>
      <c r="TG59" s="63"/>
      <c r="TH59" s="64">
        <f t="shared" si="1379"/>
        <v>0</v>
      </c>
      <c r="TI59" s="65">
        <v>100</v>
      </c>
      <c r="TJ59" s="63"/>
      <c r="TK59" s="64">
        <f t="shared" si="1380"/>
        <v>100</v>
      </c>
      <c r="TL59" s="66">
        <f t="shared" si="215"/>
        <v>1786.23</v>
      </c>
      <c r="TM59" s="67">
        <f t="shared" si="1381"/>
        <v>0</v>
      </c>
      <c r="TN59" s="64">
        <f t="shared" si="1382"/>
        <v>1786.23</v>
      </c>
      <c r="TO59" s="62">
        <v>3875</v>
      </c>
      <c r="TP59" s="63"/>
      <c r="TQ59" s="64">
        <f t="shared" si="1383"/>
        <v>3875</v>
      </c>
      <c r="TR59" s="65"/>
      <c r="TS59" s="63"/>
      <c r="TT59" s="64">
        <f t="shared" si="1384"/>
        <v>0</v>
      </c>
      <c r="TU59" s="65"/>
      <c r="TV59" s="63"/>
      <c r="TW59" s="64">
        <f t="shared" si="1385"/>
        <v>0</v>
      </c>
      <c r="TX59" s="65">
        <v>100</v>
      </c>
      <c r="TY59" s="63"/>
      <c r="TZ59" s="64">
        <f t="shared" si="1386"/>
        <v>100</v>
      </c>
      <c r="UA59" s="66">
        <f t="shared" si="222"/>
        <v>3975</v>
      </c>
      <c r="UB59" s="67">
        <f t="shared" si="1387"/>
        <v>0</v>
      </c>
      <c r="UC59" s="64">
        <f t="shared" si="1388"/>
        <v>3975</v>
      </c>
      <c r="UD59" s="62">
        <v>1125</v>
      </c>
      <c r="UE59" s="63"/>
      <c r="UF59" s="64">
        <f t="shared" si="1389"/>
        <v>1125</v>
      </c>
      <c r="UG59" s="65">
        <v>497.04</v>
      </c>
      <c r="UH59" s="63"/>
      <c r="UI59" s="64">
        <f t="shared" si="1390"/>
        <v>497.04</v>
      </c>
      <c r="UJ59" s="65"/>
      <c r="UK59" s="63"/>
      <c r="UL59" s="64">
        <f t="shared" si="1391"/>
        <v>0</v>
      </c>
      <c r="UM59" s="65">
        <v>100</v>
      </c>
      <c r="UN59" s="63"/>
      <c r="UO59" s="64">
        <f t="shared" si="1392"/>
        <v>100</v>
      </c>
      <c r="UP59" s="66">
        <f t="shared" si="226"/>
        <v>1722.04</v>
      </c>
      <c r="UQ59" s="67">
        <f t="shared" si="1393"/>
        <v>0</v>
      </c>
      <c r="UR59" s="64">
        <f t="shared" si="1394"/>
        <v>1722.04</v>
      </c>
      <c r="US59" s="74"/>
      <c r="UT59" s="72"/>
      <c r="UU59" s="73"/>
      <c r="UV59" s="74"/>
      <c r="UW59" s="75"/>
      <c r="UX59" s="73"/>
      <c r="UY59" s="74"/>
      <c r="UZ59" s="75"/>
      <c r="VA59" s="73"/>
      <c r="VB59" s="74"/>
      <c r="VC59" s="75"/>
      <c r="VD59" s="73"/>
      <c r="VE59" s="74"/>
      <c r="VF59" s="76"/>
      <c r="VG59" s="77"/>
      <c r="VH59" s="62"/>
      <c r="VI59" s="63"/>
      <c r="VJ59" s="64">
        <f t="shared" si="1395"/>
        <v>0</v>
      </c>
      <c r="VK59" s="65"/>
      <c r="VL59" s="63"/>
      <c r="VM59" s="64">
        <f t="shared" si="1396"/>
        <v>0</v>
      </c>
      <c r="VN59" s="65"/>
      <c r="VO59" s="63"/>
      <c r="VP59" s="64">
        <f t="shared" si="1397"/>
        <v>0</v>
      </c>
      <c r="VQ59" s="65">
        <v>100</v>
      </c>
      <c r="VR59" s="63"/>
      <c r="VS59" s="64">
        <f t="shared" si="1398"/>
        <v>100</v>
      </c>
      <c r="VT59" s="66">
        <f t="shared" si="240"/>
        <v>100</v>
      </c>
      <c r="VU59" s="67">
        <f t="shared" si="1399"/>
        <v>0</v>
      </c>
      <c r="VV59" s="64">
        <f t="shared" si="1400"/>
        <v>100</v>
      </c>
      <c r="VW59" s="74"/>
      <c r="VX59" s="72"/>
      <c r="VY59" s="73"/>
      <c r="VZ59" s="74"/>
      <c r="WA59" s="75"/>
      <c r="WB59" s="73"/>
      <c r="WC59" s="74"/>
      <c r="WD59" s="75"/>
      <c r="WE59" s="73"/>
      <c r="WF59" s="74"/>
      <c r="WG59" s="75"/>
      <c r="WH59" s="73"/>
      <c r="WI59" s="74"/>
      <c r="WJ59" s="76"/>
      <c r="WK59" s="77"/>
      <c r="WL59" s="74"/>
      <c r="WM59" s="72"/>
      <c r="WN59" s="73"/>
      <c r="WO59" s="74"/>
      <c r="WP59" s="75"/>
      <c r="WQ59" s="73"/>
      <c r="WR59" s="74"/>
      <c r="WS59" s="75"/>
      <c r="WT59" s="73"/>
      <c r="WU59" s="74"/>
      <c r="WV59" s="75"/>
      <c r="WW59" s="73"/>
      <c r="WX59" s="74"/>
      <c r="WY59" s="76"/>
      <c r="WZ59" s="77"/>
      <c r="XA59" s="74"/>
      <c r="XB59" s="72"/>
      <c r="XC59" s="73"/>
      <c r="XD59" s="74"/>
      <c r="XE59" s="75"/>
      <c r="XF59" s="73"/>
      <c r="XG59" s="74"/>
      <c r="XH59" s="75"/>
      <c r="XI59" s="73"/>
      <c r="XJ59" s="74"/>
      <c r="XK59" s="75"/>
      <c r="XL59" s="73"/>
      <c r="XM59" s="74"/>
      <c r="XN59" s="76"/>
      <c r="XO59" s="77"/>
      <c r="XP59" s="62"/>
      <c r="XQ59" s="63"/>
      <c r="XR59" s="64">
        <f t="shared" si="1401"/>
        <v>0</v>
      </c>
      <c r="XS59" s="65">
        <v>844.24</v>
      </c>
      <c r="XT59" s="63"/>
      <c r="XU59" s="64">
        <f t="shared" si="1402"/>
        <v>844.24</v>
      </c>
      <c r="XV59" s="65"/>
      <c r="XW59" s="63"/>
      <c r="XX59" s="64">
        <f t="shared" si="1403"/>
        <v>0</v>
      </c>
      <c r="XY59" s="65">
        <v>100</v>
      </c>
      <c r="XZ59" s="63"/>
      <c r="YA59" s="64">
        <f t="shared" si="1404"/>
        <v>100</v>
      </c>
      <c r="YB59" s="66">
        <f t="shared" si="268"/>
        <v>944.24</v>
      </c>
      <c r="YC59" s="67">
        <f t="shared" si="1405"/>
        <v>0</v>
      </c>
      <c r="YD59" s="64">
        <f t="shared" si="1406"/>
        <v>944.24</v>
      </c>
      <c r="YE59" s="62"/>
      <c r="YF59" s="63"/>
      <c r="YG59" s="64">
        <f t="shared" si="1407"/>
        <v>0</v>
      </c>
      <c r="YH59" s="65">
        <v>847.85</v>
      </c>
      <c r="YI59" s="63"/>
      <c r="YJ59" s="64">
        <f t="shared" si="1408"/>
        <v>847.85</v>
      </c>
      <c r="YK59" s="65">
        <v>1000</v>
      </c>
      <c r="YL59" s="63"/>
      <c r="YM59" s="64">
        <f t="shared" si="1409"/>
        <v>1000</v>
      </c>
      <c r="YN59" s="65">
        <v>100</v>
      </c>
      <c r="YO59" s="63"/>
      <c r="YP59" s="64">
        <f t="shared" si="1410"/>
        <v>100</v>
      </c>
      <c r="YQ59" s="66">
        <f t="shared" si="275"/>
        <v>1947.85</v>
      </c>
      <c r="YR59" s="67">
        <f t="shared" si="1411"/>
        <v>0</v>
      </c>
      <c r="YS59" s="64">
        <f t="shared" si="1412"/>
        <v>1947.85</v>
      </c>
      <c r="YT59" s="62"/>
      <c r="YU59" s="63"/>
      <c r="YV59" s="64">
        <f t="shared" si="1413"/>
        <v>0</v>
      </c>
      <c r="YW59" s="65">
        <v>695.73</v>
      </c>
      <c r="YX59" s="63"/>
      <c r="YY59" s="64">
        <f t="shared" si="1414"/>
        <v>695.73</v>
      </c>
      <c r="YZ59" s="65">
        <v>1000</v>
      </c>
      <c r="ZA59" s="63"/>
      <c r="ZB59" s="64">
        <f t="shared" si="1415"/>
        <v>1000</v>
      </c>
      <c r="ZC59" s="65">
        <v>100</v>
      </c>
      <c r="ZD59" s="63"/>
      <c r="ZE59" s="64">
        <f t="shared" si="1416"/>
        <v>100</v>
      </c>
      <c r="ZF59" s="66">
        <f t="shared" si="282"/>
        <v>1795.73</v>
      </c>
      <c r="ZG59" s="67">
        <f t="shared" si="1417"/>
        <v>0</v>
      </c>
      <c r="ZH59" s="74"/>
      <c r="ZI59" s="72"/>
      <c r="ZJ59" s="73"/>
      <c r="ZK59" s="74"/>
      <c r="ZL59" s="75"/>
      <c r="ZM59" s="73"/>
      <c r="ZN59" s="74"/>
      <c r="ZO59" s="75"/>
      <c r="ZP59" s="73"/>
      <c r="ZQ59" s="74"/>
      <c r="ZR59" s="75"/>
      <c r="ZS59" s="73"/>
      <c r="ZT59" s="74"/>
      <c r="ZU59" s="76"/>
      <c r="ZV59" s="77"/>
      <c r="ZW59" s="64">
        <f t="shared" si="1418"/>
        <v>0</v>
      </c>
      <c r="ZX59" s="62">
        <v>24.71</v>
      </c>
      <c r="ZY59" s="63"/>
      <c r="ZZ59" s="64">
        <f t="shared" si="1419"/>
        <v>24.71</v>
      </c>
      <c r="AAA59" s="66">
        <f t="shared" si="293"/>
        <v>24.71</v>
      </c>
      <c r="AAB59" s="67">
        <f t="shared" si="293"/>
        <v>0</v>
      </c>
      <c r="AAC59" s="64">
        <f t="shared" si="1420"/>
        <v>24.71</v>
      </c>
      <c r="AAD59" s="85">
        <f t="shared" si="295"/>
        <v>42599.6</v>
      </c>
      <c r="AAE59" s="86">
        <f t="shared" si="295"/>
        <v>0</v>
      </c>
      <c r="AAF59" s="87">
        <f t="shared" si="3"/>
        <v>0</v>
      </c>
      <c r="AAG59" s="88">
        <f t="shared" si="1421"/>
        <v>-42599.6</v>
      </c>
      <c r="AAH59" s="91">
        <f>AAD69</f>
        <v>1405416.1799999997</v>
      </c>
      <c r="AAI59" s="92"/>
      <c r="AAJ59" s="92"/>
      <c r="AAK59" s="60"/>
    </row>
    <row r="60" spans="1:713" s="83" customFormat="1" ht="20" customHeight="1" x14ac:dyDescent="0.2">
      <c r="A60" s="152"/>
      <c r="B60" s="93"/>
      <c r="C60" s="90"/>
      <c r="D60" s="90"/>
      <c r="E60" s="60"/>
      <c r="F60" s="61">
        <v>46113</v>
      </c>
      <c r="G60" s="62"/>
      <c r="H60" s="63"/>
      <c r="I60" s="64">
        <f t="shared" si="1217"/>
        <v>0</v>
      </c>
      <c r="J60" s="65">
        <v>3418.12</v>
      </c>
      <c r="K60" s="63"/>
      <c r="L60" s="64">
        <f t="shared" si="1218"/>
        <v>3418.12</v>
      </c>
      <c r="M60" s="65">
        <v>2500</v>
      </c>
      <c r="N60" s="63"/>
      <c r="O60" s="64">
        <f t="shared" si="1219"/>
        <v>2500</v>
      </c>
      <c r="P60" s="65">
        <v>500</v>
      </c>
      <c r="Q60" s="63"/>
      <c r="R60" s="64">
        <f t="shared" si="1220"/>
        <v>500</v>
      </c>
      <c r="S60" s="65">
        <v>181</v>
      </c>
      <c r="T60" s="63"/>
      <c r="U60" s="64">
        <f t="shared" si="1221"/>
        <v>181</v>
      </c>
      <c r="V60" s="66">
        <f t="shared" si="1222"/>
        <v>6599.12</v>
      </c>
      <c r="W60" s="67">
        <f t="shared" si="1222"/>
        <v>0</v>
      </c>
      <c r="X60" s="64">
        <f t="shared" si="1223"/>
        <v>6599.12</v>
      </c>
      <c r="Y60" s="72"/>
      <c r="Z60" s="73"/>
      <c r="AA60" s="74"/>
      <c r="AB60" s="75"/>
      <c r="AC60" s="73"/>
      <c r="AD60" s="74"/>
      <c r="AE60" s="75"/>
      <c r="AF60" s="73"/>
      <c r="AG60" s="74"/>
      <c r="AH60" s="75"/>
      <c r="AI60" s="73"/>
      <c r="AJ60" s="74"/>
      <c r="AK60" s="76"/>
      <c r="AL60" s="77"/>
      <c r="AM60" s="64">
        <f t="shared" si="1224"/>
        <v>0</v>
      </c>
      <c r="AN60" s="62"/>
      <c r="AO60" s="63"/>
      <c r="AP60" s="64">
        <f t="shared" si="1422"/>
        <v>0</v>
      </c>
      <c r="AQ60" s="65"/>
      <c r="AR60" s="63"/>
      <c r="AS60" s="64">
        <f t="shared" si="1225"/>
        <v>0</v>
      </c>
      <c r="AT60" s="65"/>
      <c r="AU60" s="63"/>
      <c r="AV60" s="64">
        <f t="shared" si="1226"/>
        <v>0</v>
      </c>
      <c r="AW60" s="65"/>
      <c r="AX60" s="63"/>
      <c r="AY60" s="64">
        <f t="shared" si="1227"/>
        <v>0</v>
      </c>
      <c r="AZ60" s="66">
        <f t="shared" si="23"/>
        <v>0</v>
      </c>
      <c r="BA60" s="67">
        <f t="shared" si="1228"/>
        <v>0</v>
      </c>
      <c r="BB60" s="64">
        <f t="shared" si="1229"/>
        <v>0</v>
      </c>
      <c r="BC60" s="62">
        <v>6150</v>
      </c>
      <c r="BD60" s="63"/>
      <c r="BE60" s="64">
        <f t="shared" si="1230"/>
        <v>6150</v>
      </c>
      <c r="BF60" s="65"/>
      <c r="BG60" s="63"/>
      <c r="BH60" s="64">
        <f t="shared" si="1231"/>
        <v>0</v>
      </c>
      <c r="BI60" s="65">
        <v>8000</v>
      </c>
      <c r="BJ60" s="63"/>
      <c r="BK60" s="64">
        <f t="shared" si="1232"/>
        <v>8000</v>
      </c>
      <c r="BL60" s="65">
        <v>100</v>
      </c>
      <c r="BM60" s="63"/>
      <c r="BN60" s="64">
        <f t="shared" si="1233"/>
        <v>100</v>
      </c>
      <c r="BO60" s="66">
        <f t="shared" si="30"/>
        <v>14250</v>
      </c>
      <c r="BP60" s="67">
        <f t="shared" si="1234"/>
        <v>0</v>
      </c>
      <c r="BQ60" s="64">
        <f t="shared" si="1235"/>
        <v>14250</v>
      </c>
      <c r="BR60" s="72"/>
      <c r="BS60" s="73"/>
      <c r="BT60" s="74"/>
      <c r="BU60" s="75"/>
      <c r="BV60" s="73"/>
      <c r="BW60" s="74"/>
      <c r="BX60" s="75"/>
      <c r="BY60" s="73"/>
      <c r="BZ60" s="74"/>
      <c r="CA60" s="75"/>
      <c r="CB60" s="73"/>
      <c r="CC60" s="74"/>
      <c r="CD60" s="76"/>
      <c r="CE60" s="77"/>
      <c r="CF60" s="64">
        <f t="shared" si="1236"/>
        <v>0</v>
      </c>
      <c r="CG60" s="62"/>
      <c r="CH60" s="63"/>
      <c r="CI60" s="64">
        <f t="shared" si="1237"/>
        <v>0</v>
      </c>
      <c r="CJ60" s="65"/>
      <c r="CK60" s="63"/>
      <c r="CL60" s="64">
        <f t="shared" si="1238"/>
        <v>0</v>
      </c>
      <c r="CM60" s="65"/>
      <c r="CN60" s="63"/>
      <c r="CO60" s="64">
        <f t="shared" si="1239"/>
        <v>0</v>
      </c>
      <c r="CP60" s="65"/>
      <c r="CQ60" s="63"/>
      <c r="CR60" s="64">
        <f t="shared" si="1240"/>
        <v>0</v>
      </c>
      <c r="CS60" s="66">
        <f t="shared" si="40"/>
        <v>0</v>
      </c>
      <c r="CT60" s="67">
        <f t="shared" si="1241"/>
        <v>0</v>
      </c>
      <c r="CU60" s="64">
        <f t="shared" si="1242"/>
        <v>0</v>
      </c>
      <c r="CV60" s="62">
        <v>2916.7</v>
      </c>
      <c r="CW60" s="63"/>
      <c r="CX60" s="64">
        <f t="shared" si="1243"/>
        <v>2916.7</v>
      </c>
      <c r="CY60" s="65">
        <v>429.15</v>
      </c>
      <c r="CZ60" s="63"/>
      <c r="DA60" s="64">
        <f t="shared" si="1244"/>
        <v>429.15</v>
      </c>
      <c r="DB60" s="65">
        <v>3000</v>
      </c>
      <c r="DC60" s="63"/>
      <c r="DD60" s="64">
        <f t="shared" si="1245"/>
        <v>3000</v>
      </c>
      <c r="DE60" s="65"/>
      <c r="DF60" s="63"/>
      <c r="DG60" s="64">
        <f t="shared" si="1246"/>
        <v>0</v>
      </c>
      <c r="DH60" s="66">
        <f t="shared" si="43"/>
        <v>6345.85</v>
      </c>
      <c r="DI60" s="67">
        <f t="shared" si="1247"/>
        <v>0</v>
      </c>
      <c r="DJ60" s="64">
        <f t="shared" si="1248"/>
        <v>6345.85</v>
      </c>
      <c r="DK60" s="62">
        <v>2400</v>
      </c>
      <c r="DL60" s="63"/>
      <c r="DM60" s="64">
        <f t="shared" si="1249"/>
        <v>2400</v>
      </c>
      <c r="DN60" s="65">
        <v>913.08</v>
      </c>
      <c r="DO60" s="63"/>
      <c r="DP60" s="64">
        <f t="shared" si="1250"/>
        <v>913.08</v>
      </c>
      <c r="DQ60" s="65"/>
      <c r="DR60" s="63"/>
      <c r="DS60" s="64">
        <f t="shared" si="1251"/>
        <v>0</v>
      </c>
      <c r="DT60" s="65">
        <v>100</v>
      </c>
      <c r="DU60" s="63"/>
      <c r="DV60" s="64">
        <f t="shared" si="1252"/>
        <v>100</v>
      </c>
      <c r="DW60" s="66">
        <f t="shared" si="46"/>
        <v>3413.08</v>
      </c>
      <c r="DX60" s="67">
        <f t="shared" si="1253"/>
        <v>0</v>
      </c>
      <c r="DY60" s="64">
        <f t="shared" si="1254"/>
        <v>3413.08</v>
      </c>
      <c r="DZ60" s="62"/>
      <c r="EA60" s="63"/>
      <c r="EB60" s="64">
        <f t="shared" si="1255"/>
        <v>0</v>
      </c>
      <c r="EC60" s="65"/>
      <c r="ED60" s="63"/>
      <c r="EE60" s="64">
        <f t="shared" si="1256"/>
        <v>0</v>
      </c>
      <c r="EF60" s="65"/>
      <c r="EG60" s="63"/>
      <c r="EH60" s="64">
        <f t="shared" si="1257"/>
        <v>0</v>
      </c>
      <c r="EI60" s="65">
        <v>100</v>
      </c>
      <c r="EJ60" s="63"/>
      <c r="EK60" s="64">
        <f t="shared" si="1258"/>
        <v>100</v>
      </c>
      <c r="EL60" s="66">
        <f t="shared" si="53"/>
        <v>100</v>
      </c>
      <c r="EM60" s="67">
        <f t="shared" si="1259"/>
        <v>0</v>
      </c>
      <c r="EN60" s="64">
        <f t="shared" si="1260"/>
        <v>100</v>
      </c>
      <c r="EO60" s="62">
        <v>6150</v>
      </c>
      <c r="EP60" s="63"/>
      <c r="EQ60" s="64">
        <f t="shared" si="1261"/>
        <v>6150</v>
      </c>
      <c r="ER60" s="65"/>
      <c r="ES60" s="63"/>
      <c r="ET60" s="64">
        <f t="shared" si="1262"/>
        <v>0</v>
      </c>
      <c r="EU60" s="65"/>
      <c r="EV60" s="63"/>
      <c r="EW60" s="64">
        <f t="shared" si="1263"/>
        <v>0</v>
      </c>
      <c r="EX60" s="65">
        <v>100</v>
      </c>
      <c r="EY60" s="63"/>
      <c r="EZ60" s="64">
        <f t="shared" si="1264"/>
        <v>100</v>
      </c>
      <c r="FA60" s="66">
        <f t="shared" si="60"/>
        <v>6250</v>
      </c>
      <c r="FB60" s="67">
        <f t="shared" si="1265"/>
        <v>0</v>
      </c>
      <c r="FC60" s="64">
        <f t="shared" si="1266"/>
        <v>6250</v>
      </c>
      <c r="FD60" s="62">
        <v>6150</v>
      </c>
      <c r="FE60" s="63"/>
      <c r="FF60" s="64">
        <f t="shared" si="1267"/>
        <v>6150</v>
      </c>
      <c r="FG60" s="65"/>
      <c r="FH60" s="63"/>
      <c r="FI60" s="64">
        <f t="shared" si="1268"/>
        <v>0</v>
      </c>
      <c r="FJ60" s="65"/>
      <c r="FK60" s="63"/>
      <c r="FL60" s="64">
        <f t="shared" si="1269"/>
        <v>0</v>
      </c>
      <c r="FM60" s="65">
        <v>100</v>
      </c>
      <c r="FN60" s="63"/>
      <c r="FO60" s="64">
        <f t="shared" si="1270"/>
        <v>100</v>
      </c>
      <c r="FP60" s="66">
        <f t="shared" si="67"/>
        <v>6250</v>
      </c>
      <c r="FQ60" s="67">
        <f t="shared" si="1271"/>
        <v>0</v>
      </c>
      <c r="FR60" s="64">
        <f t="shared" si="1272"/>
        <v>6250</v>
      </c>
      <c r="FS60" s="62"/>
      <c r="FT60" s="63"/>
      <c r="FU60" s="64">
        <f t="shared" si="1273"/>
        <v>0</v>
      </c>
      <c r="FV60" s="65">
        <v>485.35</v>
      </c>
      <c r="FW60" s="63"/>
      <c r="FX60" s="64">
        <f t="shared" si="1274"/>
        <v>485.35</v>
      </c>
      <c r="FY60" s="65"/>
      <c r="FZ60" s="63"/>
      <c r="GA60" s="64">
        <f t="shared" si="1275"/>
        <v>0</v>
      </c>
      <c r="GB60" s="65"/>
      <c r="GC60" s="63"/>
      <c r="GD60" s="64">
        <f t="shared" si="1276"/>
        <v>0</v>
      </c>
      <c r="GE60" s="66">
        <f t="shared" si="74"/>
        <v>485.35</v>
      </c>
      <c r="GF60" s="67">
        <f t="shared" si="1277"/>
        <v>0</v>
      </c>
      <c r="GG60" s="64">
        <f t="shared" si="1278"/>
        <v>485.35</v>
      </c>
      <c r="GH60" s="62"/>
      <c r="GI60" s="63"/>
      <c r="GJ60" s="64">
        <f t="shared" si="1279"/>
        <v>0</v>
      </c>
      <c r="GK60" s="65">
        <v>660.33</v>
      </c>
      <c r="GL60" s="63"/>
      <c r="GM60" s="64">
        <f t="shared" si="1280"/>
        <v>660.33</v>
      </c>
      <c r="GN60" s="65"/>
      <c r="GO60" s="63"/>
      <c r="GP60" s="64">
        <f t="shared" si="1281"/>
        <v>0</v>
      </c>
      <c r="GQ60" s="65"/>
      <c r="GR60" s="63"/>
      <c r="GS60" s="64">
        <f t="shared" si="1282"/>
        <v>0</v>
      </c>
      <c r="GT60" s="66">
        <f t="shared" si="81"/>
        <v>660.33</v>
      </c>
      <c r="GU60" s="67">
        <f t="shared" si="1283"/>
        <v>0</v>
      </c>
      <c r="GV60" s="64">
        <f t="shared" si="1284"/>
        <v>660.33</v>
      </c>
      <c r="GW60" s="62"/>
      <c r="GX60" s="63"/>
      <c r="GY60" s="64">
        <f t="shared" si="1285"/>
        <v>0</v>
      </c>
      <c r="GZ60" s="65">
        <v>568.25</v>
      </c>
      <c r="HA60" s="63"/>
      <c r="HB60" s="64">
        <f t="shared" si="1286"/>
        <v>568.25</v>
      </c>
      <c r="HC60" s="65"/>
      <c r="HD60" s="63"/>
      <c r="HE60" s="64">
        <f t="shared" si="1287"/>
        <v>0</v>
      </c>
      <c r="HF60" s="65">
        <v>100</v>
      </c>
      <c r="HG60" s="63"/>
      <c r="HH60" s="64">
        <f t="shared" si="1288"/>
        <v>100</v>
      </c>
      <c r="HI60" s="66">
        <f t="shared" si="84"/>
        <v>668.25</v>
      </c>
      <c r="HJ60" s="67">
        <f t="shared" si="1289"/>
        <v>0</v>
      </c>
      <c r="HK60" s="64">
        <f t="shared" si="1290"/>
        <v>668.25</v>
      </c>
      <c r="HL60" s="62">
        <v>6150</v>
      </c>
      <c r="HM60" s="63"/>
      <c r="HN60" s="64">
        <f t="shared" si="1291"/>
        <v>6150</v>
      </c>
      <c r="HO60" s="65"/>
      <c r="HP60" s="63"/>
      <c r="HQ60" s="64">
        <f t="shared" si="1292"/>
        <v>0</v>
      </c>
      <c r="HR60" s="65">
        <v>4800</v>
      </c>
      <c r="HS60" s="63"/>
      <c r="HT60" s="64">
        <f t="shared" si="1293"/>
        <v>4800</v>
      </c>
      <c r="HU60" s="65">
        <v>100</v>
      </c>
      <c r="HV60" s="63"/>
      <c r="HW60" s="64">
        <f t="shared" si="1294"/>
        <v>100</v>
      </c>
      <c r="HX60" s="66">
        <f t="shared" si="91"/>
        <v>11050</v>
      </c>
      <c r="HY60" s="67">
        <f t="shared" si="1295"/>
        <v>0</v>
      </c>
      <c r="HZ60" s="64">
        <f t="shared" si="1296"/>
        <v>11050</v>
      </c>
      <c r="IA60" s="62"/>
      <c r="IB60" s="63"/>
      <c r="IC60" s="64">
        <f t="shared" si="1297"/>
        <v>0</v>
      </c>
      <c r="ID60" s="65"/>
      <c r="IE60" s="63"/>
      <c r="IF60" s="64">
        <f t="shared" si="1298"/>
        <v>0</v>
      </c>
      <c r="IG60" s="65"/>
      <c r="IH60" s="63"/>
      <c r="II60" s="64">
        <f t="shared" si="1299"/>
        <v>0</v>
      </c>
      <c r="IJ60" s="65">
        <v>100</v>
      </c>
      <c r="IK60" s="63"/>
      <c r="IL60" s="64">
        <f t="shared" si="1300"/>
        <v>100</v>
      </c>
      <c r="IM60" s="66">
        <f t="shared" si="98"/>
        <v>100</v>
      </c>
      <c r="IN60" s="67">
        <f t="shared" si="1301"/>
        <v>0</v>
      </c>
      <c r="IO60" s="64">
        <f t="shared" si="1302"/>
        <v>100</v>
      </c>
      <c r="IP60" s="62"/>
      <c r="IQ60" s="63"/>
      <c r="IR60" s="64">
        <f t="shared" si="1303"/>
        <v>0</v>
      </c>
      <c r="IS60" s="65"/>
      <c r="IT60" s="63"/>
      <c r="IU60" s="64">
        <f t="shared" si="1304"/>
        <v>0</v>
      </c>
      <c r="IV60" s="65"/>
      <c r="IW60" s="63"/>
      <c r="IX60" s="64">
        <f t="shared" si="1305"/>
        <v>0</v>
      </c>
      <c r="IY60" s="65"/>
      <c r="IZ60" s="63"/>
      <c r="JA60" s="64">
        <f t="shared" si="1306"/>
        <v>0</v>
      </c>
      <c r="JB60" s="66">
        <f t="shared" si="105"/>
        <v>0</v>
      </c>
      <c r="JC60" s="67">
        <f t="shared" si="1307"/>
        <v>0</v>
      </c>
      <c r="JD60" s="64">
        <f t="shared" si="1308"/>
        <v>0</v>
      </c>
      <c r="JE60" s="72"/>
      <c r="JF60" s="150"/>
      <c r="JG60" s="74"/>
      <c r="JH60" s="75"/>
      <c r="JI60" s="150"/>
      <c r="JJ60" s="74"/>
      <c r="JK60" s="75"/>
      <c r="JL60" s="150"/>
      <c r="JM60" s="74"/>
      <c r="JN60" s="75"/>
      <c r="JO60" s="150"/>
      <c r="JP60" s="74"/>
      <c r="JQ60" s="76"/>
      <c r="JR60" s="77"/>
      <c r="JS60" s="74"/>
      <c r="JT60" s="72"/>
      <c r="JU60" s="73"/>
      <c r="JV60" s="74"/>
      <c r="JW60" s="75"/>
      <c r="JX60" s="73"/>
      <c r="JY60" s="74"/>
      <c r="JZ60" s="75"/>
      <c r="KA60" s="73"/>
      <c r="KB60" s="74"/>
      <c r="KC60" s="75"/>
      <c r="KD60" s="73"/>
      <c r="KE60" s="74"/>
      <c r="KF60" s="76"/>
      <c r="KG60" s="77"/>
      <c r="KH60" s="64">
        <f t="shared" si="1309"/>
        <v>0</v>
      </c>
      <c r="KI60" s="62"/>
      <c r="KJ60" s="63"/>
      <c r="KK60" s="64">
        <f t="shared" si="1310"/>
        <v>0</v>
      </c>
      <c r="KL60" s="65"/>
      <c r="KM60" s="63"/>
      <c r="KN60" s="64">
        <f t="shared" si="1311"/>
        <v>0</v>
      </c>
      <c r="KO60" s="65"/>
      <c r="KP60" s="63"/>
      <c r="KQ60" s="64">
        <f t="shared" si="1312"/>
        <v>0</v>
      </c>
      <c r="KR60" s="65"/>
      <c r="KS60" s="63"/>
      <c r="KT60" s="64">
        <f t="shared" si="1313"/>
        <v>0</v>
      </c>
      <c r="KU60" s="66">
        <f t="shared" si="1"/>
        <v>0</v>
      </c>
      <c r="KV60" s="67">
        <f t="shared" si="1314"/>
        <v>0</v>
      </c>
      <c r="KW60" s="64">
        <f t="shared" si="1315"/>
        <v>0</v>
      </c>
      <c r="KX60" s="72"/>
      <c r="KY60" s="73"/>
      <c r="KZ60" s="74"/>
      <c r="LA60" s="75"/>
      <c r="LB60" s="73"/>
      <c r="LC60" s="74"/>
      <c r="LD60" s="75"/>
      <c r="LE60" s="73"/>
      <c r="LF60" s="74"/>
      <c r="LG60" s="75"/>
      <c r="LH60" s="73"/>
      <c r="LI60" s="74"/>
      <c r="LJ60" s="76"/>
      <c r="LK60" s="77"/>
      <c r="LL60" s="74"/>
      <c r="LM60" s="62"/>
      <c r="LN60" s="63"/>
      <c r="LO60" s="64">
        <f t="shared" si="1316"/>
        <v>0</v>
      </c>
      <c r="LP60" s="65"/>
      <c r="LQ60" s="63"/>
      <c r="LR60" s="64">
        <f t="shared" si="1317"/>
        <v>0</v>
      </c>
      <c r="LS60" s="65"/>
      <c r="LT60" s="63"/>
      <c r="LU60" s="64">
        <f t="shared" si="1318"/>
        <v>0</v>
      </c>
      <c r="LV60" s="65">
        <v>100</v>
      </c>
      <c r="LW60" s="63"/>
      <c r="LX60" s="64">
        <f t="shared" si="1319"/>
        <v>100</v>
      </c>
      <c r="LY60" s="66">
        <f t="shared" si="124"/>
        <v>100</v>
      </c>
      <c r="LZ60" s="67">
        <f t="shared" si="1320"/>
        <v>0</v>
      </c>
      <c r="MA60" s="64">
        <f t="shared" si="1321"/>
        <v>100</v>
      </c>
      <c r="MB60" s="62"/>
      <c r="MC60" s="63"/>
      <c r="MD60" s="64">
        <f t="shared" si="1322"/>
        <v>0</v>
      </c>
      <c r="ME60" s="65">
        <v>889.11</v>
      </c>
      <c r="MF60" s="63"/>
      <c r="MG60" s="64">
        <f t="shared" si="1323"/>
        <v>889.11</v>
      </c>
      <c r="MH60" s="65"/>
      <c r="MI60" s="63"/>
      <c r="MJ60" s="64">
        <f t="shared" si="1324"/>
        <v>0</v>
      </c>
      <c r="MK60" s="65">
        <v>100</v>
      </c>
      <c r="ML60" s="63"/>
      <c r="MM60" s="64">
        <f t="shared" si="1325"/>
        <v>100</v>
      </c>
      <c r="MN60" s="66">
        <f t="shared" si="131"/>
        <v>989.11</v>
      </c>
      <c r="MO60" s="67">
        <f t="shared" si="1326"/>
        <v>0</v>
      </c>
      <c r="MP60" s="64">
        <f t="shared" si="1327"/>
        <v>989.11</v>
      </c>
      <c r="MQ60" s="62"/>
      <c r="MR60" s="63"/>
      <c r="MS60" s="64">
        <f t="shared" si="1328"/>
        <v>0</v>
      </c>
      <c r="MT60" s="65"/>
      <c r="MU60" s="63"/>
      <c r="MV60" s="64">
        <f t="shared" si="1329"/>
        <v>0</v>
      </c>
      <c r="MW60" s="65"/>
      <c r="MX60" s="63"/>
      <c r="MY60" s="64">
        <f t="shared" si="1330"/>
        <v>0</v>
      </c>
      <c r="MZ60" s="65"/>
      <c r="NA60" s="63"/>
      <c r="NB60" s="64">
        <f t="shared" si="1331"/>
        <v>0</v>
      </c>
      <c r="NC60" s="66">
        <f t="shared" si="138"/>
        <v>0</v>
      </c>
      <c r="ND60" s="67">
        <f t="shared" si="1332"/>
        <v>0</v>
      </c>
      <c r="NE60" s="64">
        <f t="shared" si="1333"/>
        <v>0</v>
      </c>
      <c r="NF60" s="62"/>
      <c r="NG60" s="63"/>
      <c r="NH60" s="64">
        <f t="shared" si="1334"/>
        <v>0</v>
      </c>
      <c r="NI60" s="65">
        <v>1164.04</v>
      </c>
      <c r="NJ60" s="63"/>
      <c r="NK60" s="64">
        <f t="shared" si="1335"/>
        <v>1164.04</v>
      </c>
      <c r="NL60" s="65"/>
      <c r="NM60" s="63"/>
      <c r="NN60" s="64">
        <f t="shared" si="1336"/>
        <v>0</v>
      </c>
      <c r="NO60" s="65">
        <v>100</v>
      </c>
      <c r="NP60" s="63"/>
      <c r="NQ60" s="64">
        <f t="shared" si="1337"/>
        <v>100</v>
      </c>
      <c r="NR60" s="66">
        <f t="shared" si="145"/>
        <v>1264.04</v>
      </c>
      <c r="NS60" s="67">
        <f t="shared" si="1338"/>
        <v>0</v>
      </c>
      <c r="NT60" s="64">
        <f t="shared" si="1339"/>
        <v>1264.04</v>
      </c>
      <c r="NU60" s="62"/>
      <c r="NV60" s="63"/>
      <c r="NW60" s="64">
        <f t="shared" si="1340"/>
        <v>0</v>
      </c>
      <c r="NX60" s="65">
        <v>1152.73</v>
      </c>
      <c r="NY60" s="63"/>
      <c r="NZ60" s="64">
        <f t="shared" si="1341"/>
        <v>1152.73</v>
      </c>
      <c r="OA60" s="65"/>
      <c r="OB60" s="63"/>
      <c r="OC60" s="64">
        <f t="shared" si="1342"/>
        <v>0</v>
      </c>
      <c r="OD60" s="65">
        <v>100</v>
      </c>
      <c r="OE60" s="63"/>
      <c r="OF60" s="64">
        <f t="shared" si="1343"/>
        <v>100</v>
      </c>
      <c r="OG60" s="66">
        <f t="shared" si="152"/>
        <v>1252.73</v>
      </c>
      <c r="OH60" s="67">
        <f t="shared" si="1344"/>
        <v>0</v>
      </c>
      <c r="OI60" s="64">
        <f t="shared" si="1345"/>
        <v>1252.73</v>
      </c>
      <c r="OJ60" s="62"/>
      <c r="OK60" s="63"/>
      <c r="OL60" s="64">
        <f t="shared" si="1346"/>
        <v>0</v>
      </c>
      <c r="OM60" s="65"/>
      <c r="ON60" s="63"/>
      <c r="OO60" s="64">
        <f t="shared" si="1347"/>
        <v>0</v>
      </c>
      <c r="OP60" s="65"/>
      <c r="OQ60" s="63"/>
      <c r="OR60" s="64">
        <f t="shared" si="1348"/>
        <v>0</v>
      </c>
      <c r="OS60" s="65">
        <v>100</v>
      </c>
      <c r="OT60" s="63"/>
      <c r="OU60" s="64">
        <f t="shared" si="1349"/>
        <v>100</v>
      </c>
      <c r="OV60" s="66">
        <f t="shared" si="159"/>
        <v>100</v>
      </c>
      <c r="OW60" s="67">
        <f t="shared" si="1350"/>
        <v>0</v>
      </c>
      <c r="OX60" s="64">
        <f t="shared" si="1351"/>
        <v>100</v>
      </c>
      <c r="OY60" s="62"/>
      <c r="OZ60" s="63"/>
      <c r="PA60" s="64">
        <f t="shared" si="1352"/>
        <v>0</v>
      </c>
      <c r="PB60" s="65"/>
      <c r="PC60" s="63"/>
      <c r="PD60" s="64">
        <f t="shared" si="1353"/>
        <v>0</v>
      </c>
      <c r="PE60" s="65"/>
      <c r="PF60" s="63"/>
      <c r="PG60" s="64">
        <f t="shared" si="1354"/>
        <v>0</v>
      </c>
      <c r="PH60" s="65">
        <v>100</v>
      </c>
      <c r="PI60" s="63"/>
      <c r="PJ60" s="64">
        <f t="shared" si="1355"/>
        <v>100</v>
      </c>
      <c r="PK60" s="66">
        <f t="shared" si="166"/>
        <v>100</v>
      </c>
      <c r="PL60" s="67">
        <f t="shared" si="1356"/>
        <v>0</v>
      </c>
      <c r="PM60" s="64">
        <f t="shared" si="1357"/>
        <v>100</v>
      </c>
      <c r="PN60" s="62">
        <v>1550</v>
      </c>
      <c r="PO60" s="63"/>
      <c r="PP60" s="64">
        <f t="shared" si="1358"/>
        <v>1550</v>
      </c>
      <c r="PQ60" s="65"/>
      <c r="PR60" s="63"/>
      <c r="PS60" s="64">
        <f t="shared" si="1359"/>
        <v>0</v>
      </c>
      <c r="PT60" s="65"/>
      <c r="PU60" s="63"/>
      <c r="PV60" s="64">
        <f t="shared" si="1360"/>
        <v>0</v>
      </c>
      <c r="PW60" s="65">
        <v>100</v>
      </c>
      <c r="PX60" s="63"/>
      <c r="PY60" s="64">
        <f t="shared" si="1361"/>
        <v>100</v>
      </c>
      <c r="PZ60" s="66">
        <f t="shared" si="173"/>
        <v>1650</v>
      </c>
      <c r="QA60" s="67">
        <f t="shared" si="1362"/>
        <v>0</v>
      </c>
      <c r="QB60" s="64">
        <f t="shared" si="1363"/>
        <v>1650</v>
      </c>
      <c r="QC60" s="62"/>
      <c r="QD60" s="63"/>
      <c r="QE60" s="64">
        <f t="shared" si="1364"/>
        <v>0</v>
      </c>
      <c r="QF60" s="65"/>
      <c r="QG60" s="63"/>
      <c r="QH60" s="64">
        <f t="shared" si="1365"/>
        <v>0</v>
      </c>
      <c r="QI60" s="65"/>
      <c r="QJ60" s="63"/>
      <c r="QK60" s="64">
        <f t="shared" si="1366"/>
        <v>0</v>
      </c>
      <c r="QL60" s="65">
        <v>100</v>
      </c>
      <c r="QM60" s="63"/>
      <c r="QN60" s="64">
        <f t="shared" si="1367"/>
        <v>100</v>
      </c>
      <c r="QO60" s="66">
        <f t="shared" si="180"/>
        <v>100</v>
      </c>
      <c r="QP60" s="67">
        <f t="shared" si="1368"/>
        <v>0</v>
      </c>
      <c r="QQ60" s="64">
        <f t="shared" si="1369"/>
        <v>100</v>
      </c>
      <c r="QR60" s="74"/>
      <c r="QS60" s="74"/>
      <c r="QT60" s="72"/>
      <c r="QU60" s="73"/>
      <c r="QV60" s="74"/>
      <c r="QW60" s="75"/>
      <c r="QX60" s="73"/>
      <c r="QY60" s="74"/>
      <c r="QZ60" s="75"/>
      <c r="RA60" s="73"/>
      <c r="RB60" s="74"/>
      <c r="RC60" s="75"/>
      <c r="RD60" s="73"/>
      <c r="RE60" s="74"/>
      <c r="RF60" s="74"/>
      <c r="RG60" s="72"/>
      <c r="RH60" s="73"/>
      <c r="RI60" s="74"/>
      <c r="RJ60" s="75"/>
      <c r="RK60" s="73"/>
      <c r="RL60" s="74"/>
      <c r="RM60" s="75"/>
      <c r="RN60" s="73"/>
      <c r="RO60" s="74"/>
      <c r="RP60" s="75"/>
      <c r="RQ60" s="73"/>
      <c r="RR60" s="74"/>
      <c r="RS60" s="76"/>
      <c r="RT60" s="77"/>
      <c r="RU60" s="74"/>
      <c r="RV60" s="74"/>
      <c r="RW60" s="72"/>
      <c r="RX60" s="73"/>
      <c r="RY60" s="74"/>
      <c r="RZ60" s="75"/>
      <c r="SA60" s="73"/>
      <c r="SB60" s="74"/>
      <c r="SC60" s="75"/>
      <c r="SD60" s="73"/>
      <c r="SE60" s="74"/>
      <c r="SF60" s="75"/>
      <c r="SG60" s="73"/>
      <c r="SH60" s="74"/>
      <c r="SI60" s="76"/>
      <c r="SJ60" s="64">
        <f t="shared" si="1370"/>
        <v>0</v>
      </c>
      <c r="SK60" s="62"/>
      <c r="SL60" s="63"/>
      <c r="SM60" s="64">
        <f t="shared" si="1371"/>
        <v>0</v>
      </c>
      <c r="SN60" s="65"/>
      <c r="SO60" s="63"/>
      <c r="SP60" s="64">
        <f t="shared" si="1372"/>
        <v>0</v>
      </c>
      <c r="SQ60" s="65"/>
      <c r="SR60" s="63"/>
      <c r="SS60" s="64">
        <f t="shared" si="1373"/>
        <v>0</v>
      </c>
      <c r="ST60" s="65">
        <v>100</v>
      </c>
      <c r="SU60" s="63"/>
      <c r="SV60" s="64">
        <f t="shared" si="1374"/>
        <v>100</v>
      </c>
      <c r="SW60" s="66">
        <f t="shared" si="208"/>
        <v>100</v>
      </c>
      <c r="SX60" s="67">
        <f t="shared" si="1375"/>
        <v>0</v>
      </c>
      <c r="SY60" s="64">
        <f t="shared" si="1376"/>
        <v>100</v>
      </c>
      <c r="SZ60" s="62">
        <v>985.33</v>
      </c>
      <c r="TA60" s="63"/>
      <c r="TB60" s="64">
        <f t="shared" si="1377"/>
        <v>985.33</v>
      </c>
      <c r="TC60" s="65">
        <v>700.9</v>
      </c>
      <c r="TD60" s="63"/>
      <c r="TE60" s="64">
        <f t="shared" si="1378"/>
        <v>700.9</v>
      </c>
      <c r="TF60" s="65"/>
      <c r="TG60" s="63"/>
      <c r="TH60" s="64">
        <f t="shared" si="1379"/>
        <v>0</v>
      </c>
      <c r="TI60" s="65">
        <v>100</v>
      </c>
      <c r="TJ60" s="63"/>
      <c r="TK60" s="64">
        <f t="shared" si="1380"/>
        <v>100</v>
      </c>
      <c r="TL60" s="66">
        <f t="shared" si="215"/>
        <v>1786.23</v>
      </c>
      <c r="TM60" s="67">
        <f t="shared" si="1381"/>
        <v>0</v>
      </c>
      <c r="TN60" s="64">
        <f t="shared" si="1382"/>
        <v>1786.23</v>
      </c>
      <c r="TO60" s="62"/>
      <c r="TP60" s="63"/>
      <c r="TQ60" s="64">
        <f t="shared" si="1383"/>
        <v>0</v>
      </c>
      <c r="TR60" s="65"/>
      <c r="TS60" s="63"/>
      <c r="TT60" s="64">
        <f t="shared" si="1384"/>
        <v>0</v>
      </c>
      <c r="TU60" s="65"/>
      <c r="TV60" s="63"/>
      <c r="TW60" s="64">
        <f t="shared" si="1385"/>
        <v>0</v>
      </c>
      <c r="TX60" s="65">
        <v>100</v>
      </c>
      <c r="TY60" s="63"/>
      <c r="TZ60" s="64">
        <f t="shared" si="1386"/>
        <v>100</v>
      </c>
      <c r="UA60" s="66">
        <f t="shared" si="222"/>
        <v>100</v>
      </c>
      <c r="UB60" s="67">
        <f t="shared" si="1387"/>
        <v>0</v>
      </c>
      <c r="UC60" s="64">
        <f t="shared" si="1388"/>
        <v>100</v>
      </c>
      <c r="UD60" s="62">
        <v>1125</v>
      </c>
      <c r="UE60" s="63"/>
      <c r="UF60" s="64">
        <f t="shared" si="1389"/>
        <v>1125</v>
      </c>
      <c r="UG60" s="65">
        <v>497.04</v>
      </c>
      <c r="UH60" s="63"/>
      <c r="UI60" s="64">
        <f t="shared" si="1390"/>
        <v>497.04</v>
      </c>
      <c r="UJ60" s="65"/>
      <c r="UK60" s="63"/>
      <c r="UL60" s="64">
        <f t="shared" si="1391"/>
        <v>0</v>
      </c>
      <c r="UM60" s="65">
        <v>100</v>
      </c>
      <c r="UN60" s="63"/>
      <c r="UO60" s="64">
        <f t="shared" si="1392"/>
        <v>100</v>
      </c>
      <c r="UP60" s="66">
        <f t="shared" si="226"/>
        <v>1722.04</v>
      </c>
      <c r="UQ60" s="67">
        <f t="shared" si="1393"/>
        <v>0</v>
      </c>
      <c r="UR60" s="64">
        <f t="shared" si="1394"/>
        <v>1722.04</v>
      </c>
      <c r="US60" s="74"/>
      <c r="UT60" s="72"/>
      <c r="UU60" s="73"/>
      <c r="UV60" s="74"/>
      <c r="UW60" s="75"/>
      <c r="UX60" s="73"/>
      <c r="UY60" s="74"/>
      <c r="UZ60" s="75"/>
      <c r="VA60" s="73"/>
      <c r="VB60" s="74"/>
      <c r="VC60" s="75"/>
      <c r="VD60" s="73"/>
      <c r="VE60" s="74"/>
      <c r="VF60" s="76"/>
      <c r="VG60" s="77"/>
      <c r="VH60" s="62"/>
      <c r="VI60" s="63"/>
      <c r="VJ60" s="64">
        <f t="shared" si="1395"/>
        <v>0</v>
      </c>
      <c r="VK60" s="65"/>
      <c r="VL60" s="63"/>
      <c r="VM60" s="64">
        <f t="shared" si="1396"/>
        <v>0</v>
      </c>
      <c r="VN60" s="65"/>
      <c r="VO60" s="63"/>
      <c r="VP60" s="64">
        <f t="shared" si="1397"/>
        <v>0</v>
      </c>
      <c r="VQ60" s="65">
        <v>100</v>
      </c>
      <c r="VR60" s="63"/>
      <c r="VS60" s="64">
        <f t="shared" si="1398"/>
        <v>100</v>
      </c>
      <c r="VT60" s="66">
        <f t="shared" si="240"/>
        <v>100</v>
      </c>
      <c r="VU60" s="67">
        <f t="shared" si="1399"/>
        <v>0</v>
      </c>
      <c r="VV60" s="64">
        <f t="shared" si="1400"/>
        <v>100</v>
      </c>
      <c r="VW60" s="74"/>
      <c r="VX60" s="72"/>
      <c r="VY60" s="73"/>
      <c r="VZ60" s="74"/>
      <c r="WA60" s="75"/>
      <c r="WB60" s="73"/>
      <c r="WC60" s="74"/>
      <c r="WD60" s="75"/>
      <c r="WE60" s="73"/>
      <c r="WF60" s="74"/>
      <c r="WG60" s="75"/>
      <c r="WH60" s="73"/>
      <c r="WI60" s="74"/>
      <c r="WJ60" s="76"/>
      <c r="WK60" s="77"/>
      <c r="WL60" s="74"/>
      <c r="WM60" s="72"/>
      <c r="WN60" s="73"/>
      <c r="WO60" s="74"/>
      <c r="WP60" s="75"/>
      <c r="WQ60" s="73"/>
      <c r="WR60" s="74"/>
      <c r="WS60" s="75"/>
      <c r="WT60" s="73"/>
      <c r="WU60" s="74"/>
      <c r="WV60" s="75"/>
      <c r="WW60" s="73"/>
      <c r="WX60" s="74"/>
      <c r="WY60" s="76"/>
      <c r="WZ60" s="77"/>
      <c r="XA60" s="74"/>
      <c r="XB60" s="72"/>
      <c r="XC60" s="73"/>
      <c r="XD60" s="74"/>
      <c r="XE60" s="75"/>
      <c r="XF60" s="73"/>
      <c r="XG60" s="74"/>
      <c r="XH60" s="75"/>
      <c r="XI60" s="73"/>
      <c r="XJ60" s="74"/>
      <c r="XK60" s="75"/>
      <c r="XL60" s="73"/>
      <c r="XM60" s="74"/>
      <c r="XN60" s="76"/>
      <c r="XO60" s="77"/>
      <c r="XP60" s="62"/>
      <c r="XQ60" s="63"/>
      <c r="XR60" s="64">
        <f t="shared" si="1401"/>
        <v>0</v>
      </c>
      <c r="XS60" s="65">
        <v>844.24</v>
      </c>
      <c r="XT60" s="63"/>
      <c r="XU60" s="64">
        <f t="shared" si="1402"/>
        <v>844.24</v>
      </c>
      <c r="XV60" s="65"/>
      <c r="XW60" s="63"/>
      <c r="XX60" s="64">
        <f t="shared" si="1403"/>
        <v>0</v>
      </c>
      <c r="XY60" s="65">
        <v>100</v>
      </c>
      <c r="XZ60" s="63"/>
      <c r="YA60" s="64">
        <f t="shared" si="1404"/>
        <v>100</v>
      </c>
      <c r="YB60" s="66">
        <f t="shared" si="268"/>
        <v>944.24</v>
      </c>
      <c r="YC60" s="67">
        <f t="shared" si="1405"/>
        <v>0</v>
      </c>
      <c r="YD60" s="64">
        <f t="shared" si="1406"/>
        <v>944.24</v>
      </c>
      <c r="YE60" s="62"/>
      <c r="YF60" s="63"/>
      <c r="YG60" s="64">
        <f t="shared" si="1407"/>
        <v>0</v>
      </c>
      <c r="YH60" s="65">
        <v>847.85</v>
      </c>
      <c r="YI60" s="63"/>
      <c r="YJ60" s="64">
        <f t="shared" si="1408"/>
        <v>847.85</v>
      </c>
      <c r="YK60" s="65"/>
      <c r="YL60" s="63"/>
      <c r="YM60" s="64">
        <f t="shared" si="1409"/>
        <v>0</v>
      </c>
      <c r="YN60" s="65">
        <v>100</v>
      </c>
      <c r="YO60" s="63"/>
      <c r="YP60" s="64">
        <f t="shared" si="1410"/>
        <v>100</v>
      </c>
      <c r="YQ60" s="66">
        <f t="shared" si="275"/>
        <v>947.85</v>
      </c>
      <c r="YR60" s="67">
        <f t="shared" si="1411"/>
        <v>0</v>
      </c>
      <c r="YS60" s="64">
        <f t="shared" si="1412"/>
        <v>947.85</v>
      </c>
      <c r="YT60" s="62"/>
      <c r="YU60" s="63"/>
      <c r="YV60" s="64">
        <f t="shared" si="1413"/>
        <v>0</v>
      </c>
      <c r="YW60" s="65">
        <v>695.73</v>
      </c>
      <c r="YX60" s="63"/>
      <c r="YY60" s="64">
        <f t="shared" si="1414"/>
        <v>695.73</v>
      </c>
      <c r="YZ60" s="65"/>
      <c r="ZA60" s="63"/>
      <c r="ZB60" s="64">
        <f t="shared" si="1415"/>
        <v>0</v>
      </c>
      <c r="ZC60" s="65">
        <v>100</v>
      </c>
      <c r="ZD60" s="63"/>
      <c r="ZE60" s="64">
        <f t="shared" si="1416"/>
        <v>100</v>
      </c>
      <c r="ZF60" s="66">
        <f t="shared" si="282"/>
        <v>795.73</v>
      </c>
      <c r="ZG60" s="67">
        <f t="shared" si="1417"/>
        <v>0</v>
      </c>
      <c r="ZH60" s="74"/>
      <c r="ZI60" s="72"/>
      <c r="ZJ60" s="73"/>
      <c r="ZK60" s="74"/>
      <c r="ZL60" s="75"/>
      <c r="ZM60" s="73"/>
      <c r="ZN60" s="74"/>
      <c r="ZO60" s="75"/>
      <c r="ZP60" s="73"/>
      <c r="ZQ60" s="74"/>
      <c r="ZR60" s="75"/>
      <c r="ZS60" s="73"/>
      <c r="ZT60" s="74"/>
      <c r="ZU60" s="76"/>
      <c r="ZV60" s="77"/>
      <c r="ZW60" s="64">
        <f t="shared" si="1418"/>
        <v>0</v>
      </c>
      <c r="ZX60" s="62">
        <v>24.71</v>
      </c>
      <c r="ZY60" s="63"/>
      <c r="ZZ60" s="64">
        <f t="shared" si="1419"/>
        <v>24.71</v>
      </c>
      <c r="AAA60" s="66">
        <f t="shared" si="293"/>
        <v>24.71</v>
      </c>
      <c r="AAB60" s="67">
        <f t="shared" si="293"/>
        <v>0</v>
      </c>
      <c r="AAC60" s="64">
        <f t="shared" si="1420"/>
        <v>24.71</v>
      </c>
      <c r="AAD60" s="85">
        <f t="shared" si="295"/>
        <v>68223.95</v>
      </c>
      <c r="AAE60" s="86">
        <f t="shared" si="295"/>
        <v>0</v>
      </c>
      <c r="AAF60" s="87">
        <f t="shared" si="3"/>
        <v>0</v>
      </c>
      <c r="AAG60" s="88">
        <f t="shared" si="1421"/>
        <v>-68223.95</v>
      </c>
      <c r="AAH60" s="91"/>
      <c r="AAI60" s="92"/>
      <c r="AAJ60" s="92"/>
      <c r="AAK60" s="60"/>
    </row>
    <row r="61" spans="1:713" s="83" customFormat="1" ht="20" customHeight="1" x14ac:dyDescent="0.2">
      <c r="A61" s="153"/>
      <c r="B61" s="58" t="s">
        <v>145</v>
      </c>
      <c r="C61" s="59"/>
      <c r="D61" s="59"/>
      <c r="E61" s="60"/>
      <c r="F61" s="61">
        <v>46143</v>
      </c>
      <c r="G61" s="62"/>
      <c r="H61" s="63"/>
      <c r="I61" s="64">
        <f t="shared" si="1217"/>
        <v>0</v>
      </c>
      <c r="J61" s="65">
        <v>3514.55</v>
      </c>
      <c r="K61" s="63"/>
      <c r="L61" s="64">
        <f t="shared" si="1218"/>
        <v>3514.55</v>
      </c>
      <c r="M61" s="65">
        <v>2500</v>
      </c>
      <c r="N61" s="63"/>
      <c r="O61" s="64">
        <f t="shared" si="1219"/>
        <v>2500</v>
      </c>
      <c r="P61" s="65">
        <v>750</v>
      </c>
      <c r="Q61" s="63"/>
      <c r="R61" s="64">
        <f t="shared" si="1220"/>
        <v>750</v>
      </c>
      <c r="S61" s="65">
        <v>181</v>
      </c>
      <c r="T61" s="63"/>
      <c r="U61" s="64">
        <f t="shared" si="1221"/>
        <v>181</v>
      </c>
      <c r="V61" s="66">
        <f t="shared" si="1222"/>
        <v>6945.55</v>
      </c>
      <c r="W61" s="67">
        <f t="shared" si="1222"/>
        <v>0</v>
      </c>
      <c r="X61" s="64">
        <f t="shared" si="1223"/>
        <v>6945.55</v>
      </c>
      <c r="Y61" s="72"/>
      <c r="Z61" s="73"/>
      <c r="AA61" s="74"/>
      <c r="AB61" s="75"/>
      <c r="AC61" s="73"/>
      <c r="AD61" s="74"/>
      <c r="AE61" s="75"/>
      <c r="AF61" s="73"/>
      <c r="AG61" s="74"/>
      <c r="AH61" s="75"/>
      <c r="AI61" s="73"/>
      <c r="AJ61" s="74"/>
      <c r="AK61" s="76"/>
      <c r="AL61" s="77"/>
      <c r="AM61" s="64">
        <f t="shared" si="1224"/>
        <v>0</v>
      </c>
      <c r="AN61" s="62"/>
      <c r="AO61" s="63"/>
      <c r="AP61" s="64">
        <f t="shared" si="1422"/>
        <v>0</v>
      </c>
      <c r="AQ61" s="65"/>
      <c r="AR61" s="63"/>
      <c r="AS61" s="64">
        <f t="shared" si="1225"/>
        <v>0</v>
      </c>
      <c r="AT61" s="65"/>
      <c r="AU61" s="63"/>
      <c r="AV61" s="64">
        <f t="shared" si="1226"/>
        <v>0</v>
      </c>
      <c r="AW61" s="65"/>
      <c r="AX61" s="63"/>
      <c r="AY61" s="64">
        <f t="shared" si="1227"/>
        <v>0</v>
      </c>
      <c r="AZ61" s="66">
        <f t="shared" si="23"/>
        <v>0</v>
      </c>
      <c r="BA61" s="67">
        <f t="shared" si="1228"/>
        <v>0</v>
      </c>
      <c r="BB61" s="64">
        <f t="shared" si="1229"/>
        <v>0</v>
      </c>
      <c r="BC61" s="62"/>
      <c r="BD61" s="63"/>
      <c r="BE61" s="64">
        <f t="shared" si="1230"/>
        <v>0</v>
      </c>
      <c r="BF61" s="65"/>
      <c r="BG61" s="63"/>
      <c r="BH61" s="64">
        <f t="shared" si="1231"/>
        <v>0</v>
      </c>
      <c r="BI61" s="65"/>
      <c r="BJ61" s="63"/>
      <c r="BK61" s="64">
        <f t="shared" si="1232"/>
        <v>0</v>
      </c>
      <c r="BL61" s="65">
        <v>100</v>
      </c>
      <c r="BM61" s="63"/>
      <c r="BN61" s="64">
        <f t="shared" si="1233"/>
        <v>100</v>
      </c>
      <c r="BO61" s="66">
        <f t="shared" si="30"/>
        <v>100</v>
      </c>
      <c r="BP61" s="67">
        <f t="shared" si="1234"/>
        <v>0</v>
      </c>
      <c r="BQ61" s="64">
        <f t="shared" si="1235"/>
        <v>100</v>
      </c>
      <c r="BR61" s="72"/>
      <c r="BS61" s="73"/>
      <c r="BT61" s="74"/>
      <c r="BU61" s="75"/>
      <c r="BV61" s="73"/>
      <c r="BW61" s="74"/>
      <c r="BX61" s="75"/>
      <c r="BY61" s="73"/>
      <c r="BZ61" s="74"/>
      <c r="CA61" s="75"/>
      <c r="CB61" s="73"/>
      <c r="CC61" s="74"/>
      <c r="CD61" s="76"/>
      <c r="CE61" s="77"/>
      <c r="CF61" s="64">
        <f t="shared" si="1236"/>
        <v>0</v>
      </c>
      <c r="CG61" s="62"/>
      <c r="CH61" s="63"/>
      <c r="CI61" s="64">
        <f t="shared" si="1237"/>
        <v>0</v>
      </c>
      <c r="CJ61" s="65"/>
      <c r="CK61" s="63"/>
      <c r="CL61" s="64">
        <f t="shared" si="1238"/>
        <v>0</v>
      </c>
      <c r="CM61" s="65"/>
      <c r="CN61" s="63"/>
      <c r="CO61" s="64">
        <f t="shared" si="1239"/>
        <v>0</v>
      </c>
      <c r="CP61" s="65"/>
      <c r="CQ61" s="63"/>
      <c r="CR61" s="64">
        <f t="shared" si="1240"/>
        <v>0</v>
      </c>
      <c r="CS61" s="66">
        <f t="shared" si="40"/>
        <v>0</v>
      </c>
      <c r="CT61" s="67">
        <f t="shared" si="1241"/>
        <v>0</v>
      </c>
      <c r="CU61" s="64">
        <f t="shared" si="1242"/>
        <v>0</v>
      </c>
      <c r="CV61" s="62">
        <v>2916.7</v>
      </c>
      <c r="CW61" s="63"/>
      <c r="CX61" s="64">
        <f t="shared" si="1243"/>
        <v>2916.7</v>
      </c>
      <c r="CY61" s="65">
        <v>429.15</v>
      </c>
      <c r="CZ61" s="63"/>
      <c r="DA61" s="64">
        <f t="shared" si="1244"/>
        <v>429.15</v>
      </c>
      <c r="DB61" s="65"/>
      <c r="DC61" s="63"/>
      <c r="DD61" s="64">
        <f t="shared" si="1245"/>
        <v>0</v>
      </c>
      <c r="DE61" s="65"/>
      <c r="DF61" s="63"/>
      <c r="DG61" s="64">
        <f t="shared" si="1246"/>
        <v>0</v>
      </c>
      <c r="DH61" s="66">
        <f t="shared" si="43"/>
        <v>3345.85</v>
      </c>
      <c r="DI61" s="67">
        <f t="shared" si="1247"/>
        <v>0</v>
      </c>
      <c r="DJ61" s="64">
        <f t="shared" si="1248"/>
        <v>3345.85</v>
      </c>
      <c r="DK61" s="62">
        <v>2400</v>
      </c>
      <c r="DL61" s="63"/>
      <c r="DM61" s="64">
        <f t="shared" si="1249"/>
        <v>2400</v>
      </c>
      <c r="DN61" s="65">
        <v>913.08</v>
      </c>
      <c r="DO61" s="63"/>
      <c r="DP61" s="64">
        <f t="shared" si="1250"/>
        <v>913.08</v>
      </c>
      <c r="DQ61" s="65"/>
      <c r="DR61" s="63"/>
      <c r="DS61" s="64">
        <f t="shared" si="1251"/>
        <v>0</v>
      </c>
      <c r="DT61" s="65">
        <v>100</v>
      </c>
      <c r="DU61" s="63"/>
      <c r="DV61" s="64">
        <f t="shared" si="1252"/>
        <v>100</v>
      </c>
      <c r="DW61" s="66">
        <f t="shared" si="46"/>
        <v>3413.08</v>
      </c>
      <c r="DX61" s="67">
        <f t="shared" si="1253"/>
        <v>0</v>
      </c>
      <c r="DY61" s="64">
        <f t="shared" si="1254"/>
        <v>3413.08</v>
      </c>
      <c r="DZ61" s="62"/>
      <c r="EA61" s="63"/>
      <c r="EB61" s="64">
        <f t="shared" si="1255"/>
        <v>0</v>
      </c>
      <c r="EC61" s="65"/>
      <c r="ED61" s="63"/>
      <c r="EE61" s="64">
        <f t="shared" si="1256"/>
        <v>0</v>
      </c>
      <c r="EF61" s="65"/>
      <c r="EG61" s="63"/>
      <c r="EH61" s="64">
        <f t="shared" si="1257"/>
        <v>0</v>
      </c>
      <c r="EI61" s="65">
        <v>100</v>
      </c>
      <c r="EJ61" s="63"/>
      <c r="EK61" s="64">
        <f t="shared" si="1258"/>
        <v>100</v>
      </c>
      <c r="EL61" s="66">
        <f t="shared" si="53"/>
        <v>100</v>
      </c>
      <c r="EM61" s="67">
        <f t="shared" si="1259"/>
        <v>0</v>
      </c>
      <c r="EN61" s="64">
        <f t="shared" si="1260"/>
        <v>100</v>
      </c>
      <c r="EO61" s="62"/>
      <c r="EP61" s="63"/>
      <c r="EQ61" s="64">
        <f t="shared" si="1261"/>
        <v>0</v>
      </c>
      <c r="ER61" s="65"/>
      <c r="ES61" s="63"/>
      <c r="ET61" s="64">
        <f t="shared" si="1262"/>
        <v>0</v>
      </c>
      <c r="EU61" s="65">
        <v>4500</v>
      </c>
      <c r="EV61" s="63"/>
      <c r="EW61" s="64">
        <f t="shared" si="1263"/>
        <v>4500</v>
      </c>
      <c r="EX61" s="65">
        <v>100</v>
      </c>
      <c r="EY61" s="63"/>
      <c r="EZ61" s="64">
        <f t="shared" si="1264"/>
        <v>100</v>
      </c>
      <c r="FA61" s="66">
        <f t="shared" si="60"/>
        <v>4600</v>
      </c>
      <c r="FB61" s="67">
        <f t="shared" si="1265"/>
        <v>0</v>
      </c>
      <c r="FC61" s="64">
        <f t="shared" si="1266"/>
        <v>4600</v>
      </c>
      <c r="FD61" s="62"/>
      <c r="FE61" s="63"/>
      <c r="FF61" s="64">
        <f t="shared" si="1267"/>
        <v>0</v>
      </c>
      <c r="FG61" s="65"/>
      <c r="FH61" s="63"/>
      <c r="FI61" s="64">
        <f t="shared" si="1268"/>
        <v>0</v>
      </c>
      <c r="FJ61" s="65">
        <v>4500</v>
      </c>
      <c r="FK61" s="63"/>
      <c r="FL61" s="64">
        <f t="shared" si="1269"/>
        <v>4500</v>
      </c>
      <c r="FM61" s="65">
        <v>100</v>
      </c>
      <c r="FN61" s="63"/>
      <c r="FO61" s="64">
        <f t="shared" si="1270"/>
        <v>100</v>
      </c>
      <c r="FP61" s="66">
        <f t="shared" si="67"/>
        <v>4600</v>
      </c>
      <c r="FQ61" s="67">
        <f t="shared" si="1271"/>
        <v>0</v>
      </c>
      <c r="FR61" s="64">
        <f t="shared" si="1272"/>
        <v>4600</v>
      </c>
      <c r="FS61" s="62"/>
      <c r="FT61" s="63"/>
      <c r="FU61" s="64">
        <f t="shared" si="1273"/>
        <v>0</v>
      </c>
      <c r="FV61" s="65">
        <v>485.35</v>
      </c>
      <c r="FW61" s="63"/>
      <c r="FX61" s="64">
        <f t="shared" si="1274"/>
        <v>485.35</v>
      </c>
      <c r="FY61" s="65"/>
      <c r="FZ61" s="63"/>
      <c r="GA61" s="64">
        <f t="shared" si="1275"/>
        <v>0</v>
      </c>
      <c r="GB61" s="65"/>
      <c r="GC61" s="63"/>
      <c r="GD61" s="64">
        <f t="shared" si="1276"/>
        <v>0</v>
      </c>
      <c r="GE61" s="66">
        <f t="shared" si="74"/>
        <v>485.35</v>
      </c>
      <c r="GF61" s="67">
        <f t="shared" si="1277"/>
        <v>0</v>
      </c>
      <c r="GG61" s="64">
        <f t="shared" si="1278"/>
        <v>485.35</v>
      </c>
      <c r="GH61" s="62"/>
      <c r="GI61" s="63"/>
      <c r="GJ61" s="64">
        <f t="shared" si="1279"/>
        <v>0</v>
      </c>
      <c r="GK61" s="65">
        <v>660.33</v>
      </c>
      <c r="GL61" s="63"/>
      <c r="GM61" s="64">
        <f t="shared" si="1280"/>
        <v>660.33</v>
      </c>
      <c r="GN61" s="65"/>
      <c r="GO61" s="63"/>
      <c r="GP61" s="64">
        <f t="shared" si="1281"/>
        <v>0</v>
      </c>
      <c r="GQ61" s="65"/>
      <c r="GR61" s="63"/>
      <c r="GS61" s="64">
        <f t="shared" si="1282"/>
        <v>0</v>
      </c>
      <c r="GT61" s="66">
        <f t="shared" si="81"/>
        <v>660.33</v>
      </c>
      <c r="GU61" s="67">
        <f t="shared" si="1283"/>
        <v>0</v>
      </c>
      <c r="GV61" s="64">
        <f t="shared" si="1284"/>
        <v>660.33</v>
      </c>
      <c r="GW61" s="62"/>
      <c r="GX61" s="63"/>
      <c r="GY61" s="64">
        <f t="shared" si="1285"/>
        <v>0</v>
      </c>
      <c r="GZ61" s="65">
        <v>568.25</v>
      </c>
      <c r="HA61" s="63"/>
      <c r="HB61" s="64">
        <f t="shared" si="1286"/>
        <v>568.25</v>
      </c>
      <c r="HC61" s="65"/>
      <c r="HD61" s="63"/>
      <c r="HE61" s="64">
        <f t="shared" si="1287"/>
        <v>0</v>
      </c>
      <c r="HF61" s="65">
        <v>100</v>
      </c>
      <c r="HG61" s="63"/>
      <c r="HH61" s="64">
        <f t="shared" si="1288"/>
        <v>100</v>
      </c>
      <c r="HI61" s="66">
        <f t="shared" si="84"/>
        <v>668.25</v>
      </c>
      <c r="HJ61" s="67">
        <f t="shared" si="1289"/>
        <v>0</v>
      </c>
      <c r="HK61" s="64">
        <f t="shared" si="1290"/>
        <v>668.25</v>
      </c>
      <c r="HL61" s="62"/>
      <c r="HM61" s="63"/>
      <c r="HN61" s="64">
        <f t="shared" si="1291"/>
        <v>0</v>
      </c>
      <c r="HO61" s="65"/>
      <c r="HP61" s="63"/>
      <c r="HQ61" s="64">
        <f t="shared" si="1292"/>
        <v>0</v>
      </c>
      <c r="HR61" s="65"/>
      <c r="HS61" s="63"/>
      <c r="HT61" s="64">
        <f t="shared" si="1293"/>
        <v>0</v>
      </c>
      <c r="HU61" s="65">
        <v>100</v>
      </c>
      <c r="HV61" s="63"/>
      <c r="HW61" s="64">
        <f t="shared" si="1294"/>
        <v>100</v>
      </c>
      <c r="HX61" s="66">
        <f t="shared" si="91"/>
        <v>100</v>
      </c>
      <c r="HY61" s="67">
        <f t="shared" si="1295"/>
        <v>0</v>
      </c>
      <c r="HZ61" s="64">
        <f t="shared" si="1296"/>
        <v>100</v>
      </c>
      <c r="IA61" s="62"/>
      <c r="IB61" s="63"/>
      <c r="IC61" s="64">
        <f t="shared" si="1297"/>
        <v>0</v>
      </c>
      <c r="ID61" s="65"/>
      <c r="IE61" s="63"/>
      <c r="IF61" s="64">
        <f t="shared" si="1298"/>
        <v>0</v>
      </c>
      <c r="IG61" s="65"/>
      <c r="IH61" s="63"/>
      <c r="II61" s="64">
        <f t="shared" si="1299"/>
        <v>0</v>
      </c>
      <c r="IJ61" s="65">
        <v>100</v>
      </c>
      <c r="IK61" s="63"/>
      <c r="IL61" s="64">
        <f t="shared" si="1300"/>
        <v>100</v>
      </c>
      <c r="IM61" s="66">
        <f t="shared" si="98"/>
        <v>100</v>
      </c>
      <c r="IN61" s="67">
        <f t="shared" si="1301"/>
        <v>0</v>
      </c>
      <c r="IO61" s="64">
        <f t="shared" si="1302"/>
        <v>100</v>
      </c>
      <c r="IP61" s="62"/>
      <c r="IQ61" s="63"/>
      <c r="IR61" s="64">
        <f t="shared" si="1303"/>
        <v>0</v>
      </c>
      <c r="IS61" s="65"/>
      <c r="IT61" s="63"/>
      <c r="IU61" s="64">
        <f t="shared" si="1304"/>
        <v>0</v>
      </c>
      <c r="IV61" s="65"/>
      <c r="IW61" s="63"/>
      <c r="IX61" s="64">
        <f t="shared" si="1305"/>
        <v>0</v>
      </c>
      <c r="IY61" s="65"/>
      <c r="IZ61" s="63"/>
      <c r="JA61" s="64">
        <f t="shared" si="1306"/>
        <v>0</v>
      </c>
      <c r="JB61" s="66">
        <f t="shared" si="105"/>
        <v>0</v>
      </c>
      <c r="JC61" s="67">
        <f t="shared" si="1307"/>
        <v>0</v>
      </c>
      <c r="JD61" s="64">
        <f t="shared" si="1308"/>
        <v>0</v>
      </c>
      <c r="JE61" s="72"/>
      <c r="JF61" s="150"/>
      <c r="JG61" s="74"/>
      <c r="JH61" s="75"/>
      <c r="JI61" s="150"/>
      <c r="JJ61" s="74"/>
      <c r="JK61" s="75"/>
      <c r="JL61" s="150"/>
      <c r="JM61" s="74"/>
      <c r="JN61" s="75"/>
      <c r="JO61" s="150"/>
      <c r="JP61" s="74"/>
      <c r="JQ61" s="76"/>
      <c r="JR61" s="77"/>
      <c r="JS61" s="74"/>
      <c r="JT61" s="72"/>
      <c r="JU61" s="73"/>
      <c r="JV61" s="74"/>
      <c r="JW61" s="75"/>
      <c r="JX61" s="73"/>
      <c r="JY61" s="74"/>
      <c r="JZ61" s="75"/>
      <c r="KA61" s="73"/>
      <c r="KB61" s="74"/>
      <c r="KC61" s="75"/>
      <c r="KD61" s="73"/>
      <c r="KE61" s="74"/>
      <c r="KF61" s="76"/>
      <c r="KG61" s="77"/>
      <c r="KH61" s="64">
        <f t="shared" si="1309"/>
        <v>0</v>
      </c>
      <c r="KI61" s="62"/>
      <c r="KJ61" s="63"/>
      <c r="KK61" s="64">
        <f t="shared" si="1310"/>
        <v>0</v>
      </c>
      <c r="KL61" s="65"/>
      <c r="KM61" s="63"/>
      <c r="KN61" s="64">
        <f t="shared" si="1311"/>
        <v>0</v>
      </c>
      <c r="KO61" s="65"/>
      <c r="KP61" s="63"/>
      <c r="KQ61" s="64">
        <f t="shared" si="1312"/>
        <v>0</v>
      </c>
      <c r="KR61" s="65"/>
      <c r="KS61" s="63"/>
      <c r="KT61" s="64">
        <f t="shared" si="1313"/>
        <v>0</v>
      </c>
      <c r="KU61" s="66">
        <f t="shared" si="1"/>
        <v>0</v>
      </c>
      <c r="KV61" s="67">
        <f t="shared" si="1314"/>
        <v>0</v>
      </c>
      <c r="KW61" s="64">
        <f t="shared" si="1315"/>
        <v>0</v>
      </c>
      <c r="KX61" s="72"/>
      <c r="KY61" s="73"/>
      <c r="KZ61" s="74"/>
      <c r="LA61" s="75"/>
      <c r="LB61" s="73"/>
      <c r="LC61" s="74"/>
      <c r="LD61" s="75"/>
      <c r="LE61" s="73"/>
      <c r="LF61" s="74"/>
      <c r="LG61" s="75"/>
      <c r="LH61" s="73"/>
      <c r="LI61" s="74"/>
      <c r="LJ61" s="76"/>
      <c r="LK61" s="77"/>
      <c r="LL61" s="74"/>
      <c r="LM61" s="62"/>
      <c r="LN61" s="63"/>
      <c r="LO61" s="64">
        <f t="shared" si="1316"/>
        <v>0</v>
      </c>
      <c r="LP61" s="65"/>
      <c r="LQ61" s="63"/>
      <c r="LR61" s="64">
        <f t="shared" si="1317"/>
        <v>0</v>
      </c>
      <c r="LS61" s="65"/>
      <c r="LT61" s="63"/>
      <c r="LU61" s="64">
        <f t="shared" si="1318"/>
        <v>0</v>
      </c>
      <c r="LV61" s="65">
        <v>100</v>
      </c>
      <c r="LW61" s="63"/>
      <c r="LX61" s="64">
        <f t="shared" si="1319"/>
        <v>100</v>
      </c>
      <c r="LY61" s="66">
        <f t="shared" si="124"/>
        <v>100</v>
      </c>
      <c r="LZ61" s="67">
        <f t="shared" si="1320"/>
        <v>0</v>
      </c>
      <c r="MA61" s="64">
        <f t="shared" si="1321"/>
        <v>100</v>
      </c>
      <c r="MB61" s="62"/>
      <c r="MC61" s="63"/>
      <c r="MD61" s="64">
        <f t="shared" si="1322"/>
        <v>0</v>
      </c>
      <c r="ME61" s="65">
        <v>889.11</v>
      </c>
      <c r="MF61" s="63"/>
      <c r="MG61" s="64">
        <f t="shared" si="1323"/>
        <v>889.11</v>
      </c>
      <c r="MH61" s="65"/>
      <c r="MI61" s="63"/>
      <c r="MJ61" s="64">
        <f t="shared" si="1324"/>
        <v>0</v>
      </c>
      <c r="MK61" s="65">
        <v>100</v>
      </c>
      <c r="ML61" s="63"/>
      <c r="MM61" s="64">
        <f t="shared" si="1325"/>
        <v>100</v>
      </c>
      <c r="MN61" s="66">
        <f t="shared" si="131"/>
        <v>989.11</v>
      </c>
      <c r="MO61" s="67">
        <f t="shared" si="1326"/>
        <v>0</v>
      </c>
      <c r="MP61" s="64">
        <f t="shared" si="1327"/>
        <v>989.11</v>
      </c>
      <c r="MQ61" s="62"/>
      <c r="MR61" s="63"/>
      <c r="MS61" s="64">
        <f t="shared" si="1328"/>
        <v>0</v>
      </c>
      <c r="MT61" s="65"/>
      <c r="MU61" s="63"/>
      <c r="MV61" s="64">
        <f t="shared" si="1329"/>
        <v>0</v>
      </c>
      <c r="MW61" s="65"/>
      <c r="MX61" s="63"/>
      <c r="MY61" s="64">
        <f t="shared" si="1330"/>
        <v>0</v>
      </c>
      <c r="MZ61" s="65"/>
      <c r="NA61" s="63"/>
      <c r="NB61" s="64">
        <f t="shared" si="1331"/>
        <v>0</v>
      </c>
      <c r="NC61" s="66">
        <f t="shared" si="138"/>
        <v>0</v>
      </c>
      <c r="ND61" s="67">
        <f t="shared" si="1332"/>
        <v>0</v>
      </c>
      <c r="NE61" s="64">
        <f t="shared" si="1333"/>
        <v>0</v>
      </c>
      <c r="NF61" s="62"/>
      <c r="NG61" s="63"/>
      <c r="NH61" s="64">
        <f t="shared" si="1334"/>
        <v>0</v>
      </c>
      <c r="NI61" s="65">
        <v>1164.04</v>
      </c>
      <c r="NJ61" s="63"/>
      <c r="NK61" s="64">
        <f t="shared" si="1335"/>
        <v>1164.04</v>
      </c>
      <c r="NL61" s="65"/>
      <c r="NM61" s="63"/>
      <c r="NN61" s="64">
        <f t="shared" si="1336"/>
        <v>0</v>
      </c>
      <c r="NO61" s="65">
        <v>100</v>
      </c>
      <c r="NP61" s="63"/>
      <c r="NQ61" s="64">
        <f t="shared" si="1337"/>
        <v>100</v>
      </c>
      <c r="NR61" s="66">
        <f t="shared" si="145"/>
        <v>1264.04</v>
      </c>
      <c r="NS61" s="67">
        <f t="shared" si="1338"/>
        <v>0</v>
      </c>
      <c r="NT61" s="64">
        <f t="shared" si="1339"/>
        <v>1264.04</v>
      </c>
      <c r="NU61" s="62"/>
      <c r="NV61" s="63"/>
      <c r="NW61" s="64">
        <f t="shared" si="1340"/>
        <v>0</v>
      </c>
      <c r="NX61" s="65">
        <v>1152.73</v>
      </c>
      <c r="NY61" s="63"/>
      <c r="NZ61" s="64">
        <f t="shared" si="1341"/>
        <v>1152.73</v>
      </c>
      <c r="OA61" s="65"/>
      <c r="OB61" s="63"/>
      <c r="OC61" s="64">
        <f t="shared" si="1342"/>
        <v>0</v>
      </c>
      <c r="OD61" s="65">
        <v>100</v>
      </c>
      <c r="OE61" s="63"/>
      <c r="OF61" s="64">
        <f t="shared" si="1343"/>
        <v>100</v>
      </c>
      <c r="OG61" s="66">
        <f t="shared" si="152"/>
        <v>1252.73</v>
      </c>
      <c r="OH61" s="67">
        <f t="shared" si="1344"/>
        <v>0</v>
      </c>
      <c r="OI61" s="64">
        <f t="shared" si="1345"/>
        <v>1252.73</v>
      </c>
      <c r="OJ61" s="62"/>
      <c r="OK61" s="63"/>
      <c r="OL61" s="64">
        <f t="shared" si="1346"/>
        <v>0</v>
      </c>
      <c r="OM61" s="65"/>
      <c r="ON61" s="63"/>
      <c r="OO61" s="64">
        <f t="shared" si="1347"/>
        <v>0</v>
      </c>
      <c r="OP61" s="65"/>
      <c r="OQ61" s="63"/>
      <c r="OR61" s="64">
        <f t="shared" si="1348"/>
        <v>0</v>
      </c>
      <c r="OS61" s="65">
        <v>100</v>
      </c>
      <c r="OT61" s="63"/>
      <c r="OU61" s="64">
        <f t="shared" si="1349"/>
        <v>100</v>
      </c>
      <c r="OV61" s="66">
        <f t="shared" si="159"/>
        <v>100</v>
      </c>
      <c r="OW61" s="67">
        <f t="shared" si="1350"/>
        <v>0</v>
      </c>
      <c r="OX61" s="64">
        <f t="shared" si="1351"/>
        <v>100</v>
      </c>
      <c r="OY61" s="62"/>
      <c r="OZ61" s="63"/>
      <c r="PA61" s="64">
        <f t="shared" si="1352"/>
        <v>0</v>
      </c>
      <c r="PB61" s="65"/>
      <c r="PC61" s="63"/>
      <c r="PD61" s="64">
        <f t="shared" si="1353"/>
        <v>0</v>
      </c>
      <c r="PE61" s="65"/>
      <c r="PF61" s="63"/>
      <c r="PG61" s="64">
        <f t="shared" si="1354"/>
        <v>0</v>
      </c>
      <c r="PH61" s="65">
        <v>100</v>
      </c>
      <c r="PI61" s="63"/>
      <c r="PJ61" s="64">
        <f t="shared" si="1355"/>
        <v>100</v>
      </c>
      <c r="PK61" s="66">
        <f t="shared" si="166"/>
        <v>100</v>
      </c>
      <c r="PL61" s="67">
        <f t="shared" si="1356"/>
        <v>0</v>
      </c>
      <c r="PM61" s="64">
        <f t="shared" si="1357"/>
        <v>100</v>
      </c>
      <c r="PN61" s="62">
        <v>1550</v>
      </c>
      <c r="PO61" s="63"/>
      <c r="PP61" s="64">
        <f t="shared" si="1358"/>
        <v>1550</v>
      </c>
      <c r="PQ61" s="65"/>
      <c r="PR61" s="63"/>
      <c r="PS61" s="64">
        <f t="shared" si="1359"/>
        <v>0</v>
      </c>
      <c r="PT61" s="65"/>
      <c r="PU61" s="63"/>
      <c r="PV61" s="64">
        <f t="shared" si="1360"/>
        <v>0</v>
      </c>
      <c r="PW61" s="65">
        <v>100</v>
      </c>
      <c r="PX61" s="63"/>
      <c r="PY61" s="64">
        <f t="shared" si="1361"/>
        <v>100</v>
      </c>
      <c r="PZ61" s="66">
        <f t="shared" si="173"/>
        <v>1650</v>
      </c>
      <c r="QA61" s="67">
        <f t="shared" si="1362"/>
        <v>0</v>
      </c>
      <c r="QB61" s="64">
        <f t="shared" si="1363"/>
        <v>1650</v>
      </c>
      <c r="QC61" s="62"/>
      <c r="QD61" s="63"/>
      <c r="QE61" s="64">
        <f t="shared" si="1364"/>
        <v>0</v>
      </c>
      <c r="QF61" s="65"/>
      <c r="QG61" s="63"/>
      <c r="QH61" s="64">
        <f t="shared" si="1365"/>
        <v>0</v>
      </c>
      <c r="QI61" s="65"/>
      <c r="QJ61" s="63"/>
      <c r="QK61" s="64">
        <f t="shared" si="1366"/>
        <v>0</v>
      </c>
      <c r="QL61" s="65">
        <v>100</v>
      </c>
      <c r="QM61" s="63"/>
      <c r="QN61" s="64">
        <f t="shared" si="1367"/>
        <v>100</v>
      </c>
      <c r="QO61" s="66">
        <f t="shared" si="180"/>
        <v>100</v>
      </c>
      <c r="QP61" s="67">
        <f t="shared" si="1368"/>
        <v>0</v>
      </c>
      <c r="QQ61" s="64">
        <f t="shared" si="1369"/>
        <v>100</v>
      </c>
      <c r="QR61" s="74"/>
      <c r="QS61" s="74"/>
      <c r="QT61" s="72"/>
      <c r="QU61" s="73"/>
      <c r="QV61" s="74"/>
      <c r="QW61" s="75"/>
      <c r="QX61" s="73"/>
      <c r="QY61" s="74"/>
      <c r="QZ61" s="75"/>
      <c r="RA61" s="73"/>
      <c r="RB61" s="74"/>
      <c r="RC61" s="75"/>
      <c r="RD61" s="73"/>
      <c r="RE61" s="74"/>
      <c r="RF61" s="74"/>
      <c r="RG61" s="72"/>
      <c r="RH61" s="73"/>
      <c r="RI61" s="74"/>
      <c r="RJ61" s="75"/>
      <c r="RK61" s="73"/>
      <c r="RL61" s="74"/>
      <c r="RM61" s="75"/>
      <c r="RN61" s="73"/>
      <c r="RO61" s="74"/>
      <c r="RP61" s="75"/>
      <c r="RQ61" s="73"/>
      <c r="RR61" s="74"/>
      <c r="RS61" s="76"/>
      <c r="RT61" s="77"/>
      <c r="RU61" s="74"/>
      <c r="RV61" s="74"/>
      <c r="RW61" s="72"/>
      <c r="RX61" s="73"/>
      <c r="RY61" s="74"/>
      <c r="RZ61" s="75"/>
      <c r="SA61" s="73"/>
      <c r="SB61" s="74"/>
      <c r="SC61" s="75"/>
      <c r="SD61" s="73"/>
      <c r="SE61" s="74"/>
      <c r="SF61" s="75"/>
      <c r="SG61" s="73"/>
      <c r="SH61" s="74"/>
      <c r="SI61" s="76"/>
      <c r="SJ61" s="64">
        <f t="shared" si="1370"/>
        <v>0</v>
      </c>
      <c r="SK61" s="62"/>
      <c r="SL61" s="63"/>
      <c r="SM61" s="64">
        <f t="shared" si="1371"/>
        <v>0</v>
      </c>
      <c r="SN61" s="65"/>
      <c r="SO61" s="63"/>
      <c r="SP61" s="64">
        <f t="shared" si="1372"/>
        <v>0</v>
      </c>
      <c r="SQ61" s="65"/>
      <c r="SR61" s="63"/>
      <c r="SS61" s="64">
        <f t="shared" si="1373"/>
        <v>0</v>
      </c>
      <c r="ST61" s="65">
        <v>100</v>
      </c>
      <c r="SU61" s="63"/>
      <c r="SV61" s="64">
        <f t="shared" si="1374"/>
        <v>100</v>
      </c>
      <c r="SW61" s="66">
        <f t="shared" si="208"/>
        <v>100</v>
      </c>
      <c r="SX61" s="67">
        <f t="shared" si="1375"/>
        <v>0</v>
      </c>
      <c r="SY61" s="64">
        <f t="shared" si="1376"/>
        <v>100</v>
      </c>
      <c r="SZ61" s="62">
        <v>985.33</v>
      </c>
      <c r="TA61" s="63"/>
      <c r="TB61" s="64">
        <f t="shared" si="1377"/>
        <v>985.33</v>
      </c>
      <c r="TC61" s="65">
        <v>700.9</v>
      </c>
      <c r="TD61" s="63"/>
      <c r="TE61" s="64">
        <f t="shared" si="1378"/>
        <v>700.9</v>
      </c>
      <c r="TF61" s="65"/>
      <c r="TG61" s="63"/>
      <c r="TH61" s="64">
        <f t="shared" si="1379"/>
        <v>0</v>
      </c>
      <c r="TI61" s="65">
        <v>100</v>
      </c>
      <c r="TJ61" s="63"/>
      <c r="TK61" s="64">
        <f t="shared" si="1380"/>
        <v>100</v>
      </c>
      <c r="TL61" s="66">
        <f t="shared" si="215"/>
        <v>1786.23</v>
      </c>
      <c r="TM61" s="67">
        <f t="shared" si="1381"/>
        <v>0</v>
      </c>
      <c r="TN61" s="64">
        <f t="shared" si="1382"/>
        <v>1786.23</v>
      </c>
      <c r="TO61" s="62"/>
      <c r="TP61" s="63"/>
      <c r="TQ61" s="64">
        <f t="shared" si="1383"/>
        <v>0</v>
      </c>
      <c r="TR61" s="65"/>
      <c r="TS61" s="63"/>
      <c r="TT61" s="64">
        <f t="shared" si="1384"/>
        <v>0</v>
      </c>
      <c r="TU61" s="65"/>
      <c r="TV61" s="63"/>
      <c r="TW61" s="64">
        <f t="shared" si="1385"/>
        <v>0</v>
      </c>
      <c r="TX61" s="65">
        <v>100</v>
      </c>
      <c r="TY61" s="63"/>
      <c r="TZ61" s="64">
        <f t="shared" si="1386"/>
        <v>100</v>
      </c>
      <c r="UA61" s="66">
        <f t="shared" si="222"/>
        <v>100</v>
      </c>
      <c r="UB61" s="67">
        <f t="shared" si="1387"/>
        <v>0</v>
      </c>
      <c r="UC61" s="64">
        <f t="shared" si="1388"/>
        <v>100</v>
      </c>
      <c r="UD61" s="62">
        <v>1125</v>
      </c>
      <c r="UE61" s="63"/>
      <c r="UF61" s="64">
        <f t="shared" si="1389"/>
        <v>1125</v>
      </c>
      <c r="UG61" s="65">
        <v>497.04</v>
      </c>
      <c r="UH61" s="63"/>
      <c r="UI61" s="64">
        <f t="shared" si="1390"/>
        <v>497.04</v>
      </c>
      <c r="UJ61" s="65"/>
      <c r="UK61" s="63"/>
      <c r="UL61" s="64">
        <f t="shared" si="1391"/>
        <v>0</v>
      </c>
      <c r="UM61" s="65">
        <v>100</v>
      </c>
      <c r="UN61" s="63"/>
      <c r="UO61" s="64">
        <f t="shared" si="1392"/>
        <v>100</v>
      </c>
      <c r="UP61" s="66">
        <f t="shared" si="226"/>
        <v>1722.04</v>
      </c>
      <c r="UQ61" s="67">
        <f t="shared" si="1393"/>
        <v>0</v>
      </c>
      <c r="UR61" s="64">
        <f t="shared" si="1394"/>
        <v>1722.04</v>
      </c>
      <c r="US61" s="74"/>
      <c r="UT61" s="72"/>
      <c r="UU61" s="73"/>
      <c r="UV61" s="74"/>
      <c r="UW61" s="75"/>
      <c r="UX61" s="73"/>
      <c r="UY61" s="74"/>
      <c r="UZ61" s="75"/>
      <c r="VA61" s="73"/>
      <c r="VB61" s="74"/>
      <c r="VC61" s="75"/>
      <c r="VD61" s="73"/>
      <c r="VE61" s="74"/>
      <c r="VF61" s="76"/>
      <c r="VG61" s="77"/>
      <c r="VH61" s="62"/>
      <c r="VI61" s="63"/>
      <c r="VJ61" s="64">
        <f t="shared" si="1395"/>
        <v>0</v>
      </c>
      <c r="VK61" s="65"/>
      <c r="VL61" s="63"/>
      <c r="VM61" s="64">
        <f t="shared" si="1396"/>
        <v>0</v>
      </c>
      <c r="VN61" s="65"/>
      <c r="VO61" s="63"/>
      <c r="VP61" s="64">
        <f t="shared" si="1397"/>
        <v>0</v>
      </c>
      <c r="VQ61" s="65">
        <v>100</v>
      </c>
      <c r="VR61" s="63"/>
      <c r="VS61" s="64">
        <f t="shared" si="1398"/>
        <v>100</v>
      </c>
      <c r="VT61" s="66">
        <f t="shared" si="240"/>
        <v>100</v>
      </c>
      <c r="VU61" s="67">
        <f t="shared" si="1399"/>
        <v>0</v>
      </c>
      <c r="VV61" s="64">
        <f t="shared" si="1400"/>
        <v>100</v>
      </c>
      <c r="VW61" s="74"/>
      <c r="VX61" s="72"/>
      <c r="VY61" s="73"/>
      <c r="VZ61" s="74"/>
      <c r="WA61" s="75"/>
      <c r="WB61" s="73"/>
      <c r="WC61" s="74"/>
      <c r="WD61" s="75"/>
      <c r="WE61" s="73"/>
      <c r="WF61" s="74"/>
      <c r="WG61" s="75"/>
      <c r="WH61" s="73"/>
      <c r="WI61" s="74"/>
      <c r="WJ61" s="76"/>
      <c r="WK61" s="77"/>
      <c r="WL61" s="74"/>
      <c r="WM61" s="72"/>
      <c r="WN61" s="73"/>
      <c r="WO61" s="74"/>
      <c r="WP61" s="75"/>
      <c r="WQ61" s="73"/>
      <c r="WR61" s="74"/>
      <c r="WS61" s="75"/>
      <c r="WT61" s="73"/>
      <c r="WU61" s="74"/>
      <c r="WV61" s="75"/>
      <c r="WW61" s="73"/>
      <c r="WX61" s="74"/>
      <c r="WY61" s="76"/>
      <c r="WZ61" s="77"/>
      <c r="XA61" s="74"/>
      <c r="XB61" s="72"/>
      <c r="XC61" s="73"/>
      <c r="XD61" s="74"/>
      <c r="XE61" s="75"/>
      <c r="XF61" s="73"/>
      <c r="XG61" s="74"/>
      <c r="XH61" s="75"/>
      <c r="XI61" s="73"/>
      <c r="XJ61" s="74"/>
      <c r="XK61" s="75"/>
      <c r="XL61" s="73"/>
      <c r="XM61" s="74"/>
      <c r="XN61" s="76"/>
      <c r="XO61" s="77"/>
      <c r="XP61" s="62"/>
      <c r="XQ61" s="63"/>
      <c r="XR61" s="64">
        <f t="shared" si="1401"/>
        <v>0</v>
      </c>
      <c r="XS61" s="65">
        <v>844.24</v>
      </c>
      <c r="XT61" s="63"/>
      <c r="XU61" s="64">
        <f t="shared" si="1402"/>
        <v>844.24</v>
      </c>
      <c r="XV61" s="65"/>
      <c r="XW61" s="63"/>
      <c r="XX61" s="64">
        <f t="shared" si="1403"/>
        <v>0</v>
      </c>
      <c r="XY61" s="65">
        <v>100</v>
      </c>
      <c r="XZ61" s="63"/>
      <c r="YA61" s="64">
        <f t="shared" si="1404"/>
        <v>100</v>
      </c>
      <c r="YB61" s="66">
        <f t="shared" si="268"/>
        <v>944.24</v>
      </c>
      <c r="YC61" s="67">
        <f t="shared" si="1405"/>
        <v>0</v>
      </c>
      <c r="YD61" s="64">
        <f t="shared" si="1406"/>
        <v>944.24</v>
      </c>
      <c r="YE61" s="62"/>
      <c r="YF61" s="63"/>
      <c r="YG61" s="64">
        <f t="shared" si="1407"/>
        <v>0</v>
      </c>
      <c r="YH61" s="65">
        <v>847.85</v>
      </c>
      <c r="YI61" s="63"/>
      <c r="YJ61" s="64">
        <f t="shared" si="1408"/>
        <v>847.85</v>
      </c>
      <c r="YK61" s="65"/>
      <c r="YL61" s="63"/>
      <c r="YM61" s="64">
        <f t="shared" si="1409"/>
        <v>0</v>
      </c>
      <c r="YN61" s="65">
        <v>100</v>
      </c>
      <c r="YO61" s="63"/>
      <c r="YP61" s="64">
        <f t="shared" si="1410"/>
        <v>100</v>
      </c>
      <c r="YQ61" s="66">
        <f t="shared" si="275"/>
        <v>947.85</v>
      </c>
      <c r="YR61" s="67">
        <f t="shared" si="1411"/>
        <v>0</v>
      </c>
      <c r="YS61" s="64">
        <f t="shared" si="1412"/>
        <v>947.85</v>
      </c>
      <c r="YT61" s="62"/>
      <c r="YU61" s="63"/>
      <c r="YV61" s="64">
        <f t="shared" si="1413"/>
        <v>0</v>
      </c>
      <c r="YW61" s="65">
        <v>695.73</v>
      </c>
      <c r="YX61" s="63"/>
      <c r="YY61" s="64">
        <f t="shared" si="1414"/>
        <v>695.73</v>
      </c>
      <c r="YZ61" s="65"/>
      <c r="ZA61" s="63"/>
      <c r="ZB61" s="64">
        <f t="shared" si="1415"/>
        <v>0</v>
      </c>
      <c r="ZC61" s="65">
        <v>100</v>
      </c>
      <c r="ZD61" s="63"/>
      <c r="ZE61" s="64">
        <f t="shared" si="1416"/>
        <v>100</v>
      </c>
      <c r="ZF61" s="66">
        <f t="shared" si="282"/>
        <v>795.73</v>
      </c>
      <c r="ZG61" s="67">
        <f t="shared" si="1417"/>
        <v>0</v>
      </c>
      <c r="ZH61" s="74"/>
      <c r="ZI61" s="72"/>
      <c r="ZJ61" s="73"/>
      <c r="ZK61" s="74"/>
      <c r="ZL61" s="75"/>
      <c r="ZM61" s="73"/>
      <c r="ZN61" s="74"/>
      <c r="ZO61" s="75"/>
      <c r="ZP61" s="73"/>
      <c r="ZQ61" s="74"/>
      <c r="ZR61" s="75"/>
      <c r="ZS61" s="73"/>
      <c r="ZT61" s="74"/>
      <c r="ZU61" s="76"/>
      <c r="ZV61" s="77"/>
      <c r="ZW61" s="64">
        <f t="shared" si="1418"/>
        <v>0</v>
      </c>
      <c r="ZX61" s="62">
        <v>24.71</v>
      </c>
      <c r="ZY61" s="63"/>
      <c r="ZZ61" s="64">
        <f t="shared" si="1419"/>
        <v>24.71</v>
      </c>
      <c r="AAA61" s="66">
        <f t="shared" si="293"/>
        <v>24.71</v>
      </c>
      <c r="AAB61" s="67">
        <f t="shared" si="293"/>
        <v>0</v>
      </c>
      <c r="AAC61" s="64">
        <f t="shared" si="1420"/>
        <v>24.71</v>
      </c>
      <c r="AAD61" s="85">
        <f t="shared" si="295"/>
        <v>37170.380000000005</v>
      </c>
      <c r="AAE61" s="86">
        <f t="shared" si="295"/>
        <v>0</v>
      </c>
      <c r="AAF61" s="87">
        <f t="shared" si="3"/>
        <v>0</v>
      </c>
      <c r="AAG61" s="88">
        <f t="shared" si="1421"/>
        <v>-37170.380000000005</v>
      </c>
      <c r="AAH61" s="58" t="s">
        <v>145</v>
      </c>
      <c r="AAI61" s="59"/>
      <c r="AAJ61" s="59"/>
      <c r="AAK61" s="60"/>
    </row>
    <row r="62" spans="1:713" s="83" customFormat="1" ht="20" customHeight="1" x14ac:dyDescent="0.2">
      <c r="A62" s="152"/>
      <c r="B62" s="58"/>
      <c r="C62" s="59"/>
      <c r="D62" s="59"/>
      <c r="E62" s="60"/>
      <c r="F62" s="61">
        <v>46174</v>
      </c>
      <c r="G62" s="62"/>
      <c r="H62" s="63"/>
      <c r="I62" s="64">
        <f t="shared" si="1217"/>
        <v>0</v>
      </c>
      <c r="J62" s="65">
        <v>2485.8200000000002</v>
      </c>
      <c r="K62" s="63"/>
      <c r="L62" s="64">
        <f t="shared" si="1218"/>
        <v>2485.8200000000002</v>
      </c>
      <c r="M62" s="65">
        <v>2500</v>
      </c>
      <c r="N62" s="63"/>
      <c r="O62" s="64">
        <f t="shared" si="1219"/>
        <v>2500</v>
      </c>
      <c r="P62" s="65">
        <v>1000</v>
      </c>
      <c r="Q62" s="63"/>
      <c r="R62" s="64">
        <f t="shared" si="1220"/>
        <v>1000</v>
      </c>
      <c r="S62" s="65">
        <v>362</v>
      </c>
      <c r="T62" s="63"/>
      <c r="U62" s="64">
        <f t="shared" si="1221"/>
        <v>362</v>
      </c>
      <c r="V62" s="66">
        <f t="shared" si="1222"/>
        <v>6347.82</v>
      </c>
      <c r="W62" s="67">
        <f t="shared" si="1222"/>
        <v>0</v>
      </c>
      <c r="X62" s="64">
        <f t="shared" si="1223"/>
        <v>6347.82</v>
      </c>
      <c r="Y62" s="72"/>
      <c r="Z62" s="73"/>
      <c r="AA62" s="74"/>
      <c r="AB62" s="75"/>
      <c r="AC62" s="73"/>
      <c r="AD62" s="74"/>
      <c r="AE62" s="75"/>
      <c r="AF62" s="73"/>
      <c r="AG62" s="74"/>
      <c r="AH62" s="75"/>
      <c r="AI62" s="73"/>
      <c r="AJ62" s="74"/>
      <c r="AK62" s="76"/>
      <c r="AL62" s="77"/>
      <c r="AM62" s="64">
        <f t="shared" si="1224"/>
        <v>0</v>
      </c>
      <c r="AN62" s="62">
        <v>6250</v>
      </c>
      <c r="AO62" s="63"/>
      <c r="AP62" s="64">
        <f t="shared" si="1422"/>
        <v>6250</v>
      </c>
      <c r="AQ62" s="65"/>
      <c r="AR62" s="63"/>
      <c r="AS62" s="64">
        <f t="shared" si="1225"/>
        <v>0</v>
      </c>
      <c r="AT62" s="65"/>
      <c r="AU62" s="63"/>
      <c r="AV62" s="64">
        <f t="shared" si="1226"/>
        <v>0</v>
      </c>
      <c r="AW62" s="65"/>
      <c r="AX62" s="63"/>
      <c r="AY62" s="64">
        <f t="shared" si="1227"/>
        <v>0</v>
      </c>
      <c r="AZ62" s="66">
        <f t="shared" si="23"/>
        <v>6250</v>
      </c>
      <c r="BA62" s="67">
        <f t="shared" si="1228"/>
        <v>0</v>
      </c>
      <c r="BB62" s="64">
        <f t="shared" si="1229"/>
        <v>6250</v>
      </c>
      <c r="BC62" s="62">
        <v>6150</v>
      </c>
      <c r="BD62" s="63"/>
      <c r="BE62" s="64">
        <f t="shared" si="1230"/>
        <v>6150</v>
      </c>
      <c r="BF62" s="65"/>
      <c r="BG62" s="63"/>
      <c r="BH62" s="64">
        <f t="shared" si="1231"/>
        <v>0</v>
      </c>
      <c r="BI62" s="65"/>
      <c r="BJ62" s="63"/>
      <c r="BK62" s="64">
        <f t="shared" si="1232"/>
        <v>0</v>
      </c>
      <c r="BL62" s="65">
        <v>100</v>
      </c>
      <c r="BM62" s="63"/>
      <c r="BN62" s="64">
        <f t="shared" si="1233"/>
        <v>100</v>
      </c>
      <c r="BO62" s="66">
        <f t="shared" si="30"/>
        <v>6250</v>
      </c>
      <c r="BP62" s="67">
        <f t="shared" si="1234"/>
        <v>0</v>
      </c>
      <c r="BQ62" s="64">
        <f t="shared" si="1235"/>
        <v>6250</v>
      </c>
      <c r="BR62" s="72"/>
      <c r="BS62" s="73"/>
      <c r="BT62" s="74"/>
      <c r="BU62" s="75"/>
      <c r="BV62" s="73"/>
      <c r="BW62" s="74"/>
      <c r="BX62" s="75"/>
      <c r="BY62" s="73"/>
      <c r="BZ62" s="74"/>
      <c r="CA62" s="75"/>
      <c r="CB62" s="73"/>
      <c r="CC62" s="74"/>
      <c r="CD62" s="76"/>
      <c r="CE62" s="77"/>
      <c r="CF62" s="64">
        <f t="shared" si="1236"/>
        <v>0</v>
      </c>
      <c r="CG62" s="62">
        <v>5000</v>
      </c>
      <c r="CH62" s="63"/>
      <c r="CI62" s="64">
        <f t="shared" si="1237"/>
        <v>5000</v>
      </c>
      <c r="CJ62" s="65"/>
      <c r="CK62" s="63"/>
      <c r="CL62" s="64">
        <f t="shared" si="1238"/>
        <v>0</v>
      </c>
      <c r="CM62" s="65"/>
      <c r="CN62" s="63"/>
      <c r="CO62" s="64">
        <f t="shared" si="1239"/>
        <v>0</v>
      </c>
      <c r="CP62" s="65"/>
      <c r="CQ62" s="63"/>
      <c r="CR62" s="64">
        <f t="shared" si="1240"/>
        <v>0</v>
      </c>
      <c r="CS62" s="66">
        <f t="shared" si="40"/>
        <v>5000</v>
      </c>
      <c r="CT62" s="67">
        <f t="shared" si="1241"/>
        <v>0</v>
      </c>
      <c r="CU62" s="64">
        <f t="shared" si="1242"/>
        <v>5000</v>
      </c>
      <c r="CV62" s="62">
        <v>2916.7</v>
      </c>
      <c r="CW62" s="63"/>
      <c r="CX62" s="64">
        <f t="shared" si="1243"/>
        <v>2916.7</v>
      </c>
      <c r="CY62" s="65">
        <v>429.15</v>
      </c>
      <c r="CZ62" s="63"/>
      <c r="DA62" s="64">
        <f t="shared" si="1244"/>
        <v>429.15</v>
      </c>
      <c r="DB62" s="65"/>
      <c r="DC62" s="63"/>
      <c r="DD62" s="64">
        <f t="shared" si="1245"/>
        <v>0</v>
      </c>
      <c r="DE62" s="65"/>
      <c r="DF62" s="63"/>
      <c r="DG62" s="64">
        <f t="shared" si="1246"/>
        <v>0</v>
      </c>
      <c r="DH62" s="66">
        <f t="shared" si="43"/>
        <v>3345.85</v>
      </c>
      <c r="DI62" s="67">
        <f t="shared" si="1247"/>
        <v>0</v>
      </c>
      <c r="DJ62" s="64">
        <f t="shared" si="1248"/>
        <v>3345.85</v>
      </c>
      <c r="DK62" s="62">
        <v>2400</v>
      </c>
      <c r="DL62" s="63"/>
      <c r="DM62" s="64">
        <f t="shared" si="1249"/>
        <v>2400</v>
      </c>
      <c r="DN62" s="65">
        <v>913.08</v>
      </c>
      <c r="DO62" s="63"/>
      <c r="DP62" s="64">
        <f t="shared" si="1250"/>
        <v>913.08</v>
      </c>
      <c r="DQ62" s="65"/>
      <c r="DR62" s="63"/>
      <c r="DS62" s="64">
        <f t="shared" si="1251"/>
        <v>0</v>
      </c>
      <c r="DT62" s="65">
        <v>100</v>
      </c>
      <c r="DU62" s="63"/>
      <c r="DV62" s="64">
        <f t="shared" si="1252"/>
        <v>100</v>
      </c>
      <c r="DW62" s="66">
        <f t="shared" si="46"/>
        <v>3413.08</v>
      </c>
      <c r="DX62" s="67">
        <f t="shared" si="1253"/>
        <v>0</v>
      </c>
      <c r="DY62" s="64">
        <f t="shared" si="1254"/>
        <v>3413.08</v>
      </c>
      <c r="DZ62" s="62"/>
      <c r="EA62" s="63"/>
      <c r="EB62" s="64">
        <f t="shared" si="1255"/>
        <v>0</v>
      </c>
      <c r="EC62" s="65"/>
      <c r="ED62" s="63"/>
      <c r="EE62" s="64">
        <f t="shared" si="1256"/>
        <v>0</v>
      </c>
      <c r="EF62" s="65"/>
      <c r="EG62" s="63"/>
      <c r="EH62" s="64">
        <f t="shared" si="1257"/>
        <v>0</v>
      </c>
      <c r="EI62" s="65">
        <v>100</v>
      </c>
      <c r="EJ62" s="63"/>
      <c r="EK62" s="64">
        <f t="shared" si="1258"/>
        <v>100</v>
      </c>
      <c r="EL62" s="66">
        <f t="shared" si="53"/>
        <v>100</v>
      </c>
      <c r="EM62" s="67">
        <f t="shared" si="1259"/>
        <v>0</v>
      </c>
      <c r="EN62" s="64">
        <f t="shared" si="1260"/>
        <v>100</v>
      </c>
      <c r="EO62" s="62">
        <v>6150</v>
      </c>
      <c r="EP62" s="63"/>
      <c r="EQ62" s="64">
        <f t="shared" si="1261"/>
        <v>6150</v>
      </c>
      <c r="ER62" s="65"/>
      <c r="ES62" s="63"/>
      <c r="ET62" s="64">
        <f t="shared" si="1262"/>
        <v>0</v>
      </c>
      <c r="EU62" s="65"/>
      <c r="EV62" s="63"/>
      <c r="EW62" s="64">
        <f t="shared" si="1263"/>
        <v>0</v>
      </c>
      <c r="EX62" s="65">
        <v>100</v>
      </c>
      <c r="EY62" s="63"/>
      <c r="EZ62" s="64">
        <f t="shared" si="1264"/>
        <v>100</v>
      </c>
      <c r="FA62" s="66">
        <f t="shared" si="60"/>
        <v>6250</v>
      </c>
      <c r="FB62" s="67">
        <f t="shared" si="1265"/>
        <v>0</v>
      </c>
      <c r="FC62" s="64">
        <f t="shared" si="1266"/>
        <v>6250</v>
      </c>
      <c r="FD62" s="62">
        <v>6150</v>
      </c>
      <c r="FE62" s="63"/>
      <c r="FF62" s="64">
        <f t="shared" si="1267"/>
        <v>6150</v>
      </c>
      <c r="FG62" s="65"/>
      <c r="FH62" s="63"/>
      <c r="FI62" s="64">
        <f t="shared" si="1268"/>
        <v>0</v>
      </c>
      <c r="FJ62" s="65"/>
      <c r="FK62" s="63"/>
      <c r="FL62" s="64">
        <f t="shared" si="1269"/>
        <v>0</v>
      </c>
      <c r="FM62" s="65">
        <v>100</v>
      </c>
      <c r="FN62" s="63"/>
      <c r="FO62" s="64">
        <f t="shared" si="1270"/>
        <v>100</v>
      </c>
      <c r="FP62" s="66">
        <f t="shared" si="67"/>
        <v>6250</v>
      </c>
      <c r="FQ62" s="67">
        <f t="shared" si="1271"/>
        <v>0</v>
      </c>
      <c r="FR62" s="64">
        <f t="shared" si="1272"/>
        <v>6250</v>
      </c>
      <c r="FS62" s="62"/>
      <c r="FT62" s="63"/>
      <c r="FU62" s="64">
        <f t="shared" si="1273"/>
        <v>0</v>
      </c>
      <c r="FV62" s="65">
        <v>485.35</v>
      </c>
      <c r="FW62" s="63"/>
      <c r="FX62" s="64">
        <f t="shared" si="1274"/>
        <v>485.35</v>
      </c>
      <c r="FY62" s="65"/>
      <c r="FZ62" s="63"/>
      <c r="GA62" s="64">
        <f t="shared" si="1275"/>
        <v>0</v>
      </c>
      <c r="GB62" s="65"/>
      <c r="GC62" s="63"/>
      <c r="GD62" s="64">
        <f t="shared" si="1276"/>
        <v>0</v>
      </c>
      <c r="GE62" s="66">
        <f t="shared" si="74"/>
        <v>485.35</v>
      </c>
      <c r="GF62" s="67">
        <f t="shared" si="1277"/>
        <v>0</v>
      </c>
      <c r="GG62" s="64">
        <f t="shared" si="1278"/>
        <v>485.35</v>
      </c>
      <c r="GH62" s="62"/>
      <c r="GI62" s="63"/>
      <c r="GJ62" s="64">
        <f t="shared" si="1279"/>
        <v>0</v>
      </c>
      <c r="GK62" s="65">
        <v>660.33</v>
      </c>
      <c r="GL62" s="63"/>
      <c r="GM62" s="64">
        <f t="shared" si="1280"/>
        <v>660.33</v>
      </c>
      <c r="GN62" s="65"/>
      <c r="GO62" s="63"/>
      <c r="GP62" s="64">
        <f t="shared" si="1281"/>
        <v>0</v>
      </c>
      <c r="GQ62" s="65"/>
      <c r="GR62" s="63"/>
      <c r="GS62" s="64">
        <f t="shared" si="1282"/>
        <v>0</v>
      </c>
      <c r="GT62" s="66">
        <f t="shared" si="81"/>
        <v>660.33</v>
      </c>
      <c r="GU62" s="67">
        <f t="shared" si="1283"/>
        <v>0</v>
      </c>
      <c r="GV62" s="64">
        <f t="shared" si="1284"/>
        <v>660.33</v>
      </c>
      <c r="GW62" s="62"/>
      <c r="GX62" s="63"/>
      <c r="GY62" s="64">
        <f t="shared" si="1285"/>
        <v>0</v>
      </c>
      <c r="GZ62" s="65">
        <v>568.25</v>
      </c>
      <c r="HA62" s="63"/>
      <c r="HB62" s="64">
        <f t="shared" si="1286"/>
        <v>568.25</v>
      </c>
      <c r="HC62" s="65"/>
      <c r="HD62" s="63"/>
      <c r="HE62" s="64">
        <f t="shared" si="1287"/>
        <v>0</v>
      </c>
      <c r="HF62" s="65">
        <v>100</v>
      </c>
      <c r="HG62" s="63"/>
      <c r="HH62" s="64">
        <f t="shared" si="1288"/>
        <v>100</v>
      </c>
      <c r="HI62" s="66">
        <f t="shared" si="84"/>
        <v>668.25</v>
      </c>
      <c r="HJ62" s="67">
        <f t="shared" si="1289"/>
        <v>0</v>
      </c>
      <c r="HK62" s="64">
        <f t="shared" si="1290"/>
        <v>668.25</v>
      </c>
      <c r="HL62" s="62">
        <v>6150</v>
      </c>
      <c r="HM62" s="63"/>
      <c r="HN62" s="64">
        <f t="shared" si="1291"/>
        <v>6150</v>
      </c>
      <c r="HO62" s="65"/>
      <c r="HP62" s="63"/>
      <c r="HQ62" s="64">
        <f t="shared" si="1292"/>
        <v>0</v>
      </c>
      <c r="HR62" s="65"/>
      <c r="HS62" s="63"/>
      <c r="HT62" s="64">
        <f t="shared" si="1293"/>
        <v>0</v>
      </c>
      <c r="HU62" s="65">
        <v>100</v>
      </c>
      <c r="HV62" s="63"/>
      <c r="HW62" s="64">
        <f t="shared" si="1294"/>
        <v>100</v>
      </c>
      <c r="HX62" s="66">
        <f t="shared" si="91"/>
        <v>6250</v>
      </c>
      <c r="HY62" s="67">
        <f t="shared" si="1295"/>
        <v>0</v>
      </c>
      <c r="HZ62" s="64">
        <f t="shared" si="1296"/>
        <v>6250</v>
      </c>
      <c r="IA62" s="62"/>
      <c r="IB62" s="63"/>
      <c r="IC62" s="64">
        <f t="shared" si="1297"/>
        <v>0</v>
      </c>
      <c r="ID62" s="65"/>
      <c r="IE62" s="63"/>
      <c r="IF62" s="64">
        <f t="shared" si="1298"/>
        <v>0</v>
      </c>
      <c r="IG62" s="65">
        <v>9701.0400000000009</v>
      </c>
      <c r="IH62" s="63"/>
      <c r="II62" s="64">
        <f t="shared" si="1299"/>
        <v>9701.0400000000009</v>
      </c>
      <c r="IJ62" s="65">
        <v>100</v>
      </c>
      <c r="IK62" s="63"/>
      <c r="IL62" s="64">
        <f t="shared" si="1300"/>
        <v>100</v>
      </c>
      <c r="IM62" s="66">
        <f t="shared" si="98"/>
        <v>9801.0400000000009</v>
      </c>
      <c r="IN62" s="67">
        <f t="shared" si="1301"/>
        <v>0</v>
      </c>
      <c r="IO62" s="64">
        <f t="shared" si="1302"/>
        <v>9801.0400000000009</v>
      </c>
      <c r="IP62" s="62">
        <v>5000</v>
      </c>
      <c r="IQ62" s="63"/>
      <c r="IR62" s="64">
        <f t="shared" si="1303"/>
        <v>5000</v>
      </c>
      <c r="IS62" s="65"/>
      <c r="IT62" s="63"/>
      <c r="IU62" s="64">
        <f t="shared" si="1304"/>
        <v>0</v>
      </c>
      <c r="IV62" s="65"/>
      <c r="IW62" s="63"/>
      <c r="IX62" s="64">
        <f t="shared" si="1305"/>
        <v>0</v>
      </c>
      <c r="IY62" s="65"/>
      <c r="IZ62" s="63"/>
      <c r="JA62" s="64">
        <f t="shared" si="1306"/>
        <v>0</v>
      </c>
      <c r="JB62" s="66">
        <f t="shared" si="105"/>
        <v>5000</v>
      </c>
      <c r="JC62" s="67">
        <f t="shared" si="1307"/>
        <v>0</v>
      </c>
      <c r="JD62" s="64">
        <f t="shared" si="1308"/>
        <v>5000</v>
      </c>
      <c r="JE62" s="72"/>
      <c r="JF62" s="150"/>
      <c r="JG62" s="74"/>
      <c r="JH62" s="75"/>
      <c r="JI62" s="150"/>
      <c r="JJ62" s="74"/>
      <c r="JK62" s="75"/>
      <c r="JL62" s="150"/>
      <c r="JM62" s="74"/>
      <c r="JN62" s="75"/>
      <c r="JO62" s="150"/>
      <c r="JP62" s="74"/>
      <c r="JQ62" s="76"/>
      <c r="JR62" s="77"/>
      <c r="JS62" s="74"/>
      <c r="JT62" s="72"/>
      <c r="JU62" s="73"/>
      <c r="JV62" s="74"/>
      <c r="JW62" s="75"/>
      <c r="JX62" s="73"/>
      <c r="JY62" s="74"/>
      <c r="JZ62" s="75"/>
      <c r="KA62" s="73"/>
      <c r="KB62" s="74"/>
      <c r="KC62" s="75"/>
      <c r="KD62" s="73"/>
      <c r="KE62" s="74"/>
      <c r="KF62" s="76"/>
      <c r="KG62" s="77"/>
      <c r="KH62" s="64">
        <f t="shared" si="1309"/>
        <v>0</v>
      </c>
      <c r="KI62" s="62">
        <v>50000</v>
      </c>
      <c r="KJ62" s="63"/>
      <c r="KK62" s="64">
        <f t="shared" si="1310"/>
        <v>50000</v>
      </c>
      <c r="KL62" s="65"/>
      <c r="KM62" s="63"/>
      <c r="KN62" s="64">
        <f t="shared" si="1311"/>
        <v>0</v>
      </c>
      <c r="KO62" s="65"/>
      <c r="KP62" s="63"/>
      <c r="KQ62" s="64">
        <f t="shared" si="1312"/>
        <v>0</v>
      </c>
      <c r="KR62" s="65"/>
      <c r="KS62" s="63"/>
      <c r="KT62" s="64">
        <f t="shared" si="1313"/>
        <v>0</v>
      </c>
      <c r="KU62" s="66">
        <f t="shared" si="1"/>
        <v>50000</v>
      </c>
      <c r="KV62" s="67">
        <f t="shared" si="1314"/>
        <v>0</v>
      </c>
      <c r="KW62" s="64">
        <f t="shared" si="1315"/>
        <v>50000</v>
      </c>
      <c r="KX62" s="72"/>
      <c r="KY62" s="73"/>
      <c r="KZ62" s="74"/>
      <c r="LA62" s="75"/>
      <c r="LB62" s="73"/>
      <c r="LC62" s="74"/>
      <c r="LD62" s="75"/>
      <c r="LE62" s="73"/>
      <c r="LF62" s="74"/>
      <c r="LG62" s="75"/>
      <c r="LH62" s="73"/>
      <c r="LI62" s="74"/>
      <c r="LJ62" s="76"/>
      <c r="LK62" s="77"/>
      <c r="LL62" s="74"/>
      <c r="LM62" s="62"/>
      <c r="LN62" s="63"/>
      <c r="LO62" s="64">
        <f t="shared" si="1316"/>
        <v>0</v>
      </c>
      <c r="LP62" s="65"/>
      <c r="LQ62" s="63"/>
      <c r="LR62" s="64">
        <f t="shared" si="1317"/>
        <v>0</v>
      </c>
      <c r="LS62" s="65"/>
      <c r="LT62" s="63"/>
      <c r="LU62" s="64">
        <f t="shared" si="1318"/>
        <v>0</v>
      </c>
      <c r="LV62" s="65">
        <v>100</v>
      </c>
      <c r="LW62" s="63"/>
      <c r="LX62" s="64">
        <f t="shared" si="1319"/>
        <v>100</v>
      </c>
      <c r="LY62" s="66">
        <f t="shared" si="124"/>
        <v>100</v>
      </c>
      <c r="LZ62" s="67">
        <f t="shared" si="1320"/>
        <v>0</v>
      </c>
      <c r="MA62" s="64">
        <f t="shared" si="1321"/>
        <v>100</v>
      </c>
      <c r="MB62" s="62">
        <f>6*650</f>
        <v>3900</v>
      </c>
      <c r="MC62" s="63"/>
      <c r="MD62" s="64">
        <f t="shared" si="1322"/>
        <v>3900</v>
      </c>
      <c r="ME62" s="65">
        <v>889.11</v>
      </c>
      <c r="MF62" s="63"/>
      <c r="MG62" s="64">
        <f t="shared" si="1323"/>
        <v>889.11</v>
      </c>
      <c r="MH62" s="65"/>
      <c r="MI62" s="63"/>
      <c r="MJ62" s="64">
        <f t="shared" si="1324"/>
        <v>0</v>
      </c>
      <c r="MK62" s="65">
        <v>100</v>
      </c>
      <c r="ML62" s="63"/>
      <c r="MM62" s="64">
        <f t="shared" si="1325"/>
        <v>100</v>
      </c>
      <c r="MN62" s="66">
        <f t="shared" si="131"/>
        <v>4889.1099999999997</v>
      </c>
      <c r="MO62" s="67">
        <f t="shared" si="1326"/>
        <v>0</v>
      </c>
      <c r="MP62" s="64">
        <f t="shared" si="1327"/>
        <v>4889.1099999999997</v>
      </c>
      <c r="MQ62" s="62">
        <v>9100</v>
      </c>
      <c r="MR62" s="63"/>
      <c r="MS62" s="64">
        <f t="shared" si="1328"/>
        <v>9100</v>
      </c>
      <c r="MT62" s="65"/>
      <c r="MU62" s="63"/>
      <c r="MV62" s="64">
        <f t="shared" si="1329"/>
        <v>0</v>
      </c>
      <c r="MW62" s="65"/>
      <c r="MX62" s="63"/>
      <c r="MY62" s="64">
        <f t="shared" si="1330"/>
        <v>0</v>
      </c>
      <c r="MZ62" s="65"/>
      <c r="NA62" s="63"/>
      <c r="NB62" s="64">
        <f t="shared" si="1331"/>
        <v>0</v>
      </c>
      <c r="NC62" s="66">
        <f t="shared" si="138"/>
        <v>9100</v>
      </c>
      <c r="ND62" s="67">
        <f t="shared" si="1332"/>
        <v>0</v>
      </c>
      <c r="NE62" s="64">
        <f t="shared" si="1333"/>
        <v>9100</v>
      </c>
      <c r="NF62" s="62">
        <v>6000</v>
      </c>
      <c r="NG62" s="63"/>
      <c r="NH62" s="64">
        <f t="shared" si="1334"/>
        <v>6000</v>
      </c>
      <c r="NI62" s="65">
        <v>1164.04</v>
      </c>
      <c r="NJ62" s="63"/>
      <c r="NK62" s="64">
        <f t="shared" si="1335"/>
        <v>1164.04</v>
      </c>
      <c r="NL62" s="65"/>
      <c r="NM62" s="63"/>
      <c r="NN62" s="64">
        <f t="shared" si="1336"/>
        <v>0</v>
      </c>
      <c r="NO62" s="65">
        <v>100</v>
      </c>
      <c r="NP62" s="63"/>
      <c r="NQ62" s="64">
        <f t="shared" si="1337"/>
        <v>100</v>
      </c>
      <c r="NR62" s="66">
        <f t="shared" si="145"/>
        <v>7264.04</v>
      </c>
      <c r="NS62" s="67">
        <f t="shared" si="1338"/>
        <v>0</v>
      </c>
      <c r="NT62" s="64">
        <f t="shared" si="1339"/>
        <v>7264.04</v>
      </c>
      <c r="NU62" s="62">
        <f>6*864</f>
        <v>5184</v>
      </c>
      <c r="NV62" s="63"/>
      <c r="NW62" s="64">
        <f t="shared" si="1340"/>
        <v>5184</v>
      </c>
      <c r="NX62" s="65">
        <v>1152.73</v>
      </c>
      <c r="NY62" s="63"/>
      <c r="NZ62" s="64">
        <f t="shared" si="1341"/>
        <v>1152.73</v>
      </c>
      <c r="OA62" s="65"/>
      <c r="OB62" s="63"/>
      <c r="OC62" s="64">
        <f t="shared" si="1342"/>
        <v>0</v>
      </c>
      <c r="OD62" s="65">
        <v>100</v>
      </c>
      <c r="OE62" s="63"/>
      <c r="OF62" s="64">
        <f t="shared" si="1343"/>
        <v>100</v>
      </c>
      <c r="OG62" s="66">
        <f t="shared" si="152"/>
        <v>6436.73</v>
      </c>
      <c r="OH62" s="67">
        <f t="shared" si="1344"/>
        <v>0</v>
      </c>
      <c r="OI62" s="64">
        <f t="shared" si="1345"/>
        <v>6436.73</v>
      </c>
      <c r="OJ62" s="62"/>
      <c r="OK62" s="63"/>
      <c r="OL62" s="64">
        <f t="shared" si="1346"/>
        <v>0</v>
      </c>
      <c r="OM62" s="65"/>
      <c r="ON62" s="63"/>
      <c r="OO62" s="64">
        <f t="shared" si="1347"/>
        <v>0</v>
      </c>
      <c r="OP62" s="65"/>
      <c r="OQ62" s="63"/>
      <c r="OR62" s="64">
        <f t="shared" si="1348"/>
        <v>0</v>
      </c>
      <c r="OS62" s="65">
        <v>100</v>
      </c>
      <c r="OT62" s="63"/>
      <c r="OU62" s="64">
        <f t="shared" si="1349"/>
        <v>100</v>
      </c>
      <c r="OV62" s="66">
        <f t="shared" si="159"/>
        <v>100</v>
      </c>
      <c r="OW62" s="67">
        <f t="shared" si="1350"/>
        <v>0</v>
      </c>
      <c r="OX62" s="64">
        <f t="shared" si="1351"/>
        <v>100</v>
      </c>
      <c r="OY62" s="62"/>
      <c r="OZ62" s="63"/>
      <c r="PA62" s="64">
        <f t="shared" si="1352"/>
        <v>0</v>
      </c>
      <c r="PB62" s="65">
        <v>600</v>
      </c>
      <c r="PC62" s="63"/>
      <c r="PD62" s="64">
        <f t="shared" si="1353"/>
        <v>600</v>
      </c>
      <c r="PE62" s="65"/>
      <c r="PF62" s="63"/>
      <c r="PG62" s="64">
        <f t="shared" si="1354"/>
        <v>0</v>
      </c>
      <c r="PH62" s="65">
        <v>100</v>
      </c>
      <c r="PI62" s="63"/>
      <c r="PJ62" s="64">
        <f t="shared" si="1355"/>
        <v>100</v>
      </c>
      <c r="PK62" s="66">
        <f t="shared" si="166"/>
        <v>700</v>
      </c>
      <c r="PL62" s="67">
        <f t="shared" si="1356"/>
        <v>0</v>
      </c>
      <c r="PM62" s="64">
        <f t="shared" si="1357"/>
        <v>700</v>
      </c>
      <c r="PN62" s="62">
        <v>1550</v>
      </c>
      <c r="PO62" s="63"/>
      <c r="PP62" s="64">
        <f t="shared" si="1358"/>
        <v>1550</v>
      </c>
      <c r="PQ62" s="65"/>
      <c r="PR62" s="63"/>
      <c r="PS62" s="64">
        <f t="shared" si="1359"/>
        <v>0</v>
      </c>
      <c r="PT62" s="65"/>
      <c r="PU62" s="63"/>
      <c r="PV62" s="64">
        <f t="shared" si="1360"/>
        <v>0</v>
      </c>
      <c r="PW62" s="65">
        <v>100</v>
      </c>
      <c r="PX62" s="63"/>
      <c r="PY62" s="64">
        <f t="shared" si="1361"/>
        <v>100</v>
      </c>
      <c r="PZ62" s="66">
        <f t="shared" si="173"/>
        <v>1650</v>
      </c>
      <c r="QA62" s="67">
        <f t="shared" si="1362"/>
        <v>0</v>
      </c>
      <c r="QB62" s="64">
        <f t="shared" si="1363"/>
        <v>1650</v>
      </c>
      <c r="QC62" s="62"/>
      <c r="QD62" s="63"/>
      <c r="QE62" s="64">
        <f t="shared" si="1364"/>
        <v>0</v>
      </c>
      <c r="QF62" s="65"/>
      <c r="QG62" s="63"/>
      <c r="QH62" s="64">
        <f t="shared" si="1365"/>
        <v>0</v>
      </c>
      <c r="QI62" s="65"/>
      <c r="QJ62" s="63"/>
      <c r="QK62" s="64">
        <f t="shared" si="1366"/>
        <v>0</v>
      </c>
      <c r="QL62" s="65">
        <v>100</v>
      </c>
      <c r="QM62" s="63"/>
      <c r="QN62" s="64">
        <f t="shared" si="1367"/>
        <v>100</v>
      </c>
      <c r="QO62" s="66">
        <f t="shared" si="180"/>
        <v>100</v>
      </c>
      <c r="QP62" s="67">
        <f t="shared" si="1368"/>
        <v>0</v>
      </c>
      <c r="QQ62" s="64">
        <f t="shared" si="1369"/>
        <v>100</v>
      </c>
      <c r="QR62" s="74"/>
      <c r="QS62" s="74"/>
      <c r="QT62" s="72"/>
      <c r="QU62" s="73"/>
      <c r="QV62" s="74"/>
      <c r="QW62" s="75"/>
      <c r="QX62" s="73"/>
      <c r="QY62" s="74"/>
      <c r="QZ62" s="75"/>
      <c r="RA62" s="73"/>
      <c r="RB62" s="74"/>
      <c r="RC62" s="75"/>
      <c r="RD62" s="73"/>
      <c r="RE62" s="74"/>
      <c r="RF62" s="74"/>
      <c r="RG62" s="72"/>
      <c r="RH62" s="73"/>
      <c r="RI62" s="74"/>
      <c r="RJ62" s="75"/>
      <c r="RK62" s="73"/>
      <c r="RL62" s="74"/>
      <c r="RM62" s="75"/>
      <c r="RN62" s="73"/>
      <c r="RO62" s="74"/>
      <c r="RP62" s="75"/>
      <c r="RQ62" s="73"/>
      <c r="RR62" s="74"/>
      <c r="RS62" s="76"/>
      <c r="RT62" s="77"/>
      <c r="RU62" s="74"/>
      <c r="RV62" s="74"/>
      <c r="RW62" s="72"/>
      <c r="RX62" s="73"/>
      <c r="RY62" s="74"/>
      <c r="RZ62" s="75"/>
      <c r="SA62" s="73"/>
      <c r="SB62" s="74"/>
      <c r="SC62" s="75"/>
      <c r="SD62" s="73"/>
      <c r="SE62" s="74"/>
      <c r="SF62" s="75"/>
      <c r="SG62" s="73"/>
      <c r="SH62" s="74"/>
      <c r="SI62" s="76"/>
      <c r="SJ62" s="64">
        <f t="shared" si="1370"/>
        <v>0</v>
      </c>
      <c r="SK62" s="62"/>
      <c r="SL62" s="63"/>
      <c r="SM62" s="64">
        <f t="shared" si="1371"/>
        <v>0</v>
      </c>
      <c r="SN62" s="65"/>
      <c r="SO62" s="63"/>
      <c r="SP62" s="64">
        <f t="shared" si="1372"/>
        <v>0</v>
      </c>
      <c r="SQ62" s="65"/>
      <c r="SR62" s="63"/>
      <c r="SS62" s="64">
        <f t="shared" si="1373"/>
        <v>0</v>
      </c>
      <c r="ST62" s="65">
        <v>100</v>
      </c>
      <c r="SU62" s="63"/>
      <c r="SV62" s="64">
        <f t="shared" si="1374"/>
        <v>100</v>
      </c>
      <c r="SW62" s="66">
        <f t="shared" si="208"/>
        <v>100</v>
      </c>
      <c r="SX62" s="67">
        <f t="shared" si="1375"/>
        <v>0</v>
      </c>
      <c r="SY62" s="64">
        <f t="shared" si="1376"/>
        <v>100</v>
      </c>
      <c r="SZ62" s="62">
        <v>985.33</v>
      </c>
      <c r="TA62" s="63"/>
      <c r="TB62" s="64">
        <f t="shared" si="1377"/>
        <v>985.33</v>
      </c>
      <c r="TC62" s="65">
        <v>700.9</v>
      </c>
      <c r="TD62" s="63"/>
      <c r="TE62" s="64">
        <f t="shared" si="1378"/>
        <v>700.9</v>
      </c>
      <c r="TF62" s="65"/>
      <c r="TG62" s="63"/>
      <c r="TH62" s="64">
        <f t="shared" si="1379"/>
        <v>0</v>
      </c>
      <c r="TI62" s="65">
        <v>100</v>
      </c>
      <c r="TJ62" s="63"/>
      <c r="TK62" s="64">
        <f t="shared" si="1380"/>
        <v>100</v>
      </c>
      <c r="TL62" s="66">
        <f t="shared" si="215"/>
        <v>1786.23</v>
      </c>
      <c r="TM62" s="67">
        <f t="shared" si="1381"/>
        <v>0</v>
      </c>
      <c r="TN62" s="64">
        <f t="shared" si="1382"/>
        <v>1786.23</v>
      </c>
      <c r="TO62" s="62">
        <v>3875</v>
      </c>
      <c r="TP62" s="63"/>
      <c r="TQ62" s="64">
        <f t="shared" si="1383"/>
        <v>3875</v>
      </c>
      <c r="TR62" s="65"/>
      <c r="TS62" s="63"/>
      <c r="TT62" s="64">
        <f t="shared" si="1384"/>
        <v>0</v>
      </c>
      <c r="TU62" s="65"/>
      <c r="TV62" s="63"/>
      <c r="TW62" s="64">
        <f t="shared" si="1385"/>
        <v>0</v>
      </c>
      <c r="TX62" s="65">
        <v>100</v>
      </c>
      <c r="TY62" s="63"/>
      <c r="TZ62" s="64">
        <f t="shared" si="1386"/>
        <v>100</v>
      </c>
      <c r="UA62" s="66">
        <f t="shared" si="222"/>
        <v>3975</v>
      </c>
      <c r="UB62" s="67">
        <f t="shared" si="1387"/>
        <v>0</v>
      </c>
      <c r="UC62" s="64">
        <f t="shared" si="1388"/>
        <v>3975</v>
      </c>
      <c r="UD62" s="62">
        <v>1125</v>
      </c>
      <c r="UE62" s="63"/>
      <c r="UF62" s="64">
        <f t="shared" si="1389"/>
        <v>1125</v>
      </c>
      <c r="UG62" s="65">
        <v>497.04</v>
      </c>
      <c r="UH62" s="63"/>
      <c r="UI62" s="64">
        <f t="shared" si="1390"/>
        <v>497.04</v>
      </c>
      <c r="UJ62" s="65"/>
      <c r="UK62" s="63"/>
      <c r="UL62" s="64">
        <f t="shared" si="1391"/>
        <v>0</v>
      </c>
      <c r="UM62" s="65">
        <v>100</v>
      </c>
      <c r="UN62" s="63"/>
      <c r="UO62" s="64">
        <f t="shared" si="1392"/>
        <v>100</v>
      </c>
      <c r="UP62" s="66">
        <f t="shared" si="226"/>
        <v>1722.04</v>
      </c>
      <c r="UQ62" s="67">
        <f t="shared" si="1393"/>
        <v>0</v>
      </c>
      <c r="UR62" s="64">
        <f t="shared" si="1394"/>
        <v>1722.04</v>
      </c>
      <c r="US62" s="74"/>
      <c r="UT62" s="72"/>
      <c r="UU62" s="73"/>
      <c r="UV62" s="74"/>
      <c r="UW62" s="75"/>
      <c r="UX62" s="73"/>
      <c r="UY62" s="74"/>
      <c r="UZ62" s="75"/>
      <c r="VA62" s="73"/>
      <c r="VB62" s="74"/>
      <c r="VC62" s="75"/>
      <c r="VD62" s="73"/>
      <c r="VE62" s="74"/>
      <c r="VF62" s="76"/>
      <c r="VG62" s="77"/>
      <c r="VH62" s="62">
        <v>18600</v>
      </c>
      <c r="VI62" s="63"/>
      <c r="VJ62" s="64">
        <f t="shared" si="1395"/>
        <v>18600</v>
      </c>
      <c r="VK62" s="65"/>
      <c r="VL62" s="63"/>
      <c r="VM62" s="64">
        <f t="shared" si="1396"/>
        <v>0</v>
      </c>
      <c r="VN62" s="65"/>
      <c r="VO62" s="63"/>
      <c r="VP62" s="64">
        <f t="shared" si="1397"/>
        <v>0</v>
      </c>
      <c r="VQ62" s="65">
        <v>100</v>
      </c>
      <c r="VR62" s="63"/>
      <c r="VS62" s="64">
        <f t="shared" si="1398"/>
        <v>100</v>
      </c>
      <c r="VT62" s="66">
        <f t="shared" si="240"/>
        <v>18700</v>
      </c>
      <c r="VU62" s="67">
        <f t="shared" si="1399"/>
        <v>0</v>
      </c>
      <c r="VV62" s="64">
        <f t="shared" si="1400"/>
        <v>18700</v>
      </c>
      <c r="VW62" s="74"/>
      <c r="VX62" s="72"/>
      <c r="VY62" s="73"/>
      <c r="VZ62" s="74"/>
      <c r="WA62" s="75"/>
      <c r="WB62" s="73"/>
      <c r="WC62" s="74"/>
      <c r="WD62" s="75"/>
      <c r="WE62" s="73"/>
      <c r="WF62" s="74"/>
      <c r="WG62" s="75"/>
      <c r="WH62" s="73"/>
      <c r="WI62" s="74"/>
      <c r="WJ62" s="76"/>
      <c r="WK62" s="77"/>
      <c r="WL62" s="74"/>
      <c r="WM62" s="72"/>
      <c r="WN62" s="73"/>
      <c r="WO62" s="74"/>
      <c r="WP62" s="75"/>
      <c r="WQ62" s="73"/>
      <c r="WR62" s="74"/>
      <c r="WS62" s="75"/>
      <c r="WT62" s="73"/>
      <c r="WU62" s="74"/>
      <c r="WV62" s="75"/>
      <c r="WW62" s="73"/>
      <c r="WX62" s="74"/>
      <c r="WY62" s="76"/>
      <c r="WZ62" s="77"/>
      <c r="XA62" s="74"/>
      <c r="XB62" s="72"/>
      <c r="XC62" s="73"/>
      <c r="XD62" s="74"/>
      <c r="XE62" s="75"/>
      <c r="XF62" s="73"/>
      <c r="XG62" s="74"/>
      <c r="XH62" s="75"/>
      <c r="XI62" s="73"/>
      <c r="XJ62" s="74"/>
      <c r="XK62" s="75"/>
      <c r="XL62" s="73"/>
      <c r="XM62" s="74"/>
      <c r="XN62" s="76"/>
      <c r="XO62" s="77"/>
      <c r="XP62" s="62">
        <v>5202</v>
      </c>
      <c r="XQ62" s="63"/>
      <c r="XR62" s="64">
        <f t="shared" si="1401"/>
        <v>5202</v>
      </c>
      <c r="XS62" s="65">
        <v>844.24</v>
      </c>
      <c r="XT62" s="63"/>
      <c r="XU62" s="64">
        <f t="shared" si="1402"/>
        <v>844.24</v>
      </c>
      <c r="XV62" s="65"/>
      <c r="XW62" s="63"/>
      <c r="XX62" s="64">
        <f t="shared" si="1403"/>
        <v>0</v>
      </c>
      <c r="XY62" s="65">
        <v>100</v>
      </c>
      <c r="XZ62" s="63"/>
      <c r="YA62" s="64">
        <f t="shared" si="1404"/>
        <v>100</v>
      </c>
      <c r="YB62" s="66">
        <f t="shared" si="268"/>
        <v>6146.24</v>
      </c>
      <c r="YC62" s="67">
        <f t="shared" si="1405"/>
        <v>0</v>
      </c>
      <c r="YD62" s="64">
        <f t="shared" si="1406"/>
        <v>6146.24</v>
      </c>
      <c r="YE62" s="62">
        <v>5340</v>
      </c>
      <c r="YF62" s="63"/>
      <c r="YG62" s="64">
        <f t="shared" si="1407"/>
        <v>5340</v>
      </c>
      <c r="YH62" s="65">
        <v>847.85</v>
      </c>
      <c r="YI62" s="63"/>
      <c r="YJ62" s="64">
        <f t="shared" si="1408"/>
        <v>847.85</v>
      </c>
      <c r="YK62" s="65"/>
      <c r="YL62" s="63"/>
      <c r="YM62" s="64">
        <f t="shared" si="1409"/>
        <v>0</v>
      </c>
      <c r="YN62" s="65">
        <v>100</v>
      </c>
      <c r="YO62" s="63"/>
      <c r="YP62" s="64">
        <f t="shared" si="1410"/>
        <v>100</v>
      </c>
      <c r="YQ62" s="66">
        <f t="shared" si="275"/>
        <v>6287.85</v>
      </c>
      <c r="YR62" s="67">
        <f t="shared" si="1411"/>
        <v>0</v>
      </c>
      <c r="YS62" s="64">
        <f t="shared" si="1412"/>
        <v>6287.85</v>
      </c>
      <c r="YT62" s="62">
        <v>5592</v>
      </c>
      <c r="YU62" s="63"/>
      <c r="YV62" s="64">
        <f t="shared" si="1413"/>
        <v>5592</v>
      </c>
      <c r="YW62" s="65">
        <v>695.73</v>
      </c>
      <c r="YX62" s="63"/>
      <c r="YY62" s="64">
        <f t="shared" si="1414"/>
        <v>695.73</v>
      </c>
      <c r="YZ62" s="65"/>
      <c r="ZA62" s="63"/>
      <c r="ZB62" s="64">
        <f t="shared" si="1415"/>
        <v>0</v>
      </c>
      <c r="ZC62" s="65">
        <v>100</v>
      </c>
      <c r="ZD62" s="63"/>
      <c r="ZE62" s="64">
        <f t="shared" si="1416"/>
        <v>100</v>
      </c>
      <c r="ZF62" s="66">
        <f t="shared" si="282"/>
        <v>6387.73</v>
      </c>
      <c r="ZG62" s="67">
        <f t="shared" si="1417"/>
        <v>0</v>
      </c>
      <c r="ZH62" s="74"/>
      <c r="ZI62" s="72"/>
      <c r="ZJ62" s="73"/>
      <c r="ZK62" s="74"/>
      <c r="ZL62" s="75"/>
      <c r="ZM62" s="73"/>
      <c r="ZN62" s="74"/>
      <c r="ZO62" s="75"/>
      <c r="ZP62" s="73"/>
      <c r="ZQ62" s="74"/>
      <c r="ZR62" s="75"/>
      <c r="ZS62" s="73"/>
      <c r="ZT62" s="74"/>
      <c r="ZU62" s="76"/>
      <c r="ZV62" s="77"/>
      <c r="ZW62" s="64">
        <f t="shared" si="1418"/>
        <v>0</v>
      </c>
      <c r="ZX62" s="62">
        <v>24.71</v>
      </c>
      <c r="ZY62" s="63"/>
      <c r="ZZ62" s="64">
        <f t="shared" si="1419"/>
        <v>24.71</v>
      </c>
      <c r="AAA62" s="66">
        <f t="shared" si="293"/>
        <v>24.71</v>
      </c>
      <c r="AAB62" s="67">
        <f t="shared" si="293"/>
        <v>0</v>
      </c>
      <c r="AAC62" s="64">
        <f t="shared" si="1420"/>
        <v>24.71</v>
      </c>
      <c r="AAD62" s="85">
        <f t="shared" si="295"/>
        <v>191516.69</v>
      </c>
      <c r="AAE62" s="86">
        <f t="shared" si="295"/>
        <v>0</v>
      </c>
      <c r="AAF62" s="87">
        <f t="shared" si="3"/>
        <v>0</v>
      </c>
      <c r="AAG62" s="88">
        <f t="shared" si="1421"/>
        <v>-191516.69</v>
      </c>
      <c r="AAH62" s="58"/>
      <c r="AAI62" s="59"/>
      <c r="AAJ62" s="59"/>
      <c r="AAK62" s="60"/>
    </row>
    <row r="63" spans="1:713" s="83" customFormat="1" ht="20" customHeight="1" x14ac:dyDescent="0.2">
      <c r="A63" s="153"/>
      <c r="B63" s="89">
        <f>AAH63</f>
        <v>302.97000000000003</v>
      </c>
      <c r="C63" s="90"/>
      <c r="D63" s="90"/>
      <c r="E63" s="60"/>
      <c r="F63" s="61">
        <v>46204</v>
      </c>
      <c r="G63" s="62">
        <f>371675.99/2</f>
        <v>185837.995</v>
      </c>
      <c r="H63" s="63"/>
      <c r="I63" s="64">
        <f t="shared" si="1217"/>
        <v>185837.995</v>
      </c>
      <c r="J63" s="65">
        <v>2166.9299999999998</v>
      </c>
      <c r="K63" s="63"/>
      <c r="L63" s="64">
        <f t="shared" si="1218"/>
        <v>2166.9299999999998</v>
      </c>
      <c r="M63" s="65">
        <v>2500</v>
      </c>
      <c r="N63" s="63"/>
      <c r="O63" s="64">
        <f t="shared" si="1219"/>
        <v>2500</v>
      </c>
      <c r="P63" s="65">
        <v>1250</v>
      </c>
      <c r="Q63" s="63"/>
      <c r="R63" s="64">
        <f t="shared" si="1220"/>
        <v>1250</v>
      </c>
      <c r="S63" s="65">
        <v>362</v>
      </c>
      <c r="T63" s="63"/>
      <c r="U63" s="64">
        <f t="shared" si="1221"/>
        <v>362</v>
      </c>
      <c r="V63" s="66">
        <f t="shared" si="1222"/>
        <v>192116.92499999999</v>
      </c>
      <c r="W63" s="67">
        <f t="shared" si="1222"/>
        <v>0</v>
      </c>
      <c r="X63" s="64">
        <f t="shared" si="1223"/>
        <v>192116.92499999999</v>
      </c>
      <c r="Y63" s="72"/>
      <c r="Z63" s="73"/>
      <c r="AA63" s="74"/>
      <c r="AB63" s="75"/>
      <c r="AC63" s="73"/>
      <c r="AD63" s="74"/>
      <c r="AE63" s="75"/>
      <c r="AF63" s="73"/>
      <c r="AG63" s="74"/>
      <c r="AH63" s="75"/>
      <c r="AI63" s="73"/>
      <c r="AJ63" s="74"/>
      <c r="AK63" s="76"/>
      <c r="AL63" s="77"/>
      <c r="AM63" s="64">
        <f t="shared" si="1224"/>
        <v>0</v>
      </c>
      <c r="AN63" s="62">
        <v>6250</v>
      </c>
      <c r="AO63" s="63"/>
      <c r="AP63" s="64">
        <f t="shared" si="1422"/>
        <v>6250</v>
      </c>
      <c r="AQ63" s="65"/>
      <c r="AR63" s="63"/>
      <c r="AS63" s="64">
        <f t="shared" si="1225"/>
        <v>0</v>
      </c>
      <c r="AT63" s="65"/>
      <c r="AU63" s="63"/>
      <c r="AV63" s="64">
        <f t="shared" si="1226"/>
        <v>0</v>
      </c>
      <c r="AW63" s="65"/>
      <c r="AX63" s="63"/>
      <c r="AY63" s="64">
        <f t="shared" si="1227"/>
        <v>0</v>
      </c>
      <c r="AZ63" s="66">
        <f t="shared" si="23"/>
        <v>6250</v>
      </c>
      <c r="BA63" s="67">
        <f t="shared" si="1228"/>
        <v>0</v>
      </c>
      <c r="BB63" s="64">
        <f t="shared" si="1229"/>
        <v>6250</v>
      </c>
      <c r="BC63" s="62"/>
      <c r="BD63" s="63"/>
      <c r="BE63" s="64">
        <f t="shared" si="1230"/>
        <v>0</v>
      </c>
      <c r="BF63" s="65"/>
      <c r="BG63" s="63"/>
      <c r="BH63" s="64">
        <f t="shared" si="1231"/>
        <v>0</v>
      </c>
      <c r="BI63" s="65"/>
      <c r="BJ63" s="63"/>
      <c r="BK63" s="64">
        <f t="shared" si="1232"/>
        <v>0</v>
      </c>
      <c r="BL63" s="65">
        <v>100</v>
      </c>
      <c r="BM63" s="63"/>
      <c r="BN63" s="64">
        <f t="shared" si="1233"/>
        <v>100</v>
      </c>
      <c r="BO63" s="66">
        <f t="shared" si="30"/>
        <v>100</v>
      </c>
      <c r="BP63" s="67">
        <f t="shared" si="1234"/>
        <v>0</v>
      </c>
      <c r="BQ63" s="64">
        <f t="shared" si="1235"/>
        <v>100</v>
      </c>
      <c r="BR63" s="72"/>
      <c r="BS63" s="73"/>
      <c r="BT63" s="74"/>
      <c r="BU63" s="75"/>
      <c r="BV63" s="73"/>
      <c r="BW63" s="74"/>
      <c r="BX63" s="75"/>
      <c r="BY63" s="73"/>
      <c r="BZ63" s="74"/>
      <c r="CA63" s="75"/>
      <c r="CB63" s="73"/>
      <c r="CC63" s="74"/>
      <c r="CD63" s="76"/>
      <c r="CE63" s="77"/>
      <c r="CF63" s="64">
        <f t="shared" si="1236"/>
        <v>0</v>
      </c>
      <c r="CG63" s="62">
        <v>5000</v>
      </c>
      <c r="CH63" s="63"/>
      <c r="CI63" s="64">
        <f t="shared" si="1237"/>
        <v>5000</v>
      </c>
      <c r="CJ63" s="65"/>
      <c r="CK63" s="63"/>
      <c r="CL63" s="64">
        <f t="shared" si="1238"/>
        <v>0</v>
      </c>
      <c r="CM63" s="65"/>
      <c r="CN63" s="63"/>
      <c r="CO63" s="64">
        <f t="shared" si="1239"/>
        <v>0</v>
      </c>
      <c r="CP63" s="65"/>
      <c r="CQ63" s="63"/>
      <c r="CR63" s="64">
        <f t="shared" si="1240"/>
        <v>0</v>
      </c>
      <c r="CS63" s="66">
        <f t="shared" si="40"/>
        <v>5000</v>
      </c>
      <c r="CT63" s="67">
        <f t="shared" si="1241"/>
        <v>0</v>
      </c>
      <c r="CU63" s="64">
        <f t="shared" si="1242"/>
        <v>5000</v>
      </c>
      <c r="CV63" s="62">
        <v>2916.7</v>
      </c>
      <c r="CW63" s="63"/>
      <c r="CX63" s="64">
        <f t="shared" si="1243"/>
        <v>2916.7</v>
      </c>
      <c r="CY63" s="65">
        <v>429.15</v>
      </c>
      <c r="CZ63" s="63"/>
      <c r="DA63" s="64">
        <f t="shared" si="1244"/>
        <v>429.15</v>
      </c>
      <c r="DB63" s="65"/>
      <c r="DC63" s="63"/>
      <c r="DD63" s="64">
        <f t="shared" si="1245"/>
        <v>0</v>
      </c>
      <c r="DE63" s="65"/>
      <c r="DF63" s="63"/>
      <c r="DG63" s="64">
        <f t="shared" si="1246"/>
        <v>0</v>
      </c>
      <c r="DH63" s="66">
        <f t="shared" si="43"/>
        <v>3345.85</v>
      </c>
      <c r="DI63" s="67">
        <f t="shared" si="1247"/>
        <v>0</v>
      </c>
      <c r="DJ63" s="64">
        <f t="shared" si="1248"/>
        <v>3345.85</v>
      </c>
      <c r="DK63" s="62">
        <v>2400</v>
      </c>
      <c r="DL63" s="63"/>
      <c r="DM63" s="64">
        <f t="shared" si="1249"/>
        <v>2400</v>
      </c>
      <c r="DN63" s="65">
        <v>913.08</v>
      </c>
      <c r="DO63" s="63"/>
      <c r="DP63" s="64">
        <f t="shared" si="1250"/>
        <v>913.08</v>
      </c>
      <c r="DQ63" s="65"/>
      <c r="DR63" s="63"/>
      <c r="DS63" s="64">
        <f t="shared" si="1251"/>
        <v>0</v>
      </c>
      <c r="DT63" s="65">
        <v>100</v>
      </c>
      <c r="DU63" s="63"/>
      <c r="DV63" s="64">
        <f t="shared" si="1252"/>
        <v>100</v>
      </c>
      <c r="DW63" s="66">
        <f t="shared" si="46"/>
        <v>3413.08</v>
      </c>
      <c r="DX63" s="67">
        <f t="shared" si="1253"/>
        <v>0</v>
      </c>
      <c r="DY63" s="64">
        <f t="shared" si="1254"/>
        <v>3413.08</v>
      </c>
      <c r="DZ63" s="62">
        <v>12000</v>
      </c>
      <c r="EA63" s="63"/>
      <c r="EB63" s="64">
        <f t="shared" si="1255"/>
        <v>12000</v>
      </c>
      <c r="EC63" s="65"/>
      <c r="ED63" s="63"/>
      <c r="EE63" s="64">
        <f t="shared" si="1256"/>
        <v>0</v>
      </c>
      <c r="EF63" s="65"/>
      <c r="EG63" s="63"/>
      <c r="EH63" s="64">
        <f t="shared" si="1257"/>
        <v>0</v>
      </c>
      <c r="EI63" s="65">
        <v>100</v>
      </c>
      <c r="EJ63" s="63"/>
      <c r="EK63" s="64">
        <f t="shared" si="1258"/>
        <v>100</v>
      </c>
      <c r="EL63" s="66">
        <f t="shared" si="53"/>
        <v>12100</v>
      </c>
      <c r="EM63" s="67">
        <f t="shared" si="1259"/>
        <v>0</v>
      </c>
      <c r="EN63" s="64">
        <f t="shared" si="1260"/>
        <v>12100</v>
      </c>
      <c r="EO63" s="62"/>
      <c r="EP63" s="63"/>
      <c r="EQ63" s="64">
        <f t="shared" si="1261"/>
        <v>0</v>
      </c>
      <c r="ER63" s="65">
        <v>3600</v>
      </c>
      <c r="ES63" s="63"/>
      <c r="ET63" s="64">
        <f t="shared" si="1262"/>
        <v>3600</v>
      </c>
      <c r="EU63" s="65"/>
      <c r="EV63" s="63"/>
      <c r="EW63" s="64">
        <f t="shared" si="1263"/>
        <v>0</v>
      </c>
      <c r="EX63" s="65">
        <v>100</v>
      </c>
      <c r="EY63" s="63"/>
      <c r="EZ63" s="64">
        <f t="shared" si="1264"/>
        <v>100</v>
      </c>
      <c r="FA63" s="66">
        <f t="shared" si="60"/>
        <v>3700</v>
      </c>
      <c r="FB63" s="67">
        <f t="shared" si="1265"/>
        <v>0</v>
      </c>
      <c r="FC63" s="64">
        <f t="shared" si="1266"/>
        <v>3700</v>
      </c>
      <c r="FD63" s="62"/>
      <c r="FE63" s="63"/>
      <c r="FF63" s="64">
        <f t="shared" si="1267"/>
        <v>0</v>
      </c>
      <c r="FG63" s="65">
        <v>3600</v>
      </c>
      <c r="FH63" s="63"/>
      <c r="FI63" s="64">
        <f t="shared" si="1268"/>
        <v>3600</v>
      </c>
      <c r="FJ63" s="65"/>
      <c r="FK63" s="63"/>
      <c r="FL63" s="64">
        <f t="shared" si="1269"/>
        <v>0</v>
      </c>
      <c r="FM63" s="65">
        <v>100</v>
      </c>
      <c r="FN63" s="63"/>
      <c r="FO63" s="64">
        <f t="shared" si="1270"/>
        <v>100</v>
      </c>
      <c r="FP63" s="66">
        <f t="shared" si="67"/>
        <v>3700</v>
      </c>
      <c r="FQ63" s="67">
        <f t="shared" si="1271"/>
        <v>0</v>
      </c>
      <c r="FR63" s="64">
        <f t="shared" si="1272"/>
        <v>3700</v>
      </c>
      <c r="FS63" s="62">
        <v>18000</v>
      </c>
      <c r="FT63" s="63"/>
      <c r="FU63" s="64">
        <f t="shared" si="1273"/>
        <v>18000</v>
      </c>
      <c r="FV63" s="65">
        <v>485.35</v>
      </c>
      <c r="FW63" s="63"/>
      <c r="FX63" s="64">
        <f t="shared" si="1274"/>
        <v>485.35</v>
      </c>
      <c r="FY63" s="65"/>
      <c r="FZ63" s="63"/>
      <c r="GA63" s="64">
        <f t="shared" si="1275"/>
        <v>0</v>
      </c>
      <c r="GB63" s="65"/>
      <c r="GC63" s="63"/>
      <c r="GD63" s="64">
        <f t="shared" si="1276"/>
        <v>0</v>
      </c>
      <c r="GE63" s="66">
        <f t="shared" si="74"/>
        <v>18485.349999999999</v>
      </c>
      <c r="GF63" s="67">
        <f t="shared" si="1277"/>
        <v>0</v>
      </c>
      <c r="GG63" s="64">
        <f t="shared" si="1278"/>
        <v>18485.349999999999</v>
      </c>
      <c r="GH63" s="62">
        <v>18000</v>
      </c>
      <c r="GI63" s="63"/>
      <c r="GJ63" s="64">
        <f t="shared" si="1279"/>
        <v>18000</v>
      </c>
      <c r="GK63" s="65">
        <v>660.33</v>
      </c>
      <c r="GL63" s="63"/>
      <c r="GM63" s="64">
        <f t="shared" si="1280"/>
        <v>660.33</v>
      </c>
      <c r="GN63" s="65"/>
      <c r="GO63" s="63"/>
      <c r="GP63" s="64">
        <f t="shared" si="1281"/>
        <v>0</v>
      </c>
      <c r="GQ63" s="65"/>
      <c r="GR63" s="63"/>
      <c r="GS63" s="64">
        <f t="shared" si="1282"/>
        <v>0</v>
      </c>
      <c r="GT63" s="66">
        <f t="shared" si="81"/>
        <v>18660.330000000002</v>
      </c>
      <c r="GU63" s="67">
        <f t="shared" si="1283"/>
        <v>0</v>
      </c>
      <c r="GV63" s="64">
        <f t="shared" si="1284"/>
        <v>18660.330000000002</v>
      </c>
      <c r="GW63" s="62">
        <v>13350</v>
      </c>
      <c r="GX63" s="63"/>
      <c r="GY63" s="64">
        <f t="shared" si="1285"/>
        <v>13350</v>
      </c>
      <c r="GZ63" s="65">
        <v>568.25</v>
      </c>
      <c r="HA63" s="63"/>
      <c r="HB63" s="64">
        <f t="shared" si="1286"/>
        <v>568.25</v>
      </c>
      <c r="HC63" s="65"/>
      <c r="HD63" s="63"/>
      <c r="HE63" s="64">
        <f t="shared" si="1287"/>
        <v>0</v>
      </c>
      <c r="HF63" s="65">
        <v>100</v>
      </c>
      <c r="HG63" s="63"/>
      <c r="HH63" s="64">
        <f t="shared" si="1288"/>
        <v>100</v>
      </c>
      <c r="HI63" s="66">
        <f t="shared" si="84"/>
        <v>14018.25</v>
      </c>
      <c r="HJ63" s="67">
        <f t="shared" si="1289"/>
        <v>0</v>
      </c>
      <c r="HK63" s="64">
        <f t="shared" si="1290"/>
        <v>14018.25</v>
      </c>
      <c r="HL63" s="62"/>
      <c r="HM63" s="63"/>
      <c r="HN63" s="64">
        <f t="shared" si="1291"/>
        <v>0</v>
      </c>
      <c r="HO63" s="65">
        <v>4400</v>
      </c>
      <c r="HP63" s="63"/>
      <c r="HQ63" s="64">
        <f t="shared" si="1292"/>
        <v>4400</v>
      </c>
      <c r="HR63" s="65"/>
      <c r="HS63" s="63"/>
      <c r="HT63" s="64">
        <f t="shared" si="1293"/>
        <v>0</v>
      </c>
      <c r="HU63" s="65">
        <v>100</v>
      </c>
      <c r="HV63" s="63"/>
      <c r="HW63" s="64">
        <f t="shared" si="1294"/>
        <v>100</v>
      </c>
      <c r="HX63" s="66">
        <f t="shared" si="91"/>
        <v>4500</v>
      </c>
      <c r="HY63" s="67">
        <f t="shared" si="1295"/>
        <v>0</v>
      </c>
      <c r="HZ63" s="64">
        <f t="shared" si="1296"/>
        <v>4500</v>
      </c>
      <c r="IA63" s="62">
        <v>9864.5</v>
      </c>
      <c r="IB63" s="63"/>
      <c r="IC63" s="64">
        <f t="shared" si="1297"/>
        <v>9864.5</v>
      </c>
      <c r="ID63" s="65"/>
      <c r="IE63" s="63"/>
      <c r="IF63" s="64">
        <f t="shared" si="1298"/>
        <v>0</v>
      </c>
      <c r="IG63" s="65"/>
      <c r="IH63" s="63"/>
      <c r="II63" s="64">
        <f t="shared" si="1299"/>
        <v>0</v>
      </c>
      <c r="IJ63" s="65">
        <v>100</v>
      </c>
      <c r="IK63" s="63"/>
      <c r="IL63" s="64">
        <f t="shared" si="1300"/>
        <v>100</v>
      </c>
      <c r="IM63" s="66">
        <f t="shared" si="98"/>
        <v>9964.5</v>
      </c>
      <c r="IN63" s="67">
        <f t="shared" si="1301"/>
        <v>0</v>
      </c>
      <c r="IO63" s="64">
        <f t="shared" si="1302"/>
        <v>9964.5</v>
      </c>
      <c r="IP63" s="62">
        <v>5000</v>
      </c>
      <c r="IQ63" s="63"/>
      <c r="IR63" s="64">
        <f t="shared" si="1303"/>
        <v>5000</v>
      </c>
      <c r="IS63" s="65"/>
      <c r="IT63" s="63"/>
      <c r="IU63" s="64">
        <f t="shared" si="1304"/>
        <v>0</v>
      </c>
      <c r="IV63" s="65"/>
      <c r="IW63" s="63"/>
      <c r="IX63" s="64">
        <f t="shared" si="1305"/>
        <v>0</v>
      </c>
      <c r="IY63" s="65"/>
      <c r="IZ63" s="63"/>
      <c r="JA63" s="64">
        <f t="shared" si="1306"/>
        <v>0</v>
      </c>
      <c r="JB63" s="66">
        <f t="shared" si="105"/>
        <v>5000</v>
      </c>
      <c r="JC63" s="67">
        <f t="shared" si="1307"/>
        <v>0</v>
      </c>
      <c r="JD63" s="64">
        <f t="shared" si="1308"/>
        <v>5000</v>
      </c>
      <c r="JE63" s="72"/>
      <c r="JF63" s="150"/>
      <c r="JG63" s="74"/>
      <c r="JH63" s="75"/>
      <c r="JI63" s="150"/>
      <c r="JJ63" s="74"/>
      <c r="JK63" s="75"/>
      <c r="JL63" s="150"/>
      <c r="JM63" s="74"/>
      <c r="JN63" s="75"/>
      <c r="JO63" s="150"/>
      <c r="JP63" s="74"/>
      <c r="JQ63" s="76"/>
      <c r="JR63" s="77"/>
      <c r="JS63" s="74"/>
      <c r="JT63" s="72"/>
      <c r="JU63" s="73"/>
      <c r="JV63" s="74"/>
      <c r="JW63" s="75"/>
      <c r="JX63" s="73"/>
      <c r="JY63" s="74"/>
      <c r="JZ63" s="75"/>
      <c r="KA63" s="73"/>
      <c r="KB63" s="74"/>
      <c r="KC63" s="75"/>
      <c r="KD63" s="73"/>
      <c r="KE63" s="74"/>
      <c r="KF63" s="76"/>
      <c r="KG63" s="77"/>
      <c r="KH63" s="64">
        <f t="shared" si="1309"/>
        <v>0</v>
      </c>
      <c r="KI63" s="62">
        <v>50000</v>
      </c>
      <c r="KJ63" s="63"/>
      <c r="KK63" s="64">
        <f t="shared" si="1310"/>
        <v>50000</v>
      </c>
      <c r="KL63" s="65"/>
      <c r="KM63" s="63"/>
      <c r="KN63" s="64">
        <f t="shared" si="1311"/>
        <v>0</v>
      </c>
      <c r="KO63" s="65"/>
      <c r="KP63" s="63"/>
      <c r="KQ63" s="64">
        <f t="shared" si="1312"/>
        <v>0</v>
      </c>
      <c r="KR63" s="65"/>
      <c r="KS63" s="63"/>
      <c r="KT63" s="64">
        <f t="shared" si="1313"/>
        <v>0</v>
      </c>
      <c r="KU63" s="66">
        <f t="shared" si="1"/>
        <v>50000</v>
      </c>
      <c r="KV63" s="67">
        <f t="shared" si="1314"/>
        <v>0</v>
      </c>
      <c r="KW63" s="64">
        <f t="shared" si="1315"/>
        <v>50000</v>
      </c>
      <c r="KX63" s="72"/>
      <c r="KY63" s="73"/>
      <c r="KZ63" s="74"/>
      <c r="LA63" s="75"/>
      <c r="LB63" s="73"/>
      <c r="LC63" s="74"/>
      <c r="LD63" s="75"/>
      <c r="LE63" s="73"/>
      <c r="LF63" s="74"/>
      <c r="LG63" s="75"/>
      <c r="LH63" s="73"/>
      <c r="LI63" s="74"/>
      <c r="LJ63" s="76"/>
      <c r="LK63" s="77"/>
      <c r="LL63" s="74"/>
      <c r="LM63" s="62">
        <v>9300</v>
      </c>
      <c r="LN63" s="63"/>
      <c r="LO63" s="64">
        <f t="shared" si="1316"/>
        <v>9300</v>
      </c>
      <c r="LP63" s="65"/>
      <c r="LQ63" s="63"/>
      <c r="LR63" s="64">
        <f t="shared" si="1317"/>
        <v>0</v>
      </c>
      <c r="LS63" s="65"/>
      <c r="LT63" s="63"/>
      <c r="LU63" s="64">
        <f t="shared" si="1318"/>
        <v>0</v>
      </c>
      <c r="LV63" s="65">
        <v>100</v>
      </c>
      <c r="LW63" s="63"/>
      <c r="LX63" s="64">
        <f t="shared" si="1319"/>
        <v>100</v>
      </c>
      <c r="LY63" s="66">
        <f t="shared" si="124"/>
        <v>9400</v>
      </c>
      <c r="LZ63" s="67">
        <f t="shared" si="1320"/>
        <v>0</v>
      </c>
      <c r="MA63" s="64">
        <f t="shared" si="1321"/>
        <v>9400</v>
      </c>
      <c r="MB63" s="62">
        <f>6*650</f>
        <v>3900</v>
      </c>
      <c r="MC63" s="63"/>
      <c r="MD63" s="64">
        <f t="shared" si="1322"/>
        <v>3900</v>
      </c>
      <c r="ME63" s="65">
        <v>889.11</v>
      </c>
      <c r="MF63" s="63"/>
      <c r="MG63" s="64">
        <f t="shared" si="1323"/>
        <v>889.11</v>
      </c>
      <c r="MH63" s="65"/>
      <c r="MI63" s="63"/>
      <c r="MJ63" s="64">
        <f t="shared" si="1324"/>
        <v>0</v>
      </c>
      <c r="MK63" s="65">
        <v>100</v>
      </c>
      <c r="ML63" s="63"/>
      <c r="MM63" s="64">
        <f t="shared" si="1325"/>
        <v>100</v>
      </c>
      <c r="MN63" s="66">
        <f t="shared" si="131"/>
        <v>4889.1099999999997</v>
      </c>
      <c r="MO63" s="67">
        <f t="shared" si="1326"/>
        <v>0</v>
      </c>
      <c r="MP63" s="64">
        <f t="shared" si="1327"/>
        <v>4889.1099999999997</v>
      </c>
      <c r="MQ63" s="62">
        <v>9100</v>
      </c>
      <c r="MR63" s="63"/>
      <c r="MS63" s="64">
        <f t="shared" si="1328"/>
        <v>9100</v>
      </c>
      <c r="MT63" s="65"/>
      <c r="MU63" s="63"/>
      <c r="MV63" s="64">
        <f t="shared" si="1329"/>
        <v>0</v>
      </c>
      <c r="MW63" s="65"/>
      <c r="MX63" s="63"/>
      <c r="MY63" s="64">
        <f t="shared" si="1330"/>
        <v>0</v>
      </c>
      <c r="MZ63" s="65"/>
      <c r="NA63" s="63"/>
      <c r="NB63" s="64">
        <f t="shared" si="1331"/>
        <v>0</v>
      </c>
      <c r="NC63" s="66">
        <f t="shared" si="138"/>
        <v>9100</v>
      </c>
      <c r="ND63" s="67">
        <f t="shared" si="1332"/>
        <v>0</v>
      </c>
      <c r="NE63" s="64">
        <f t="shared" si="1333"/>
        <v>9100</v>
      </c>
      <c r="NF63" s="62">
        <v>6000</v>
      </c>
      <c r="NG63" s="63"/>
      <c r="NH63" s="64">
        <f t="shared" si="1334"/>
        <v>6000</v>
      </c>
      <c r="NI63" s="65">
        <v>1164.04</v>
      </c>
      <c r="NJ63" s="63"/>
      <c r="NK63" s="64">
        <f t="shared" si="1335"/>
        <v>1164.04</v>
      </c>
      <c r="NL63" s="65"/>
      <c r="NM63" s="63"/>
      <c r="NN63" s="64">
        <f t="shared" si="1336"/>
        <v>0</v>
      </c>
      <c r="NO63" s="65">
        <v>100</v>
      </c>
      <c r="NP63" s="63"/>
      <c r="NQ63" s="64">
        <f t="shared" si="1337"/>
        <v>100</v>
      </c>
      <c r="NR63" s="66">
        <f t="shared" si="145"/>
        <v>7264.04</v>
      </c>
      <c r="NS63" s="67">
        <f t="shared" si="1338"/>
        <v>0</v>
      </c>
      <c r="NT63" s="64">
        <f t="shared" si="1339"/>
        <v>7264.04</v>
      </c>
      <c r="NU63" s="62">
        <f>6*864</f>
        <v>5184</v>
      </c>
      <c r="NV63" s="63"/>
      <c r="NW63" s="64">
        <f t="shared" si="1340"/>
        <v>5184</v>
      </c>
      <c r="NX63" s="65">
        <v>1152.73</v>
      </c>
      <c r="NY63" s="63"/>
      <c r="NZ63" s="64">
        <f t="shared" si="1341"/>
        <v>1152.73</v>
      </c>
      <c r="OA63" s="65"/>
      <c r="OB63" s="63"/>
      <c r="OC63" s="64">
        <f t="shared" si="1342"/>
        <v>0</v>
      </c>
      <c r="OD63" s="65">
        <v>100</v>
      </c>
      <c r="OE63" s="63"/>
      <c r="OF63" s="64">
        <f t="shared" si="1343"/>
        <v>100</v>
      </c>
      <c r="OG63" s="66">
        <f t="shared" si="152"/>
        <v>6436.73</v>
      </c>
      <c r="OH63" s="67">
        <f t="shared" si="1344"/>
        <v>0</v>
      </c>
      <c r="OI63" s="64">
        <f t="shared" si="1345"/>
        <v>6436.73</v>
      </c>
      <c r="OJ63" s="62"/>
      <c r="OK63" s="63"/>
      <c r="OL63" s="64">
        <f t="shared" si="1346"/>
        <v>0</v>
      </c>
      <c r="OM63" s="65"/>
      <c r="ON63" s="63"/>
      <c r="OO63" s="64">
        <f t="shared" si="1347"/>
        <v>0</v>
      </c>
      <c r="OP63" s="65"/>
      <c r="OQ63" s="63"/>
      <c r="OR63" s="64">
        <f t="shared" si="1348"/>
        <v>0</v>
      </c>
      <c r="OS63" s="65">
        <v>100</v>
      </c>
      <c r="OT63" s="63"/>
      <c r="OU63" s="64">
        <f t="shared" si="1349"/>
        <v>100</v>
      </c>
      <c r="OV63" s="66">
        <f t="shared" si="159"/>
        <v>100</v>
      </c>
      <c r="OW63" s="67">
        <f t="shared" si="1350"/>
        <v>0</v>
      </c>
      <c r="OX63" s="64">
        <f t="shared" si="1351"/>
        <v>100</v>
      </c>
      <c r="OY63" s="62">
        <v>15800</v>
      </c>
      <c r="OZ63" s="63"/>
      <c r="PA63" s="64">
        <f t="shared" si="1352"/>
        <v>15800</v>
      </c>
      <c r="PB63" s="65"/>
      <c r="PC63" s="63"/>
      <c r="PD63" s="64">
        <f t="shared" si="1353"/>
        <v>0</v>
      </c>
      <c r="PE63" s="65"/>
      <c r="PF63" s="63"/>
      <c r="PG63" s="64">
        <f t="shared" si="1354"/>
        <v>0</v>
      </c>
      <c r="PH63" s="65">
        <v>100</v>
      </c>
      <c r="PI63" s="63"/>
      <c r="PJ63" s="64">
        <f t="shared" si="1355"/>
        <v>100</v>
      </c>
      <c r="PK63" s="66">
        <f t="shared" si="166"/>
        <v>15900</v>
      </c>
      <c r="PL63" s="67">
        <f t="shared" si="1356"/>
        <v>0</v>
      </c>
      <c r="PM63" s="64">
        <f t="shared" si="1357"/>
        <v>15900</v>
      </c>
      <c r="PN63" s="62">
        <v>1550</v>
      </c>
      <c r="PO63" s="63"/>
      <c r="PP63" s="64">
        <f t="shared" si="1358"/>
        <v>1550</v>
      </c>
      <c r="PQ63" s="65"/>
      <c r="PR63" s="63"/>
      <c r="PS63" s="64">
        <f t="shared" si="1359"/>
        <v>0</v>
      </c>
      <c r="PT63" s="65"/>
      <c r="PU63" s="63"/>
      <c r="PV63" s="64">
        <f t="shared" si="1360"/>
        <v>0</v>
      </c>
      <c r="PW63" s="65">
        <v>100</v>
      </c>
      <c r="PX63" s="63"/>
      <c r="PY63" s="64">
        <f t="shared" si="1361"/>
        <v>100</v>
      </c>
      <c r="PZ63" s="66">
        <f t="shared" si="173"/>
        <v>1650</v>
      </c>
      <c r="QA63" s="67">
        <f t="shared" si="1362"/>
        <v>0</v>
      </c>
      <c r="QB63" s="64">
        <f t="shared" si="1363"/>
        <v>1650</v>
      </c>
      <c r="QC63" s="62">
        <v>9000</v>
      </c>
      <c r="QD63" s="63"/>
      <c r="QE63" s="64">
        <f t="shared" si="1364"/>
        <v>9000</v>
      </c>
      <c r="QF63" s="65"/>
      <c r="QG63" s="63"/>
      <c r="QH63" s="64">
        <f t="shared" si="1365"/>
        <v>0</v>
      </c>
      <c r="QI63" s="65"/>
      <c r="QJ63" s="63"/>
      <c r="QK63" s="64">
        <f t="shared" si="1366"/>
        <v>0</v>
      </c>
      <c r="QL63" s="65">
        <v>100</v>
      </c>
      <c r="QM63" s="63"/>
      <c r="QN63" s="64">
        <f t="shared" si="1367"/>
        <v>100</v>
      </c>
      <c r="QO63" s="66">
        <f t="shared" si="180"/>
        <v>9100</v>
      </c>
      <c r="QP63" s="67">
        <f t="shared" si="1368"/>
        <v>0</v>
      </c>
      <c r="QQ63" s="64">
        <f t="shared" si="1369"/>
        <v>9100</v>
      </c>
      <c r="QR63" s="74"/>
      <c r="QS63" s="74"/>
      <c r="QT63" s="72"/>
      <c r="QU63" s="73"/>
      <c r="QV63" s="74"/>
      <c r="QW63" s="75"/>
      <c r="QX63" s="73"/>
      <c r="QY63" s="74"/>
      <c r="QZ63" s="75"/>
      <c r="RA63" s="73"/>
      <c r="RB63" s="74"/>
      <c r="RC63" s="75"/>
      <c r="RD63" s="73"/>
      <c r="RE63" s="74"/>
      <c r="RF63" s="74"/>
      <c r="RG63" s="72"/>
      <c r="RH63" s="73"/>
      <c r="RI63" s="74"/>
      <c r="RJ63" s="75"/>
      <c r="RK63" s="73"/>
      <c r="RL63" s="74"/>
      <c r="RM63" s="75"/>
      <c r="RN63" s="73"/>
      <c r="RO63" s="74"/>
      <c r="RP63" s="75"/>
      <c r="RQ63" s="73"/>
      <c r="RR63" s="74"/>
      <c r="RS63" s="76"/>
      <c r="RT63" s="77"/>
      <c r="RU63" s="74"/>
      <c r="RV63" s="74"/>
      <c r="RW63" s="72"/>
      <c r="RX63" s="73"/>
      <c r="RY63" s="74"/>
      <c r="RZ63" s="75"/>
      <c r="SA63" s="73"/>
      <c r="SB63" s="74"/>
      <c r="SC63" s="75"/>
      <c r="SD63" s="73"/>
      <c r="SE63" s="74"/>
      <c r="SF63" s="75"/>
      <c r="SG63" s="73"/>
      <c r="SH63" s="74"/>
      <c r="SI63" s="76"/>
      <c r="SJ63" s="64">
        <f t="shared" si="1370"/>
        <v>0</v>
      </c>
      <c r="SK63" s="62"/>
      <c r="SL63" s="63"/>
      <c r="SM63" s="64">
        <f t="shared" si="1371"/>
        <v>0</v>
      </c>
      <c r="SN63" s="65"/>
      <c r="SO63" s="63"/>
      <c r="SP63" s="64">
        <f t="shared" si="1372"/>
        <v>0</v>
      </c>
      <c r="SQ63" s="65"/>
      <c r="SR63" s="63"/>
      <c r="SS63" s="64">
        <f t="shared" si="1373"/>
        <v>0</v>
      </c>
      <c r="ST63" s="65">
        <v>100</v>
      </c>
      <c r="SU63" s="63"/>
      <c r="SV63" s="64">
        <f t="shared" si="1374"/>
        <v>100</v>
      </c>
      <c r="SW63" s="66">
        <f t="shared" si="208"/>
        <v>100</v>
      </c>
      <c r="SX63" s="67">
        <f t="shared" si="1375"/>
        <v>0</v>
      </c>
      <c r="SY63" s="64">
        <f t="shared" si="1376"/>
        <v>100</v>
      </c>
      <c r="SZ63" s="62">
        <v>985.33</v>
      </c>
      <c r="TA63" s="63"/>
      <c r="TB63" s="64">
        <f t="shared" si="1377"/>
        <v>985.33</v>
      </c>
      <c r="TC63" s="65">
        <v>700.9</v>
      </c>
      <c r="TD63" s="63"/>
      <c r="TE63" s="64">
        <f t="shared" si="1378"/>
        <v>700.9</v>
      </c>
      <c r="TF63" s="65"/>
      <c r="TG63" s="63"/>
      <c r="TH63" s="64">
        <f t="shared" si="1379"/>
        <v>0</v>
      </c>
      <c r="TI63" s="65">
        <v>100</v>
      </c>
      <c r="TJ63" s="63"/>
      <c r="TK63" s="64">
        <f t="shared" si="1380"/>
        <v>100</v>
      </c>
      <c r="TL63" s="66">
        <f t="shared" si="215"/>
        <v>1786.23</v>
      </c>
      <c r="TM63" s="67">
        <f t="shared" si="1381"/>
        <v>0</v>
      </c>
      <c r="TN63" s="64">
        <f t="shared" si="1382"/>
        <v>1786.23</v>
      </c>
      <c r="TO63" s="62"/>
      <c r="TP63" s="63"/>
      <c r="TQ63" s="64">
        <f t="shared" si="1383"/>
        <v>0</v>
      </c>
      <c r="TR63" s="65"/>
      <c r="TS63" s="63"/>
      <c r="TT63" s="64">
        <f t="shared" si="1384"/>
        <v>0</v>
      </c>
      <c r="TU63" s="65"/>
      <c r="TV63" s="63"/>
      <c r="TW63" s="64">
        <f t="shared" si="1385"/>
        <v>0</v>
      </c>
      <c r="TX63" s="65">
        <v>100</v>
      </c>
      <c r="TY63" s="63"/>
      <c r="TZ63" s="64">
        <f t="shared" si="1386"/>
        <v>100</v>
      </c>
      <c r="UA63" s="66">
        <f t="shared" si="222"/>
        <v>100</v>
      </c>
      <c r="UB63" s="67">
        <f t="shared" si="1387"/>
        <v>0</v>
      </c>
      <c r="UC63" s="64">
        <f t="shared" si="1388"/>
        <v>100</v>
      </c>
      <c r="UD63" s="62">
        <v>6750</v>
      </c>
      <c r="UE63" s="63"/>
      <c r="UF63" s="64">
        <f t="shared" si="1389"/>
        <v>6750</v>
      </c>
      <c r="UG63" s="65">
        <v>497.04</v>
      </c>
      <c r="UH63" s="63"/>
      <c r="UI63" s="64">
        <f t="shared" si="1390"/>
        <v>497.04</v>
      </c>
      <c r="UJ63" s="65"/>
      <c r="UK63" s="63"/>
      <c r="UL63" s="64">
        <f t="shared" si="1391"/>
        <v>0</v>
      </c>
      <c r="UM63" s="65">
        <v>100</v>
      </c>
      <c r="UN63" s="63"/>
      <c r="UO63" s="64">
        <f t="shared" si="1392"/>
        <v>100</v>
      </c>
      <c r="UP63" s="66">
        <f t="shared" si="226"/>
        <v>7347.04</v>
      </c>
      <c r="UQ63" s="67">
        <f t="shared" si="1393"/>
        <v>0</v>
      </c>
      <c r="UR63" s="64">
        <f t="shared" si="1394"/>
        <v>7347.04</v>
      </c>
      <c r="US63" s="74"/>
      <c r="UT63" s="72"/>
      <c r="UU63" s="73"/>
      <c r="UV63" s="74"/>
      <c r="UW63" s="75"/>
      <c r="UX63" s="73"/>
      <c r="UY63" s="74"/>
      <c r="UZ63" s="75"/>
      <c r="VA63" s="73"/>
      <c r="VB63" s="74"/>
      <c r="VC63" s="75"/>
      <c r="VD63" s="73"/>
      <c r="VE63" s="74"/>
      <c r="VF63" s="76"/>
      <c r="VG63" s="77"/>
      <c r="VH63" s="62"/>
      <c r="VI63" s="63"/>
      <c r="VJ63" s="64">
        <f t="shared" si="1395"/>
        <v>0</v>
      </c>
      <c r="VK63" s="65"/>
      <c r="VL63" s="63"/>
      <c r="VM63" s="64">
        <f t="shared" si="1396"/>
        <v>0</v>
      </c>
      <c r="VN63" s="65"/>
      <c r="VO63" s="63"/>
      <c r="VP63" s="64">
        <f t="shared" si="1397"/>
        <v>0</v>
      </c>
      <c r="VQ63" s="65">
        <v>100</v>
      </c>
      <c r="VR63" s="63"/>
      <c r="VS63" s="64">
        <f t="shared" si="1398"/>
        <v>100</v>
      </c>
      <c r="VT63" s="66">
        <f t="shared" si="240"/>
        <v>100</v>
      </c>
      <c r="VU63" s="67">
        <f t="shared" si="1399"/>
        <v>0</v>
      </c>
      <c r="VV63" s="64">
        <f t="shared" si="1400"/>
        <v>100</v>
      </c>
      <c r="VW63" s="74"/>
      <c r="VX63" s="72"/>
      <c r="VY63" s="73"/>
      <c r="VZ63" s="74"/>
      <c r="WA63" s="75"/>
      <c r="WB63" s="73"/>
      <c r="WC63" s="74"/>
      <c r="WD63" s="75"/>
      <c r="WE63" s="73"/>
      <c r="WF63" s="74"/>
      <c r="WG63" s="75"/>
      <c r="WH63" s="73"/>
      <c r="WI63" s="74"/>
      <c r="WJ63" s="76"/>
      <c r="WK63" s="77"/>
      <c r="WL63" s="74"/>
      <c r="WM63" s="72"/>
      <c r="WN63" s="73"/>
      <c r="WO63" s="74"/>
      <c r="WP63" s="75"/>
      <c r="WQ63" s="73"/>
      <c r="WR63" s="74"/>
      <c r="WS63" s="75"/>
      <c r="WT63" s="73"/>
      <c r="WU63" s="74"/>
      <c r="WV63" s="75"/>
      <c r="WW63" s="73"/>
      <c r="WX63" s="74"/>
      <c r="WY63" s="76"/>
      <c r="WZ63" s="77"/>
      <c r="XA63" s="74"/>
      <c r="XB63" s="72"/>
      <c r="XC63" s="73"/>
      <c r="XD63" s="74"/>
      <c r="XE63" s="75"/>
      <c r="XF63" s="73"/>
      <c r="XG63" s="74"/>
      <c r="XH63" s="75"/>
      <c r="XI63" s="73"/>
      <c r="XJ63" s="74"/>
      <c r="XK63" s="75"/>
      <c r="XL63" s="73"/>
      <c r="XM63" s="74"/>
      <c r="XN63" s="76"/>
      <c r="XO63" s="77"/>
      <c r="XP63" s="62">
        <v>5202</v>
      </c>
      <c r="XQ63" s="63"/>
      <c r="XR63" s="64">
        <f t="shared" si="1401"/>
        <v>5202</v>
      </c>
      <c r="XS63" s="65">
        <v>844.24</v>
      </c>
      <c r="XT63" s="63"/>
      <c r="XU63" s="64">
        <f t="shared" si="1402"/>
        <v>844.24</v>
      </c>
      <c r="XV63" s="65"/>
      <c r="XW63" s="63"/>
      <c r="XX63" s="64">
        <f t="shared" si="1403"/>
        <v>0</v>
      </c>
      <c r="XY63" s="65">
        <v>100</v>
      </c>
      <c r="XZ63" s="63"/>
      <c r="YA63" s="64">
        <f t="shared" si="1404"/>
        <v>100</v>
      </c>
      <c r="YB63" s="66">
        <f t="shared" si="268"/>
        <v>6146.24</v>
      </c>
      <c r="YC63" s="67">
        <f t="shared" si="1405"/>
        <v>0</v>
      </c>
      <c r="YD63" s="64">
        <f t="shared" si="1406"/>
        <v>6146.24</v>
      </c>
      <c r="YE63" s="62">
        <v>5340</v>
      </c>
      <c r="YF63" s="63"/>
      <c r="YG63" s="64">
        <f t="shared" si="1407"/>
        <v>5340</v>
      </c>
      <c r="YH63" s="65">
        <v>847.85</v>
      </c>
      <c r="YI63" s="63"/>
      <c r="YJ63" s="64">
        <f t="shared" si="1408"/>
        <v>847.85</v>
      </c>
      <c r="YK63" s="65"/>
      <c r="YL63" s="63"/>
      <c r="YM63" s="64">
        <f t="shared" si="1409"/>
        <v>0</v>
      </c>
      <c r="YN63" s="65">
        <v>100</v>
      </c>
      <c r="YO63" s="63"/>
      <c r="YP63" s="64">
        <f t="shared" si="1410"/>
        <v>100</v>
      </c>
      <c r="YQ63" s="66">
        <f t="shared" si="275"/>
        <v>6287.85</v>
      </c>
      <c r="YR63" s="67">
        <f t="shared" si="1411"/>
        <v>0</v>
      </c>
      <c r="YS63" s="64">
        <f t="shared" si="1412"/>
        <v>6287.85</v>
      </c>
      <c r="YT63" s="62">
        <v>5592</v>
      </c>
      <c r="YU63" s="63"/>
      <c r="YV63" s="64">
        <f t="shared" si="1413"/>
        <v>5592</v>
      </c>
      <c r="YW63" s="65">
        <v>695.73</v>
      </c>
      <c r="YX63" s="63"/>
      <c r="YY63" s="64">
        <f t="shared" si="1414"/>
        <v>695.73</v>
      </c>
      <c r="YZ63" s="65"/>
      <c r="ZA63" s="63"/>
      <c r="ZB63" s="64">
        <f t="shared" si="1415"/>
        <v>0</v>
      </c>
      <c r="ZC63" s="65">
        <v>100</v>
      </c>
      <c r="ZD63" s="63"/>
      <c r="ZE63" s="64">
        <f t="shared" si="1416"/>
        <v>100</v>
      </c>
      <c r="ZF63" s="66">
        <f t="shared" si="282"/>
        <v>6387.73</v>
      </c>
      <c r="ZG63" s="67">
        <f t="shared" si="1417"/>
        <v>0</v>
      </c>
      <c r="ZH63" s="74"/>
      <c r="ZI63" s="72"/>
      <c r="ZJ63" s="73"/>
      <c r="ZK63" s="74"/>
      <c r="ZL63" s="75"/>
      <c r="ZM63" s="73"/>
      <c r="ZN63" s="74"/>
      <c r="ZO63" s="75"/>
      <c r="ZP63" s="73"/>
      <c r="ZQ63" s="74"/>
      <c r="ZR63" s="75"/>
      <c r="ZS63" s="73"/>
      <c r="ZT63" s="74"/>
      <c r="ZU63" s="76"/>
      <c r="ZV63" s="77"/>
      <c r="ZW63" s="64">
        <f t="shared" si="1418"/>
        <v>0</v>
      </c>
      <c r="ZX63" s="62">
        <v>24.71</v>
      </c>
      <c r="ZY63" s="63"/>
      <c r="ZZ63" s="64">
        <f t="shared" si="1419"/>
        <v>24.71</v>
      </c>
      <c r="AAA63" s="66">
        <f t="shared" si="293"/>
        <v>24.71</v>
      </c>
      <c r="AAB63" s="67">
        <f t="shared" si="293"/>
        <v>0</v>
      </c>
      <c r="AAC63" s="64">
        <f t="shared" si="1420"/>
        <v>24.71</v>
      </c>
      <c r="AAD63" s="85">
        <f t="shared" si="295"/>
        <v>442449.255</v>
      </c>
      <c r="AAE63" s="86">
        <f t="shared" si="295"/>
        <v>0</v>
      </c>
      <c r="AAF63" s="87">
        <f t="shared" si="3"/>
        <v>0</v>
      </c>
      <c r="AAG63" s="88">
        <f t="shared" si="1421"/>
        <v>-442449.255</v>
      </c>
      <c r="AAH63" s="89">
        <f>W69+AL69+BA69+BP69+CE69+CT69+DI69+DX69+EM69+FB69+FQ69+GF69+GU69+HJ69+HY69+IN69+JC69+JR69+KG69+KV69+LZ69+MO69+ND69+NS69+OH69+OW69+PL69+QA69+QP69+RE69+RT69+SI69+TM69+UB69+UQ69+VF69+VU69+WJ69+WY69+XN69+YC69+YR69+ZG69+ZV69+AAB69</f>
        <v>302.97000000000003</v>
      </c>
      <c r="AAI63" s="92"/>
      <c r="AAJ63" s="92"/>
      <c r="AAK63" s="60"/>
    </row>
    <row r="64" spans="1:713" s="83" customFormat="1" ht="20" customHeight="1" x14ac:dyDescent="0.2">
      <c r="A64" s="152"/>
      <c r="B64" s="93"/>
      <c r="C64" s="90"/>
      <c r="D64" s="90"/>
      <c r="E64" s="60"/>
      <c r="F64" s="61">
        <v>46235</v>
      </c>
      <c r="G64" s="62">
        <f>371675.99/2</f>
        <v>185837.995</v>
      </c>
      <c r="H64" s="63"/>
      <c r="I64" s="64">
        <f t="shared" si="1217"/>
        <v>185837.995</v>
      </c>
      <c r="J64" s="65">
        <v>2157.52</v>
      </c>
      <c r="K64" s="63"/>
      <c r="L64" s="64">
        <f t="shared" si="1218"/>
        <v>2157.52</v>
      </c>
      <c r="M64" s="65">
        <v>2500</v>
      </c>
      <c r="N64" s="63"/>
      <c r="O64" s="64">
        <f t="shared" si="1219"/>
        <v>2500</v>
      </c>
      <c r="P64" s="65">
        <v>1500</v>
      </c>
      <c r="Q64" s="63"/>
      <c r="R64" s="64">
        <f t="shared" si="1220"/>
        <v>1500</v>
      </c>
      <c r="S64" s="65">
        <v>362</v>
      </c>
      <c r="T64" s="63"/>
      <c r="U64" s="64">
        <f t="shared" si="1221"/>
        <v>362</v>
      </c>
      <c r="V64" s="66">
        <f t="shared" si="1222"/>
        <v>192357.51499999998</v>
      </c>
      <c r="W64" s="67">
        <f t="shared" si="1222"/>
        <v>0</v>
      </c>
      <c r="X64" s="64">
        <f t="shared" si="1223"/>
        <v>192357.51499999998</v>
      </c>
      <c r="Y64" s="72"/>
      <c r="Z64" s="73"/>
      <c r="AA64" s="74"/>
      <c r="AB64" s="75"/>
      <c r="AC64" s="73"/>
      <c r="AD64" s="74"/>
      <c r="AE64" s="75"/>
      <c r="AF64" s="73"/>
      <c r="AG64" s="74"/>
      <c r="AH64" s="75"/>
      <c r="AI64" s="73"/>
      <c r="AJ64" s="74"/>
      <c r="AK64" s="76"/>
      <c r="AL64" s="77"/>
      <c r="AM64" s="64">
        <f t="shared" si="1224"/>
        <v>0</v>
      </c>
      <c r="AN64" s="62">
        <v>6250</v>
      </c>
      <c r="AO64" s="63"/>
      <c r="AP64" s="64">
        <f t="shared" si="1422"/>
        <v>6250</v>
      </c>
      <c r="AQ64" s="65"/>
      <c r="AR64" s="63"/>
      <c r="AS64" s="64">
        <f t="shared" si="1225"/>
        <v>0</v>
      </c>
      <c r="AT64" s="65">
        <v>12021.11</v>
      </c>
      <c r="AU64" s="63"/>
      <c r="AV64" s="64">
        <f t="shared" si="1226"/>
        <v>12021.11</v>
      </c>
      <c r="AW64" s="65"/>
      <c r="AX64" s="63"/>
      <c r="AY64" s="64">
        <f t="shared" si="1227"/>
        <v>0</v>
      </c>
      <c r="AZ64" s="66">
        <f t="shared" si="23"/>
        <v>18271.11</v>
      </c>
      <c r="BA64" s="67">
        <f t="shared" si="1228"/>
        <v>0</v>
      </c>
      <c r="BB64" s="64">
        <f t="shared" si="1229"/>
        <v>18271.11</v>
      </c>
      <c r="BC64" s="62">
        <v>6150</v>
      </c>
      <c r="BD64" s="63"/>
      <c r="BE64" s="64">
        <f t="shared" si="1230"/>
        <v>6150</v>
      </c>
      <c r="BF64" s="65"/>
      <c r="BG64" s="63"/>
      <c r="BH64" s="64">
        <f t="shared" si="1231"/>
        <v>0</v>
      </c>
      <c r="BI64" s="65"/>
      <c r="BJ64" s="63"/>
      <c r="BK64" s="64">
        <f t="shared" si="1232"/>
        <v>0</v>
      </c>
      <c r="BL64" s="65">
        <v>100</v>
      </c>
      <c r="BM64" s="63"/>
      <c r="BN64" s="64">
        <f t="shared" si="1233"/>
        <v>100</v>
      </c>
      <c r="BO64" s="66">
        <f t="shared" si="30"/>
        <v>6250</v>
      </c>
      <c r="BP64" s="67">
        <f t="shared" si="1234"/>
        <v>0</v>
      </c>
      <c r="BQ64" s="64">
        <f t="shared" si="1235"/>
        <v>6250</v>
      </c>
      <c r="BR64" s="72"/>
      <c r="BS64" s="73"/>
      <c r="BT64" s="74"/>
      <c r="BU64" s="75"/>
      <c r="BV64" s="73"/>
      <c r="BW64" s="74"/>
      <c r="BX64" s="75"/>
      <c r="BY64" s="73"/>
      <c r="BZ64" s="74"/>
      <c r="CA64" s="75"/>
      <c r="CB64" s="73"/>
      <c r="CC64" s="74"/>
      <c r="CD64" s="76"/>
      <c r="CE64" s="77"/>
      <c r="CF64" s="64">
        <f t="shared" si="1236"/>
        <v>0</v>
      </c>
      <c r="CG64" s="62">
        <v>5000</v>
      </c>
      <c r="CH64" s="63"/>
      <c r="CI64" s="64">
        <f t="shared" si="1237"/>
        <v>5000</v>
      </c>
      <c r="CJ64" s="65"/>
      <c r="CK64" s="63"/>
      <c r="CL64" s="64">
        <f t="shared" si="1238"/>
        <v>0</v>
      </c>
      <c r="CM64" s="65">
        <f>2739.5</f>
        <v>2739.5</v>
      </c>
      <c r="CN64" s="63"/>
      <c r="CO64" s="64">
        <f t="shared" si="1239"/>
        <v>2739.5</v>
      </c>
      <c r="CP64" s="65"/>
      <c r="CQ64" s="63"/>
      <c r="CR64" s="64">
        <f t="shared" si="1240"/>
        <v>0</v>
      </c>
      <c r="CS64" s="66">
        <f t="shared" si="40"/>
        <v>7739.5</v>
      </c>
      <c r="CT64" s="67">
        <f t="shared" si="1241"/>
        <v>0</v>
      </c>
      <c r="CU64" s="64">
        <f t="shared" si="1242"/>
        <v>7739.5</v>
      </c>
      <c r="CV64" s="62">
        <v>2916.7</v>
      </c>
      <c r="CW64" s="63"/>
      <c r="CX64" s="64">
        <f t="shared" si="1243"/>
        <v>2916.7</v>
      </c>
      <c r="CY64" s="65">
        <v>429.15</v>
      </c>
      <c r="CZ64" s="63"/>
      <c r="DA64" s="64">
        <f t="shared" si="1244"/>
        <v>429.15</v>
      </c>
      <c r="DB64" s="65"/>
      <c r="DC64" s="63"/>
      <c r="DD64" s="64">
        <f t="shared" si="1245"/>
        <v>0</v>
      </c>
      <c r="DE64" s="65"/>
      <c r="DF64" s="63"/>
      <c r="DG64" s="64">
        <f t="shared" si="1246"/>
        <v>0</v>
      </c>
      <c r="DH64" s="66">
        <f t="shared" si="43"/>
        <v>3345.85</v>
      </c>
      <c r="DI64" s="67">
        <f t="shared" si="1247"/>
        <v>0</v>
      </c>
      <c r="DJ64" s="64">
        <f t="shared" si="1248"/>
        <v>3345.85</v>
      </c>
      <c r="DK64" s="62">
        <v>2400</v>
      </c>
      <c r="DL64" s="63"/>
      <c r="DM64" s="64">
        <f t="shared" si="1249"/>
        <v>2400</v>
      </c>
      <c r="DN64" s="65">
        <v>913.08</v>
      </c>
      <c r="DO64" s="63"/>
      <c r="DP64" s="64">
        <f t="shared" si="1250"/>
        <v>913.08</v>
      </c>
      <c r="DQ64" s="65"/>
      <c r="DR64" s="63"/>
      <c r="DS64" s="64">
        <f t="shared" si="1251"/>
        <v>0</v>
      </c>
      <c r="DT64" s="65">
        <v>100</v>
      </c>
      <c r="DU64" s="63"/>
      <c r="DV64" s="64">
        <f t="shared" si="1252"/>
        <v>100</v>
      </c>
      <c r="DW64" s="66">
        <f t="shared" si="46"/>
        <v>3413.08</v>
      </c>
      <c r="DX64" s="67">
        <f t="shared" si="1253"/>
        <v>0</v>
      </c>
      <c r="DY64" s="64">
        <f t="shared" si="1254"/>
        <v>3413.08</v>
      </c>
      <c r="DZ64" s="62">
        <v>12000</v>
      </c>
      <c r="EA64" s="63"/>
      <c r="EB64" s="64">
        <f t="shared" si="1255"/>
        <v>12000</v>
      </c>
      <c r="EC64" s="65"/>
      <c r="ED64" s="63"/>
      <c r="EE64" s="64">
        <f t="shared" si="1256"/>
        <v>0</v>
      </c>
      <c r="EF64" s="65"/>
      <c r="EG64" s="63"/>
      <c r="EH64" s="64">
        <f t="shared" si="1257"/>
        <v>0</v>
      </c>
      <c r="EI64" s="65">
        <v>100</v>
      </c>
      <c r="EJ64" s="63"/>
      <c r="EK64" s="64">
        <f t="shared" si="1258"/>
        <v>100</v>
      </c>
      <c r="EL64" s="66">
        <f t="shared" si="53"/>
        <v>12100</v>
      </c>
      <c r="EM64" s="67">
        <f t="shared" si="1259"/>
        <v>0</v>
      </c>
      <c r="EN64" s="64">
        <f t="shared" si="1260"/>
        <v>12100</v>
      </c>
      <c r="EO64" s="62">
        <v>6150</v>
      </c>
      <c r="EP64" s="63"/>
      <c r="EQ64" s="64">
        <f t="shared" si="1261"/>
        <v>6150</v>
      </c>
      <c r="ER64" s="65"/>
      <c r="ES64" s="63"/>
      <c r="ET64" s="64">
        <f t="shared" si="1262"/>
        <v>0</v>
      </c>
      <c r="EU64" s="65"/>
      <c r="EV64" s="63"/>
      <c r="EW64" s="64">
        <f t="shared" si="1263"/>
        <v>0</v>
      </c>
      <c r="EX64" s="65">
        <v>100</v>
      </c>
      <c r="EY64" s="63"/>
      <c r="EZ64" s="64">
        <f t="shared" si="1264"/>
        <v>100</v>
      </c>
      <c r="FA64" s="66">
        <f t="shared" si="60"/>
        <v>6250</v>
      </c>
      <c r="FB64" s="67">
        <f t="shared" si="1265"/>
        <v>0</v>
      </c>
      <c r="FC64" s="64">
        <f t="shared" si="1266"/>
        <v>6250</v>
      </c>
      <c r="FD64" s="62">
        <v>6150</v>
      </c>
      <c r="FE64" s="63"/>
      <c r="FF64" s="64">
        <f t="shared" si="1267"/>
        <v>6150</v>
      </c>
      <c r="FG64" s="65"/>
      <c r="FH64" s="63"/>
      <c r="FI64" s="64">
        <f t="shared" si="1268"/>
        <v>0</v>
      </c>
      <c r="FJ64" s="65"/>
      <c r="FK64" s="63"/>
      <c r="FL64" s="64">
        <f t="shared" si="1269"/>
        <v>0</v>
      </c>
      <c r="FM64" s="65">
        <v>100</v>
      </c>
      <c r="FN64" s="63"/>
      <c r="FO64" s="64">
        <f t="shared" si="1270"/>
        <v>100</v>
      </c>
      <c r="FP64" s="66">
        <f t="shared" si="67"/>
        <v>6250</v>
      </c>
      <c r="FQ64" s="67">
        <f t="shared" si="1271"/>
        <v>0</v>
      </c>
      <c r="FR64" s="64">
        <f t="shared" si="1272"/>
        <v>6250</v>
      </c>
      <c r="FS64" s="62"/>
      <c r="FT64" s="63"/>
      <c r="FU64" s="64">
        <f t="shared" si="1273"/>
        <v>0</v>
      </c>
      <c r="FV64" s="65">
        <v>485.35</v>
      </c>
      <c r="FW64" s="63"/>
      <c r="FX64" s="64">
        <f t="shared" si="1274"/>
        <v>485.35</v>
      </c>
      <c r="FY64" s="65"/>
      <c r="FZ64" s="63"/>
      <c r="GA64" s="64">
        <f t="shared" si="1275"/>
        <v>0</v>
      </c>
      <c r="GB64" s="65"/>
      <c r="GC64" s="63"/>
      <c r="GD64" s="64">
        <f t="shared" si="1276"/>
        <v>0</v>
      </c>
      <c r="GE64" s="66">
        <f t="shared" si="74"/>
        <v>485.35</v>
      </c>
      <c r="GF64" s="67">
        <f t="shared" si="1277"/>
        <v>0</v>
      </c>
      <c r="GG64" s="64">
        <f t="shared" si="1278"/>
        <v>485.35</v>
      </c>
      <c r="GH64" s="62"/>
      <c r="GI64" s="63"/>
      <c r="GJ64" s="64">
        <f t="shared" si="1279"/>
        <v>0</v>
      </c>
      <c r="GK64" s="65">
        <v>660.33</v>
      </c>
      <c r="GL64" s="63"/>
      <c r="GM64" s="64">
        <f t="shared" si="1280"/>
        <v>660.33</v>
      </c>
      <c r="GN64" s="65"/>
      <c r="GO64" s="63"/>
      <c r="GP64" s="64">
        <f t="shared" si="1281"/>
        <v>0</v>
      </c>
      <c r="GQ64" s="65"/>
      <c r="GR64" s="63"/>
      <c r="GS64" s="64">
        <f t="shared" si="1282"/>
        <v>0</v>
      </c>
      <c r="GT64" s="66">
        <f t="shared" si="81"/>
        <v>660.33</v>
      </c>
      <c r="GU64" s="67">
        <f t="shared" si="1283"/>
        <v>0</v>
      </c>
      <c r="GV64" s="64">
        <f t="shared" si="1284"/>
        <v>660.33</v>
      </c>
      <c r="GW64" s="62">
        <v>13350</v>
      </c>
      <c r="GX64" s="63"/>
      <c r="GY64" s="64">
        <f t="shared" si="1285"/>
        <v>13350</v>
      </c>
      <c r="GZ64" s="65">
        <v>568.25</v>
      </c>
      <c r="HA64" s="63"/>
      <c r="HB64" s="64">
        <f t="shared" si="1286"/>
        <v>568.25</v>
      </c>
      <c r="HC64" s="65"/>
      <c r="HD64" s="63"/>
      <c r="HE64" s="64">
        <f t="shared" si="1287"/>
        <v>0</v>
      </c>
      <c r="HF64" s="65">
        <v>100</v>
      </c>
      <c r="HG64" s="63"/>
      <c r="HH64" s="64">
        <f t="shared" si="1288"/>
        <v>100</v>
      </c>
      <c r="HI64" s="66">
        <f t="shared" si="84"/>
        <v>14018.25</v>
      </c>
      <c r="HJ64" s="67">
        <f t="shared" si="1289"/>
        <v>0</v>
      </c>
      <c r="HK64" s="64">
        <f t="shared" si="1290"/>
        <v>14018.25</v>
      </c>
      <c r="HL64" s="62">
        <v>6150</v>
      </c>
      <c r="HM64" s="63"/>
      <c r="HN64" s="64">
        <f t="shared" si="1291"/>
        <v>6150</v>
      </c>
      <c r="HO64" s="65"/>
      <c r="HP64" s="63"/>
      <c r="HQ64" s="64">
        <f t="shared" si="1292"/>
        <v>0</v>
      </c>
      <c r="HR64" s="65"/>
      <c r="HS64" s="63"/>
      <c r="HT64" s="64">
        <f t="shared" si="1293"/>
        <v>0</v>
      </c>
      <c r="HU64" s="65">
        <v>100</v>
      </c>
      <c r="HV64" s="63"/>
      <c r="HW64" s="64">
        <f t="shared" si="1294"/>
        <v>100</v>
      </c>
      <c r="HX64" s="66">
        <f t="shared" si="91"/>
        <v>6250</v>
      </c>
      <c r="HY64" s="67">
        <f t="shared" si="1295"/>
        <v>0</v>
      </c>
      <c r="HZ64" s="64">
        <f t="shared" si="1296"/>
        <v>6250</v>
      </c>
      <c r="IA64" s="62">
        <f>9864.5</f>
        <v>9864.5</v>
      </c>
      <c r="IB64" s="63"/>
      <c r="IC64" s="64">
        <f t="shared" si="1297"/>
        <v>9864.5</v>
      </c>
      <c r="ID64" s="65"/>
      <c r="IE64" s="63"/>
      <c r="IF64" s="64">
        <f t="shared" si="1298"/>
        <v>0</v>
      </c>
      <c r="IG64" s="65"/>
      <c r="IH64" s="63"/>
      <c r="II64" s="64">
        <f t="shared" si="1299"/>
        <v>0</v>
      </c>
      <c r="IJ64" s="65">
        <v>100</v>
      </c>
      <c r="IK64" s="63"/>
      <c r="IL64" s="64">
        <f t="shared" si="1300"/>
        <v>100</v>
      </c>
      <c r="IM64" s="66">
        <f t="shared" si="98"/>
        <v>9964.5</v>
      </c>
      <c r="IN64" s="67">
        <f t="shared" si="1301"/>
        <v>0</v>
      </c>
      <c r="IO64" s="64">
        <f t="shared" si="1302"/>
        <v>9964.5</v>
      </c>
      <c r="IP64" s="62">
        <v>5000</v>
      </c>
      <c r="IQ64" s="63"/>
      <c r="IR64" s="64">
        <f t="shared" si="1303"/>
        <v>5000</v>
      </c>
      <c r="IS64" s="65"/>
      <c r="IT64" s="63"/>
      <c r="IU64" s="64">
        <f t="shared" si="1304"/>
        <v>0</v>
      </c>
      <c r="IV64" s="65">
        <v>2739.5</v>
      </c>
      <c r="IW64" s="63"/>
      <c r="IX64" s="64">
        <f t="shared" si="1305"/>
        <v>2739.5</v>
      </c>
      <c r="IY64" s="65"/>
      <c r="IZ64" s="63"/>
      <c r="JA64" s="64">
        <f t="shared" si="1306"/>
        <v>0</v>
      </c>
      <c r="JB64" s="66">
        <f t="shared" si="105"/>
        <v>7739.5</v>
      </c>
      <c r="JC64" s="67">
        <f t="shared" si="1307"/>
        <v>0</v>
      </c>
      <c r="JD64" s="64">
        <f t="shared" si="1308"/>
        <v>7739.5</v>
      </c>
      <c r="JE64" s="72"/>
      <c r="JF64" s="150"/>
      <c r="JG64" s="74"/>
      <c r="JH64" s="75"/>
      <c r="JI64" s="150"/>
      <c r="JJ64" s="74"/>
      <c r="JK64" s="75"/>
      <c r="JL64" s="150"/>
      <c r="JM64" s="74"/>
      <c r="JN64" s="75"/>
      <c r="JO64" s="150"/>
      <c r="JP64" s="74"/>
      <c r="JQ64" s="76"/>
      <c r="JR64" s="77"/>
      <c r="JS64" s="74"/>
      <c r="JT64" s="72"/>
      <c r="JU64" s="73"/>
      <c r="JV64" s="74"/>
      <c r="JW64" s="75"/>
      <c r="JX64" s="73"/>
      <c r="JY64" s="74"/>
      <c r="JZ64" s="75"/>
      <c r="KA64" s="73"/>
      <c r="KB64" s="74"/>
      <c r="KC64" s="75"/>
      <c r="KD64" s="73"/>
      <c r="KE64" s="74"/>
      <c r="KF64" s="76"/>
      <c r="KG64" s="77"/>
      <c r="KH64" s="64">
        <f t="shared" si="1309"/>
        <v>0</v>
      </c>
      <c r="KI64" s="62"/>
      <c r="KJ64" s="63"/>
      <c r="KK64" s="64">
        <f t="shared" si="1310"/>
        <v>0</v>
      </c>
      <c r="KL64" s="65"/>
      <c r="KM64" s="63"/>
      <c r="KN64" s="64">
        <f t="shared" si="1311"/>
        <v>0</v>
      </c>
      <c r="KO64" s="65"/>
      <c r="KP64" s="63"/>
      <c r="KQ64" s="64">
        <f t="shared" si="1312"/>
        <v>0</v>
      </c>
      <c r="KR64" s="65"/>
      <c r="KS64" s="63">
        <v>49.57</v>
      </c>
      <c r="KT64" s="64">
        <f t="shared" si="1313"/>
        <v>-49.57</v>
      </c>
      <c r="KU64" s="66">
        <f t="shared" si="1"/>
        <v>0</v>
      </c>
      <c r="KV64" s="67">
        <f t="shared" si="1314"/>
        <v>49.57</v>
      </c>
      <c r="KW64" s="64">
        <f t="shared" si="1315"/>
        <v>-49.57</v>
      </c>
      <c r="KX64" s="72"/>
      <c r="KY64" s="73"/>
      <c r="KZ64" s="74"/>
      <c r="LA64" s="75"/>
      <c r="LB64" s="73"/>
      <c r="LC64" s="74"/>
      <c r="LD64" s="75"/>
      <c r="LE64" s="73"/>
      <c r="LF64" s="74"/>
      <c r="LG64" s="75"/>
      <c r="LH64" s="73"/>
      <c r="LI64" s="74"/>
      <c r="LJ64" s="76"/>
      <c r="LK64" s="77"/>
      <c r="LL64" s="74"/>
      <c r="LM64" s="62">
        <v>9300</v>
      </c>
      <c r="LN64" s="63"/>
      <c r="LO64" s="64">
        <f t="shared" si="1316"/>
        <v>9300</v>
      </c>
      <c r="LP64" s="65"/>
      <c r="LQ64" s="63"/>
      <c r="LR64" s="64">
        <f t="shared" si="1317"/>
        <v>0</v>
      </c>
      <c r="LS64" s="65"/>
      <c r="LT64" s="63"/>
      <c r="LU64" s="64">
        <f t="shared" si="1318"/>
        <v>0</v>
      </c>
      <c r="LV64" s="65">
        <v>100</v>
      </c>
      <c r="LW64" s="63"/>
      <c r="LX64" s="64">
        <f t="shared" si="1319"/>
        <v>100</v>
      </c>
      <c r="LY64" s="66">
        <f t="shared" si="124"/>
        <v>9400</v>
      </c>
      <c r="LZ64" s="67">
        <f t="shared" si="1320"/>
        <v>0</v>
      </c>
      <c r="MA64" s="64">
        <f t="shared" si="1321"/>
        <v>9400</v>
      </c>
      <c r="MB64" s="62"/>
      <c r="MC64" s="63"/>
      <c r="MD64" s="64">
        <f t="shared" si="1322"/>
        <v>0</v>
      </c>
      <c r="ME64" s="65">
        <v>889.11</v>
      </c>
      <c r="MF64" s="63"/>
      <c r="MG64" s="64">
        <f t="shared" si="1323"/>
        <v>889.11</v>
      </c>
      <c r="MH64" s="65"/>
      <c r="MI64" s="63"/>
      <c r="MJ64" s="64">
        <f t="shared" si="1324"/>
        <v>0</v>
      </c>
      <c r="MK64" s="65">
        <v>100</v>
      </c>
      <c r="ML64" s="63"/>
      <c r="MM64" s="64">
        <f t="shared" si="1325"/>
        <v>100</v>
      </c>
      <c r="MN64" s="66">
        <f t="shared" si="131"/>
        <v>989.11</v>
      </c>
      <c r="MO64" s="67">
        <f t="shared" si="1326"/>
        <v>0</v>
      </c>
      <c r="MP64" s="64">
        <f t="shared" si="1327"/>
        <v>989.11</v>
      </c>
      <c r="MQ64" s="62"/>
      <c r="MR64" s="63"/>
      <c r="MS64" s="64">
        <f t="shared" si="1328"/>
        <v>0</v>
      </c>
      <c r="MT64" s="65"/>
      <c r="MU64" s="63"/>
      <c r="MV64" s="64">
        <f t="shared" si="1329"/>
        <v>0</v>
      </c>
      <c r="MW64" s="65"/>
      <c r="MX64" s="63"/>
      <c r="MY64" s="64">
        <f t="shared" si="1330"/>
        <v>0</v>
      </c>
      <c r="MZ64" s="65"/>
      <c r="NA64" s="63"/>
      <c r="NB64" s="64">
        <f t="shared" si="1331"/>
        <v>0</v>
      </c>
      <c r="NC64" s="66">
        <f t="shared" si="138"/>
        <v>0</v>
      </c>
      <c r="ND64" s="67">
        <f t="shared" si="1332"/>
        <v>0</v>
      </c>
      <c r="NE64" s="64">
        <f t="shared" si="1333"/>
        <v>0</v>
      </c>
      <c r="NF64" s="62"/>
      <c r="NG64" s="63"/>
      <c r="NH64" s="64">
        <f t="shared" si="1334"/>
        <v>0</v>
      </c>
      <c r="NI64" s="65">
        <v>1164.04</v>
      </c>
      <c r="NJ64" s="63"/>
      <c r="NK64" s="64">
        <f t="shared" si="1335"/>
        <v>1164.04</v>
      </c>
      <c r="NL64" s="65"/>
      <c r="NM64" s="63"/>
      <c r="NN64" s="64">
        <f t="shared" si="1336"/>
        <v>0</v>
      </c>
      <c r="NO64" s="65">
        <v>100</v>
      </c>
      <c r="NP64" s="63"/>
      <c r="NQ64" s="64">
        <f t="shared" si="1337"/>
        <v>100</v>
      </c>
      <c r="NR64" s="66">
        <f t="shared" si="145"/>
        <v>1264.04</v>
      </c>
      <c r="NS64" s="67">
        <f t="shared" si="1338"/>
        <v>0</v>
      </c>
      <c r="NT64" s="64">
        <f t="shared" si="1339"/>
        <v>1264.04</v>
      </c>
      <c r="NU64" s="62"/>
      <c r="NV64" s="63"/>
      <c r="NW64" s="64">
        <f t="shared" si="1340"/>
        <v>0</v>
      </c>
      <c r="NX64" s="65">
        <v>1152.73</v>
      </c>
      <c r="NY64" s="63"/>
      <c r="NZ64" s="64">
        <f t="shared" si="1341"/>
        <v>1152.73</v>
      </c>
      <c r="OA64" s="65"/>
      <c r="OB64" s="63"/>
      <c r="OC64" s="64">
        <f t="shared" si="1342"/>
        <v>0</v>
      </c>
      <c r="OD64" s="65">
        <v>100</v>
      </c>
      <c r="OE64" s="63"/>
      <c r="OF64" s="64">
        <f t="shared" si="1343"/>
        <v>100</v>
      </c>
      <c r="OG64" s="66">
        <f t="shared" si="152"/>
        <v>1252.73</v>
      </c>
      <c r="OH64" s="67">
        <f t="shared" si="1344"/>
        <v>0</v>
      </c>
      <c r="OI64" s="64">
        <f t="shared" si="1345"/>
        <v>1252.73</v>
      </c>
      <c r="OJ64" s="62"/>
      <c r="OK64" s="63"/>
      <c r="OL64" s="64">
        <f t="shared" si="1346"/>
        <v>0</v>
      </c>
      <c r="OM64" s="65"/>
      <c r="ON64" s="63"/>
      <c r="OO64" s="64">
        <f t="shared" si="1347"/>
        <v>0</v>
      </c>
      <c r="OP64" s="65"/>
      <c r="OQ64" s="63"/>
      <c r="OR64" s="64">
        <f t="shared" si="1348"/>
        <v>0</v>
      </c>
      <c r="OS64" s="65">
        <v>100</v>
      </c>
      <c r="OT64" s="63"/>
      <c r="OU64" s="64">
        <f t="shared" si="1349"/>
        <v>100</v>
      </c>
      <c r="OV64" s="66">
        <f t="shared" si="159"/>
        <v>100</v>
      </c>
      <c r="OW64" s="67">
        <f t="shared" si="1350"/>
        <v>0</v>
      </c>
      <c r="OX64" s="64">
        <f t="shared" si="1351"/>
        <v>100</v>
      </c>
      <c r="OY64" s="62"/>
      <c r="OZ64" s="63"/>
      <c r="PA64" s="64">
        <f t="shared" si="1352"/>
        <v>0</v>
      </c>
      <c r="PB64" s="65"/>
      <c r="PC64" s="63"/>
      <c r="PD64" s="64">
        <f t="shared" si="1353"/>
        <v>0</v>
      </c>
      <c r="PE64" s="65"/>
      <c r="PF64" s="63"/>
      <c r="PG64" s="64">
        <f t="shared" si="1354"/>
        <v>0</v>
      </c>
      <c r="PH64" s="65">
        <v>100</v>
      </c>
      <c r="PI64" s="63"/>
      <c r="PJ64" s="64">
        <f t="shared" si="1355"/>
        <v>100</v>
      </c>
      <c r="PK64" s="66">
        <f t="shared" si="166"/>
        <v>100</v>
      </c>
      <c r="PL64" s="67">
        <f t="shared" si="1356"/>
        <v>0</v>
      </c>
      <c r="PM64" s="64">
        <f t="shared" si="1357"/>
        <v>100</v>
      </c>
      <c r="PN64" s="62">
        <v>1550</v>
      </c>
      <c r="PO64" s="63"/>
      <c r="PP64" s="64">
        <f t="shared" si="1358"/>
        <v>1550</v>
      </c>
      <c r="PQ64" s="65"/>
      <c r="PR64" s="63"/>
      <c r="PS64" s="64">
        <f t="shared" si="1359"/>
        <v>0</v>
      </c>
      <c r="PT64" s="65"/>
      <c r="PU64" s="63"/>
      <c r="PV64" s="64">
        <f t="shared" si="1360"/>
        <v>0</v>
      </c>
      <c r="PW64" s="65">
        <v>100</v>
      </c>
      <c r="PX64" s="63"/>
      <c r="PY64" s="64">
        <f t="shared" si="1361"/>
        <v>100</v>
      </c>
      <c r="PZ64" s="66">
        <f t="shared" si="173"/>
        <v>1650</v>
      </c>
      <c r="QA64" s="67">
        <f t="shared" si="1362"/>
        <v>0</v>
      </c>
      <c r="QB64" s="64">
        <f t="shared" si="1363"/>
        <v>1650</v>
      </c>
      <c r="QC64" s="62">
        <v>9000</v>
      </c>
      <c r="QD64" s="63"/>
      <c r="QE64" s="64">
        <f t="shared" si="1364"/>
        <v>9000</v>
      </c>
      <c r="QF64" s="65"/>
      <c r="QG64" s="63"/>
      <c r="QH64" s="64">
        <f t="shared" si="1365"/>
        <v>0</v>
      </c>
      <c r="QI64" s="65"/>
      <c r="QJ64" s="63"/>
      <c r="QK64" s="64">
        <f t="shared" si="1366"/>
        <v>0</v>
      </c>
      <c r="QL64" s="65">
        <v>100</v>
      </c>
      <c r="QM64" s="63"/>
      <c r="QN64" s="64">
        <f t="shared" si="1367"/>
        <v>100</v>
      </c>
      <c r="QO64" s="66">
        <f t="shared" si="180"/>
        <v>9100</v>
      </c>
      <c r="QP64" s="67">
        <f t="shared" si="1368"/>
        <v>0</v>
      </c>
      <c r="QQ64" s="64">
        <f t="shared" si="1369"/>
        <v>9100</v>
      </c>
      <c r="QR64" s="74"/>
      <c r="QS64" s="74"/>
      <c r="QT64" s="72"/>
      <c r="QU64" s="73"/>
      <c r="QV64" s="74"/>
      <c r="QW64" s="75"/>
      <c r="QX64" s="73"/>
      <c r="QY64" s="74"/>
      <c r="QZ64" s="75"/>
      <c r="RA64" s="73"/>
      <c r="RB64" s="74"/>
      <c r="RC64" s="75"/>
      <c r="RD64" s="73"/>
      <c r="RE64" s="74"/>
      <c r="RF64" s="74"/>
      <c r="RG64" s="72"/>
      <c r="RH64" s="73"/>
      <c r="RI64" s="74"/>
      <c r="RJ64" s="75"/>
      <c r="RK64" s="73"/>
      <c r="RL64" s="74"/>
      <c r="RM64" s="75"/>
      <c r="RN64" s="73"/>
      <c r="RO64" s="74"/>
      <c r="RP64" s="75"/>
      <c r="RQ64" s="73"/>
      <c r="RR64" s="74"/>
      <c r="RS64" s="76"/>
      <c r="RT64" s="77"/>
      <c r="RU64" s="74"/>
      <c r="RV64" s="74"/>
      <c r="RW64" s="72"/>
      <c r="RX64" s="73"/>
      <c r="RY64" s="74"/>
      <c r="RZ64" s="75"/>
      <c r="SA64" s="73"/>
      <c r="SB64" s="74"/>
      <c r="SC64" s="75"/>
      <c r="SD64" s="73"/>
      <c r="SE64" s="74"/>
      <c r="SF64" s="75"/>
      <c r="SG64" s="73"/>
      <c r="SH64" s="74"/>
      <c r="SI64" s="76"/>
      <c r="SJ64" s="64">
        <f t="shared" si="1370"/>
        <v>0</v>
      </c>
      <c r="SK64" s="62">
        <v>17000</v>
      </c>
      <c r="SL64" s="63"/>
      <c r="SM64" s="64">
        <f t="shared" si="1371"/>
        <v>17000</v>
      </c>
      <c r="SN64" s="65"/>
      <c r="SO64" s="63"/>
      <c r="SP64" s="64">
        <f t="shared" si="1372"/>
        <v>0</v>
      </c>
      <c r="SQ64" s="65"/>
      <c r="SR64" s="63"/>
      <c r="SS64" s="64">
        <f t="shared" si="1373"/>
        <v>0</v>
      </c>
      <c r="ST64" s="65">
        <v>100</v>
      </c>
      <c r="SU64" s="63"/>
      <c r="SV64" s="64">
        <f t="shared" si="1374"/>
        <v>100</v>
      </c>
      <c r="SW64" s="66">
        <f t="shared" si="208"/>
        <v>17100</v>
      </c>
      <c r="SX64" s="67">
        <f t="shared" si="1375"/>
        <v>0</v>
      </c>
      <c r="SY64" s="64">
        <f t="shared" si="1376"/>
        <v>17100</v>
      </c>
      <c r="SZ64" s="62">
        <v>985.33</v>
      </c>
      <c r="TA64" s="63"/>
      <c r="TB64" s="64">
        <f t="shared" si="1377"/>
        <v>985.33</v>
      </c>
      <c r="TC64" s="65">
        <v>700.9</v>
      </c>
      <c r="TD64" s="63"/>
      <c r="TE64" s="64">
        <f t="shared" si="1378"/>
        <v>700.9</v>
      </c>
      <c r="TF64" s="65"/>
      <c r="TG64" s="63"/>
      <c r="TH64" s="64">
        <f t="shared" si="1379"/>
        <v>0</v>
      </c>
      <c r="TI64" s="65">
        <v>100</v>
      </c>
      <c r="TJ64" s="63"/>
      <c r="TK64" s="64">
        <f t="shared" si="1380"/>
        <v>100</v>
      </c>
      <c r="TL64" s="66">
        <f t="shared" si="215"/>
        <v>1786.23</v>
      </c>
      <c r="TM64" s="67">
        <f t="shared" si="1381"/>
        <v>0</v>
      </c>
      <c r="TN64" s="64">
        <f t="shared" si="1382"/>
        <v>1786.23</v>
      </c>
      <c r="TO64" s="62"/>
      <c r="TP64" s="63"/>
      <c r="TQ64" s="64">
        <f t="shared" si="1383"/>
        <v>0</v>
      </c>
      <c r="TR64" s="65"/>
      <c r="TS64" s="63"/>
      <c r="TT64" s="64">
        <f t="shared" si="1384"/>
        <v>0</v>
      </c>
      <c r="TU64" s="65"/>
      <c r="TV64" s="63"/>
      <c r="TW64" s="64">
        <f t="shared" si="1385"/>
        <v>0</v>
      </c>
      <c r="TX64" s="65">
        <v>100</v>
      </c>
      <c r="TY64" s="63"/>
      <c r="TZ64" s="64">
        <f t="shared" si="1386"/>
        <v>100</v>
      </c>
      <c r="UA64" s="66">
        <f t="shared" si="222"/>
        <v>100</v>
      </c>
      <c r="UB64" s="67">
        <f t="shared" si="1387"/>
        <v>0</v>
      </c>
      <c r="UC64" s="64">
        <f t="shared" si="1388"/>
        <v>100</v>
      </c>
      <c r="UD64" s="62"/>
      <c r="UE64" s="63"/>
      <c r="UF64" s="64">
        <f t="shared" si="1389"/>
        <v>0</v>
      </c>
      <c r="UG64" s="65">
        <v>497.04</v>
      </c>
      <c r="UH64" s="63"/>
      <c r="UI64" s="64">
        <f t="shared" si="1390"/>
        <v>497.04</v>
      </c>
      <c r="UJ64" s="65"/>
      <c r="UK64" s="63"/>
      <c r="UL64" s="64">
        <f t="shared" si="1391"/>
        <v>0</v>
      </c>
      <c r="UM64" s="65">
        <v>100</v>
      </c>
      <c r="UN64" s="63"/>
      <c r="UO64" s="64">
        <f t="shared" si="1392"/>
        <v>100</v>
      </c>
      <c r="UP64" s="66">
        <f t="shared" si="226"/>
        <v>597.04</v>
      </c>
      <c r="UQ64" s="67">
        <f t="shared" si="1393"/>
        <v>0</v>
      </c>
      <c r="UR64" s="64">
        <f t="shared" si="1394"/>
        <v>597.04</v>
      </c>
      <c r="US64" s="74"/>
      <c r="UT64" s="72"/>
      <c r="UU64" s="73"/>
      <c r="UV64" s="74"/>
      <c r="UW64" s="75"/>
      <c r="UX64" s="73"/>
      <c r="UY64" s="74"/>
      <c r="UZ64" s="75"/>
      <c r="VA64" s="73"/>
      <c r="VB64" s="74"/>
      <c r="VC64" s="75"/>
      <c r="VD64" s="73"/>
      <c r="VE64" s="74"/>
      <c r="VF64" s="76"/>
      <c r="VG64" s="77"/>
      <c r="VH64" s="62"/>
      <c r="VI64" s="63"/>
      <c r="VJ64" s="64">
        <f t="shared" si="1395"/>
        <v>0</v>
      </c>
      <c r="VK64" s="65"/>
      <c r="VL64" s="63"/>
      <c r="VM64" s="64">
        <f t="shared" si="1396"/>
        <v>0</v>
      </c>
      <c r="VN64" s="65"/>
      <c r="VO64" s="63"/>
      <c r="VP64" s="64">
        <f t="shared" si="1397"/>
        <v>0</v>
      </c>
      <c r="VQ64" s="65">
        <v>100</v>
      </c>
      <c r="VR64" s="63"/>
      <c r="VS64" s="64">
        <f t="shared" si="1398"/>
        <v>100</v>
      </c>
      <c r="VT64" s="66">
        <f t="shared" si="240"/>
        <v>100</v>
      </c>
      <c r="VU64" s="67">
        <f t="shared" si="1399"/>
        <v>0</v>
      </c>
      <c r="VV64" s="64">
        <f t="shared" si="1400"/>
        <v>100</v>
      </c>
      <c r="VW64" s="74"/>
      <c r="VX64" s="72"/>
      <c r="VY64" s="73"/>
      <c r="VZ64" s="74"/>
      <c r="WA64" s="75"/>
      <c r="WB64" s="73"/>
      <c r="WC64" s="74"/>
      <c r="WD64" s="75"/>
      <c r="WE64" s="73"/>
      <c r="WF64" s="74"/>
      <c r="WG64" s="75"/>
      <c r="WH64" s="73"/>
      <c r="WI64" s="74"/>
      <c r="WJ64" s="76"/>
      <c r="WK64" s="77"/>
      <c r="WL64" s="74"/>
      <c r="WM64" s="72"/>
      <c r="WN64" s="73"/>
      <c r="WO64" s="74"/>
      <c r="WP64" s="75"/>
      <c r="WQ64" s="73"/>
      <c r="WR64" s="74"/>
      <c r="WS64" s="75"/>
      <c r="WT64" s="73"/>
      <c r="WU64" s="74"/>
      <c r="WV64" s="75"/>
      <c r="WW64" s="73"/>
      <c r="WX64" s="74"/>
      <c r="WY64" s="76"/>
      <c r="WZ64" s="77"/>
      <c r="XA64" s="74"/>
      <c r="XB64" s="72"/>
      <c r="XC64" s="73"/>
      <c r="XD64" s="74"/>
      <c r="XE64" s="75"/>
      <c r="XF64" s="73"/>
      <c r="XG64" s="74"/>
      <c r="XH64" s="75"/>
      <c r="XI64" s="73"/>
      <c r="XJ64" s="74"/>
      <c r="XK64" s="75"/>
      <c r="XL64" s="73"/>
      <c r="XM64" s="74"/>
      <c r="XN64" s="76"/>
      <c r="XO64" s="77"/>
      <c r="XP64" s="62"/>
      <c r="XQ64" s="63"/>
      <c r="XR64" s="64">
        <f t="shared" si="1401"/>
        <v>0</v>
      </c>
      <c r="XS64" s="65">
        <v>844.24</v>
      </c>
      <c r="XT64" s="63"/>
      <c r="XU64" s="64">
        <f t="shared" si="1402"/>
        <v>844.24</v>
      </c>
      <c r="XV64" s="65"/>
      <c r="XW64" s="63"/>
      <c r="XX64" s="64">
        <f t="shared" si="1403"/>
        <v>0</v>
      </c>
      <c r="XY64" s="65">
        <v>100</v>
      </c>
      <c r="XZ64" s="63"/>
      <c r="YA64" s="64">
        <f t="shared" si="1404"/>
        <v>100</v>
      </c>
      <c r="YB64" s="66">
        <f t="shared" si="268"/>
        <v>944.24</v>
      </c>
      <c r="YC64" s="67">
        <f t="shared" si="1405"/>
        <v>0</v>
      </c>
      <c r="YD64" s="64">
        <f t="shared" si="1406"/>
        <v>944.24</v>
      </c>
      <c r="YE64" s="62"/>
      <c r="YF64" s="63"/>
      <c r="YG64" s="64">
        <f t="shared" si="1407"/>
        <v>0</v>
      </c>
      <c r="YH64" s="65">
        <v>847.85</v>
      </c>
      <c r="YI64" s="63"/>
      <c r="YJ64" s="64">
        <f t="shared" si="1408"/>
        <v>847.85</v>
      </c>
      <c r="YK64" s="65"/>
      <c r="YL64" s="63"/>
      <c r="YM64" s="64">
        <f t="shared" si="1409"/>
        <v>0</v>
      </c>
      <c r="YN64" s="65">
        <v>100</v>
      </c>
      <c r="YO64" s="63"/>
      <c r="YP64" s="64">
        <f t="shared" si="1410"/>
        <v>100</v>
      </c>
      <c r="YQ64" s="66">
        <f t="shared" si="275"/>
        <v>947.85</v>
      </c>
      <c r="YR64" s="67">
        <f t="shared" si="1411"/>
        <v>0</v>
      </c>
      <c r="YS64" s="64">
        <f t="shared" si="1412"/>
        <v>947.85</v>
      </c>
      <c r="YT64" s="62"/>
      <c r="YU64" s="63"/>
      <c r="YV64" s="64">
        <f t="shared" si="1413"/>
        <v>0</v>
      </c>
      <c r="YW64" s="65">
        <v>695.73</v>
      </c>
      <c r="YX64" s="63"/>
      <c r="YY64" s="64">
        <f t="shared" si="1414"/>
        <v>695.73</v>
      </c>
      <c r="YZ64" s="65"/>
      <c r="ZA64" s="63"/>
      <c r="ZB64" s="64">
        <f t="shared" si="1415"/>
        <v>0</v>
      </c>
      <c r="ZC64" s="65">
        <v>100</v>
      </c>
      <c r="ZD64" s="63"/>
      <c r="ZE64" s="64">
        <f t="shared" si="1416"/>
        <v>100</v>
      </c>
      <c r="ZF64" s="66">
        <f t="shared" si="282"/>
        <v>795.73</v>
      </c>
      <c r="ZG64" s="67">
        <f t="shared" si="1417"/>
        <v>0</v>
      </c>
      <c r="ZH64" s="74"/>
      <c r="ZI64" s="72"/>
      <c r="ZJ64" s="73"/>
      <c r="ZK64" s="74"/>
      <c r="ZL64" s="75"/>
      <c r="ZM64" s="73"/>
      <c r="ZN64" s="74"/>
      <c r="ZO64" s="75"/>
      <c r="ZP64" s="73"/>
      <c r="ZQ64" s="74"/>
      <c r="ZR64" s="75"/>
      <c r="ZS64" s="73"/>
      <c r="ZT64" s="74"/>
      <c r="ZU64" s="76"/>
      <c r="ZV64" s="77"/>
      <c r="ZW64" s="64">
        <f t="shared" si="1418"/>
        <v>0</v>
      </c>
      <c r="ZX64" s="62">
        <v>24.71</v>
      </c>
      <c r="ZY64" s="63"/>
      <c r="ZZ64" s="64">
        <f t="shared" si="1419"/>
        <v>24.71</v>
      </c>
      <c r="AAA64" s="66">
        <f t="shared" si="293"/>
        <v>24.71</v>
      </c>
      <c r="AAB64" s="67">
        <f t="shared" si="293"/>
        <v>0</v>
      </c>
      <c r="AAC64" s="64">
        <f t="shared" si="1420"/>
        <v>24.71</v>
      </c>
      <c r="AAD64" s="85">
        <f t="shared" si="295"/>
        <v>341321.95499999996</v>
      </c>
      <c r="AAE64" s="86">
        <f t="shared" si="295"/>
        <v>49.57</v>
      </c>
      <c r="AAF64" s="87">
        <f t="shared" si="3"/>
        <v>1.4522945059306251E-4</v>
      </c>
      <c r="AAG64" s="88">
        <f t="shared" si="1421"/>
        <v>-341272.38499999995</v>
      </c>
      <c r="AAH64" s="89"/>
      <c r="AAI64" s="92"/>
      <c r="AAJ64" s="92"/>
      <c r="AAK64" s="60"/>
    </row>
    <row r="65" spans="1:713" s="83" customFormat="1" ht="20" customHeight="1" x14ac:dyDescent="0.2">
      <c r="A65" s="153"/>
      <c r="B65" s="94">
        <f>B63/B59</f>
        <v>2.1557315499242373E-4</v>
      </c>
      <c r="C65" s="95"/>
      <c r="D65" s="95"/>
      <c r="E65" s="60"/>
      <c r="F65" s="61">
        <v>46266</v>
      </c>
      <c r="G65" s="62"/>
      <c r="H65" s="63"/>
      <c r="I65" s="64">
        <f t="shared" si="1217"/>
        <v>0</v>
      </c>
      <c r="J65" s="65">
        <v>2154.35</v>
      </c>
      <c r="K65" s="63"/>
      <c r="L65" s="64">
        <f t="shared" si="1218"/>
        <v>2154.35</v>
      </c>
      <c r="M65" s="65">
        <v>2500</v>
      </c>
      <c r="N65" s="63"/>
      <c r="O65" s="64">
        <f t="shared" si="1219"/>
        <v>2500</v>
      </c>
      <c r="P65" s="65">
        <v>1500</v>
      </c>
      <c r="Q65" s="63"/>
      <c r="R65" s="64">
        <f t="shared" si="1220"/>
        <v>1500</v>
      </c>
      <c r="S65" s="65">
        <v>362</v>
      </c>
      <c r="T65" s="63"/>
      <c r="U65" s="64">
        <f t="shared" si="1221"/>
        <v>362</v>
      </c>
      <c r="V65" s="66">
        <f t="shared" si="1222"/>
        <v>6516.35</v>
      </c>
      <c r="W65" s="67">
        <f t="shared" si="1222"/>
        <v>0</v>
      </c>
      <c r="X65" s="64">
        <f t="shared" si="1223"/>
        <v>6516.35</v>
      </c>
      <c r="Y65" s="72"/>
      <c r="Z65" s="73"/>
      <c r="AA65" s="74"/>
      <c r="AB65" s="75"/>
      <c r="AC65" s="73"/>
      <c r="AD65" s="74"/>
      <c r="AE65" s="75"/>
      <c r="AF65" s="73"/>
      <c r="AG65" s="74"/>
      <c r="AH65" s="75"/>
      <c r="AI65" s="73"/>
      <c r="AJ65" s="74"/>
      <c r="AK65" s="76"/>
      <c r="AL65" s="77"/>
      <c r="AM65" s="64">
        <f t="shared" si="1224"/>
        <v>0</v>
      </c>
      <c r="AN65" s="62">
        <v>6250</v>
      </c>
      <c r="AO65" s="63"/>
      <c r="AP65" s="64">
        <f t="shared" si="1422"/>
        <v>6250</v>
      </c>
      <c r="AQ65" s="65"/>
      <c r="AR65" s="63"/>
      <c r="AS65" s="64">
        <f t="shared" si="1225"/>
        <v>0</v>
      </c>
      <c r="AT65" s="65"/>
      <c r="AU65" s="63"/>
      <c r="AV65" s="64">
        <f t="shared" si="1226"/>
        <v>0</v>
      </c>
      <c r="AW65" s="65"/>
      <c r="AX65" s="63"/>
      <c r="AY65" s="64">
        <f t="shared" si="1227"/>
        <v>0</v>
      </c>
      <c r="AZ65" s="66">
        <f t="shared" si="23"/>
        <v>6250</v>
      </c>
      <c r="BA65" s="67">
        <f t="shared" si="1228"/>
        <v>0</v>
      </c>
      <c r="BB65" s="64">
        <f t="shared" si="1229"/>
        <v>6250</v>
      </c>
      <c r="BC65" s="62"/>
      <c r="BD65" s="63"/>
      <c r="BE65" s="64">
        <f t="shared" si="1230"/>
        <v>0</v>
      </c>
      <c r="BF65" s="65"/>
      <c r="BG65" s="63"/>
      <c r="BH65" s="64">
        <f t="shared" si="1231"/>
        <v>0</v>
      </c>
      <c r="BI65" s="65"/>
      <c r="BJ65" s="63"/>
      <c r="BK65" s="64">
        <f t="shared" si="1232"/>
        <v>0</v>
      </c>
      <c r="BL65" s="65">
        <v>100</v>
      </c>
      <c r="BM65" s="63">
        <v>58.83</v>
      </c>
      <c r="BN65" s="64">
        <f t="shared" si="1233"/>
        <v>41.17</v>
      </c>
      <c r="BO65" s="66">
        <f t="shared" si="30"/>
        <v>100</v>
      </c>
      <c r="BP65" s="67">
        <f t="shared" si="1234"/>
        <v>58.83</v>
      </c>
      <c r="BQ65" s="64">
        <f t="shared" si="1235"/>
        <v>41.17</v>
      </c>
      <c r="BR65" s="72"/>
      <c r="BS65" s="73"/>
      <c r="BT65" s="74"/>
      <c r="BU65" s="75"/>
      <c r="BV65" s="73"/>
      <c r="BW65" s="74"/>
      <c r="BX65" s="75"/>
      <c r="BY65" s="73"/>
      <c r="BZ65" s="74"/>
      <c r="CA65" s="75"/>
      <c r="CB65" s="73"/>
      <c r="CC65" s="74"/>
      <c r="CD65" s="76"/>
      <c r="CE65" s="77"/>
      <c r="CF65" s="64">
        <f t="shared" si="1236"/>
        <v>0</v>
      </c>
      <c r="CG65" s="62">
        <v>5000</v>
      </c>
      <c r="CH65" s="63"/>
      <c r="CI65" s="64">
        <f t="shared" si="1237"/>
        <v>5000</v>
      </c>
      <c r="CJ65" s="65"/>
      <c r="CK65" s="63"/>
      <c r="CL65" s="64">
        <f t="shared" si="1238"/>
        <v>0</v>
      </c>
      <c r="CM65" s="65"/>
      <c r="CN65" s="63"/>
      <c r="CO65" s="64">
        <f t="shared" si="1239"/>
        <v>0</v>
      </c>
      <c r="CP65" s="65"/>
      <c r="CQ65" s="63"/>
      <c r="CR65" s="64">
        <f t="shared" si="1240"/>
        <v>0</v>
      </c>
      <c r="CS65" s="66">
        <f t="shared" si="40"/>
        <v>5000</v>
      </c>
      <c r="CT65" s="67">
        <f t="shared" si="1241"/>
        <v>0</v>
      </c>
      <c r="CU65" s="64">
        <f t="shared" si="1242"/>
        <v>5000</v>
      </c>
      <c r="CV65" s="62">
        <v>2916.7</v>
      </c>
      <c r="CW65" s="63"/>
      <c r="CX65" s="64">
        <f t="shared" si="1243"/>
        <v>2916.7</v>
      </c>
      <c r="CY65" s="65">
        <v>429.15</v>
      </c>
      <c r="CZ65" s="63"/>
      <c r="DA65" s="64">
        <f t="shared" si="1244"/>
        <v>429.15</v>
      </c>
      <c r="DB65" s="65"/>
      <c r="DC65" s="63"/>
      <c r="DD65" s="64">
        <f t="shared" si="1245"/>
        <v>0</v>
      </c>
      <c r="DE65" s="65"/>
      <c r="DF65" s="63"/>
      <c r="DG65" s="64">
        <f t="shared" si="1246"/>
        <v>0</v>
      </c>
      <c r="DH65" s="66">
        <f t="shared" si="43"/>
        <v>3345.85</v>
      </c>
      <c r="DI65" s="67">
        <f t="shared" si="1247"/>
        <v>0</v>
      </c>
      <c r="DJ65" s="64">
        <f t="shared" si="1248"/>
        <v>3345.85</v>
      </c>
      <c r="DK65" s="62">
        <v>2400</v>
      </c>
      <c r="DL65" s="63"/>
      <c r="DM65" s="64">
        <f t="shared" si="1249"/>
        <v>2400</v>
      </c>
      <c r="DN65" s="65">
        <v>913.08</v>
      </c>
      <c r="DO65" s="63"/>
      <c r="DP65" s="64">
        <f t="shared" si="1250"/>
        <v>913.08</v>
      </c>
      <c r="DQ65" s="65"/>
      <c r="DR65" s="63"/>
      <c r="DS65" s="64">
        <f t="shared" si="1251"/>
        <v>0</v>
      </c>
      <c r="DT65" s="65">
        <v>100</v>
      </c>
      <c r="DU65" s="63"/>
      <c r="DV65" s="64">
        <f t="shared" si="1252"/>
        <v>100</v>
      </c>
      <c r="DW65" s="66">
        <f t="shared" si="46"/>
        <v>3413.08</v>
      </c>
      <c r="DX65" s="67">
        <f t="shared" si="1253"/>
        <v>0</v>
      </c>
      <c r="DY65" s="64">
        <f t="shared" si="1254"/>
        <v>3413.08</v>
      </c>
      <c r="DZ65" s="62"/>
      <c r="EA65" s="63"/>
      <c r="EB65" s="64">
        <f t="shared" si="1255"/>
        <v>0</v>
      </c>
      <c r="EC65" s="65"/>
      <c r="ED65" s="63"/>
      <c r="EE65" s="64">
        <f t="shared" si="1256"/>
        <v>0</v>
      </c>
      <c r="EF65" s="65"/>
      <c r="EG65" s="63"/>
      <c r="EH65" s="64">
        <f t="shared" si="1257"/>
        <v>0</v>
      </c>
      <c r="EI65" s="65">
        <v>100</v>
      </c>
      <c r="EJ65" s="63"/>
      <c r="EK65" s="64">
        <f t="shared" si="1258"/>
        <v>100</v>
      </c>
      <c r="EL65" s="66">
        <f t="shared" si="53"/>
        <v>100</v>
      </c>
      <c r="EM65" s="67">
        <f t="shared" si="1259"/>
        <v>0</v>
      </c>
      <c r="EN65" s="64">
        <f t="shared" si="1260"/>
        <v>100</v>
      </c>
      <c r="EO65" s="62"/>
      <c r="EP65" s="63"/>
      <c r="EQ65" s="64">
        <f t="shared" si="1261"/>
        <v>0</v>
      </c>
      <c r="ER65" s="65"/>
      <c r="ES65" s="63"/>
      <c r="ET65" s="64">
        <f t="shared" si="1262"/>
        <v>0</v>
      </c>
      <c r="EU65" s="65"/>
      <c r="EV65" s="63"/>
      <c r="EW65" s="64">
        <f t="shared" si="1263"/>
        <v>0</v>
      </c>
      <c r="EX65" s="65">
        <v>100</v>
      </c>
      <c r="EY65" s="63"/>
      <c r="EZ65" s="64">
        <f t="shared" si="1264"/>
        <v>100</v>
      </c>
      <c r="FA65" s="66">
        <f t="shared" si="60"/>
        <v>100</v>
      </c>
      <c r="FB65" s="67">
        <f t="shared" si="1265"/>
        <v>0</v>
      </c>
      <c r="FC65" s="64">
        <f t="shared" si="1266"/>
        <v>100</v>
      </c>
      <c r="FD65" s="62"/>
      <c r="FE65" s="63"/>
      <c r="FF65" s="64">
        <f t="shared" si="1267"/>
        <v>0</v>
      </c>
      <c r="FG65" s="65"/>
      <c r="FH65" s="63"/>
      <c r="FI65" s="64">
        <f t="shared" si="1268"/>
        <v>0</v>
      </c>
      <c r="FJ65" s="65"/>
      <c r="FK65" s="63"/>
      <c r="FL65" s="64">
        <f t="shared" si="1269"/>
        <v>0</v>
      </c>
      <c r="FM65" s="65">
        <v>100</v>
      </c>
      <c r="FN65" s="63"/>
      <c r="FO65" s="64">
        <f t="shared" si="1270"/>
        <v>100</v>
      </c>
      <c r="FP65" s="66">
        <f t="shared" si="67"/>
        <v>100</v>
      </c>
      <c r="FQ65" s="67">
        <f t="shared" si="1271"/>
        <v>0</v>
      </c>
      <c r="FR65" s="64">
        <f t="shared" si="1272"/>
        <v>100</v>
      </c>
      <c r="FS65" s="62"/>
      <c r="FT65" s="63"/>
      <c r="FU65" s="64">
        <f t="shared" si="1273"/>
        <v>0</v>
      </c>
      <c r="FV65" s="65">
        <v>485.35</v>
      </c>
      <c r="FW65" s="63"/>
      <c r="FX65" s="64">
        <f t="shared" si="1274"/>
        <v>485.35</v>
      </c>
      <c r="FY65" s="65"/>
      <c r="FZ65" s="63"/>
      <c r="GA65" s="64">
        <f t="shared" si="1275"/>
        <v>0</v>
      </c>
      <c r="GB65" s="65"/>
      <c r="GC65" s="63"/>
      <c r="GD65" s="64">
        <f t="shared" si="1276"/>
        <v>0</v>
      </c>
      <c r="GE65" s="66">
        <f t="shared" si="74"/>
        <v>485.35</v>
      </c>
      <c r="GF65" s="67">
        <f t="shared" si="1277"/>
        <v>0</v>
      </c>
      <c r="GG65" s="64">
        <f t="shared" si="1278"/>
        <v>485.35</v>
      </c>
      <c r="GH65" s="62"/>
      <c r="GI65" s="63"/>
      <c r="GJ65" s="64">
        <f t="shared" si="1279"/>
        <v>0</v>
      </c>
      <c r="GK65" s="65">
        <v>660.33</v>
      </c>
      <c r="GL65" s="63"/>
      <c r="GM65" s="64">
        <f t="shared" si="1280"/>
        <v>660.33</v>
      </c>
      <c r="GN65" s="65"/>
      <c r="GO65" s="63"/>
      <c r="GP65" s="64">
        <f t="shared" si="1281"/>
        <v>0</v>
      </c>
      <c r="GQ65" s="65"/>
      <c r="GR65" s="63"/>
      <c r="GS65" s="64">
        <f t="shared" si="1282"/>
        <v>0</v>
      </c>
      <c r="GT65" s="66">
        <f t="shared" si="81"/>
        <v>660.33</v>
      </c>
      <c r="GU65" s="67">
        <f t="shared" si="1283"/>
        <v>0</v>
      </c>
      <c r="GV65" s="64">
        <f t="shared" si="1284"/>
        <v>660.33</v>
      </c>
      <c r="GW65" s="62"/>
      <c r="GX65" s="63"/>
      <c r="GY65" s="64">
        <f t="shared" si="1285"/>
        <v>0</v>
      </c>
      <c r="GZ65" s="65">
        <v>568.25</v>
      </c>
      <c r="HA65" s="63"/>
      <c r="HB65" s="64">
        <f t="shared" si="1286"/>
        <v>568.25</v>
      </c>
      <c r="HC65" s="65"/>
      <c r="HD65" s="63"/>
      <c r="HE65" s="64">
        <f t="shared" si="1287"/>
        <v>0</v>
      </c>
      <c r="HF65" s="65">
        <v>100</v>
      </c>
      <c r="HG65" s="63"/>
      <c r="HH65" s="64">
        <f t="shared" si="1288"/>
        <v>100</v>
      </c>
      <c r="HI65" s="66">
        <f t="shared" si="84"/>
        <v>668.25</v>
      </c>
      <c r="HJ65" s="67">
        <f t="shared" si="1289"/>
        <v>0</v>
      </c>
      <c r="HK65" s="64">
        <f t="shared" si="1290"/>
        <v>668.25</v>
      </c>
      <c r="HL65" s="62"/>
      <c r="HM65" s="63"/>
      <c r="HN65" s="64">
        <f t="shared" si="1291"/>
        <v>0</v>
      </c>
      <c r="HO65" s="65"/>
      <c r="HP65" s="63"/>
      <c r="HQ65" s="64">
        <f t="shared" si="1292"/>
        <v>0</v>
      </c>
      <c r="HR65" s="65"/>
      <c r="HS65" s="63"/>
      <c r="HT65" s="64">
        <f t="shared" si="1293"/>
        <v>0</v>
      </c>
      <c r="HU65" s="65">
        <v>100</v>
      </c>
      <c r="HV65" s="63"/>
      <c r="HW65" s="64">
        <f t="shared" si="1294"/>
        <v>100</v>
      </c>
      <c r="HX65" s="66">
        <f t="shared" si="91"/>
        <v>100</v>
      </c>
      <c r="HY65" s="67">
        <f t="shared" si="1295"/>
        <v>0</v>
      </c>
      <c r="HZ65" s="64">
        <f t="shared" si="1296"/>
        <v>100</v>
      </c>
      <c r="IA65" s="62"/>
      <c r="IB65" s="63"/>
      <c r="IC65" s="64">
        <f t="shared" si="1297"/>
        <v>0</v>
      </c>
      <c r="ID65" s="65"/>
      <c r="IE65" s="63"/>
      <c r="IF65" s="64">
        <f t="shared" si="1298"/>
        <v>0</v>
      </c>
      <c r="IG65" s="65"/>
      <c r="IH65" s="63"/>
      <c r="II65" s="64">
        <f t="shared" si="1299"/>
        <v>0</v>
      </c>
      <c r="IJ65" s="65">
        <v>100</v>
      </c>
      <c r="IK65" s="63"/>
      <c r="IL65" s="64">
        <f t="shared" si="1300"/>
        <v>100</v>
      </c>
      <c r="IM65" s="66">
        <f t="shared" si="98"/>
        <v>100</v>
      </c>
      <c r="IN65" s="67">
        <f t="shared" si="1301"/>
        <v>0</v>
      </c>
      <c r="IO65" s="64">
        <f t="shared" si="1302"/>
        <v>100</v>
      </c>
      <c r="IP65" s="62">
        <v>5000</v>
      </c>
      <c r="IQ65" s="63"/>
      <c r="IR65" s="64">
        <f t="shared" si="1303"/>
        <v>5000</v>
      </c>
      <c r="IS65" s="65"/>
      <c r="IT65" s="63"/>
      <c r="IU65" s="64">
        <f t="shared" si="1304"/>
        <v>0</v>
      </c>
      <c r="IV65" s="65"/>
      <c r="IW65" s="63"/>
      <c r="IX65" s="64">
        <f t="shared" si="1305"/>
        <v>0</v>
      </c>
      <c r="IY65" s="65"/>
      <c r="IZ65" s="63"/>
      <c r="JA65" s="64">
        <f t="shared" si="1306"/>
        <v>0</v>
      </c>
      <c r="JB65" s="66">
        <f t="shared" si="105"/>
        <v>5000</v>
      </c>
      <c r="JC65" s="67">
        <f t="shared" si="1307"/>
        <v>0</v>
      </c>
      <c r="JD65" s="64">
        <f t="shared" si="1308"/>
        <v>5000</v>
      </c>
      <c r="JE65" s="72"/>
      <c r="JF65" s="150"/>
      <c r="JG65" s="74"/>
      <c r="JH65" s="75"/>
      <c r="JI65" s="150"/>
      <c r="JJ65" s="74"/>
      <c r="JK65" s="75"/>
      <c r="JL65" s="150"/>
      <c r="JM65" s="74"/>
      <c r="JN65" s="75"/>
      <c r="JO65" s="150"/>
      <c r="JP65" s="74"/>
      <c r="JQ65" s="76"/>
      <c r="JR65" s="77"/>
      <c r="JS65" s="74"/>
      <c r="JT65" s="72"/>
      <c r="JU65" s="73"/>
      <c r="JV65" s="74"/>
      <c r="JW65" s="75"/>
      <c r="JX65" s="73"/>
      <c r="JY65" s="74"/>
      <c r="JZ65" s="75"/>
      <c r="KA65" s="73"/>
      <c r="KB65" s="74"/>
      <c r="KC65" s="75"/>
      <c r="KD65" s="73"/>
      <c r="KE65" s="74"/>
      <c r="KF65" s="76"/>
      <c r="KG65" s="77"/>
      <c r="KH65" s="64">
        <f t="shared" si="1309"/>
        <v>0</v>
      </c>
      <c r="KI65" s="62"/>
      <c r="KJ65" s="63"/>
      <c r="KK65" s="64">
        <f t="shared" si="1310"/>
        <v>0</v>
      </c>
      <c r="KL65" s="65"/>
      <c r="KM65" s="63"/>
      <c r="KN65" s="64">
        <f t="shared" si="1311"/>
        <v>0</v>
      </c>
      <c r="KO65" s="65"/>
      <c r="KP65" s="63"/>
      <c r="KQ65" s="64">
        <f t="shared" si="1312"/>
        <v>0</v>
      </c>
      <c r="KR65" s="65"/>
      <c r="KS65" s="63"/>
      <c r="KT65" s="64">
        <f t="shared" si="1313"/>
        <v>0</v>
      </c>
      <c r="KU65" s="66">
        <f t="shared" si="1"/>
        <v>0</v>
      </c>
      <c r="KV65" s="67">
        <f t="shared" si="1314"/>
        <v>0</v>
      </c>
      <c r="KW65" s="64">
        <f t="shared" si="1315"/>
        <v>0</v>
      </c>
      <c r="KX65" s="72"/>
      <c r="KY65" s="73"/>
      <c r="KZ65" s="74"/>
      <c r="LA65" s="75"/>
      <c r="LB65" s="73"/>
      <c r="LC65" s="74"/>
      <c r="LD65" s="75"/>
      <c r="LE65" s="73"/>
      <c r="LF65" s="74"/>
      <c r="LG65" s="75"/>
      <c r="LH65" s="73"/>
      <c r="LI65" s="74"/>
      <c r="LJ65" s="76"/>
      <c r="LK65" s="77"/>
      <c r="LL65" s="74"/>
      <c r="LM65" s="62"/>
      <c r="LN65" s="63"/>
      <c r="LO65" s="64">
        <f t="shared" si="1316"/>
        <v>0</v>
      </c>
      <c r="LP65" s="65"/>
      <c r="LQ65" s="63"/>
      <c r="LR65" s="64">
        <f t="shared" si="1317"/>
        <v>0</v>
      </c>
      <c r="LS65" s="65"/>
      <c r="LT65" s="63"/>
      <c r="LU65" s="64">
        <f t="shared" si="1318"/>
        <v>0</v>
      </c>
      <c r="LV65" s="65">
        <v>100</v>
      </c>
      <c r="LW65" s="63"/>
      <c r="LX65" s="64">
        <f t="shared" si="1319"/>
        <v>100</v>
      </c>
      <c r="LY65" s="66">
        <f t="shared" si="124"/>
        <v>100</v>
      </c>
      <c r="LZ65" s="67">
        <f t="shared" si="1320"/>
        <v>0</v>
      </c>
      <c r="MA65" s="64">
        <f t="shared" si="1321"/>
        <v>100</v>
      </c>
      <c r="MB65" s="62"/>
      <c r="MC65" s="63"/>
      <c r="MD65" s="64">
        <f t="shared" si="1322"/>
        <v>0</v>
      </c>
      <c r="ME65" s="65">
        <v>889.11</v>
      </c>
      <c r="MF65" s="63"/>
      <c r="MG65" s="64">
        <f t="shared" si="1323"/>
        <v>889.11</v>
      </c>
      <c r="MH65" s="65"/>
      <c r="MI65" s="63"/>
      <c r="MJ65" s="64">
        <f t="shared" si="1324"/>
        <v>0</v>
      </c>
      <c r="MK65" s="65">
        <v>100</v>
      </c>
      <c r="ML65" s="63"/>
      <c r="MM65" s="64">
        <f t="shared" si="1325"/>
        <v>100</v>
      </c>
      <c r="MN65" s="66">
        <f t="shared" si="131"/>
        <v>989.11</v>
      </c>
      <c r="MO65" s="67">
        <f t="shared" si="1326"/>
        <v>0</v>
      </c>
      <c r="MP65" s="64">
        <f t="shared" si="1327"/>
        <v>989.11</v>
      </c>
      <c r="MQ65" s="62"/>
      <c r="MR65" s="63"/>
      <c r="MS65" s="64">
        <f t="shared" si="1328"/>
        <v>0</v>
      </c>
      <c r="MT65" s="65"/>
      <c r="MU65" s="63"/>
      <c r="MV65" s="64">
        <f t="shared" si="1329"/>
        <v>0</v>
      </c>
      <c r="MW65" s="65"/>
      <c r="MX65" s="63"/>
      <c r="MY65" s="64">
        <f t="shared" si="1330"/>
        <v>0</v>
      </c>
      <c r="MZ65" s="65"/>
      <c r="NA65" s="63"/>
      <c r="NB65" s="64">
        <f t="shared" si="1331"/>
        <v>0</v>
      </c>
      <c r="NC65" s="66">
        <f t="shared" si="138"/>
        <v>0</v>
      </c>
      <c r="ND65" s="67">
        <f t="shared" si="1332"/>
        <v>0</v>
      </c>
      <c r="NE65" s="64">
        <f t="shared" si="1333"/>
        <v>0</v>
      </c>
      <c r="NF65" s="62"/>
      <c r="NG65" s="63"/>
      <c r="NH65" s="64">
        <f t="shared" si="1334"/>
        <v>0</v>
      </c>
      <c r="NI65" s="65">
        <v>1164.04</v>
      </c>
      <c r="NJ65" s="63"/>
      <c r="NK65" s="64">
        <f t="shared" si="1335"/>
        <v>1164.04</v>
      </c>
      <c r="NL65" s="65"/>
      <c r="NM65" s="63"/>
      <c r="NN65" s="64">
        <f t="shared" si="1336"/>
        <v>0</v>
      </c>
      <c r="NO65" s="65">
        <v>100</v>
      </c>
      <c r="NP65" s="63"/>
      <c r="NQ65" s="64">
        <f t="shared" si="1337"/>
        <v>100</v>
      </c>
      <c r="NR65" s="66">
        <f t="shared" si="145"/>
        <v>1264.04</v>
      </c>
      <c r="NS65" s="67">
        <f t="shared" si="1338"/>
        <v>0</v>
      </c>
      <c r="NT65" s="64">
        <f t="shared" si="1339"/>
        <v>1264.04</v>
      </c>
      <c r="NU65" s="62"/>
      <c r="NV65" s="63"/>
      <c r="NW65" s="64">
        <f t="shared" si="1340"/>
        <v>0</v>
      </c>
      <c r="NX65" s="65">
        <v>1152.73</v>
      </c>
      <c r="NY65" s="63"/>
      <c r="NZ65" s="64">
        <f t="shared" si="1341"/>
        <v>1152.73</v>
      </c>
      <c r="OA65" s="65"/>
      <c r="OB65" s="63"/>
      <c r="OC65" s="64">
        <f t="shared" si="1342"/>
        <v>0</v>
      </c>
      <c r="OD65" s="65">
        <v>100</v>
      </c>
      <c r="OE65" s="63"/>
      <c r="OF65" s="64">
        <f t="shared" si="1343"/>
        <v>100</v>
      </c>
      <c r="OG65" s="66">
        <f t="shared" si="152"/>
        <v>1252.73</v>
      </c>
      <c r="OH65" s="67">
        <f t="shared" si="1344"/>
        <v>0</v>
      </c>
      <c r="OI65" s="64">
        <f t="shared" si="1345"/>
        <v>1252.73</v>
      </c>
      <c r="OJ65" s="62"/>
      <c r="OK65" s="63"/>
      <c r="OL65" s="64">
        <f t="shared" si="1346"/>
        <v>0</v>
      </c>
      <c r="OM65" s="65"/>
      <c r="ON65" s="63"/>
      <c r="OO65" s="64">
        <f t="shared" si="1347"/>
        <v>0</v>
      </c>
      <c r="OP65" s="65"/>
      <c r="OQ65" s="63"/>
      <c r="OR65" s="64">
        <f t="shared" si="1348"/>
        <v>0</v>
      </c>
      <c r="OS65" s="65">
        <v>100</v>
      </c>
      <c r="OT65" s="63"/>
      <c r="OU65" s="64">
        <f t="shared" si="1349"/>
        <v>100</v>
      </c>
      <c r="OV65" s="66">
        <f t="shared" si="159"/>
        <v>100</v>
      </c>
      <c r="OW65" s="67">
        <f t="shared" si="1350"/>
        <v>0</v>
      </c>
      <c r="OX65" s="64">
        <f t="shared" si="1351"/>
        <v>100</v>
      </c>
      <c r="OY65" s="62"/>
      <c r="OZ65" s="63"/>
      <c r="PA65" s="64">
        <f t="shared" si="1352"/>
        <v>0</v>
      </c>
      <c r="PB65" s="65"/>
      <c r="PC65" s="63"/>
      <c r="PD65" s="64">
        <f t="shared" si="1353"/>
        <v>0</v>
      </c>
      <c r="PE65" s="65"/>
      <c r="PF65" s="63"/>
      <c r="PG65" s="64">
        <f t="shared" si="1354"/>
        <v>0</v>
      </c>
      <c r="PH65" s="65">
        <v>100</v>
      </c>
      <c r="PI65" s="63"/>
      <c r="PJ65" s="64">
        <f t="shared" si="1355"/>
        <v>100</v>
      </c>
      <c r="PK65" s="66">
        <f t="shared" si="166"/>
        <v>100</v>
      </c>
      <c r="PL65" s="67">
        <f t="shared" si="1356"/>
        <v>0</v>
      </c>
      <c r="PM65" s="64">
        <f t="shared" si="1357"/>
        <v>100</v>
      </c>
      <c r="PN65" s="62">
        <v>1550</v>
      </c>
      <c r="PO65" s="63"/>
      <c r="PP65" s="64">
        <f t="shared" si="1358"/>
        <v>1550</v>
      </c>
      <c r="PQ65" s="65"/>
      <c r="PR65" s="63"/>
      <c r="PS65" s="64">
        <f t="shared" si="1359"/>
        <v>0</v>
      </c>
      <c r="PT65" s="65"/>
      <c r="PU65" s="63"/>
      <c r="PV65" s="64">
        <f t="shared" si="1360"/>
        <v>0</v>
      </c>
      <c r="PW65" s="65">
        <v>100</v>
      </c>
      <c r="PX65" s="63"/>
      <c r="PY65" s="64">
        <f t="shared" si="1361"/>
        <v>100</v>
      </c>
      <c r="PZ65" s="66">
        <f t="shared" si="173"/>
        <v>1650</v>
      </c>
      <c r="QA65" s="67">
        <f t="shared" si="1362"/>
        <v>0</v>
      </c>
      <c r="QB65" s="64">
        <f t="shared" si="1363"/>
        <v>1650</v>
      </c>
      <c r="QC65" s="62"/>
      <c r="QD65" s="63"/>
      <c r="QE65" s="64">
        <f t="shared" si="1364"/>
        <v>0</v>
      </c>
      <c r="QF65" s="65"/>
      <c r="QG65" s="63"/>
      <c r="QH65" s="64">
        <f t="shared" si="1365"/>
        <v>0</v>
      </c>
      <c r="QI65" s="65"/>
      <c r="QJ65" s="63"/>
      <c r="QK65" s="64">
        <f t="shared" si="1366"/>
        <v>0</v>
      </c>
      <c r="QL65" s="65">
        <v>100</v>
      </c>
      <c r="QM65" s="63"/>
      <c r="QN65" s="64">
        <f t="shared" si="1367"/>
        <v>100</v>
      </c>
      <c r="QO65" s="66">
        <f t="shared" si="180"/>
        <v>100</v>
      </c>
      <c r="QP65" s="67">
        <f t="shared" si="1368"/>
        <v>0</v>
      </c>
      <c r="QQ65" s="64">
        <f t="shared" si="1369"/>
        <v>100</v>
      </c>
      <c r="QR65" s="74"/>
      <c r="QS65" s="74"/>
      <c r="QT65" s="72"/>
      <c r="QU65" s="73"/>
      <c r="QV65" s="74"/>
      <c r="QW65" s="75"/>
      <c r="QX65" s="73"/>
      <c r="QY65" s="74"/>
      <c r="QZ65" s="75"/>
      <c r="RA65" s="73"/>
      <c r="RB65" s="74"/>
      <c r="RC65" s="75"/>
      <c r="RD65" s="73"/>
      <c r="RE65" s="74"/>
      <c r="RF65" s="74"/>
      <c r="RG65" s="72"/>
      <c r="RH65" s="73"/>
      <c r="RI65" s="74"/>
      <c r="RJ65" s="75"/>
      <c r="RK65" s="73"/>
      <c r="RL65" s="74"/>
      <c r="RM65" s="75"/>
      <c r="RN65" s="73"/>
      <c r="RO65" s="74"/>
      <c r="RP65" s="75"/>
      <c r="RQ65" s="73"/>
      <c r="RR65" s="74"/>
      <c r="RS65" s="76"/>
      <c r="RT65" s="77"/>
      <c r="RU65" s="74"/>
      <c r="RV65" s="74"/>
      <c r="RW65" s="72"/>
      <c r="RX65" s="73"/>
      <c r="RY65" s="74"/>
      <c r="RZ65" s="75"/>
      <c r="SA65" s="73"/>
      <c r="SB65" s="74"/>
      <c r="SC65" s="75"/>
      <c r="SD65" s="73"/>
      <c r="SE65" s="74"/>
      <c r="SF65" s="75"/>
      <c r="SG65" s="73"/>
      <c r="SH65" s="74"/>
      <c r="SI65" s="76"/>
      <c r="SJ65" s="64">
        <f t="shared" si="1370"/>
        <v>0</v>
      </c>
      <c r="SK65" s="62"/>
      <c r="SL65" s="63"/>
      <c r="SM65" s="64">
        <f t="shared" si="1371"/>
        <v>0</v>
      </c>
      <c r="SN65" s="65"/>
      <c r="SO65" s="63"/>
      <c r="SP65" s="64">
        <f t="shared" si="1372"/>
        <v>0</v>
      </c>
      <c r="SQ65" s="65"/>
      <c r="SR65" s="63"/>
      <c r="SS65" s="64">
        <f t="shared" si="1373"/>
        <v>0</v>
      </c>
      <c r="ST65" s="65">
        <v>100</v>
      </c>
      <c r="SU65" s="63"/>
      <c r="SV65" s="64">
        <f t="shared" si="1374"/>
        <v>100</v>
      </c>
      <c r="SW65" s="66">
        <f t="shared" si="208"/>
        <v>100</v>
      </c>
      <c r="SX65" s="67">
        <f t="shared" si="1375"/>
        <v>0</v>
      </c>
      <c r="SY65" s="64">
        <f t="shared" si="1376"/>
        <v>100</v>
      </c>
      <c r="SZ65" s="62">
        <v>985.33</v>
      </c>
      <c r="TA65" s="63"/>
      <c r="TB65" s="64">
        <f t="shared" si="1377"/>
        <v>985.33</v>
      </c>
      <c r="TC65" s="65">
        <v>700.9</v>
      </c>
      <c r="TD65" s="63"/>
      <c r="TE65" s="64">
        <f t="shared" si="1378"/>
        <v>700.9</v>
      </c>
      <c r="TF65" s="65"/>
      <c r="TG65" s="63"/>
      <c r="TH65" s="64">
        <f t="shared" si="1379"/>
        <v>0</v>
      </c>
      <c r="TI65" s="65">
        <v>100</v>
      </c>
      <c r="TJ65" s="63"/>
      <c r="TK65" s="64">
        <f t="shared" si="1380"/>
        <v>100</v>
      </c>
      <c r="TL65" s="66">
        <f t="shared" si="215"/>
        <v>1786.23</v>
      </c>
      <c r="TM65" s="67">
        <f t="shared" si="1381"/>
        <v>0</v>
      </c>
      <c r="TN65" s="64">
        <f t="shared" si="1382"/>
        <v>1786.23</v>
      </c>
      <c r="TO65" s="62">
        <v>3875</v>
      </c>
      <c r="TP65" s="63"/>
      <c r="TQ65" s="64">
        <f t="shared" si="1383"/>
        <v>3875</v>
      </c>
      <c r="TR65" s="65"/>
      <c r="TS65" s="63"/>
      <c r="TT65" s="64">
        <f t="shared" si="1384"/>
        <v>0</v>
      </c>
      <c r="TU65" s="65"/>
      <c r="TV65" s="63"/>
      <c r="TW65" s="64">
        <f t="shared" si="1385"/>
        <v>0</v>
      </c>
      <c r="TX65" s="65">
        <v>100</v>
      </c>
      <c r="TY65" s="63"/>
      <c r="TZ65" s="64">
        <f t="shared" si="1386"/>
        <v>100</v>
      </c>
      <c r="UA65" s="66">
        <f t="shared" si="222"/>
        <v>3975</v>
      </c>
      <c r="UB65" s="67">
        <f t="shared" si="1387"/>
        <v>0</v>
      </c>
      <c r="UC65" s="64">
        <f t="shared" si="1388"/>
        <v>3975</v>
      </c>
      <c r="UD65" s="62"/>
      <c r="UE65" s="63"/>
      <c r="UF65" s="64">
        <f t="shared" si="1389"/>
        <v>0</v>
      </c>
      <c r="UG65" s="65">
        <v>497.04</v>
      </c>
      <c r="UH65" s="63"/>
      <c r="UI65" s="64">
        <f t="shared" si="1390"/>
        <v>497.04</v>
      </c>
      <c r="UJ65" s="65"/>
      <c r="UK65" s="63"/>
      <c r="UL65" s="64">
        <f t="shared" si="1391"/>
        <v>0</v>
      </c>
      <c r="UM65" s="65">
        <v>100</v>
      </c>
      <c r="UN65" s="63"/>
      <c r="UO65" s="64">
        <f t="shared" si="1392"/>
        <v>100</v>
      </c>
      <c r="UP65" s="66">
        <f t="shared" si="226"/>
        <v>597.04</v>
      </c>
      <c r="UQ65" s="67">
        <f t="shared" si="1393"/>
        <v>0</v>
      </c>
      <c r="UR65" s="64">
        <f t="shared" si="1394"/>
        <v>597.04</v>
      </c>
      <c r="US65" s="74"/>
      <c r="UT65" s="72"/>
      <c r="UU65" s="73"/>
      <c r="UV65" s="74"/>
      <c r="UW65" s="75"/>
      <c r="UX65" s="73"/>
      <c r="UY65" s="74"/>
      <c r="UZ65" s="75"/>
      <c r="VA65" s="73"/>
      <c r="VB65" s="74"/>
      <c r="VC65" s="75"/>
      <c r="VD65" s="73"/>
      <c r="VE65" s="74"/>
      <c r="VF65" s="76"/>
      <c r="VG65" s="77"/>
      <c r="VH65" s="62"/>
      <c r="VI65" s="63"/>
      <c r="VJ65" s="64">
        <f t="shared" si="1395"/>
        <v>0</v>
      </c>
      <c r="VK65" s="65"/>
      <c r="VL65" s="63"/>
      <c r="VM65" s="64">
        <f t="shared" si="1396"/>
        <v>0</v>
      </c>
      <c r="VN65" s="65"/>
      <c r="VO65" s="63"/>
      <c r="VP65" s="64">
        <f t="shared" si="1397"/>
        <v>0</v>
      </c>
      <c r="VQ65" s="65">
        <v>100</v>
      </c>
      <c r="VR65" s="63"/>
      <c r="VS65" s="64">
        <f t="shared" si="1398"/>
        <v>100</v>
      </c>
      <c r="VT65" s="66">
        <f t="shared" si="240"/>
        <v>100</v>
      </c>
      <c r="VU65" s="67">
        <f t="shared" si="1399"/>
        <v>0</v>
      </c>
      <c r="VV65" s="64">
        <f t="shared" si="1400"/>
        <v>100</v>
      </c>
      <c r="VW65" s="74"/>
      <c r="VX65" s="72"/>
      <c r="VY65" s="73"/>
      <c r="VZ65" s="74"/>
      <c r="WA65" s="75"/>
      <c r="WB65" s="73"/>
      <c r="WC65" s="74"/>
      <c r="WD65" s="75"/>
      <c r="WE65" s="73"/>
      <c r="WF65" s="74"/>
      <c r="WG65" s="75"/>
      <c r="WH65" s="73"/>
      <c r="WI65" s="74"/>
      <c r="WJ65" s="76"/>
      <c r="WK65" s="77"/>
      <c r="WL65" s="74"/>
      <c r="WM65" s="72"/>
      <c r="WN65" s="73"/>
      <c r="WO65" s="74"/>
      <c r="WP65" s="75"/>
      <c r="WQ65" s="73"/>
      <c r="WR65" s="74"/>
      <c r="WS65" s="75"/>
      <c r="WT65" s="73"/>
      <c r="WU65" s="74"/>
      <c r="WV65" s="75"/>
      <c r="WW65" s="73"/>
      <c r="WX65" s="74"/>
      <c r="WY65" s="76"/>
      <c r="WZ65" s="77"/>
      <c r="XA65" s="74"/>
      <c r="XB65" s="72"/>
      <c r="XC65" s="73"/>
      <c r="XD65" s="74"/>
      <c r="XE65" s="75"/>
      <c r="XF65" s="73"/>
      <c r="XG65" s="74"/>
      <c r="XH65" s="75"/>
      <c r="XI65" s="73"/>
      <c r="XJ65" s="74"/>
      <c r="XK65" s="75"/>
      <c r="XL65" s="73"/>
      <c r="XM65" s="74"/>
      <c r="XN65" s="76"/>
      <c r="XO65" s="77"/>
      <c r="XP65" s="62"/>
      <c r="XQ65" s="63"/>
      <c r="XR65" s="64">
        <f t="shared" si="1401"/>
        <v>0</v>
      </c>
      <c r="XS65" s="65">
        <v>844.24</v>
      </c>
      <c r="XT65" s="63"/>
      <c r="XU65" s="64">
        <f t="shared" si="1402"/>
        <v>844.24</v>
      </c>
      <c r="XV65" s="65"/>
      <c r="XW65" s="63"/>
      <c r="XX65" s="64">
        <f t="shared" si="1403"/>
        <v>0</v>
      </c>
      <c r="XY65" s="65">
        <v>100</v>
      </c>
      <c r="XZ65" s="63"/>
      <c r="YA65" s="64">
        <f t="shared" si="1404"/>
        <v>100</v>
      </c>
      <c r="YB65" s="66">
        <f t="shared" si="268"/>
        <v>944.24</v>
      </c>
      <c r="YC65" s="67">
        <f t="shared" si="1405"/>
        <v>0</v>
      </c>
      <c r="YD65" s="64">
        <f t="shared" si="1406"/>
        <v>944.24</v>
      </c>
      <c r="YE65" s="62"/>
      <c r="YF65" s="63"/>
      <c r="YG65" s="64">
        <f t="shared" si="1407"/>
        <v>0</v>
      </c>
      <c r="YH65" s="65">
        <v>847.85</v>
      </c>
      <c r="YI65" s="63"/>
      <c r="YJ65" s="64">
        <f t="shared" si="1408"/>
        <v>847.85</v>
      </c>
      <c r="YK65" s="65"/>
      <c r="YL65" s="63"/>
      <c r="YM65" s="64">
        <f t="shared" si="1409"/>
        <v>0</v>
      </c>
      <c r="YN65" s="65">
        <v>100</v>
      </c>
      <c r="YO65" s="63"/>
      <c r="YP65" s="64">
        <f t="shared" si="1410"/>
        <v>100</v>
      </c>
      <c r="YQ65" s="66">
        <f t="shared" si="275"/>
        <v>947.85</v>
      </c>
      <c r="YR65" s="67">
        <f t="shared" si="1411"/>
        <v>0</v>
      </c>
      <c r="YS65" s="64">
        <f t="shared" si="1412"/>
        <v>947.85</v>
      </c>
      <c r="YT65" s="62"/>
      <c r="YU65" s="63"/>
      <c r="YV65" s="64">
        <f t="shared" si="1413"/>
        <v>0</v>
      </c>
      <c r="YW65" s="65">
        <v>695.73</v>
      </c>
      <c r="YX65" s="63"/>
      <c r="YY65" s="64">
        <f t="shared" si="1414"/>
        <v>695.73</v>
      </c>
      <c r="YZ65" s="65"/>
      <c r="ZA65" s="63"/>
      <c r="ZB65" s="64">
        <f t="shared" si="1415"/>
        <v>0</v>
      </c>
      <c r="ZC65" s="65">
        <v>100</v>
      </c>
      <c r="ZD65" s="63"/>
      <c r="ZE65" s="64">
        <f t="shared" si="1416"/>
        <v>100</v>
      </c>
      <c r="ZF65" s="66">
        <f t="shared" si="282"/>
        <v>795.73</v>
      </c>
      <c r="ZG65" s="67">
        <f t="shared" si="1417"/>
        <v>0</v>
      </c>
      <c r="ZH65" s="74"/>
      <c r="ZI65" s="72"/>
      <c r="ZJ65" s="73"/>
      <c r="ZK65" s="74"/>
      <c r="ZL65" s="75"/>
      <c r="ZM65" s="73"/>
      <c r="ZN65" s="74"/>
      <c r="ZO65" s="75"/>
      <c r="ZP65" s="73"/>
      <c r="ZQ65" s="74"/>
      <c r="ZR65" s="75"/>
      <c r="ZS65" s="73"/>
      <c r="ZT65" s="74"/>
      <c r="ZU65" s="76"/>
      <c r="ZV65" s="77"/>
      <c r="ZW65" s="64">
        <f t="shared" si="1418"/>
        <v>0</v>
      </c>
      <c r="ZX65" s="62">
        <v>24.71</v>
      </c>
      <c r="ZY65" s="63"/>
      <c r="ZZ65" s="64">
        <f t="shared" si="1419"/>
        <v>24.71</v>
      </c>
      <c r="AAA65" s="66">
        <f t="shared" si="293"/>
        <v>24.71</v>
      </c>
      <c r="AAB65" s="67">
        <f t="shared" si="293"/>
        <v>0</v>
      </c>
      <c r="AAC65" s="64">
        <f t="shared" si="1420"/>
        <v>24.71</v>
      </c>
      <c r="AAD65" s="85">
        <f t="shared" si="295"/>
        <v>46741.18</v>
      </c>
      <c r="AAE65" s="86">
        <f t="shared" si="295"/>
        <v>58.83</v>
      </c>
      <c r="AAF65" s="87">
        <f t="shared" si="3"/>
        <v>1.2586331795645723E-3</v>
      </c>
      <c r="AAG65" s="88">
        <f t="shared" si="1421"/>
        <v>-46682.35</v>
      </c>
      <c r="AAH65" s="94">
        <f>AAH63/AAH59</f>
        <v>2.1557315499242373E-4</v>
      </c>
      <c r="AAI65" s="95"/>
      <c r="AAJ65" s="95"/>
      <c r="AAK65" s="60"/>
    </row>
    <row r="66" spans="1:713" s="83" customFormat="1" ht="20" customHeight="1" x14ac:dyDescent="0.2">
      <c r="A66" s="152"/>
      <c r="B66" s="94"/>
      <c r="C66" s="95"/>
      <c r="D66" s="95"/>
      <c r="E66" s="60"/>
      <c r="F66" s="61">
        <v>46296</v>
      </c>
      <c r="G66" s="62"/>
      <c r="H66" s="63"/>
      <c r="I66" s="64">
        <f t="shared" si="1217"/>
        <v>0</v>
      </c>
      <c r="J66" s="65">
        <v>1991.8</v>
      </c>
      <c r="K66" s="63"/>
      <c r="L66" s="64">
        <f t="shared" si="1218"/>
        <v>1991.8</v>
      </c>
      <c r="M66" s="65">
        <v>2500</v>
      </c>
      <c r="N66" s="63"/>
      <c r="O66" s="64">
        <f t="shared" si="1219"/>
        <v>2500</v>
      </c>
      <c r="P66" s="65">
        <v>1000</v>
      </c>
      <c r="Q66" s="63"/>
      <c r="R66" s="64">
        <f t="shared" si="1220"/>
        <v>1000</v>
      </c>
      <c r="S66" s="65">
        <v>181</v>
      </c>
      <c r="T66" s="63"/>
      <c r="U66" s="64">
        <f t="shared" si="1221"/>
        <v>181</v>
      </c>
      <c r="V66" s="66">
        <f t="shared" si="1222"/>
        <v>5672.8</v>
      </c>
      <c r="W66" s="67">
        <f t="shared" si="1222"/>
        <v>0</v>
      </c>
      <c r="X66" s="64">
        <f t="shared" si="1223"/>
        <v>5672.8</v>
      </c>
      <c r="Y66" s="72"/>
      <c r="Z66" s="73"/>
      <c r="AA66" s="74"/>
      <c r="AB66" s="75"/>
      <c r="AC66" s="73"/>
      <c r="AD66" s="74"/>
      <c r="AE66" s="75"/>
      <c r="AF66" s="73"/>
      <c r="AG66" s="74"/>
      <c r="AH66" s="75"/>
      <c r="AI66" s="73"/>
      <c r="AJ66" s="74"/>
      <c r="AK66" s="76"/>
      <c r="AL66" s="77"/>
      <c r="AM66" s="64">
        <f t="shared" si="1224"/>
        <v>0</v>
      </c>
      <c r="AN66" s="62"/>
      <c r="AO66" s="63"/>
      <c r="AP66" s="64">
        <f t="shared" si="1422"/>
        <v>0</v>
      </c>
      <c r="AQ66" s="65"/>
      <c r="AR66" s="63"/>
      <c r="AS66" s="64">
        <f t="shared" si="1225"/>
        <v>0</v>
      </c>
      <c r="AT66" s="65"/>
      <c r="AU66" s="63"/>
      <c r="AV66" s="64">
        <f t="shared" si="1226"/>
        <v>0</v>
      </c>
      <c r="AW66" s="65"/>
      <c r="AX66" s="63"/>
      <c r="AY66" s="64">
        <f t="shared" si="1227"/>
        <v>0</v>
      </c>
      <c r="AZ66" s="66">
        <f t="shared" si="23"/>
        <v>0</v>
      </c>
      <c r="BA66" s="67">
        <f t="shared" si="1228"/>
        <v>0</v>
      </c>
      <c r="BB66" s="64">
        <f t="shared" si="1229"/>
        <v>0</v>
      </c>
      <c r="BC66" s="62">
        <v>6150</v>
      </c>
      <c r="BD66" s="63"/>
      <c r="BE66" s="64">
        <f t="shared" si="1230"/>
        <v>6150</v>
      </c>
      <c r="BF66" s="65"/>
      <c r="BG66" s="63"/>
      <c r="BH66" s="64">
        <f t="shared" si="1231"/>
        <v>0</v>
      </c>
      <c r="BI66" s="65"/>
      <c r="BJ66" s="63"/>
      <c r="BK66" s="64">
        <f t="shared" si="1232"/>
        <v>0</v>
      </c>
      <c r="BL66" s="65">
        <v>100</v>
      </c>
      <c r="BM66" s="63"/>
      <c r="BN66" s="64">
        <f t="shared" si="1233"/>
        <v>100</v>
      </c>
      <c r="BO66" s="66">
        <f t="shared" si="30"/>
        <v>6250</v>
      </c>
      <c r="BP66" s="67">
        <f t="shared" si="1234"/>
        <v>0</v>
      </c>
      <c r="BQ66" s="64">
        <f t="shared" si="1235"/>
        <v>6250</v>
      </c>
      <c r="BR66" s="72"/>
      <c r="BS66" s="73"/>
      <c r="BT66" s="74"/>
      <c r="BU66" s="75"/>
      <c r="BV66" s="73"/>
      <c r="BW66" s="74"/>
      <c r="BX66" s="75"/>
      <c r="BY66" s="73"/>
      <c r="BZ66" s="74"/>
      <c r="CA66" s="75"/>
      <c r="CB66" s="73"/>
      <c r="CC66" s="74"/>
      <c r="CD66" s="76"/>
      <c r="CE66" s="77"/>
      <c r="CF66" s="64">
        <f t="shared" si="1236"/>
        <v>0</v>
      </c>
      <c r="CG66" s="62"/>
      <c r="CH66" s="63"/>
      <c r="CI66" s="64">
        <f t="shared" si="1237"/>
        <v>0</v>
      </c>
      <c r="CJ66" s="65"/>
      <c r="CK66" s="63"/>
      <c r="CL66" s="64">
        <f t="shared" si="1238"/>
        <v>0</v>
      </c>
      <c r="CM66" s="65"/>
      <c r="CN66" s="63"/>
      <c r="CO66" s="64">
        <f t="shared" si="1239"/>
        <v>0</v>
      </c>
      <c r="CP66" s="65"/>
      <c r="CQ66" s="63"/>
      <c r="CR66" s="64">
        <f t="shared" si="1240"/>
        <v>0</v>
      </c>
      <c r="CS66" s="66">
        <f t="shared" si="40"/>
        <v>0</v>
      </c>
      <c r="CT66" s="67">
        <f t="shared" si="1241"/>
        <v>0</v>
      </c>
      <c r="CU66" s="64">
        <f t="shared" si="1242"/>
        <v>0</v>
      </c>
      <c r="CV66" s="62">
        <v>2916.7</v>
      </c>
      <c r="CW66" s="63"/>
      <c r="CX66" s="64">
        <f t="shared" si="1243"/>
        <v>2916.7</v>
      </c>
      <c r="CY66" s="65">
        <v>429.15</v>
      </c>
      <c r="CZ66" s="63"/>
      <c r="DA66" s="64">
        <f t="shared" si="1244"/>
        <v>429.15</v>
      </c>
      <c r="DB66" s="65"/>
      <c r="DC66" s="63"/>
      <c r="DD66" s="64">
        <f t="shared" si="1245"/>
        <v>0</v>
      </c>
      <c r="DE66" s="65"/>
      <c r="DF66" s="63"/>
      <c r="DG66" s="64">
        <f t="shared" si="1246"/>
        <v>0</v>
      </c>
      <c r="DH66" s="66">
        <f t="shared" si="43"/>
        <v>3345.85</v>
      </c>
      <c r="DI66" s="67">
        <f t="shared" si="1247"/>
        <v>0</v>
      </c>
      <c r="DJ66" s="64">
        <f t="shared" si="1248"/>
        <v>3345.85</v>
      </c>
      <c r="DK66" s="62">
        <v>2400</v>
      </c>
      <c r="DL66" s="63"/>
      <c r="DM66" s="64">
        <f t="shared" si="1249"/>
        <v>2400</v>
      </c>
      <c r="DN66" s="65">
        <v>913.08</v>
      </c>
      <c r="DO66" s="63"/>
      <c r="DP66" s="64">
        <f t="shared" si="1250"/>
        <v>913.08</v>
      </c>
      <c r="DQ66" s="65"/>
      <c r="DR66" s="63"/>
      <c r="DS66" s="64">
        <f t="shared" si="1251"/>
        <v>0</v>
      </c>
      <c r="DT66" s="65">
        <v>100</v>
      </c>
      <c r="DU66" s="63"/>
      <c r="DV66" s="64">
        <f t="shared" si="1252"/>
        <v>100</v>
      </c>
      <c r="DW66" s="66">
        <f t="shared" si="46"/>
        <v>3413.08</v>
      </c>
      <c r="DX66" s="67">
        <f t="shared" si="1253"/>
        <v>0</v>
      </c>
      <c r="DY66" s="64">
        <f t="shared" si="1254"/>
        <v>3413.08</v>
      </c>
      <c r="DZ66" s="62"/>
      <c r="EA66" s="63"/>
      <c r="EB66" s="64">
        <f t="shared" si="1255"/>
        <v>0</v>
      </c>
      <c r="EC66" s="65"/>
      <c r="ED66" s="63"/>
      <c r="EE66" s="64">
        <f t="shared" si="1256"/>
        <v>0</v>
      </c>
      <c r="EF66" s="65"/>
      <c r="EG66" s="63"/>
      <c r="EH66" s="64">
        <f t="shared" si="1257"/>
        <v>0</v>
      </c>
      <c r="EI66" s="65">
        <v>100</v>
      </c>
      <c r="EJ66" s="63"/>
      <c r="EK66" s="64">
        <f t="shared" si="1258"/>
        <v>100</v>
      </c>
      <c r="EL66" s="66">
        <f t="shared" si="53"/>
        <v>100</v>
      </c>
      <c r="EM66" s="67">
        <f t="shared" si="1259"/>
        <v>0</v>
      </c>
      <c r="EN66" s="64">
        <f t="shared" si="1260"/>
        <v>100</v>
      </c>
      <c r="EO66" s="62">
        <v>6150</v>
      </c>
      <c r="EP66" s="63"/>
      <c r="EQ66" s="64">
        <f t="shared" si="1261"/>
        <v>6150</v>
      </c>
      <c r="ER66" s="65"/>
      <c r="ES66" s="63"/>
      <c r="ET66" s="64">
        <f t="shared" si="1262"/>
        <v>0</v>
      </c>
      <c r="EU66" s="65"/>
      <c r="EV66" s="63"/>
      <c r="EW66" s="64">
        <f t="shared" si="1263"/>
        <v>0</v>
      </c>
      <c r="EX66" s="65">
        <v>100</v>
      </c>
      <c r="EY66" s="63"/>
      <c r="EZ66" s="64">
        <f t="shared" si="1264"/>
        <v>100</v>
      </c>
      <c r="FA66" s="66">
        <f t="shared" si="60"/>
        <v>6250</v>
      </c>
      <c r="FB66" s="67">
        <f t="shared" si="1265"/>
        <v>0</v>
      </c>
      <c r="FC66" s="64">
        <f t="shared" si="1266"/>
        <v>6250</v>
      </c>
      <c r="FD66" s="62">
        <v>6150</v>
      </c>
      <c r="FE66" s="63"/>
      <c r="FF66" s="64">
        <f t="shared" si="1267"/>
        <v>6150</v>
      </c>
      <c r="FG66" s="65"/>
      <c r="FH66" s="63"/>
      <c r="FI66" s="64">
        <f t="shared" si="1268"/>
        <v>0</v>
      </c>
      <c r="FJ66" s="65"/>
      <c r="FK66" s="63"/>
      <c r="FL66" s="64">
        <f t="shared" si="1269"/>
        <v>0</v>
      </c>
      <c r="FM66" s="65">
        <v>100</v>
      </c>
      <c r="FN66" s="63"/>
      <c r="FO66" s="64">
        <f t="shared" si="1270"/>
        <v>100</v>
      </c>
      <c r="FP66" s="66">
        <f t="shared" si="67"/>
        <v>6250</v>
      </c>
      <c r="FQ66" s="67">
        <f t="shared" si="1271"/>
        <v>0</v>
      </c>
      <c r="FR66" s="64">
        <f t="shared" si="1272"/>
        <v>6250</v>
      </c>
      <c r="FS66" s="62"/>
      <c r="FT66" s="63"/>
      <c r="FU66" s="64">
        <f t="shared" si="1273"/>
        <v>0</v>
      </c>
      <c r="FV66" s="65">
        <v>485.35</v>
      </c>
      <c r="FW66" s="63"/>
      <c r="FX66" s="64">
        <f t="shared" si="1274"/>
        <v>485.35</v>
      </c>
      <c r="FY66" s="65"/>
      <c r="FZ66" s="63"/>
      <c r="GA66" s="64">
        <f t="shared" si="1275"/>
        <v>0</v>
      </c>
      <c r="GB66" s="65"/>
      <c r="GC66" s="63"/>
      <c r="GD66" s="64">
        <f t="shared" si="1276"/>
        <v>0</v>
      </c>
      <c r="GE66" s="66">
        <f t="shared" si="74"/>
        <v>485.35</v>
      </c>
      <c r="GF66" s="67">
        <f t="shared" si="1277"/>
        <v>0</v>
      </c>
      <c r="GG66" s="64">
        <f t="shared" si="1278"/>
        <v>485.35</v>
      </c>
      <c r="GH66" s="62"/>
      <c r="GI66" s="63"/>
      <c r="GJ66" s="64">
        <f t="shared" si="1279"/>
        <v>0</v>
      </c>
      <c r="GK66" s="65">
        <v>660.33</v>
      </c>
      <c r="GL66" s="63"/>
      <c r="GM66" s="64">
        <f t="shared" si="1280"/>
        <v>660.33</v>
      </c>
      <c r="GN66" s="65"/>
      <c r="GO66" s="63"/>
      <c r="GP66" s="64">
        <f t="shared" si="1281"/>
        <v>0</v>
      </c>
      <c r="GQ66" s="65"/>
      <c r="GR66" s="63"/>
      <c r="GS66" s="64">
        <f t="shared" si="1282"/>
        <v>0</v>
      </c>
      <c r="GT66" s="66">
        <f t="shared" si="81"/>
        <v>660.33</v>
      </c>
      <c r="GU66" s="67">
        <f t="shared" si="1283"/>
        <v>0</v>
      </c>
      <c r="GV66" s="64">
        <f t="shared" si="1284"/>
        <v>660.33</v>
      </c>
      <c r="GW66" s="62"/>
      <c r="GX66" s="63"/>
      <c r="GY66" s="64">
        <f t="shared" si="1285"/>
        <v>0</v>
      </c>
      <c r="GZ66" s="65">
        <v>568.25</v>
      </c>
      <c r="HA66" s="63"/>
      <c r="HB66" s="64">
        <f t="shared" si="1286"/>
        <v>568.25</v>
      </c>
      <c r="HC66" s="65"/>
      <c r="HD66" s="63"/>
      <c r="HE66" s="64">
        <f t="shared" si="1287"/>
        <v>0</v>
      </c>
      <c r="HF66" s="65">
        <v>100</v>
      </c>
      <c r="HG66" s="63"/>
      <c r="HH66" s="64">
        <f t="shared" si="1288"/>
        <v>100</v>
      </c>
      <c r="HI66" s="66">
        <f t="shared" si="84"/>
        <v>668.25</v>
      </c>
      <c r="HJ66" s="67">
        <f t="shared" si="1289"/>
        <v>0</v>
      </c>
      <c r="HK66" s="64">
        <f t="shared" si="1290"/>
        <v>668.25</v>
      </c>
      <c r="HL66" s="62">
        <v>6150</v>
      </c>
      <c r="HM66" s="63"/>
      <c r="HN66" s="64">
        <f t="shared" si="1291"/>
        <v>6150</v>
      </c>
      <c r="HO66" s="65"/>
      <c r="HP66" s="63"/>
      <c r="HQ66" s="64">
        <f t="shared" si="1292"/>
        <v>0</v>
      </c>
      <c r="HR66" s="65"/>
      <c r="HS66" s="63"/>
      <c r="HT66" s="64">
        <f t="shared" si="1293"/>
        <v>0</v>
      </c>
      <c r="HU66" s="65">
        <v>100</v>
      </c>
      <c r="HV66" s="63"/>
      <c r="HW66" s="64">
        <f t="shared" si="1294"/>
        <v>100</v>
      </c>
      <c r="HX66" s="66">
        <f t="shared" si="91"/>
        <v>6250</v>
      </c>
      <c r="HY66" s="67">
        <f t="shared" si="1295"/>
        <v>0</v>
      </c>
      <c r="HZ66" s="64">
        <f t="shared" si="1296"/>
        <v>6250</v>
      </c>
      <c r="IA66" s="62"/>
      <c r="IB66" s="63"/>
      <c r="IC66" s="64">
        <f t="shared" si="1297"/>
        <v>0</v>
      </c>
      <c r="ID66" s="65"/>
      <c r="IE66" s="63"/>
      <c r="IF66" s="64">
        <f t="shared" si="1298"/>
        <v>0</v>
      </c>
      <c r="IG66" s="65"/>
      <c r="IH66" s="63"/>
      <c r="II66" s="64">
        <f t="shared" si="1299"/>
        <v>0</v>
      </c>
      <c r="IJ66" s="65">
        <v>100</v>
      </c>
      <c r="IK66" s="63"/>
      <c r="IL66" s="64">
        <f t="shared" si="1300"/>
        <v>100</v>
      </c>
      <c r="IM66" s="66">
        <f t="shared" si="98"/>
        <v>100</v>
      </c>
      <c r="IN66" s="67">
        <f t="shared" si="1301"/>
        <v>0</v>
      </c>
      <c r="IO66" s="64">
        <f t="shared" si="1302"/>
        <v>100</v>
      </c>
      <c r="IP66" s="62"/>
      <c r="IQ66" s="63"/>
      <c r="IR66" s="64">
        <f t="shared" si="1303"/>
        <v>0</v>
      </c>
      <c r="IS66" s="65"/>
      <c r="IT66" s="63"/>
      <c r="IU66" s="64">
        <f t="shared" si="1304"/>
        <v>0</v>
      </c>
      <c r="IV66" s="65"/>
      <c r="IW66" s="63"/>
      <c r="IX66" s="64">
        <f t="shared" si="1305"/>
        <v>0</v>
      </c>
      <c r="IY66" s="65"/>
      <c r="IZ66" s="63"/>
      <c r="JA66" s="64">
        <f t="shared" si="1306"/>
        <v>0</v>
      </c>
      <c r="JB66" s="66">
        <f t="shared" si="105"/>
        <v>0</v>
      </c>
      <c r="JC66" s="67">
        <f t="shared" si="1307"/>
        <v>0</v>
      </c>
      <c r="JD66" s="64">
        <f t="shared" si="1308"/>
        <v>0</v>
      </c>
      <c r="JE66" s="72"/>
      <c r="JF66" s="150"/>
      <c r="JG66" s="74"/>
      <c r="JH66" s="75"/>
      <c r="JI66" s="150"/>
      <c r="JJ66" s="74"/>
      <c r="JK66" s="75"/>
      <c r="JL66" s="150"/>
      <c r="JM66" s="74"/>
      <c r="JN66" s="75"/>
      <c r="JO66" s="150"/>
      <c r="JP66" s="74"/>
      <c r="JQ66" s="76"/>
      <c r="JR66" s="77"/>
      <c r="JS66" s="74"/>
      <c r="JT66" s="72"/>
      <c r="JU66" s="73"/>
      <c r="JV66" s="74"/>
      <c r="JW66" s="75"/>
      <c r="JX66" s="73"/>
      <c r="JY66" s="74"/>
      <c r="JZ66" s="75"/>
      <c r="KA66" s="73"/>
      <c r="KB66" s="74"/>
      <c r="KC66" s="75"/>
      <c r="KD66" s="73"/>
      <c r="KE66" s="74"/>
      <c r="KF66" s="76"/>
      <c r="KG66" s="77"/>
      <c r="KH66" s="64">
        <f t="shared" si="1309"/>
        <v>0</v>
      </c>
      <c r="KI66" s="62"/>
      <c r="KJ66" s="63"/>
      <c r="KK66" s="64">
        <f t="shared" si="1310"/>
        <v>0</v>
      </c>
      <c r="KL66" s="65"/>
      <c r="KM66" s="63"/>
      <c r="KN66" s="64">
        <f t="shared" si="1311"/>
        <v>0</v>
      </c>
      <c r="KO66" s="65"/>
      <c r="KP66" s="63"/>
      <c r="KQ66" s="64">
        <f t="shared" si="1312"/>
        <v>0</v>
      </c>
      <c r="KR66" s="65"/>
      <c r="KS66" s="63"/>
      <c r="KT66" s="64">
        <f t="shared" si="1313"/>
        <v>0</v>
      </c>
      <c r="KU66" s="66">
        <f t="shared" si="1"/>
        <v>0</v>
      </c>
      <c r="KV66" s="67">
        <f t="shared" si="1314"/>
        <v>0</v>
      </c>
      <c r="KW66" s="64">
        <f t="shared" si="1315"/>
        <v>0</v>
      </c>
      <c r="KX66" s="72"/>
      <c r="KY66" s="73"/>
      <c r="KZ66" s="74"/>
      <c r="LA66" s="75"/>
      <c r="LB66" s="73"/>
      <c r="LC66" s="74"/>
      <c r="LD66" s="75"/>
      <c r="LE66" s="73"/>
      <c r="LF66" s="74"/>
      <c r="LG66" s="75"/>
      <c r="LH66" s="73"/>
      <c r="LI66" s="74"/>
      <c r="LJ66" s="76"/>
      <c r="LK66" s="77"/>
      <c r="LL66" s="74"/>
      <c r="LM66" s="62"/>
      <c r="LN66" s="63"/>
      <c r="LO66" s="64">
        <f t="shared" si="1316"/>
        <v>0</v>
      </c>
      <c r="LP66" s="65"/>
      <c r="LQ66" s="63"/>
      <c r="LR66" s="64">
        <f t="shared" si="1317"/>
        <v>0</v>
      </c>
      <c r="LS66" s="65"/>
      <c r="LT66" s="63"/>
      <c r="LU66" s="64">
        <f t="shared" si="1318"/>
        <v>0</v>
      </c>
      <c r="LV66" s="65">
        <v>100</v>
      </c>
      <c r="LW66" s="63"/>
      <c r="LX66" s="64">
        <f t="shared" si="1319"/>
        <v>100</v>
      </c>
      <c r="LY66" s="66">
        <f t="shared" si="124"/>
        <v>100</v>
      </c>
      <c r="LZ66" s="67">
        <f t="shared" si="1320"/>
        <v>0</v>
      </c>
      <c r="MA66" s="64">
        <f t="shared" si="1321"/>
        <v>100</v>
      </c>
      <c r="MB66" s="62"/>
      <c r="MC66" s="63"/>
      <c r="MD66" s="64">
        <f t="shared" si="1322"/>
        <v>0</v>
      </c>
      <c r="ME66" s="65">
        <v>889.11</v>
      </c>
      <c r="MF66" s="63"/>
      <c r="MG66" s="64">
        <f t="shared" si="1323"/>
        <v>889.11</v>
      </c>
      <c r="MH66" s="65"/>
      <c r="MI66" s="63"/>
      <c r="MJ66" s="64">
        <f t="shared" si="1324"/>
        <v>0</v>
      </c>
      <c r="MK66" s="65">
        <v>100</v>
      </c>
      <c r="ML66" s="63"/>
      <c r="MM66" s="64">
        <f t="shared" si="1325"/>
        <v>100</v>
      </c>
      <c r="MN66" s="66">
        <f t="shared" si="131"/>
        <v>989.11</v>
      </c>
      <c r="MO66" s="67">
        <f t="shared" si="1326"/>
        <v>0</v>
      </c>
      <c r="MP66" s="64">
        <f t="shared" si="1327"/>
        <v>989.11</v>
      </c>
      <c r="MQ66" s="62"/>
      <c r="MR66" s="63"/>
      <c r="MS66" s="64">
        <f t="shared" si="1328"/>
        <v>0</v>
      </c>
      <c r="MT66" s="65"/>
      <c r="MU66" s="63"/>
      <c r="MV66" s="64">
        <f t="shared" si="1329"/>
        <v>0</v>
      </c>
      <c r="MW66" s="65"/>
      <c r="MX66" s="63"/>
      <c r="MY66" s="64">
        <f t="shared" si="1330"/>
        <v>0</v>
      </c>
      <c r="MZ66" s="65"/>
      <c r="NA66" s="63"/>
      <c r="NB66" s="64">
        <f t="shared" si="1331"/>
        <v>0</v>
      </c>
      <c r="NC66" s="66">
        <f t="shared" si="138"/>
        <v>0</v>
      </c>
      <c r="ND66" s="67">
        <f t="shared" si="1332"/>
        <v>0</v>
      </c>
      <c r="NE66" s="64">
        <f t="shared" si="1333"/>
        <v>0</v>
      </c>
      <c r="NF66" s="62"/>
      <c r="NG66" s="63"/>
      <c r="NH66" s="64">
        <f t="shared" si="1334"/>
        <v>0</v>
      </c>
      <c r="NI66" s="65">
        <v>1164.04</v>
      </c>
      <c r="NJ66" s="63"/>
      <c r="NK66" s="64">
        <f t="shared" si="1335"/>
        <v>1164.04</v>
      </c>
      <c r="NL66" s="65"/>
      <c r="NM66" s="63"/>
      <c r="NN66" s="64">
        <f t="shared" si="1336"/>
        <v>0</v>
      </c>
      <c r="NO66" s="65">
        <v>100</v>
      </c>
      <c r="NP66" s="63"/>
      <c r="NQ66" s="64">
        <f t="shared" si="1337"/>
        <v>100</v>
      </c>
      <c r="NR66" s="66">
        <f t="shared" si="145"/>
        <v>1264.04</v>
      </c>
      <c r="NS66" s="67">
        <f t="shared" si="1338"/>
        <v>0</v>
      </c>
      <c r="NT66" s="64">
        <f t="shared" si="1339"/>
        <v>1264.04</v>
      </c>
      <c r="NU66" s="62"/>
      <c r="NV66" s="63"/>
      <c r="NW66" s="64">
        <f t="shared" si="1340"/>
        <v>0</v>
      </c>
      <c r="NX66" s="65">
        <v>1152.73</v>
      </c>
      <c r="NY66" s="63"/>
      <c r="NZ66" s="64">
        <f t="shared" si="1341"/>
        <v>1152.73</v>
      </c>
      <c r="OA66" s="65"/>
      <c r="OB66" s="63"/>
      <c r="OC66" s="64">
        <f t="shared" si="1342"/>
        <v>0</v>
      </c>
      <c r="OD66" s="65">
        <v>100</v>
      </c>
      <c r="OE66" s="63"/>
      <c r="OF66" s="64">
        <f t="shared" si="1343"/>
        <v>100</v>
      </c>
      <c r="OG66" s="66">
        <f t="shared" si="152"/>
        <v>1252.73</v>
      </c>
      <c r="OH66" s="67">
        <f t="shared" si="1344"/>
        <v>0</v>
      </c>
      <c r="OI66" s="64">
        <f t="shared" si="1345"/>
        <v>1252.73</v>
      </c>
      <c r="OJ66" s="62"/>
      <c r="OK66" s="63"/>
      <c r="OL66" s="64">
        <f t="shared" si="1346"/>
        <v>0</v>
      </c>
      <c r="OM66" s="65"/>
      <c r="ON66" s="63"/>
      <c r="OO66" s="64">
        <f t="shared" si="1347"/>
        <v>0</v>
      </c>
      <c r="OP66" s="65"/>
      <c r="OQ66" s="63"/>
      <c r="OR66" s="64">
        <f t="shared" si="1348"/>
        <v>0</v>
      </c>
      <c r="OS66" s="65">
        <v>100</v>
      </c>
      <c r="OT66" s="63"/>
      <c r="OU66" s="64">
        <f t="shared" si="1349"/>
        <v>100</v>
      </c>
      <c r="OV66" s="66">
        <f t="shared" si="159"/>
        <v>100</v>
      </c>
      <c r="OW66" s="67">
        <f t="shared" si="1350"/>
        <v>0</v>
      </c>
      <c r="OX66" s="64">
        <f t="shared" si="1351"/>
        <v>100</v>
      </c>
      <c r="OY66" s="62"/>
      <c r="OZ66" s="63"/>
      <c r="PA66" s="64">
        <f t="shared" si="1352"/>
        <v>0</v>
      </c>
      <c r="PB66" s="65"/>
      <c r="PC66" s="63"/>
      <c r="PD66" s="64">
        <f t="shared" si="1353"/>
        <v>0</v>
      </c>
      <c r="PE66" s="65"/>
      <c r="PF66" s="63"/>
      <c r="PG66" s="64">
        <f t="shared" si="1354"/>
        <v>0</v>
      </c>
      <c r="PH66" s="65">
        <v>100</v>
      </c>
      <c r="PI66" s="63"/>
      <c r="PJ66" s="64">
        <f t="shared" si="1355"/>
        <v>100</v>
      </c>
      <c r="PK66" s="66">
        <f t="shared" si="166"/>
        <v>100</v>
      </c>
      <c r="PL66" s="67">
        <f t="shared" si="1356"/>
        <v>0</v>
      </c>
      <c r="PM66" s="64">
        <f t="shared" si="1357"/>
        <v>100</v>
      </c>
      <c r="PN66" s="62">
        <v>1550</v>
      </c>
      <c r="PO66" s="63"/>
      <c r="PP66" s="64">
        <f t="shared" si="1358"/>
        <v>1550</v>
      </c>
      <c r="PQ66" s="65"/>
      <c r="PR66" s="63"/>
      <c r="PS66" s="64">
        <f t="shared" si="1359"/>
        <v>0</v>
      </c>
      <c r="PT66" s="65"/>
      <c r="PU66" s="63"/>
      <c r="PV66" s="64">
        <f t="shared" si="1360"/>
        <v>0</v>
      </c>
      <c r="PW66" s="65">
        <v>100</v>
      </c>
      <c r="PX66" s="63"/>
      <c r="PY66" s="64">
        <f t="shared" si="1361"/>
        <v>100</v>
      </c>
      <c r="PZ66" s="66">
        <f t="shared" si="173"/>
        <v>1650</v>
      </c>
      <c r="QA66" s="67">
        <f t="shared" si="1362"/>
        <v>0</v>
      </c>
      <c r="QB66" s="64">
        <f t="shared" si="1363"/>
        <v>1650</v>
      </c>
      <c r="QC66" s="62"/>
      <c r="QD66" s="63"/>
      <c r="QE66" s="64">
        <f t="shared" si="1364"/>
        <v>0</v>
      </c>
      <c r="QF66" s="65"/>
      <c r="QG66" s="63"/>
      <c r="QH66" s="64">
        <f t="shared" si="1365"/>
        <v>0</v>
      </c>
      <c r="QI66" s="65"/>
      <c r="QJ66" s="63"/>
      <c r="QK66" s="64">
        <f t="shared" si="1366"/>
        <v>0</v>
      </c>
      <c r="QL66" s="65">
        <v>100</v>
      </c>
      <c r="QM66" s="63">
        <v>194.57</v>
      </c>
      <c r="QN66" s="64">
        <f t="shared" si="1367"/>
        <v>-94.57</v>
      </c>
      <c r="QO66" s="66">
        <f t="shared" si="180"/>
        <v>100</v>
      </c>
      <c r="QP66" s="67">
        <f t="shared" si="1368"/>
        <v>194.57</v>
      </c>
      <c r="QQ66" s="64">
        <f t="shared" si="1369"/>
        <v>-94.57</v>
      </c>
      <c r="QR66" s="74"/>
      <c r="QS66" s="74"/>
      <c r="QT66" s="72"/>
      <c r="QU66" s="73"/>
      <c r="QV66" s="74"/>
      <c r="QW66" s="75"/>
      <c r="QX66" s="73"/>
      <c r="QY66" s="74"/>
      <c r="QZ66" s="75"/>
      <c r="RA66" s="73"/>
      <c r="RB66" s="74"/>
      <c r="RC66" s="75"/>
      <c r="RD66" s="73"/>
      <c r="RE66" s="74"/>
      <c r="RF66" s="74"/>
      <c r="RG66" s="72"/>
      <c r="RH66" s="73"/>
      <c r="RI66" s="74"/>
      <c r="RJ66" s="75"/>
      <c r="RK66" s="73"/>
      <c r="RL66" s="74"/>
      <c r="RM66" s="75"/>
      <c r="RN66" s="73"/>
      <c r="RO66" s="74"/>
      <c r="RP66" s="75"/>
      <c r="RQ66" s="73"/>
      <c r="RR66" s="74"/>
      <c r="RS66" s="76"/>
      <c r="RT66" s="77"/>
      <c r="RU66" s="74"/>
      <c r="RV66" s="74"/>
      <c r="RW66" s="72"/>
      <c r="RX66" s="73"/>
      <c r="RY66" s="74"/>
      <c r="RZ66" s="75"/>
      <c r="SA66" s="73"/>
      <c r="SB66" s="74"/>
      <c r="SC66" s="75"/>
      <c r="SD66" s="73"/>
      <c r="SE66" s="74"/>
      <c r="SF66" s="75"/>
      <c r="SG66" s="73"/>
      <c r="SH66" s="74"/>
      <c r="SI66" s="76"/>
      <c r="SJ66" s="64">
        <f t="shared" si="1370"/>
        <v>0</v>
      </c>
      <c r="SK66" s="62"/>
      <c r="SL66" s="63"/>
      <c r="SM66" s="64">
        <f t="shared" si="1371"/>
        <v>0</v>
      </c>
      <c r="SN66" s="65"/>
      <c r="SO66" s="63"/>
      <c r="SP66" s="64">
        <f t="shared" si="1372"/>
        <v>0</v>
      </c>
      <c r="SQ66" s="65"/>
      <c r="SR66" s="63"/>
      <c r="SS66" s="64">
        <f t="shared" si="1373"/>
        <v>0</v>
      </c>
      <c r="ST66" s="65">
        <v>100</v>
      </c>
      <c r="SU66" s="63"/>
      <c r="SV66" s="64">
        <f t="shared" si="1374"/>
        <v>100</v>
      </c>
      <c r="SW66" s="66">
        <f t="shared" si="208"/>
        <v>100</v>
      </c>
      <c r="SX66" s="67">
        <f t="shared" si="1375"/>
        <v>0</v>
      </c>
      <c r="SY66" s="64">
        <f t="shared" si="1376"/>
        <v>100</v>
      </c>
      <c r="SZ66" s="62">
        <v>985.33</v>
      </c>
      <c r="TA66" s="63"/>
      <c r="TB66" s="64">
        <f t="shared" si="1377"/>
        <v>985.33</v>
      </c>
      <c r="TC66" s="65">
        <v>700.9</v>
      </c>
      <c r="TD66" s="63"/>
      <c r="TE66" s="64">
        <f t="shared" si="1378"/>
        <v>700.9</v>
      </c>
      <c r="TF66" s="65"/>
      <c r="TG66" s="63"/>
      <c r="TH66" s="64">
        <f t="shared" si="1379"/>
        <v>0</v>
      </c>
      <c r="TI66" s="65">
        <v>100</v>
      </c>
      <c r="TJ66" s="63"/>
      <c r="TK66" s="64">
        <f t="shared" si="1380"/>
        <v>100</v>
      </c>
      <c r="TL66" s="66">
        <f t="shared" si="215"/>
        <v>1786.23</v>
      </c>
      <c r="TM66" s="67">
        <f t="shared" si="1381"/>
        <v>0</v>
      </c>
      <c r="TN66" s="64">
        <f t="shared" si="1382"/>
        <v>1786.23</v>
      </c>
      <c r="TO66" s="62"/>
      <c r="TP66" s="63"/>
      <c r="TQ66" s="64">
        <f t="shared" si="1383"/>
        <v>0</v>
      </c>
      <c r="TR66" s="65"/>
      <c r="TS66" s="63"/>
      <c r="TT66" s="64">
        <f t="shared" si="1384"/>
        <v>0</v>
      </c>
      <c r="TU66" s="65"/>
      <c r="TV66" s="63"/>
      <c r="TW66" s="64">
        <f t="shared" si="1385"/>
        <v>0</v>
      </c>
      <c r="TX66" s="65">
        <v>100</v>
      </c>
      <c r="TY66" s="63"/>
      <c r="TZ66" s="64">
        <f t="shared" si="1386"/>
        <v>100</v>
      </c>
      <c r="UA66" s="66">
        <f t="shared" si="222"/>
        <v>100</v>
      </c>
      <c r="UB66" s="67">
        <f t="shared" si="1387"/>
        <v>0</v>
      </c>
      <c r="UC66" s="64">
        <f t="shared" si="1388"/>
        <v>100</v>
      </c>
      <c r="UD66" s="62"/>
      <c r="UE66" s="63"/>
      <c r="UF66" s="64">
        <f t="shared" si="1389"/>
        <v>0</v>
      </c>
      <c r="UG66" s="65">
        <v>497.04</v>
      </c>
      <c r="UH66" s="63"/>
      <c r="UI66" s="64">
        <f t="shared" si="1390"/>
        <v>497.04</v>
      </c>
      <c r="UJ66" s="65"/>
      <c r="UK66" s="63"/>
      <c r="UL66" s="64">
        <f t="shared" si="1391"/>
        <v>0</v>
      </c>
      <c r="UM66" s="65">
        <v>100</v>
      </c>
      <c r="UN66" s="63"/>
      <c r="UO66" s="64">
        <f t="shared" si="1392"/>
        <v>100</v>
      </c>
      <c r="UP66" s="66">
        <f t="shared" si="226"/>
        <v>597.04</v>
      </c>
      <c r="UQ66" s="67">
        <f t="shared" si="1393"/>
        <v>0</v>
      </c>
      <c r="UR66" s="64">
        <f t="shared" si="1394"/>
        <v>597.04</v>
      </c>
      <c r="US66" s="74"/>
      <c r="UT66" s="72"/>
      <c r="UU66" s="73"/>
      <c r="UV66" s="74"/>
      <c r="UW66" s="75"/>
      <c r="UX66" s="73"/>
      <c r="UY66" s="74"/>
      <c r="UZ66" s="75"/>
      <c r="VA66" s="73"/>
      <c r="VB66" s="74"/>
      <c r="VC66" s="75"/>
      <c r="VD66" s="73"/>
      <c r="VE66" s="74"/>
      <c r="VF66" s="76"/>
      <c r="VG66" s="77"/>
      <c r="VH66" s="62"/>
      <c r="VI66" s="63"/>
      <c r="VJ66" s="64">
        <f t="shared" si="1395"/>
        <v>0</v>
      </c>
      <c r="VK66" s="65"/>
      <c r="VL66" s="63"/>
      <c r="VM66" s="64">
        <f t="shared" si="1396"/>
        <v>0</v>
      </c>
      <c r="VN66" s="65"/>
      <c r="VO66" s="63"/>
      <c r="VP66" s="64">
        <f t="shared" si="1397"/>
        <v>0</v>
      </c>
      <c r="VQ66" s="65">
        <v>100</v>
      </c>
      <c r="VR66" s="63"/>
      <c r="VS66" s="64">
        <f t="shared" si="1398"/>
        <v>100</v>
      </c>
      <c r="VT66" s="66">
        <f t="shared" si="240"/>
        <v>100</v>
      </c>
      <c r="VU66" s="67">
        <f t="shared" si="1399"/>
        <v>0</v>
      </c>
      <c r="VV66" s="64">
        <f t="shared" si="1400"/>
        <v>100</v>
      </c>
      <c r="VW66" s="74"/>
      <c r="VX66" s="72"/>
      <c r="VY66" s="73"/>
      <c r="VZ66" s="74"/>
      <c r="WA66" s="75"/>
      <c r="WB66" s="73"/>
      <c r="WC66" s="74"/>
      <c r="WD66" s="75"/>
      <c r="WE66" s="73"/>
      <c r="WF66" s="74"/>
      <c r="WG66" s="75"/>
      <c r="WH66" s="73"/>
      <c r="WI66" s="74"/>
      <c r="WJ66" s="76"/>
      <c r="WK66" s="77"/>
      <c r="WL66" s="74"/>
      <c r="WM66" s="72"/>
      <c r="WN66" s="73"/>
      <c r="WO66" s="74"/>
      <c r="WP66" s="75"/>
      <c r="WQ66" s="73"/>
      <c r="WR66" s="74"/>
      <c r="WS66" s="75"/>
      <c r="WT66" s="73"/>
      <c r="WU66" s="74"/>
      <c r="WV66" s="75"/>
      <c r="WW66" s="73"/>
      <c r="WX66" s="74"/>
      <c r="WY66" s="76"/>
      <c r="WZ66" s="77"/>
      <c r="XA66" s="74"/>
      <c r="XB66" s="72"/>
      <c r="XC66" s="73"/>
      <c r="XD66" s="74"/>
      <c r="XE66" s="75"/>
      <c r="XF66" s="73"/>
      <c r="XG66" s="74"/>
      <c r="XH66" s="75"/>
      <c r="XI66" s="73"/>
      <c r="XJ66" s="74"/>
      <c r="XK66" s="75"/>
      <c r="XL66" s="73"/>
      <c r="XM66" s="74"/>
      <c r="XN66" s="76"/>
      <c r="XO66" s="77"/>
      <c r="XP66" s="62"/>
      <c r="XQ66" s="63"/>
      <c r="XR66" s="64">
        <f t="shared" si="1401"/>
        <v>0</v>
      </c>
      <c r="XS66" s="65">
        <v>844.24</v>
      </c>
      <c r="XT66" s="63"/>
      <c r="XU66" s="64">
        <f t="shared" si="1402"/>
        <v>844.24</v>
      </c>
      <c r="XV66" s="65"/>
      <c r="XW66" s="63"/>
      <c r="XX66" s="64">
        <f t="shared" si="1403"/>
        <v>0</v>
      </c>
      <c r="XY66" s="65">
        <v>100</v>
      </c>
      <c r="XZ66" s="63"/>
      <c r="YA66" s="64">
        <f t="shared" si="1404"/>
        <v>100</v>
      </c>
      <c r="YB66" s="66">
        <f t="shared" si="268"/>
        <v>944.24</v>
      </c>
      <c r="YC66" s="67">
        <f t="shared" si="1405"/>
        <v>0</v>
      </c>
      <c r="YD66" s="64">
        <f t="shared" si="1406"/>
        <v>944.24</v>
      </c>
      <c r="YE66" s="62"/>
      <c r="YF66" s="63"/>
      <c r="YG66" s="64">
        <f t="shared" si="1407"/>
        <v>0</v>
      </c>
      <c r="YH66" s="65">
        <v>847.85</v>
      </c>
      <c r="YI66" s="63"/>
      <c r="YJ66" s="64">
        <f t="shared" si="1408"/>
        <v>847.85</v>
      </c>
      <c r="YK66" s="65"/>
      <c r="YL66" s="63"/>
      <c r="YM66" s="64">
        <f t="shared" si="1409"/>
        <v>0</v>
      </c>
      <c r="YN66" s="65">
        <v>100</v>
      </c>
      <c r="YO66" s="63"/>
      <c r="YP66" s="64">
        <f t="shared" si="1410"/>
        <v>100</v>
      </c>
      <c r="YQ66" s="66">
        <f t="shared" si="275"/>
        <v>947.85</v>
      </c>
      <c r="YR66" s="67">
        <f t="shared" si="1411"/>
        <v>0</v>
      </c>
      <c r="YS66" s="64">
        <f t="shared" si="1412"/>
        <v>947.85</v>
      </c>
      <c r="YT66" s="62"/>
      <c r="YU66" s="63"/>
      <c r="YV66" s="64">
        <f t="shared" si="1413"/>
        <v>0</v>
      </c>
      <c r="YW66" s="65">
        <v>695.73</v>
      </c>
      <c r="YX66" s="63"/>
      <c r="YY66" s="64">
        <f t="shared" si="1414"/>
        <v>695.73</v>
      </c>
      <c r="YZ66" s="65"/>
      <c r="ZA66" s="63"/>
      <c r="ZB66" s="64">
        <f t="shared" si="1415"/>
        <v>0</v>
      </c>
      <c r="ZC66" s="65">
        <v>100</v>
      </c>
      <c r="ZD66" s="63"/>
      <c r="ZE66" s="64">
        <f t="shared" si="1416"/>
        <v>100</v>
      </c>
      <c r="ZF66" s="66">
        <f t="shared" si="282"/>
        <v>795.73</v>
      </c>
      <c r="ZG66" s="67">
        <f t="shared" si="1417"/>
        <v>0</v>
      </c>
      <c r="ZH66" s="74"/>
      <c r="ZI66" s="72"/>
      <c r="ZJ66" s="73"/>
      <c r="ZK66" s="74"/>
      <c r="ZL66" s="75"/>
      <c r="ZM66" s="73"/>
      <c r="ZN66" s="74"/>
      <c r="ZO66" s="75"/>
      <c r="ZP66" s="73"/>
      <c r="ZQ66" s="74"/>
      <c r="ZR66" s="75"/>
      <c r="ZS66" s="73"/>
      <c r="ZT66" s="74"/>
      <c r="ZU66" s="76"/>
      <c r="ZV66" s="77"/>
      <c r="ZW66" s="64">
        <f t="shared" si="1418"/>
        <v>0</v>
      </c>
      <c r="ZX66" s="62">
        <v>24.71</v>
      </c>
      <c r="ZY66" s="63"/>
      <c r="ZZ66" s="64">
        <f t="shared" si="1419"/>
        <v>24.71</v>
      </c>
      <c r="AAA66" s="66">
        <f t="shared" si="293"/>
        <v>24.71</v>
      </c>
      <c r="AAB66" s="67">
        <f t="shared" si="293"/>
        <v>0</v>
      </c>
      <c r="AAC66" s="64">
        <f t="shared" si="1420"/>
        <v>24.71</v>
      </c>
      <c r="AAD66" s="85">
        <f t="shared" si="295"/>
        <v>50372.630000000005</v>
      </c>
      <c r="AAE66" s="86">
        <f t="shared" si="295"/>
        <v>194.57</v>
      </c>
      <c r="AAF66" s="87">
        <f t="shared" si="3"/>
        <v>3.8626134867288044E-3</v>
      </c>
      <c r="AAG66" s="88">
        <f t="shared" si="1421"/>
        <v>-50178.060000000005</v>
      </c>
      <c r="AAH66" s="94"/>
      <c r="AAI66" s="95"/>
      <c r="AAJ66" s="95"/>
      <c r="AAK66" s="60"/>
    </row>
    <row r="67" spans="1:713" s="83" customFormat="1" ht="20" customHeight="1" x14ac:dyDescent="0.2">
      <c r="A67" s="153"/>
      <c r="B67" s="96">
        <f>B63-B59</f>
        <v>-1405113.2099999997</v>
      </c>
      <c r="C67" s="97"/>
      <c r="D67" s="97"/>
      <c r="E67" s="60"/>
      <c r="F67" s="61">
        <v>46327</v>
      </c>
      <c r="G67" s="62"/>
      <c r="H67" s="63"/>
      <c r="I67" s="64">
        <f t="shared" si="1217"/>
        <v>0</v>
      </c>
      <c r="J67" s="65">
        <v>2613.14</v>
      </c>
      <c r="K67" s="63"/>
      <c r="L67" s="64">
        <f t="shared" si="1218"/>
        <v>2613.14</v>
      </c>
      <c r="M67" s="65">
        <v>2500</v>
      </c>
      <c r="N67" s="63"/>
      <c r="O67" s="64">
        <f t="shared" si="1219"/>
        <v>2500</v>
      </c>
      <c r="P67" s="65">
        <v>1000</v>
      </c>
      <c r="Q67" s="63"/>
      <c r="R67" s="64">
        <f t="shared" si="1220"/>
        <v>1000</v>
      </c>
      <c r="S67" s="65">
        <v>181</v>
      </c>
      <c r="T67" s="63"/>
      <c r="U67" s="64">
        <f t="shared" si="1221"/>
        <v>181</v>
      </c>
      <c r="V67" s="66">
        <f t="shared" si="1222"/>
        <v>6294.1399999999994</v>
      </c>
      <c r="W67" s="67">
        <f t="shared" si="1222"/>
        <v>0</v>
      </c>
      <c r="X67" s="64">
        <f t="shared" si="1223"/>
        <v>6294.1399999999994</v>
      </c>
      <c r="Y67" s="72"/>
      <c r="Z67" s="73"/>
      <c r="AA67" s="74"/>
      <c r="AB67" s="75"/>
      <c r="AC67" s="73"/>
      <c r="AD67" s="74"/>
      <c r="AE67" s="75"/>
      <c r="AF67" s="73"/>
      <c r="AG67" s="74"/>
      <c r="AH67" s="75"/>
      <c r="AI67" s="73"/>
      <c r="AJ67" s="74"/>
      <c r="AK67" s="76"/>
      <c r="AL67" s="77"/>
      <c r="AM67" s="64">
        <f t="shared" si="1224"/>
        <v>0</v>
      </c>
      <c r="AN67" s="62"/>
      <c r="AO67" s="63"/>
      <c r="AP67" s="64">
        <f t="shared" si="1422"/>
        <v>0</v>
      </c>
      <c r="AQ67" s="65"/>
      <c r="AR67" s="63"/>
      <c r="AS67" s="64">
        <f t="shared" si="1225"/>
        <v>0</v>
      </c>
      <c r="AT67" s="65"/>
      <c r="AU67" s="63"/>
      <c r="AV67" s="64">
        <f t="shared" si="1226"/>
        <v>0</v>
      </c>
      <c r="AW67" s="65"/>
      <c r="AX67" s="63"/>
      <c r="AY67" s="64">
        <f t="shared" si="1227"/>
        <v>0</v>
      </c>
      <c r="AZ67" s="66">
        <f t="shared" si="23"/>
        <v>0</v>
      </c>
      <c r="BA67" s="67">
        <f t="shared" si="1228"/>
        <v>0</v>
      </c>
      <c r="BB67" s="64">
        <f t="shared" si="1229"/>
        <v>0</v>
      </c>
      <c r="BC67" s="62"/>
      <c r="BD67" s="63"/>
      <c r="BE67" s="64">
        <f t="shared" si="1230"/>
        <v>0</v>
      </c>
      <c r="BF67" s="65"/>
      <c r="BG67" s="63"/>
      <c r="BH67" s="64">
        <f t="shared" si="1231"/>
        <v>0</v>
      </c>
      <c r="BI67" s="65"/>
      <c r="BJ67" s="63"/>
      <c r="BK67" s="64">
        <f t="shared" si="1232"/>
        <v>0</v>
      </c>
      <c r="BL67" s="65">
        <v>100</v>
      </c>
      <c r="BM67" s="63"/>
      <c r="BN67" s="64">
        <f t="shared" si="1233"/>
        <v>100</v>
      </c>
      <c r="BO67" s="66">
        <f t="shared" si="30"/>
        <v>100</v>
      </c>
      <c r="BP67" s="67">
        <f t="shared" si="1234"/>
        <v>0</v>
      </c>
      <c r="BQ67" s="64">
        <f t="shared" si="1235"/>
        <v>100</v>
      </c>
      <c r="BR67" s="72"/>
      <c r="BS67" s="73"/>
      <c r="BT67" s="74"/>
      <c r="BU67" s="75"/>
      <c r="BV67" s="73"/>
      <c r="BW67" s="74"/>
      <c r="BX67" s="75"/>
      <c r="BY67" s="73"/>
      <c r="BZ67" s="74"/>
      <c r="CA67" s="75"/>
      <c r="CB67" s="73"/>
      <c r="CC67" s="74"/>
      <c r="CD67" s="76"/>
      <c r="CE67" s="77"/>
      <c r="CF67" s="64">
        <f t="shared" si="1236"/>
        <v>0</v>
      </c>
      <c r="CG67" s="62"/>
      <c r="CH67" s="63"/>
      <c r="CI67" s="64">
        <f t="shared" si="1237"/>
        <v>0</v>
      </c>
      <c r="CJ67" s="65"/>
      <c r="CK67" s="63"/>
      <c r="CL67" s="64">
        <f t="shared" si="1238"/>
        <v>0</v>
      </c>
      <c r="CM67" s="65"/>
      <c r="CN67" s="63"/>
      <c r="CO67" s="64">
        <f t="shared" si="1239"/>
        <v>0</v>
      </c>
      <c r="CP67" s="65"/>
      <c r="CQ67" s="63"/>
      <c r="CR67" s="64">
        <f t="shared" si="1240"/>
        <v>0</v>
      </c>
      <c r="CS67" s="66">
        <f t="shared" si="40"/>
        <v>0</v>
      </c>
      <c r="CT67" s="67">
        <f t="shared" si="1241"/>
        <v>0</v>
      </c>
      <c r="CU67" s="64">
        <f t="shared" si="1242"/>
        <v>0</v>
      </c>
      <c r="CV67" s="62">
        <v>2916.7</v>
      </c>
      <c r="CW67" s="63"/>
      <c r="CX67" s="64">
        <f t="shared" si="1243"/>
        <v>2916.7</v>
      </c>
      <c r="CY67" s="65">
        <v>429.15</v>
      </c>
      <c r="CZ67" s="63"/>
      <c r="DA67" s="64">
        <f t="shared" si="1244"/>
        <v>429.15</v>
      </c>
      <c r="DB67" s="65"/>
      <c r="DC67" s="63"/>
      <c r="DD67" s="64">
        <f t="shared" si="1245"/>
        <v>0</v>
      </c>
      <c r="DE67" s="65"/>
      <c r="DF67" s="63"/>
      <c r="DG67" s="64">
        <f t="shared" si="1246"/>
        <v>0</v>
      </c>
      <c r="DH67" s="66">
        <f t="shared" si="43"/>
        <v>3345.85</v>
      </c>
      <c r="DI67" s="67">
        <f t="shared" si="1247"/>
        <v>0</v>
      </c>
      <c r="DJ67" s="64">
        <f t="shared" si="1248"/>
        <v>3345.85</v>
      </c>
      <c r="DK67" s="62">
        <v>2400</v>
      </c>
      <c r="DL67" s="63"/>
      <c r="DM67" s="64">
        <f t="shared" si="1249"/>
        <v>2400</v>
      </c>
      <c r="DN67" s="65">
        <v>913.08</v>
      </c>
      <c r="DO67" s="63"/>
      <c r="DP67" s="64">
        <f t="shared" si="1250"/>
        <v>913.08</v>
      </c>
      <c r="DQ67" s="65"/>
      <c r="DR67" s="63"/>
      <c r="DS67" s="64">
        <f t="shared" si="1251"/>
        <v>0</v>
      </c>
      <c r="DT67" s="65">
        <v>100</v>
      </c>
      <c r="DU67" s="63"/>
      <c r="DV67" s="64">
        <f t="shared" si="1252"/>
        <v>100</v>
      </c>
      <c r="DW67" s="66">
        <f t="shared" si="46"/>
        <v>3413.08</v>
      </c>
      <c r="DX67" s="67">
        <f t="shared" si="1253"/>
        <v>0</v>
      </c>
      <c r="DY67" s="64">
        <f t="shared" si="1254"/>
        <v>3413.08</v>
      </c>
      <c r="DZ67" s="62"/>
      <c r="EA67" s="63"/>
      <c r="EB67" s="64">
        <f t="shared" si="1255"/>
        <v>0</v>
      </c>
      <c r="EC67" s="65"/>
      <c r="ED67" s="63"/>
      <c r="EE67" s="64">
        <f t="shared" si="1256"/>
        <v>0</v>
      </c>
      <c r="EF67" s="65"/>
      <c r="EG67" s="63"/>
      <c r="EH67" s="64">
        <f t="shared" si="1257"/>
        <v>0</v>
      </c>
      <c r="EI67" s="65">
        <v>100</v>
      </c>
      <c r="EJ67" s="63"/>
      <c r="EK67" s="64">
        <f t="shared" si="1258"/>
        <v>100</v>
      </c>
      <c r="EL67" s="66">
        <f t="shared" si="53"/>
        <v>100</v>
      </c>
      <c r="EM67" s="67">
        <f t="shared" si="1259"/>
        <v>0</v>
      </c>
      <c r="EN67" s="64">
        <f t="shared" si="1260"/>
        <v>100</v>
      </c>
      <c r="EO67" s="62"/>
      <c r="EP67" s="63"/>
      <c r="EQ67" s="64">
        <f t="shared" si="1261"/>
        <v>0</v>
      </c>
      <c r="ER67" s="65"/>
      <c r="ES67" s="63"/>
      <c r="ET67" s="64">
        <f t="shared" si="1262"/>
        <v>0</v>
      </c>
      <c r="EU67" s="65"/>
      <c r="EV67" s="63"/>
      <c r="EW67" s="64">
        <f t="shared" si="1263"/>
        <v>0</v>
      </c>
      <c r="EX67" s="65">
        <v>100</v>
      </c>
      <c r="EY67" s="63"/>
      <c r="EZ67" s="64">
        <f t="shared" si="1264"/>
        <v>100</v>
      </c>
      <c r="FA67" s="66">
        <f t="shared" si="60"/>
        <v>100</v>
      </c>
      <c r="FB67" s="67">
        <f t="shared" si="1265"/>
        <v>0</v>
      </c>
      <c r="FC67" s="64">
        <f t="shared" si="1266"/>
        <v>100</v>
      </c>
      <c r="FD67" s="62"/>
      <c r="FE67" s="63"/>
      <c r="FF67" s="64">
        <f t="shared" si="1267"/>
        <v>0</v>
      </c>
      <c r="FG67" s="65"/>
      <c r="FH67" s="63"/>
      <c r="FI67" s="64">
        <f t="shared" si="1268"/>
        <v>0</v>
      </c>
      <c r="FJ67" s="65"/>
      <c r="FK67" s="63"/>
      <c r="FL67" s="64">
        <f t="shared" si="1269"/>
        <v>0</v>
      </c>
      <c r="FM67" s="65">
        <v>100</v>
      </c>
      <c r="FN67" s="63"/>
      <c r="FO67" s="64">
        <f t="shared" si="1270"/>
        <v>100</v>
      </c>
      <c r="FP67" s="66">
        <f t="shared" si="67"/>
        <v>100</v>
      </c>
      <c r="FQ67" s="67">
        <f t="shared" si="1271"/>
        <v>0</v>
      </c>
      <c r="FR67" s="64">
        <f t="shared" si="1272"/>
        <v>100</v>
      </c>
      <c r="FS67" s="62"/>
      <c r="FT67" s="63"/>
      <c r="FU67" s="64">
        <f t="shared" si="1273"/>
        <v>0</v>
      </c>
      <c r="FV67" s="65">
        <v>485.35</v>
      </c>
      <c r="FW67" s="63"/>
      <c r="FX67" s="64">
        <f t="shared" si="1274"/>
        <v>485.35</v>
      </c>
      <c r="FY67" s="65"/>
      <c r="FZ67" s="63"/>
      <c r="GA67" s="64">
        <f t="shared" si="1275"/>
        <v>0</v>
      </c>
      <c r="GB67" s="65"/>
      <c r="GC67" s="63"/>
      <c r="GD67" s="64">
        <f t="shared" si="1276"/>
        <v>0</v>
      </c>
      <c r="GE67" s="66">
        <f t="shared" si="74"/>
        <v>485.35</v>
      </c>
      <c r="GF67" s="67">
        <f t="shared" si="1277"/>
        <v>0</v>
      </c>
      <c r="GG67" s="64">
        <f t="shared" si="1278"/>
        <v>485.35</v>
      </c>
      <c r="GH67" s="62"/>
      <c r="GI67" s="63"/>
      <c r="GJ67" s="64">
        <f t="shared" si="1279"/>
        <v>0</v>
      </c>
      <c r="GK67" s="65">
        <v>660.33</v>
      </c>
      <c r="GL67" s="63"/>
      <c r="GM67" s="64">
        <f t="shared" si="1280"/>
        <v>660.33</v>
      </c>
      <c r="GN67" s="65"/>
      <c r="GO67" s="63"/>
      <c r="GP67" s="64">
        <f t="shared" si="1281"/>
        <v>0</v>
      </c>
      <c r="GQ67" s="65"/>
      <c r="GR67" s="63"/>
      <c r="GS67" s="64">
        <f t="shared" si="1282"/>
        <v>0</v>
      </c>
      <c r="GT67" s="66">
        <f t="shared" si="81"/>
        <v>660.33</v>
      </c>
      <c r="GU67" s="67">
        <f t="shared" si="1283"/>
        <v>0</v>
      </c>
      <c r="GV67" s="64">
        <f t="shared" si="1284"/>
        <v>660.33</v>
      </c>
      <c r="GW67" s="62"/>
      <c r="GX67" s="63"/>
      <c r="GY67" s="64">
        <f t="shared" si="1285"/>
        <v>0</v>
      </c>
      <c r="GZ67" s="65">
        <v>568.25</v>
      </c>
      <c r="HA67" s="63"/>
      <c r="HB67" s="64">
        <f t="shared" si="1286"/>
        <v>568.25</v>
      </c>
      <c r="HC67" s="65"/>
      <c r="HD67" s="63"/>
      <c r="HE67" s="64">
        <f t="shared" si="1287"/>
        <v>0</v>
      </c>
      <c r="HF67" s="65">
        <v>100</v>
      </c>
      <c r="HG67" s="63"/>
      <c r="HH67" s="64">
        <f t="shared" si="1288"/>
        <v>100</v>
      </c>
      <c r="HI67" s="66">
        <f t="shared" si="84"/>
        <v>668.25</v>
      </c>
      <c r="HJ67" s="67">
        <f t="shared" si="1289"/>
        <v>0</v>
      </c>
      <c r="HK67" s="64">
        <f t="shared" si="1290"/>
        <v>668.25</v>
      </c>
      <c r="HL67" s="62"/>
      <c r="HM67" s="63"/>
      <c r="HN67" s="64">
        <f t="shared" si="1291"/>
        <v>0</v>
      </c>
      <c r="HO67" s="65"/>
      <c r="HP67" s="63"/>
      <c r="HQ67" s="64">
        <f t="shared" si="1292"/>
        <v>0</v>
      </c>
      <c r="HR67" s="65"/>
      <c r="HS67" s="63"/>
      <c r="HT67" s="64">
        <f t="shared" si="1293"/>
        <v>0</v>
      </c>
      <c r="HU67" s="65">
        <v>100</v>
      </c>
      <c r="HV67" s="63"/>
      <c r="HW67" s="64">
        <f t="shared" si="1294"/>
        <v>100</v>
      </c>
      <c r="HX67" s="66">
        <f t="shared" si="91"/>
        <v>100</v>
      </c>
      <c r="HY67" s="67">
        <f t="shared" si="1295"/>
        <v>0</v>
      </c>
      <c r="HZ67" s="64">
        <f t="shared" si="1296"/>
        <v>100</v>
      </c>
      <c r="IA67" s="62"/>
      <c r="IB67" s="63"/>
      <c r="IC67" s="64">
        <f t="shared" si="1297"/>
        <v>0</v>
      </c>
      <c r="ID67" s="65"/>
      <c r="IE67" s="63"/>
      <c r="IF67" s="64">
        <f t="shared" si="1298"/>
        <v>0</v>
      </c>
      <c r="IG67" s="65"/>
      <c r="IH67" s="63"/>
      <c r="II67" s="64">
        <f t="shared" si="1299"/>
        <v>0</v>
      </c>
      <c r="IJ67" s="65">
        <v>100</v>
      </c>
      <c r="IK67" s="63"/>
      <c r="IL67" s="64">
        <f t="shared" si="1300"/>
        <v>100</v>
      </c>
      <c r="IM67" s="66">
        <f t="shared" si="98"/>
        <v>100</v>
      </c>
      <c r="IN67" s="67">
        <f t="shared" si="1301"/>
        <v>0</v>
      </c>
      <c r="IO67" s="64">
        <f t="shared" si="1302"/>
        <v>100</v>
      </c>
      <c r="IP67" s="62"/>
      <c r="IQ67" s="63"/>
      <c r="IR67" s="64">
        <f t="shared" si="1303"/>
        <v>0</v>
      </c>
      <c r="IS67" s="65"/>
      <c r="IT67" s="63"/>
      <c r="IU67" s="64">
        <f t="shared" si="1304"/>
        <v>0</v>
      </c>
      <c r="IV67" s="65"/>
      <c r="IW67" s="63"/>
      <c r="IX67" s="64">
        <f t="shared" si="1305"/>
        <v>0</v>
      </c>
      <c r="IY67" s="65"/>
      <c r="IZ67" s="63"/>
      <c r="JA67" s="64">
        <f t="shared" si="1306"/>
        <v>0</v>
      </c>
      <c r="JB67" s="66">
        <f t="shared" si="105"/>
        <v>0</v>
      </c>
      <c r="JC67" s="67">
        <f t="shared" si="1307"/>
        <v>0</v>
      </c>
      <c r="JD67" s="64">
        <f t="shared" si="1308"/>
        <v>0</v>
      </c>
      <c r="JE67" s="72"/>
      <c r="JF67" s="150"/>
      <c r="JG67" s="74"/>
      <c r="JH67" s="75"/>
      <c r="JI67" s="150"/>
      <c r="JJ67" s="74"/>
      <c r="JK67" s="75"/>
      <c r="JL67" s="150"/>
      <c r="JM67" s="74"/>
      <c r="JN67" s="75"/>
      <c r="JO67" s="150"/>
      <c r="JP67" s="74"/>
      <c r="JQ67" s="76"/>
      <c r="JR67" s="77"/>
      <c r="JS67" s="74"/>
      <c r="JT67" s="72"/>
      <c r="JU67" s="73"/>
      <c r="JV67" s="74"/>
      <c r="JW67" s="75"/>
      <c r="JX67" s="73"/>
      <c r="JY67" s="74"/>
      <c r="JZ67" s="75"/>
      <c r="KA67" s="73"/>
      <c r="KB67" s="74"/>
      <c r="KC67" s="75"/>
      <c r="KD67" s="73"/>
      <c r="KE67" s="74"/>
      <c r="KF67" s="76"/>
      <c r="KG67" s="77"/>
      <c r="KH67" s="64">
        <f t="shared" si="1309"/>
        <v>0</v>
      </c>
      <c r="KI67" s="62"/>
      <c r="KJ67" s="63"/>
      <c r="KK67" s="64">
        <f t="shared" si="1310"/>
        <v>0</v>
      </c>
      <c r="KL67" s="65"/>
      <c r="KM67" s="63"/>
      <c r="KN67" s="64">
        <f t="shared" si="1311"/>
        <v>0</v>
      </c>
      <c r="KO67" s="65"/>
      <c r="KP67" s="63"/>
      <c r="KQ67" s="64">
        <f t="shared" si="1312"/>
        <v>0</v>
      </c>
      <c r="KR67" s="65"/>
      <c r="KS67" s="63"/>
      <c r="KT67" s="64">
        <f t="shared" si="1313"/>
        <v>0</v>
      </c>
      <c r="KU67" s="66">
        <f t="shared" si="1"/>
        <v>0</v>
      </c>
      <c r="KV67" s="67">
        <f t="shared" si="1314"/>
        <v>0</v>
      </c>
      <c r="KW67" s="64">
        <f t="shared" si="1315"/>
        <v>0</v>
      </c>
      <c r="KX67" s="72"/>
      <c r="KY67" s="73"/>
      <c r="KZ67" s="74"/>
      <c r="LA67" s="75"/>
      <c r="LB67" s="73"/>
      <c r="LC67" s="74"/>
      <c r="LD67" s="75"/>
      <c r="LE67" s="73"/>
      <c r="LF67" s="74"/>
      <c r="LG67" s="75"/>
      <c r="LH67" s="73"/>
      <c r="LI67" s="74"/>
      <c r="LJ67" s="76"/>
      <c r="LK67" s="77"/>
      <c r="LL67" s="74"/>
      <c r="LM67" s="62"/>
      <c r="LN67" s="63"/>
      <c r="LO67" s="64">
        <f t="shared" si="1316"/>
        <v>0</v>
      </c>
      <c r="LP67" s="65"/>
      <c r="LQ67" s="63"/>
      <c r="LR67" s="64">
        <f t="shared" si="1317"/>
        <v>0</v>
      </c>
      <c r="LS67" s="65"/>
      <c r="LT67" s="63"/>
      <c r="LU67" s="64">
        <f t="shared" si="1318"/>
        <v>0</v>
      </c>
      <c r="LV67" s="65">
        <v>100</v>
      </c>
      <c r="LW67" s="63"/>
      <c r="LX67" s="64">
        <f t="shared" si="1319"/>
        <v>100</v>
      </c>
      <c r="LY67" s="66">
        <f t="shared" si="124"/>
        <v>100</v>
      </c>
      <c r="LZ67" s="67">
        <f t="shared" si="1320"/>
        <v>0</v>
      </c>
      <c r="MA67" s="64">
        <f t="shared" si="1321"/>
        <v>100</v>
      </c>
      <c r="MB67" s="62"/>
      <c r="MC67" s="63"/>
      <c r="MD67" s="64">
        <f t="shared" si="1322"/>
        <v>0</v>
      </c>
      <c r="ME67" s="65">
        <v>889.11</v>
      </c>
      <c r="MF67" s="63"/>
      <c r="MG67" s="64">
        <f t="shared" si="1323"/>
        <v>889.11</v>
      </c>
      <c r="MH67" s="65"/>
      <c r="MI67" s="63"/>
      <c r="MJ67" s="64">
        <f t="shared" si="1324"/>
        <v>0</v>
      </c>
      <c r="MK67" s="65">
        <v>100</v>
      </c>
      <c r="ML67" s="63"/>
      <c r="MM67" s="64">
        <f t="shared" si="1325"/>
        <v>100</v>
      </c>
      <c r="MN67" s="66">
        <f t="shared" si="131"/>
        <v>989.11</v>
      </c>
      <c r="MO67" s="67">
        <f t="shared" si="1326"/>
        <v>0</v>
      </c>
      <c r="MP67" s="64">
        <f t="shared" si="1327"/>
        <v>989.11</v>
      </c>
      <c r="MQ67" s="62"/>
      <c r="MR67" s="63"/>
      <c r="MS67" s="64">
        <f t="shared" si="1328"/>
        <v>0</v>
      </c>
      <c r="MT67" s="65"/>
      <c r="MU67" s="63"/>
      <c r="MV67" s="64">
        <f t="shared" si="1329"/>
        <v>0</v>
      </c>
      <c r="MW67" s="65"/>
      <c r="MX67" s="63"/>
      <c r="MY67" s="64">
        <f t="shared" si="1330"/>
        <v>0</v>
      </c>
      <c r="MZ67" s="65"/>
      <c r="NA67" s="63"/>
      <c r="NB67" s="64">
        <f t="shared" si="1331"/>
        <v>0</v>
      </c>
      <c r="NC67" s="66">
        <f t="shared" si="138"/>
        <v>0</v>
      </c>
      <c r="ND67" s="67">
        <f t="shared" si="1332"/>
        <v>0</v>
      </c>
      <c r="NE67" s="64">
        <f t="shared" si="1333"/>
        <v>0</v>
      </c>
      <c r="NF67" s="62"/>
      <c r="NG67" s="63"/>
      <c r="NH67" s="64">
        <f t="shared" si="1334"/>
        <v>0</v>
      </c>
      <c r="NI67" s="65">
        <v>1164.04</v>
      </c>
      <c r="NJ67" s="63"/>
      <c r="NK67" s="64">
        <f t="shared" si="1335"/>
        <v>1164.04</v>
      </c>
      <c r="NL67" s="65"/>
      <c r="NM67" s="63"/>
      <c r="NN67" s="64">
        <f t="shared" si="1336"/>
        <v>0</v>
      </c>
      <c r="NO67" s="65">
        <v>100</v>
      </c>
      <c r="NP67" s="63"/>
      <c r="NQ67" s="64">
        <f t="shared" si="1337"/>
        <v>100</v>
      </c>
      <c r="NR67" s="66">
        <f t="shared" si="145"/>
        <v>1264.04</v>
      </c>
      <c r="NS67" s="67">
        <f t="shared" si="1338"/>
        <v>0</v>
      </c>
      <c r="NT67" s="64">
        <f t="shared" si="1339"/>
        <v>1264.04</v>
      </c>
      <c r="NU67" s="62"/>
      <c r="NV67" s="63"/>
      <c r="NW67" s="64">
        <f t="shared" si="1340"/>
        <v>0</v>
      </c>
      <c r="NX67" s="65">
        <v>1152.73</v>
      </c>
      <c r="NY67" s="63"/>
      <c r="NZ67" s="64">
        <f t="shared" si="1341"/>
        <v>1152.73</v>
      </c>
      <c r="OA67" s="65"/>
      <c r="OB67" s="63"/>
      <c r="OC67" s="64">
        <f t="shared" si="1342"/>
        <v>0</v>
      </c>
      <c r="OD67" s="65">
        <v>100</v>
      </c>
      <c r="OE67" s="63"/>
      <c r="OF67" s="64">
        <f t="shared" si="1343"/>
        <v>100</v>
      </c>
      <c r="OG67" s="66">
        <f t="shared" si="152"/>
        <v>1252.73</v>
      </c>
      <c r="OH67" s="67">
        <f t="shared" si="1344"/>
        <v>0</v>
      </c>
      <c r="OI67" s="64">
        <f t="shared" si="1345"/>
        <v>1252.73</v>
      </c>
      <c r="OJ67" s="62">
        <v>17500</v>
      </c>
      <c r="OK67" s="63"/>
      <c r="OL67" s="64">
        <f t="shared" si="1346"/>
        <v>17500</v>
      </c>
      <c r="OM67" s="65"/>
      <c r="ON67" s="63"/>
      <c r="OO67" s="64">
        <f t="shared" si="1347"/>
        <v>0</v>
      </c>
      <c r="OP67" s="65">
        <v>1200</v>
      </c>
      <c r="OQ67" s="63"/>
      <c r="OR67" s="64">
        <f t="shared" si="1348"/>
        <v>1200</v>
      </c>
      <c r="OS67" s="65">
        <v>100</v>
      </c>
      <c r="OT67" s="63"/>
      <c r="OU67" s="64">
        <f t="shared" si="1349"/>
        <v>100</v>
      </c>
      <c r="OV67" s="66">
        <f t="shared" si="159"/>
        <v>18800</v>
      </c>
      <c r="OW67" s="67">
        <f t="shared" si="1350"/>
        <v>0</v>
      </c>
      <c r="OX67" s="64">
        <f t="shared" si="1351"/>
        <v>18800</v>
      </c>
      <c r="OY67" s="62"/>
      <c r="OZ67" s="63"/>
      <c r="PA67" s="64">
        <f t="shared" si="1352"/>
        <v>0</v>
      </c>
      <c r="PB67" s="65"/>
      <c r="PC67" s="63"/>
      <c r="PD67" s="64">
        <f t="shared" si="1353"/>
        <v>0</v>
      </c>
      <c r="PE67" s="65"/>
      <c r="PF67" s="63"/>
      <c r="PG67" s="64">
        <f t="shared" si="1354"/>
        <v>0</v>
      </c>
      <c r="PH67" s="65">
        <v>100</v>
      </c>
      <c r="PI67" s="63"/>
      <c r="PJ67" s="64">
        <f t="shared" si="1355"/>
        <v>100</v>
      </c>
      <c r="PK67" s="66">
        <f t="shared" si="166"/>
        <v>100</v>
      </c>
      <c r="PL67" s="67">
        <f t="shared" si="1356"/>
        <v>0</v>
      </c>
      <c r="PM67" s="64">
        <f t="shared" si="1357"/>
        <v>100</v>
      </c>
      <c r="PN67" s="62">
        <v>1550</v>
      </c>
      <c r="PO67" s="63"/>
      <c r="PP67" s="64">
        <f t="shared" si="1358"/>
        <v>1550</v>
      </c>
      <c r="PQ67" s="65"/>
      <c r="PR67" s="63"/>
      <c r="PS67" s="64">
        <f t="shared" si="1359"/>
        <v>0</v>
      </c>
      <c r="PT67" s="65"/>
      <c r="PU67" s="63"/>
      <c r="PV67" s="64">
        <f t="shared" si="1360"/>
        <v>0</v>
      </c>
      <c r="PW67" s="65">
        <v>100</v>
      </c>
      <c r="PX67" s="63"/>
      <c r="PY67" s="64">
        <f t="shared" si="1361"/>
        <v>100</v>
      </c>
      <c r="PZ67" s="66">
        <f t="shared" si="173"/>
        <v>1650</v>
      </c>
      <c r="QA67" s="67">
        <f t="shared" si="1362"/>
        <v>0</v>
      </c>
      <c r="QB67" s="64">
        <f t="shared" si="1363"/>
        <v>1650</v>
      </c>
      <c r="QC67" s="62"/>
      <c r="QD67" s="63"/>
      <c r="QE67" s="64">
        <f t="shared" si="1364"/>
        <v>0</v>
      </c>
      <c r="QF67" s="65"/>
      <c r="QG67" s="63"/>
      <c r="QH67" s="64">
        <f t="shared" si="1365"/>
        <v>0</v>
      </c>
      <c r="QI67" s="65"/>
      <c r="QJ67" s="63"/>
      <c r="QK67" s="64">
        <f t="shared" si="1366"/>
        <v>0</v>
      </c>
      <c r="QL67" s="65">
        <v>100</v>
      </c>
      <c r="QM67" s="63"/>
      <c r="QN67" s="64">
        <f t="shared" si="1367"/>
        <v>100</v>
      </c>
      <c r="QO67" s="66">
        <f t="shared" si="180"/>
        <v>100</v>
      </c>
      <c r="QP67" s="67">
        <f t="shared" si="1368"/>
        <v>0</v>
      </c>
      <c r="QQ67" s="64">
        <f t="shared" si="1369"/>
        <v>100</v>
      </c>
      <c r="QR67" s="74"/>
      <c r="QS67" s="74"/>
      <c r="QT67" s="72"/>
      <c r="QU67" s="73"/>
      <c r="QV67" s="74"/>
      <c r="QW67" s="75"/>
      <c r="QX67" s="73"/>
      <c r="QY67" s="74"/>
      <c r="QZ67" s="75"/>
      <c r="RA67" s="73"/>
      <c r="RB67" s="74"/>
      <c r="RC67" s="75"/>
      <c r="RD67" s="73"/>
      <c r="RE67" s="74"/>
      <c r="RF67" s="74"/>
      <c r="RG67" s="72"/>
      <c r="RH67" s="73"/>
      <c r="RI67" s="74"/>
      <c r="RJ67" s="75"/>
      <c r="RK67" s="73"/>
      <c r="RL67" s="74"/>
      <c r="RM67" s="75"/>
      <c r="RN67" s="73"/>
      <c r="RO67" s="74"/>
      <c r="RP67" s="75"/>
      <c r="RQ67" s="73"/>
      <c r="RR67" s="74"/>
      <c r="RS67" s="76"/>
      <c r="RT67" s="77"/>
      <c r="RU67" s="74"/>
      <c r="RV67" s="74"/>
      <c r="RW67" s="72"/>
      <c r="RX67" s="73"/>
      <c r="RY67" s="74"/>
      <c r="RZ67" s="75"/>
      <c r="SA67" s="73"/>
      <c r="SB67" s="74"/>
      <c r="SC67" s="75"/>
      <c r="SD67" s="73"/>
      <c r="SE67" s="74"/>
      <c r="SF67" s="75"/>
      <c r="SG67" s="73"/>
      <c r="SH67" s="74"/>
      <c r="SI67" s="76"/>
      <c r="SJ67" s="64">
        <f t="shared" si="1370"/>
        <v>0</v>
      </c>
      <c r="SK67" s="62"/>
      <c r="SL67" s="63"/>
      <c r="SM67" s="64">
        <f t="shared" si="1371"/>
        <v>0</v>
      </c>
      <c r="SN67" s="65"/>
      <c r="SO67" s="63"/>
      <c r="SP67" s="64">
        <f t="shared" si="1372"/>
        <v>0</v>
      </c>
      <c r="SQ67" s="65"/>
      <c r="SR67" s="63"/>
      <c r="SS67" s="64">
        <f t="shared" si="1373"/>
        <v>0</v>
      </c>
      <c r="ST67" s="65">
        <v>100</v>
      </c>
      <c r="SU67" s="63"/>
      <c r="SV67" s="64">
        <f t="shared" si="1374"/>
        <v>100</v>
      </c>
      <c r="SW67" s="66">
        <f t="shared" si="208"/>
        <v>100</v>
      </c>
      <c r="SX67" s="67">
        <f t="shared" si="1375"/>
        <v>0</v>
      </c>
      <c r="SY67" s="64">
        <f t="shared" si="1376"/>
        <v>100</v>
      </c>
      <c r="SZ67" s="62">
        <v>985.33</v>
      </c>
      <c r="TA67" s="63"/>
      <c r="TB67" s="64">
        <f t="shared" si="1377"/>
        <v>985.33</v>
      </c>
      <c r="TC67" s="65">
        <v>700.9</v>
      </c>
      <c r="TD67" s="63"/>
      <c r="TE67" s="64">
        <f t="shared" si="1378"/>
        <v>700.9</v>
      </c>
      <c r="TF67" s="65"/>
      <c r="TG67" s="63"/>
      <c r="TH67" s="64">
        <f t="shared" si="1379"/>
        <v>0</v>
      </c>
      <c r="TI67" s="65">
        <v>100</v>
      </c>
      <c r="TJ67" s="63"/>
      <c r="TK67" s="64">
        <f t="shared" si="1380"/>
        <v>100</v>
      </c>
      <c r="TL67" s="66">
        <f t="shared" si="215"/>
        <v>1786.23</v>
      </c>
      <c r="TM67" s="67">
        <f t="shared" si="1381"/>
        <v>0</v>
      </c>
      <c r="TN67" s="64">
        <f t="shared" si="1382"/>
        <v>1786.23</v>
      </c>
      <c r="TO67" s="62"/>
      <c r="TP67" s="63"/>
      <c r="TQ67" s="64">
        <f t="shared" si="1383"/>
        <v>0</v>
      </c>
      <c r="TR67" s="65"/>
      <c r="TS67" s="63"/>
      <c r="TT67" s="64">
        <f t="shared" si="1384"/>
        <v>0</v>
      </c>
      <c r="TU67" s="65"/>
      <c r="TV67" s="63"/>
      <c r="TW67" s="64">
        <f t="shared" si="1385"/>
        <v>0</v>
      </c>
      <c r="TX67" s="65">
        <v>100</v>
      </c>
      <c r="TY67" s="63"/>
      <c r="TZ67" s="64">
        <f t="shared" si="1386"/>
        <v>100</v>
      </c>
      <c r="UA67" s="66">
        <f t="shared" si="222"/>
        <v>100</v>
      </c>
      <c r="UB67" s="67">
        <f t="shared" si="1387"/>
        <v>0</v>
      </c>
      <c r="UC67" s="64">
        <f t="shared" si="1388"/>
        <v>100</v>
      </c>
      <c r="UD67" s="62"/>
      <c r="UE67" s="63"/>
      <c r="UF67" s="64">
        <f t="shared" si="1389"/>
        <v>0</v>
      </c>
      <c r="UG67" s="65">
        <v>497.04</v>
      </c>
      <c r="UH67" s="63"/>
      <c r="UI67" s="64">
        <f t="shared" si="1390"/>
        <v>497.04</v>
      </c>
      <c r="UJ67" s="65"/>
      <c r="UK67" s="63"/>
      <c r="UL67" s="64">
        <f t="shared" si="1391"/>
        <v>0</v>
      </c>
      <c r="UM67" s="65">
        <v>100</v>
      </c>
      <c r="UN67" s="63"/>
      <c r="UO67" s="64">
        <f t="shared" si="1392"/>
        <v>100</v>
      </c>
      <c r="UP67" s="66">
        <f t="shared" si="226"/>
        <v>597.04</v>
      </c>
      <c r="UQ67" s="67">
        <f t="shared" si="1393"/>
        <v>0</v>
      </c>
      <c r="UR67" s="64">
        <f t="shared" si="1394"/>
        <v>597.04</v>
      </c>
      <c r="US67" s="74"/>
      <c r="UT67" s="72"/>
      <c r="UU67" s="73"/>
      <c r="UV67" s="74"/>
      <c r="UW67" s="75"/>
      <c r="UX67" s="73"/>
      <c r="UY67" s="74"/>
      <c r="UZ67" s="75"/>
      <c r="VA67" s="73"/>
      <c r="VB67" s="74"/>
      <c r="VC67" s="75"/>
      <c r="VD67" s="73"/>
      <c r="VE67" s="74"/>
      <c r="VF67" s="76"/>
      <c r="VG67" s="77"/>
      <c r="VH67" s="62"/>
      <c r="VI67" s="63"/>
      <c r="VJ67" s="64">
        <f t="shared" si="1395"/>
        <v>0</v>
      </c>
      <c r="VK67" s="65"/>
      <c r="VL67" s="63"/>
      <c r="VM67" s="64">
        <f t="shared" si="1396"/>
        <v>0</v>
      </c>
      <c r="VN67" s="65"/>
      <c r="VO67" s="63"/>
      <c r="VP67" s="64">
        <f t="shared" si="1397"/>
        <v>0</v>
      </c>
      <c r="VQ67" s="65">
        <v>100</v>
      </c>
      <c r="VR67" s="63"/>
      <c r="VS67" s="64">
        <f t="shared" si="1398"/>
        <v>100</v>
      </c>
      <c r="VT67" s="66">
        <f t="shared" si="240"/>
        <v>100</v>
      </c>
      <c r="VU67" s="67">
        <f t="shared" si="1399"/>
        <v>0</v>
      </c>
      <c r="VV67" s="64">
        <f t="shared" si="1400"/>
        <v>100</v>
      </c>
      <c r="VW67" s="74"/>
      <c r="VX67" s="72"/>
      <c r="VY67" s="73"/>
      <c r="VZ67" s="74"/>
      <c r="WA67" s="75"/>
      <c r="WB67" s="73"/>
      <c r="WC67" s="74"/>
      <c r="WD67" s="75"/>
      <c r="WE67" s="73"/>
      <c r="WF67" s="74"/>
      <c r="WG67" s="75"/>
      <c r="WH67" s="73"/>
      <c r="WI67" s="74"/>
      <c r="WJ67" s="76"/>
      <c r="WK67" s="77"/>
      <c r="WL67" s="74"/>
      <c r="WM67" s="72"/>
      <c r="WN67" s="73"/>
      <c r="WO67" s="74"/>
      <c r="WP67" s="75"/>
      <c r="WQ67" s="73"/>
      <c r="WR67" s="74"/>
      <c r="WS67" s="75"/>
      <c r="WT67" s="73"/>
      <c r="WU67" s="74"/>
      <c r="WV67" s="75"/>
      <c r="WW67" s="73"/>
      <c r="WX67" s="74"/>
      <c r="WY67" s="76"/>
      <c r="WZ67" s="77"/>
      <c r="XA67" s="74"/>
      <c r="XB67" s="72"/>
      <c r="XC67" s="73"/>
      <c r="XD67" s="74"/>
      <c r="XE67" s="75"/>
      <c r="XF67" s="73"/>
      <c r="XG67" s="74"/>
      <c r="XH67" s="75"/>
      <c r="XI67" s="73"/>
      <c r="XJ67" s="74"/>
      <c r="XK67" s="75"/>
      <c r="XL67" s="73"/>
      <c r="XM67" s="74"/>
      <c r="XN67" s="76"/>
      <c r="XO67" s="77"/>
      <c r="XP67" s="62"/>
      <c r="XQ67" s="63"/>
      <c r="XR67" s="64">
        <f t="shared" si="1401"/>
        <v>0</v>
      </c>
      <c r="XS67" s="65">
        <v>844.24</v>
      </c>
      <c r="XT67" s="63"/>
      <c r="XU67" s="64">
        <f t="shared" si="1402"/>
        <v>844.24</v>
      </c>
      <c r="XV67" s="65"/>
      <c r="XW67" s="63"/>
      <c r="XX67" s="64">
        <f t="shared" si="1403"/>
        <v>0</v>
      </c>
      <c r="XY67" s="65">
        <v>100</v>
      </c>
      <c r="XZ67" s="63"/>
      <c r="YA67" s="64">
        <f t="shared" si="1404"/>
        <v>100</v>
      </c>
      <c r="YB67" s="66">
        <f t="shared" si="268"/>
        <v>944.24</v>
      </c>
      <c r="YC67" s="67">
        <f t="shared" si="1405"/>
        <v>0</v>
      </c>
      <c r="YD67" s="64">
        <f t="shared" si="1406"/>
        <v>944.24</v>
      </c>
      <c r="YE67" s="62"/>
      <c r="YF67" s="63"/>
      <c r="YG67" s="64">
        <f t="shared" si="1407"/>
        <v>0</v>
      </c>
      <c r="YH67" s="65">
        <v>847.85</v>
      </c>
      <c r="YI67" s="63"/>
      <c r="YJ67" s="64">
        <f t="shared" si="1408"/>
        <v>847.85</v>
      </c>
      <c r="YK67" s="65"/>
      <c r="YL67" s="63"/>
      <c r="YM67" s="64">
        <f t="shared" si="1409"/>
        <v>0</v>
      </c>
      <c r="YN67" s="65">
        <v>100</v>
      </c>
      <c r="YO67" s="63"/>
      <c r="YP67" s="64">
        <f t="shared" si="1410"/>
        <v>100</v>
      </c>
      <c r="YQ67" s="66">
        <f t="shared" si="275"/>
        <v>947.85</v>
      </c>
      <c r="YR67" s="67">
        <f t="shared" si="1411"/>
        <v>0</v>
      </c>
      <c r="YS67" s="64">
        <f t="shared" si="1412"/>
        <v>947.85</v>
      </c>
      <c r="YT67" s="62"/>
      <c r="YU67" s="63"/>
      <c r="YV67" s="64">
        <f t="shared" si="1413"/>
        <v>0</v>
      </c>
      <c r="YW67" s="65">
        <v>695.73</v>
      </c>
      <c r="YX67" s="63"/>
      <c r="YY67" s="64">
        <f t="shared" si="1414"/>
        <v>695.73</v>
      </c>
      <c r="YZ67" s="65"/>
      <c r="ZA67" s="63"/>
      <c r="ZB67" s="64">
        <f t="shared" si="1415"/>
        <v>0</v>
      </c>
      <c r="ZC67" s="65">
        <v>100</v>
      </c>
      <c r="ZD67" s="63"/>
      <c r="ZE67" s="64">
        <f t="shared" si="1416"/>
        <v>100</v>
      </c>
      <c r="ZF67" s="66">
        <f t="shared" si="282"/>
        <v>795.73</v>
      </c>
      <c r="ZG67" s="67">
        <f t="shared" si="1417"/>
        <v>0</v>
      </c>
      <c r="ZH67" s="74"/>
      <c r="ZI67" s="72"/>
      <c r="ZJ67" s="73"/>
      <c r="ZK67" s="74"/>
      <c r="ZL67" s="75"/>
      <c r="ZM67" s="73"/>
      <c r="ZN67" s="74"/>
      <c r="ZO67" s="75"/>
      <c r="ZP67" s="73"/>
      <c r="ZQ67" s="74"/>
      <c r="ZR67" s="75"/>
      <c r="ZS67" s="73"/>
      <c r="ZT67" s="74"/>
      <c r="ZU67" s="76"/>
      <c r="ZV67" s="77"/>
      <c r="ZW67" s="64">
        <f t="shared" si="1418"/>
        <v>0</v>
      </c>
      <c r="ZX67" s="62">
        <v>24.71</v>
      </c>
      <c r="ZY67" s="63"/>
      <c r="ZZ67" s="64">
        <f t="shared" si="1419"/>
        <v>24.71</v>
      </c>
      <c r="AAA67" s="66">
        <f t="shared" si="293"/>
        <v>24.71</v>
      </c>
      <c r="AAB67" s="67">
        <f t="shared" si="293"/>
        <v>0</v>
      </c>
      <c r="AAC67" s="64">
        <f t="shared" si="1420"/>
        <v>24.71</v>
      </c>
      <c r="AAD67" s="85">
        <f t="shared" si="295"/>
        <v>45093.97</v>
      </c>
      <c r="AAE67" s="86">
        <f t="shared" si="295"/>
        <v>0</v>
      </c>
      <c r="AAF67" s="87">
        <f t="shared" si="3"/>
        <v>0</v>
      </c>
      <c r="AAG67" s="88">
        <f t="shared" si="1421"/>
        <v>-45093.97</v>
      </c>
      <c r="AAH67" s="96">
        <f>AAH63-AAH59</f>
        <v>-1405113.2099999997</v>
      </c>
      <c r="AAI67" s="97"/>
      <c r="AAJ67" s="97"/>
      <c r="AAK67" s="60"/>
    </row>
    <row r="68" spans="1:713" s="83" customFormat="1" ht="20" customHeight="1" thickBot="1" x14ac:dyDescent="0.25">
      <c r="A68" s="152"/>
      <c r="B68" s="96"/>
      <c r="C68" s="97"/>
      <c r="D68" s="97"/>
      <c r="E68" s="60"/>
      <c r="F68" s="61">
        <v>46357</v>
      </c>
      <c r="G68" s="62"/>
      <c r="H68" s="63"/>
      <c r="I68" s="64">
        <f t="shared" si="1217"/>
        <v>0</v>
      </c>
      <c r="J68" s="65">
        <v>3486.88</v>
      </c>
      <c r="K68" s="63"/>
      <c r="L68" s="64">
        <f t="shared" si="1218"/>
        <v>3486.88</v>
      </c>
      <c r="M68" s="65">
        <v>2500</v>
      </c>
      <c r="N68" s="63"/>
      <c r="O68" s="64">
        <f t="shared" si="1219"/>
        <v>2500</v>
      </c>
      <c r="P68" s="65">
        <v>1000</v>
      </c>
      <c r="Q68" s="63"/>
      <c r="R68" s="64">
        <f t="shared" si="1220"/>
        <v>1000</v>
      </c>
      <c r="S68" s="65">
        <v>181</v>
      </c>
      <c r="T68" s="63"/>
      <c r="U68" s="64">
        <f t="shared" si="1221"/>
        <v>181</v>
      </c>
      <c r="V68" s="66">
        <f t="shared" si="1222"/>
        <v>7167.88</v>
      </c>
      <c r="W68" s="67">
        <f t="shared" si="1222"/>
        <v>0</v>
      </c>
      <c r="X68" s="64">
        <f t="shared" si="1223"/>
        <v>7167.88</v>
      </c>
      <c r="Y68" s="72"/>
      <c r="Z68" s="73"/>
      <c r="AA68" s="74"/>
      <c r="AB68" s="75"/>
      <c r="AC68" s="73"/>
      <c r="AD68" s="74"/>
      <c r="AE68" s="75"/>
      <c r="AF68" s="73"/>
      <c r="AG68" s="74"/>
      <c r="AH68" s="75"/>
      <c r="AI68" s="73"/>
      <c r="AJ68" s="74"/>
      <c r="AK68" s="76"/>
      <c r="AL68" s="77"/>
      <c r="AM68" s="64">
        <f t="shared" si="1224"/>
        <v>0</v>
      </c>
      <c r="AN68" s="62"/>
      <c r="AO68" s="63"/>
      <c r="AP68" s="64">
        <f t="shared" si="1422"/>
        <v>0</v>
      </c>
      <c r="AQ68" s="65"/>
      <c r="AR68" s="63"/>
      <c r="AS68" s="64">
        <f t="shared" si="1225"/>
        <v>0</v>
      </c>
      <c r="AT68" s="65"/>
      <c r="AU68" s="63"/>
      <c r="AV68" s="64">
        <f t="shared" si="1226"/>
        <v>0</v>
      </c>
      <c r="AW68" s="65"/>
      <c r="AX68" s="63"/>
      <c r="AY68" s="64">
        <f t="shared" si="1227"/>
        <v>0</v>
      </c>
      <c r="AZ68" s="66">
        <f t="shared" si="23"/>
        <v>0</v>
      </c>
      <c r="BA68" s="67">
        <f t="shared" si="1228"/>
        <v>0</v>
      </c>
      <c r="BB68" s="64">
        <f t="shared" si="1229"/>
        <v>0</v>
      </c>
      <c r="BC68" s="62">
        <v>6150</v>
      </c>
      <c r="BD68" s="63"/>
      <c r="BE68" s="64">
        <f t="shared" si="1230"/>
        <v>6150</v>
      </c>
      <c r="BF68" s="65"/>
      <c r="BG68" s="63"/>
      <c r="BH68" s="64">
        <f t="shared" si="1231"/>
        <v>0</v>
      </c>
      <c r="BI68" s="65"/>
      <c r="BJ68" s="63"/>
      <c r="BK68" s="64">
        <f t="shared" si="1232"/>
        <v>0</v>
      </c>
      <c r="BL68" s="65">
        <v>100</v>
      </c>
      <c r="BM68" s="63"/>
      <c r="BN68" s="64">
        <f t="shared" si="1233"/>
        <v>100</v>
      </c>
      <c r="BO68" s="66">
        <f t="shared" si="30"/>
        <v>6250</v>
      </c>
      <c r="BP68" s="67">
        <f t="shared" si="1234"/>
        <v>0</v>
      </c>
      <c r="BQ68" s="64">
        <f t="shared" si="1235"/>
        <v>6250</v>
      </c>
      <c r="BR68" s="72"/>
      <c r="BS68" s="73"/>
      <c r="BT68" s="74"/>
      <c r="BU68" s="75"/>
      <c r="BV68" s="73"/>
      <c r="BW68" s="74"/>
      <c r="BX68" s="75"/>
      <c r="BY68" s="73"/>
      <c r="BZ68" s="74"/>
      <c r="CA68" s="75"/>
      <c r="CB68" s="73"/>
      <c r="CC68" s="74"/>
      <c r="CD68" s="76"/>
      <c r="CE68" s="77"/>
      <c r="CF68" s="64">
        <f t="shared" si="1236"/>
        <v>0</v>
      </c>
      <c r="CG68" s="62"/>
      <c r="CH68" s="63"/>
      <c r="CI68" s="64">
        <f t="shared" si="1237"/>
        <v>0</v>
      </c>
      <c r="CJ68" s="65"/>
      <c r="CK68" s="63"/>
      <c r="CL68" s="64">
        <f t="shared" si="1238"/>
        <v>0</v>
      </c>
      <c r="CM68" s="65"/>
      <c r="CN68" s="63"/>
      <c r="CO68" s="64">
        <f t="shared" si="1239"/>
        <v>0</v>
      </c>
      <c r="CP68" s="65"/>
      <c r="CQ68" s="63"/>
      <c r="CR68" s="64">
        <f t="shared" si="1240"/>
        <v>0</v>
      </c>
      <c r="CS68" s="66">
        <f t="shared" si="40"/>
        <v>0</v>
      </c>
      <c r="CT68" s="67">
        <f t="shared" si="1241"/>
        <v>0</v>
      </c>
      <c r="CU68" s="64">
        <f t="shared" si="1242"/>
        <v>0</v>
      </c>
      <c r="CV68" s="62">
        <v>2916.7</v>
      </c>
      <c r="CW68" s="63"/>
      <c r="CX68" s="64">
        <f t="shared" si="1243"/>
        <v>2916.7</v>
      </c>
      <c r="CY68" s="65">
        <v>429.15</v>
      </c>
      <c r="CZ68" s="63"/>
      <c r="DA68" s="64">
        <f t="shared" si="1244"/>
        <v>429.15</v>
      </c>
      <c r="DB68" s="65"/>
      <c r="DC68" s="63"/>
      <c r="DD68" s="64">
        <f t="shared" si="1245"/>
        <v>0</v>
      </c>
      <c r="DE68" s="65"/>
      <c r="DF68" s="63"/>
      <c r="DG68" s="64">
        <f t="shared" si="1246"/>
        <v>0</v>
      </c>
      <c r="DH68" s="66">
        <f t="shared" si="43"/>
        <v>3345.85</v>
      </c>
      <c r="DI68" s="67">
        <f t="shared" si="1247"/>
        <v>0</v>
      </c>
      <c r="DJ68" s="64">
        <f t="shared" si="1248"/>
        <v>3345.85</v>
      </c>
      <c r="DK68" s="62">
        <v>2400</v>
      </c>
      <c r="DL68" s="63"/>
      <c r="DM68" s="64">
        <f t="shared" si="1249"/>
        <v>2400</v>
      </c>
      <c r="DN68" s="65">
        <v>913.08</v>
      </c>
      <c r="DO68" s="63"/>
      <c r="DP68" s="64">
        <f t="shared" si="1250"/>
        <v>913.08</v>
      </c>
      <c r="DQ68" s="65"/>
      <c r="DR68" s="63"/>
      <c r="DS68" s="64">
        <f t="shared" si="1251"/>
        <v>0</v>
      </c>
      <c r="DT68" s="65">
        <v>100</v>
      </c>
      <c r="DU68" s="63"/>
      <c r="DV68" s="64">
        <f t="shared" si="1252"/>
        <v>100</v>
      </c>
      <c r="DW68" s="66">
        <f t="shared" si="46"/>
        <v>3413.08</v>
      </c>
      <c r="DX68" s="67">
        <f t="shared" si="1253"/>
        <v>0</v>
      </c>
      <c r="DY68" s="64">
        <f t="shared" si="1254"/>
        <v>3413.08</v>
      </c>
      <c r="DZ68" s="62"/>
      <c r="EA68" s="63"/>
      <c r="EB68" s="64">
        <f t="shared" si="1255"/>
        <v>0</v>
      </c>
      <c r="EC68" s="65"/>
      <c r="ED68" s="63"/>
      <c r="EE68" s="64">
        <f t="shared" si="1256"/>
        <v>0</v>
      </c>
      <c r="EF68" s="65"/>
      <c r="EG68" s="63"/>
      <c r="EH68" s="64">
        <f t="shared" si="1257"/>
        <v>0</v>
      </c>
      <c r="EI68" s="65">
        <v>100</v>
      </c>
      <c r="EJ68" s="63"/>
      <c r="EK68" s="64">
        <f t="shared" si="1258"/>
        <v>100</v>
      </c>
      <c r="EL68" s="66">
        <f t="shared" si="53"/>
        <v>100</v>
      </c>
      <c r="EM68" s="67">
        <f t="shared" si="1259"/>
        <v>0</v>
      </c>
      <c r="EN68" s="64">
        <f t="shared" si="1260"/>
        <v>100</v>
      </c>
      <c r="EO68" s="62">
        <v>6150</v>
      </c>
      <c r="EP68" s="63"/>
      <c r="EQ68" s="64">
        <f t="shared" si="1261"/>
        <v>6150</v>
      </c>
      <c r="ER68" s="65"/>
      <c r="ES68" s="63"/>
      <c r="ET68" s="64">
        <f t="shared" si="1262"/>
        <v>0</v>
      </c>
      <c r="EU68" s="65"/>
      <c r="EV68" s="63"/>
      <c r="EW68" s="64">
        <f t="shared" si="1263"/>
        <v>0</v>
      </c>
      <c r="EX68" s="65">
        <v>100</v>
      </c>
      <c r="EY68" s="63"/>
      <c r="EZ68" s="64">
        <f t="shared" si="1264"/>
        <v>100</v>
      </c>
      <c r="FA68" s="66">
        <f t="shared" si="60"/>
        <v>6250</v>
      </c>
      <c r="FB68" s="67">
        <f t="shared" si="1265"/>
        <v>0</v>
      </c>
      <c r="FC68" s="64">
        <f t="shared" si="1266"/>
        <v>6250</v>
      </c>
      <c r="FD68" s="62">
        <v>6150</v>
      </c>
      <c r="FE68" s="63"/>
      <c r="FF68" s="64">
        <f t="shared" si="1267"/>
        <v>6150</v>
      </c>
      <c r="FG68" s="65"/>
      <c r="FH68" s="63"/>
      <c r="FI68" s="64">
        <f t="shared" si="1268"/>
        <v>0</v>
      </c>
      <c r="FJ68" s="65"/>
      <c r="FK68" s="63"/>
      <c r="FL68" s="64">
        <f t="shared" si="1269"/>
        <v>0</v>
      </c>
      <c r="FM68" s="65">
        <v>100</v>
      </c>
      <c r="FN68" s="63"/>
      <c r="FO68" s="64">
        <f t="shared" si="1270"/>
        <v>100</v>
      </c>
      <c r="FP68" s="66">
        <f t="shared" si="67"/>
        <v>6250</v>
      </c>
      <c r="FQ68" s="67">
        <f t="shared" si="1271"/>
        <v>0</v>
      </c>
      <c r="FR68" s="64">
        <f t="shared" si="1272"/>
        <v>6250</v>
      </c>
      <c r="FS68" s="62"/>
      <c r="FT68" s="63"/>
      <c r="FU68" s="64">
        <f t="shared" si="1273"/>
        <v>0</v>
      </c>
      <c r="FV68" s="65">
        <v>485.35</v>
      </c>
      <c r="FW68" s="63"/>
      <c r="FX68" s="64">
        <f t="shared" si="1274"/>
        <v>485.35</v>
      </c>
      <c r="FY68" s="65"/>
      <c r="FZ68" s="63"/>
      <c r="GA68" s="64">
        <f t="shared" si="1275"/>
        <v>0</v>
      </c>
      <c r="GB68" s="65"/>
      <c r="GC68" s="63"/>
      <c r="GD68" s="64">
        <f t="shared" si="1276"/>
        <v>0</v>
      </c>
      <c r="GE68" s="66">
        <f t="shared" si="74"/>
        <v>485.35</v>
      </c>
      <c r="GF68" s="67">
        <f t="shared" si="1277"/>
        <v>0</v>
      </c>
      <c r="GG68" s="64">
        <f t="shared" si="1278"/>
        <v>485.35</v>
      </c>
      <c r="GH68" s="62"/>
      <c r="GI68" s="63"/>
      <c r="GJ68" s="64">
        <f t="shared" si="1279"/>
        <v>0</v>
      </c>
      <c r="GK68" s="65">
        <v>660.33</v>
      </c>
      <c r="GL68" s="63"/>
      <c r="GM68" s="64">
        <f t="shared" si="1280"/>
        <v>660.33</v>
      </c>
      <c r="GN68" s="65"/>
      <c r="GO68" s="63"/>
      <c r="GP68" s="64">
        <f t="shared" si="1281"/>
        <v>0</v>
      </c>
      <c r="GQ68" s="65"/>
      <c r="GR68" s="63"/>
      <c r="GS68" s="64">
        <f t="shared" si="1282"/>
        <v>0</v>
      </c>
      <c r="GT68" s="66">
        <f t="shared" si="81"/>
        <v>660.33</v>
      </c>
      <c r="GU68" s="67">
        <f t="shared" si="1283"/>
        <v>0</v>
      </c>
      <c r="GV68" s="64">
        <f t="shared" si="1284"/>
        <v>660.33</v>
      </c>
      <c r="GW68" s="62"/>
      <c r="GX68" s="63"/>
      <c r="GY68" s="64">
        <f t="shared" si="1285"/>
        <v>0</v>
      </c>
      <c r="GZ68" s="65">
        <v>568.25</v>
      </c>
      <c r="HA68" s="63"/>
      <c r="HB68" s="64">
        <f t="shared" si="1286"/>
        <v>568.25</v>
      </c>
      <c r="HC68" s="65"/>
      <c r="HD68" s="63"/>
      <c r="HE68" s="64">
        <f t="shared" si="1287"/>
        <v>0</v>
      </c>
      <c r="HF68" s="65">
        <v>100</v>
      </c>
      <c r="HG68" s="63"/>
      <c r="HH68" s="64">
        <f t="shared" si="1288"/>
        <v>100</v>
      </c>
      <c r="HI68" s="66">
        <f t="shared" si="84"/>
        <v>668.25</v>
      </c>
      <c r="HJ68" s="67">
        <f t="shared" si="1289"/>
        <v>0</v>
      </c>
      <c r="HK68" s="64">
        <f t="shared" si="1290"/>
        <v>668.25</v>
      </c>
      <c r="HL68" s="62">
        <v>6150</v>
      </c>
      <c r="HM68" s="63"/>
      <c r="HN68" s="64">
        <f t="shared" si="1291"/>
        <v>6150</v>
      </c>
      <c r="HO68" s="65"/>
      <c r="HP68" s="63"/>
      <c r="HQ68" s="64">
        <f t="shared" si="1292"/>
        <v>0</v>
      </c>
      <c r="HR68" s="65"/>
      <c r="HS68" s="63"/>
      <c r="HT68" s="64">
        <f t="shared" si="1293"/>
        <v>0</v>
      </c>
      <c r="HU68" s="65">
        <v>100</v>
      </c>
      <c r="HV68" s="63"/>
      <c r="HW68" s="64">
        <f t="shared" si="1294"/>
        <v>100</v>
      </c>
      <c r="HX68" s="66">
        <f t="shared" si="91"/>
        <v>6250</v>
      </c>
      <c r="HY68" s="67">
        <f t="shared" si="1295"/>
        <v>0</v>
      </c>
      <c r="HZ68" s="64">
        <f t="shared" si="1296"/>
        <v>6250</v>
      </c>
      <c r="IA68" s="62"/>
      <c r="IB68" s="63"/>
      <c r="IC68" s="64">
        <f t="shared" si="1297"/>
        <v>0</v>
      </c>
      <c r="ID68" s="65"/>
      <c r="IE68" s="63"/>
      <c r="IF68" s="64">
        <f t="shared" si="1298"/>
        <v>0</v>
      </c>
      <c r="IG68" s="65"/>
      <c r="IH68" s="63"/>
      <c r="II68" s="64">
        <f t="shared" si="1299"/>
        <v>0</v>
      </c>
      <c r="IJ68" s="65">
        <v>100</v>
      </c>
      <c r="IK68" s="63"/>
      <c r="IL68" s="64">
        <f t="shared" si="1300"/>
        <v>100</v>
      </c>
      <c r="IM68" s="66">
        <f t="shared" si="98"/>
        <v>100</v>
      </c>
      <c r="IN68" s="67">
        <f t="shared" si="1301"/>
        <v>0</v>
      </c>
      <c r="IO68" s="64">
        <f t="shared" si="1302"/>
        <v>100</v>
      </c>
      <c r="IP68" s="62"/>
      <c r="IQ68" s="63"/>
      <c r="IR68" s="64">
        <f t="shared" si="1303"/>
        <v>0</v>
      </c>
      <c r="IS68" s="65"/>
      <c r="IT68" s="63"/>
      <c r="IU68" s="64">
        <f t="shared" si="1304"/>
        <v>0</v>
      </c>
      <c r="IV68" s="65"/>
      <c r="IW68" s="63"/>
      <c r="IX68" s="64">
        <f t="shared" si="1305"/>
        <v>0</v>
      </c>
      <c r="IY68" s="65"/>
      <c r="IZ68" s="63"/>
      <c r="JA68" s="64">
        <f t="shared" si="1306"/>
        <v>0</v>
      </c>
      <c r="JB68" s="66">
        <f t="shared" si="105"/>
        <v>0</v>
      </c>
      <c r="JC68" s="67">
        <f t="shared" si="1307"/>
        <v>0</v>
      </c>
      <c r="JD68" s="64">
        <f t="shared" si="1308"/>
        <v>0</v>
      </c>
      <c r="JE68" s="72"/>
      <c r="JF68" s="150"/>
      <c r="JG68" s="74"/>
      <c r="JH68" s="75"/>
      <c r="JI68" s="150"/>
      <c r="JJ68" s="74"/>
      <c r="JK68" s="75"/>
      <c r="JL68" s="150"/>
      <c r="JM68" s="74"/>
      <c r="JN68" s="75"/>
      <c r="JO68" s="150"/>
      <c r="JP68" s="74"/>
      <c r="JQ68" s="76"/>
      <c r="JR68" s="77"/>
      <c r="JS68" s="74"/>
      <c r="JT68" s="72"/>
      <c r="JU68" s="73"/>
      <c r="JV68" s="74"/>
      <c r="JW68" s="75"/>
      <c r="JX68" s="73"/>
      <c r="JY68" s="74"/>
      <c r="JZ68" s="75"/>
      <c r="KA68" s="73"/>
      <c r="KB68" s="74"/>
      <c r="KC68" s="75"/>
      <c r="KD68" s="73"/>
      <c r="KE68" s="74"/>
      <c r="KF68" s="76"/>
      <c r="KG68" s="77"/>
      <c r="KH68" s="64">
        <f t="shared" si="1309"/>
        <v>0</v>
      </c>
      <c r="KI68" s="62"/>
      <c r="KJ68" s="63"/>
      <c r="KK68" s="64">
        <f t="shared" si="1310"/>
        <v>0</v>
      </c>
      <c r="KL68" s="65"/>
      <c r="KM68" s="63"/>
      <c r="KN68" s="64">
        <f t="shared" si="1311"/>
        <v>0</v>
      </c>
      <c r="KO68" s="65"/>
      <c r="KP68" s="63"/>
      <c r="KQ68" s="64">
        <f t="shared" si="1312"/>
        <v>0</v>
      </c>
      <c r="KR68" s="65"/>
      <c r="KS68" s="63"/>
      <c r="KT68" s="64">
        <f t="shared" si="1313"/>
        <v>0</v>
      </c>
      <c r="KU68" s="66">
        <f t="shared" si="1"/>
        <v>0</v>
      </c>
      <c r="KV68" s="67">
        <f t="shared" si="1314"/>
        <v>0</v>
      </c>
      <c r="KW68" s="64">
        <f t="shared" si="1315"/>
        <v>0</v>
      </c>
      <c r="KX68" s="72"/>
      <c r="KY68" s="73"/>
      <c r="KZ68" s="74"/>
      <c r="LA68" s="75"/>
      <c r="LB68" s="73"/>
      <c r="LC68" s="74"/>
      <c r="LD68" s="75"/>
      <c r="LE68" s="73"/>
      <c r="LF68" s="74"/>
      <c r="LG68" s="75"/>
      <c r="LH68" s="73"/>
      <c r="LI68" s="74"/>
      <c r="LJ68" s="76"/>
      <c r="LK68" s="77"/>
      <c r="LL68" s="74"/>
      <c r="LM68" s="62"/>
      <c r="LN68" s="63"/>
      <c r="LO68" s="64">
        <f t="shared" si="1316"/>
        <v>0</v>
      </c>
      <c r="LP68" s="65"/>
      <c r="LQ68" s="63"/>
      <c r="LR68" s="64">
        <f t="shared" si="1317"/>
        <v>0</v>
      </c>
      <c r="LS68" s="65"/>
      <c r="LT68" s="63"/>
      <c r="LU68" s="64">
        <f t="shared" si="1318"/>
        <v>0</v>
      </c>
      <c r="LV68" s="65">
        <v>100</v>
      </c>
      <c r="LW68" s="63"/>
      <c r="LX68" s="64">
        <f t="shared" si="1319"/>
        <v>100</v>
      </c>
      <c r="LY68" s="66">
        <f t="shared" si="124"/>
        <v>100</v>
      </c>
      <c r="LZ68" s="67">
        <f t="shared" si="1320"/>
        <v>0</v>
      </c>
      <c r="MA68" s="64">
        <f t="shared" si="1321"/>
        <v>100</v>
      </c>
      <c r="MB68" s="62"/>
      <c r="MC68" s="63"/>
      <c r="MD68" s="64">
        <f t="shared" si="1322"/>
        <v>0</v>
      </c>
      <c r="ME68" s="65">
        <v>889.11</v>
      </c>
      <c r="MF68" s="63"/>
      <c r="MG68" s="64">
        <f t="shared" si="1323"/>
        <v>889.11</v>
      </c>
      <c r="MH68" s="65"/>
      <c r="MI68" s="63"/>
      <c r="MJ68" s="64">
        <f t="shared" si="1324"/>
        <v>0</v>
      </c>
      <c r="MK68" s="65">
        <v>100</v>
      </c>
      <c r="ML68" s="63"/>
      <c r="MM68" s="64">
        <f t="shared" si="1325"/>
        <v>100</v>
      </c>
      <c r="MN68" s="66">
        <f t="shared" si="131"/>
        <v>989.11</v>
      </c>
      <c r="MO68" s="67">
        <f t="shared" si="1326"/>
        <v>0</v>
      </c>
      <c r="MP68" s="64">
        <f t="shared" si="1327"/>
        <v>989.11</v>
      </c>
      <c r="MQ68" s="62"/>
      <c r="MR68" s="63"/>
      <c r="MS68" s="64">
        <f t="shared" si="1328"/>
        <v>0</v>
      </c>
      <c r="MT68" s="65"/>
      <c r="MU68" s="63"/>
      <c r="MV68" s="64">
        <f t="shared" si="1329"/>
        <v>0</v>
      </c>
      <c r="MW68" s="65"/>
      <c r="MX68" s="63"/>
      <c r="MY68" s="64">
        <f t="shared" si="1330"/>
        <v>0</v>
      </c>
      <c r="MZ68" s="65"/>
      <c r="NA68" s="63"/>
      <c r="NB68" s="64">
        <f t="shared" si="1331"/>
        <v>0</v>
      </c>
      <c r="NC68" s="66">
        <f t="shared" si="138"/>
        <v>0</v>
      </c>
      <c r="ND68" s="67">
        <f t="shared" si="1332"/>
        <v>0</v>
      </c>
      <c r="NE68" s="64">
        <f t="shared" si="1333"/>
        <v>0</v>
      </c>
      <c r="NF68" s="62"/>
      <c r="NG68" s="63"/>
      <c r="NH68" s="64">
        <f t="shared" si="1334"/>
        <v>0</v>
      </c>
      <c r="NI68" s="65">
        <v>1164.04</v>
      </c>
      <c r="NJ68" s="63"/>
      <c r="NK68" s="64">
        <f t="shared" si="1335"/>
        <v>1164.04</v>
      </c>
      <c r="NL68" s="65"/>
      <c r="NM68" s="63"/>
      <c r="NN68" s="64">
        <f t="shared" si="1336"/>
        <v>0</v>
      </c>
      <c r="NO68" s="65">
        <v>100</v>
      </c>
      <c r="NP68" s="63"/>
      <c r="NQ68" s="64">
        <f t="shared" si="1337"/>
        <v>100</v>
      </c>
      <c r="NR68" s="66">
        <f t="shared" si="145"/>
        <v>1264.04</v>
      </c>
      <c r="NS68" s="67">
        <f t="shared" si="1338"/>
        <v>0</v>
      </c>
      <c r="NT68" s="64">
        <f t="shared" si="1339"/>
        <v>1264.04</v>
      </c>
      <c r="NU68" s="62"/>
      <c r="NV68" s="63"/>
      <c r="NW68" s="64">
        <f t="shared" si="1340"/>
        <v>0</v>
      </c>
      <c r="NX68" s="65">
        <v>1152.73</v>
      </c>
      <c r="NY68" s="63"/>
      <c r="NZ68" s="64">
        <f t="shared" si="1341"/>
        <v>1152.73</v>
      </c>
      <c r="OA68" s="65"/>
      <c r="OB68" s="63"/>
      <c r="OC68" s="64">
        <f t="shared" si="1342"/>
        <v>0</v>
      </c>
      <c r="OD68" s="65">
        <v>100</v>
      </c>
      <c r="OE68" s="63"/>
      <c r="OF68" s="64">
        <f t="shared" si="1343"/>
        <v>100</v>
      </c>
      <c r="OG68" s="66">
        <f t="shared" si="152"/>
        <v>1252.73</v>
      </c>
      <c r="OH68" s="67">
        <f t="shared" si="1344"/>
        <v>0</v>
      </c>
      <c r="OI68" s="64">
        <f t="shared" si="1345"/>
        <v>1252.73</v>
      </c>
      <c r="OJ68" s="62"/>
      <c r="OK68" s="63"/>
      <c r="OL68" s="64">
        <f t="shared" si="1346"/>
        <v>0</v>
      </c>
      <c r="OM68" s="65"/>
      <c r="ON68" s="63"/>
      <c r="OO68" s="64">
        <f t="shared" si="1347"/>
        <v>0</v>
      </c>
      <c r="OP68" s="65"/>
      <c r="OQ68" s="63"/>
      <c r="OR68" s="64">
        <f t="shared" si="1348"/>
        <v>0</v>
      </c>
      <c r="OS68" s="65">
        <v>100</v>
      </c>
      <c r="OT68" s="63"/>
      <c r="OU68" s="64">
        <f t="shared" si="1349"/>
        <v>100</v>
      </c>
      <c r="OV68" s="66">
        <f t="shared" si="159"/>
        <v>100</v>
      </c>
      <c r="OW68" s="67">
        <f t="shared" si="1350"/>
        <v>0</v>
      </c>
      <c r="OX68" s="64">
        <f t="shared" si="1351"/>
        <v>100</v>
      </c>
      <c r="OY68" s="62"/>
      <c r="OZ68" s="63"/>
      <c r="PA68" s="64">
        <f t="shared" si="1352"/>
        <v>0</v>
      </c>
      <c r="PB68" s="65"/>
      <c r="PC68" s="63"/>
      <c r="PD68" s="64">
        <f t="shared" si="1353"/>
        <v>0</v>
      </c>
      <c r="PE68" s="65"/>
      <c r="PF68" s="63"/>
      <c r="PG68" s="64">
        <f t="shared" si="1354"/>
        <v>0</v>
      </c>
      <c r="PH68" s="65">
        <v>100</v>
      </c>
      <c r="PI68" s="63"/>
      <c r="PJ68" s="64">
        <f t="shared" si="1355"/>
        <v>100</v>
      </c>
      <c r="PK68" s="66">
        <f t="shared" si="166"/>
        <v>100</v>
      </c>
      <c r="PL68" s="67">
        <f t="shared" si="1356"/>
        <v>0</v>
      </c>
      <c r="PM68" s="64">
        <f t="shared" si="1357"/>
        <v>100</v>
      </c>
      <c r="PN68" s="62">
        <v>1550</v>
      </c>
      <c r="PO68" s="63"/>
      <c r="PP68" s="64">
        <f t="shared" si="1358"/>
        <v>1550</v>
      </c>
      <c r="PQ68" s="65"/>
      <c r="PR68" s="63"/>
      <c r="PS68" s="64">
        <f t="shared" si="1359"/>
        <v>0</v>
      </c>
      <c r="PT68" s="65"/>
      <c r="PU68" s="63"/>
      <c r="PV68" s="64">
        <f t="shared" si="1360"/>
        <v>0</v>
      </c>
      <c r="PW68" s="65">
        <v>100</v>
      </c>
      <c r="PX68" s="63"/>
      <c r="PY68" s="64">
        <f t="shared" si="1361"/>
        <v>100</v>
      </c>
      <c r="PZ68" s="66">
        <f t="shared" si="173"/>
        <v>1650</v>
      </c>
      <c r="QA68" s="67">
        <f t="shared" si="1362"/>
        <v>0</v>
      </c>
      <c r="QB68" s="64">
        <f t="shared" si="1363"/>
        <v>1650</v>
      </c>
      <c r="QC68" s="62"/>
      <c r="QD68" s="63"/>
      <c r="QE68" s="64">
        <f t="shared" si="1364"/>
        <v>0</v>
      </c>
      <c r="QF68" s="65"/>
      <c r="QG68" s="63"/>
      <c r="QH68" s="64">
        <f t="shared" si="1365"/>
        <v>0</v>
      </c>
      <c r="QI68" s="65"/>
      <c r="QJ68" s="63"/>
      <c r="QK68" s="64">
        <f t="shared" si="1366"/>
        <v>0</v>
      </c>
      <c r="QL68" s="65">
        <v>100</v>
      </c>
      <c r="QM68" s="63"/>
      <c r="QN68" s="64">
        <f t="shared" si="1367"/>
        <v>100</v>
      </c>
      <c r="QO68" s="66">
        <f t="shared" si="180"/>
        <v>100</v>
      </c>
      <c r="QP68" s="67">
        <f t="shared" si="1368"/>
        <v>0</v>
      </c>
      <c r="QQ68" s="64">
        <f t="shared" si="1369"/>
        <v>100</v>
      </c>
      <c r="QR68" s="74"/>
      <c r="QS68" s="74"/>
      <c r="QT68" s="72"/>
      <c r="QU68" s="73"/>
      <c r="QV68" s="74"/>
      <c r="QW68" s="75"/>
      <c r="QX68" s="73"/>
      <c r="QY68" s="74"/>
      <c r="QZ68" s="75"/>
      <c r="RA68" s="73"/>
      <c r="RB68" s="74"/>
      <c r="RC68" s="75"/>
      <c r="RD68" s="73"/>
      <c r="RE68" s="74"/>
      <c r="RF68" s="74"/>
      <c r="RG68" s="72"/>
      <c r="RH68" s="73"/>
      <c r="RI68" s="74"/>
      <c r="RJ68" s="75"/>
      <c r="RK68" s="73"/>
      <c r="RL68" s="74"/>
      <c r="RM68" s="75"/>
      <c r="RN68" s="73"/>
      <c r="RO68" s="74"/>
      <c r="RP68" s="75"/>
      <c r="RQ68" s="73"/>
      <c r="RR68" s="74"/>
      <c r="RS68" s="76"/>
      <c r="RT68" s="77"/>
      <c r="RU68" s="74"/>
      <c r="RV68" s="74"/>
      <c r="RW68" s="72"/>
      <c r="RX68" s="73"/>
      <c r="RY68" s="74"/>
      <c r="RZ68" s="75"/>
      <c r="SA68" s="73"/>
      <c r="SB68" s="74"/>
      <c r="SC68" s="75"/>
      <c r="SD68" s="73"/>
      <c r="SE68" s="74"/>
      <c r="SF68" s="75"/>
      <c r="SG68" s="73"/>
      <c r="SH68" s="74"/>
      <c r="SI68" s="76"/>
      <c r="SJ68" s="64">
        <f t="shared" si="1370"/>
        <v>0</v>
      </c>
      <c r="SK68" s="62"/>
      <c r="SL68" s="63"/>
      <c r="SM68" s="64">
        <f t="shared" si="1371"/>
        <v>0</v>
      </c>
      <c r="SN68" s="65"/>
      <c r="SO68" s="63"/>
      <c r="SP68" s="64">
        <f t="shared" si="1372"/>
        <v>0</v>
      </c>
      <c r="SQ68" s="65"/>
      <c r="SR68" s="63"/>
      <c r="SS68" s="64">
        <f t="shared" si="1373"/>
        <v>0</v>
      </c>
      <c r="ST68" s="65">
        <v>100</v>
      </c>
      <c r="SU68" s="63"/>
      <c r="SV68" s="64">
        <f t="shared" si="1374"/>
        <v>100</v>
      </c>
      <c r="SW68" s="66">
        <f t="shared" si="208"/>
        <v>100</v>
      </c>
      <c r="SX68" s="67">
        <f t="shared" si="1375"/>
        <v>0</v>
      </c>
      <c r="SY68" s="64">
        <f t="shared" si="1376"/>
        <v>100</v>
      </c>
      <c r="SZ68" s="62">
        <v>985.33</v>
      </c>
      <c r="TA68" s="63"/>
      <c r="TB68" s="64">
        <f t="shared" si="1377"/>
        <v>985.33</v>
      </c>
      <c r="TC68" s="65">
        <v>700.9</v>
      </c>
      <c r="TD68" s="63"/>
      <c r="TE68" s="64">
        <f t="shared" si="1378"/>
        <v>700.9</v>
      </c>
      <c r="TF68" s="65"/>
      <c r="TG68" s="63"/>
      <c r="TH68" s="64">
        <f t="shared" si="1379"/>
        <v>0</v>
      </c>
      <c r="TI68" s="65">
        <v>100</v>
      </c>
      <c r="TJ68" s="63"/>
      <c r="TK68" s="64">
        <f t="shared" si="1380"/>
        <v>100</v>
      </c>
      <c r="TL68" s="66">
        <f t="shared" si="215"/>
        <v>1786.23</v>
      </c>
      <c r="TM68" s="67">
        <f t="shared" si="1381"/>
        <v>0</v>
      </c>
      <c r="TN68" s="64">
        <f t="shared" si="1382"/>
        <v>1786.23</v>
      </c>
      <c r="TO68" s="62">
        <v>3875</v>
      </c>
      <c r="TP68" s="63"/>
      <c r="TQ68" s="64">
        <f t="shared" si="1383"/>
        <v>3875</v>
      </c>
      <c r="TR68" s="65"/>
      <c r="TS68" s="63"/>
      <c r="TT68" s="64">
        <f t="shared" si="1384"/>
        <v>0</v>
      </c>
      <c r="TU68" s="65"/>
      <c r="TV68" s="63"/>
      <c r="TW68" s="64">
        <f t="shared" si="1385"/>
        <v>0</v>
      </c>
      <c r="TX68" s="65">
        <v>100</v>
      </c>
      <c r="TY68" s="63"/>
      <c r="TZ68" s="64">
        <f t="shared" si="1386"/>
        <v>100</v>
      </c>
      <c r="UA68" s="66">
        <f t="shared" si="222"/>
        <v>3975</v>
      </c>
      <c r="UB68" s="67">
        <f t="shared" si="1387"/>
        <v>0</v>
      </c>
      <c r="UC68" s="64">
        <f t="shared" si="1388"/>
        <v>3975</v>
      </c>
      <c r="UD68" s="62"/>
      <c r="UE68" s="63"/>
      <c r="UF68" s="64">
        <f t="shared" si="1389"/>
        <v>0</v>
      </c>
      <c r="UG68" s="65">
        <v>497.04</v>
      </c>
      <c r="UH68" s="63"/>
      <c r="UI68" s="64">
        <f t="shared" si="1390"/>
        <v>497.04</v>
      </c>
      <c r="UJ68" s="65"/>
      <c r="UK68" s="63"/>
      <c r="UL68" s="64">
        <f t="shared" si="1391"/>
        <v>0</v>
      </c>
      <c r="UM68" s="65">
        <v>100</v>
      </c>
      <c r="UN68" s="63"/>
      <c r="UO68" s="64">
        <f t="shared" si="1392"/>
        <v>100</v>
      </c>
      <c r="UP68" s="66">
        <f t="shared" si="226"/>
        <v>597.04</v>
      </c>
      <c r="UQ68" s="67">
        <f t="shared" si="1393"/>
        <v>0</v>
      </c>
      <c r="UR68" s="64">
        <f t="shared" si="1394"/>
        <v>597.04</v>
      </c>
      <c r="US68" s="74"/>
      <c r="UT68" s="72"/>
      <c r="UU68" s="73"/>
      <c r="UV68" s="74"/>
      <c r="UW68" s="75"/>
      <c r="UX68" s="73"/>
      <c r="UY68" s="74"/>
      <c r="UZ68" s="75"/>
      <c r="VA68" s="73"/>
      <c r="VB68" s="74"/>
      <c r="VC68" s="75"/>
      <c r="VD68" s="73"/>
      <c r="VE68" s="74"/>
      <c r="VF68" s="76"/>
      <c r="VG68" s="77"/>
      <c r="VH68" s="62"/>
      <c r="VI68" s="63"/>
      <c r="VJ68" s="64">
        <f t="shared" si="1395"/>
        <v>0</v>
      </c>
      <c r="VK68" s="65"/>
      <c r="VL68" s="63"/>
      <c r="VM68" s="64">
        <f t="shared" si="1396"/>
        <v>0</v>
      </c>
      <c r="VN68" s="65"/>
      <c r="VO68" s="63"/>
      <c r="VP68" s="64">
        <f t="shared" si="1397"/>
        <v>0</v>
      </c>
      <c r="VQ68" s="65">
        <v>100</v>
      </c>
      <c r="VR68" s="63"/>
      <c r="VS68" s="64">
        <f t="shared" si="1398"/>
        <v>100</v>
      </c>
      <c r="VT68" s="66">
        <f t="shared" si="240"/>
        <v>100</v>
      </c>
      <c r="VU68" s="67">
        <f t="shared" si="1399"/>
        <v>0</v>
      </c>
      <c r="VV68" s="64">
        <f t="shared" si="1400"/>
        <v>100</v>
      </c>
      <c r="VW68" s="74"/>
      <c r="VX68" s="72"/>
      <c r="VY68" s="73"/>
      <c r="VZ68" s="74"/>
      <c r="WA68" s="75"/>
      <c r="WB68" s="73"/>
      <c r="WC68" s="74"/>
      <c r="WD68" s="75"/>
      <c r="WE68" s="73"/>
      <c r="WF68" s="74"/>
      <c r="WG68" s="75"/>
      <c r="WH68" s="73"/>
      <c r="WI68" s="74"/>
      <c r="WJ68" s="76"/>
      <c r="WK68" s="77"/>
      <c r="WL68" s="74"/>
      <c r="WM68" s="72"/>
      <c r="WN68" s="73"/>
      <c r="WO68" s="74"/>
      <c r="WP68" s="75"/>
      <c r="WQ68" s="73"/>
      <c r="WR68" s="74"/>
      <c r="WS68" s="75"/>
      <c r="WT68" s="73"/>
      <c r="WU68" s="74"/>
      <c r="WV68" s="75"/>
      <c r="WW68" s="73"/>
      <c r="WX68" s="74"/>
      <c r="WY68" s="76"/>
      <c r="WZ68" s="77"/>
      <c r="XA68" s="74"/>
      <c r="XB68" s="72"/>
      <c r="XC68" s="73"/>
      <c r="XD68" s="74"/>
      <c r="XE68" s="75"/>
      <c r="XF68" s="73"/>
      <c r="XG68" s="74"/>
      <c r="XH68" s="75"/>
      <c r="XI68" s="73"/>
      <c r="XJ68" s="74"/>
      <c r="XK68" s="75"/>
      <c r="XL68" s="73"/>
      <c r="XM68" s="74"/>
      <c r="XN68" s="76"/>
      <c r="XO68" s="77"/>
      <c r="XP68" s="62"/>
      <c r="XQ68" s="63"/>
      <c r="XR68" s="64">
        <f t="shared" si="1401"/>
        <v>0</v>
      </c>
      <c r="XS68" s="65">
        <v>844.24</v>
      </c>
      <c r="XT68" s="63"/>
      <c r="XU68" s="64">
        <f t="shared" si="1402"/>
        <v>844.24</v>
      </c>
      <c r="XV68" s="65"/>
      <c r="XW68" s="63"/>
      <c r="XX68" s="64">
        <f t="shared" si="1403"/>
        <v>0</v>
      </c>
      <c r="XY68" s="65">
        <v>100</v>
      </c>
      <c r="XZ68" s="63"/>
      <c r="YA68" s="64">
        <f t="shared" si="1404"/>
        <v>100</v>
      </c>
      <c r="YB68" s="66">
        <f t="shared" si="268"/>
        <v>944.24</v>
      </c>
      <c r="YC68" s="67">
        <f t="shared" si="1405"/>
        <v>0</v>
      </c>
      <c r="YD68" s="64">
        <f t="shared" si="1406"/>
        <v>944.24</v>
      </c>
      <c r="YE68" s="62"/>
      <c r="YF68" s="63"/>
      <c r="YG68" s="64">
        <f t="shared" si="1407"/>
        <v>0</v>
      </c>
      <c r="YH68" s="65">
        <v>847.85</v>
      </c>
      <c r="YI68" s="63"/>
      <c r="YJ68" s="64">
        <f t="shared" si="1408"/>
        <v>847.85</v>
      </c>
      <c r="YK68" s="65"/>
      <c r="YL68" s="63"/>
      <c r="YM68" s="64">
        <f t="shared" si="1409"/>
        <v>0</v>
      </c>
      <c r="YN68" s="65">
        <v>100</v>
      </c>
      <c r="YO68" s="63"/>
      <c r="YP68" s="64">
        <f t="shared" si="1410"/>
        <v>100</v>
      </c>
      <c r="YQ68" s="66">
        <f t="shared" si="275"/>
        <v>947.85</v>
      </c>
      <c r="YR68" s="67">
        <f t="shared" si="1411"/>
        <v>0</v>
      </c>
      <c r="YS68" s="64">
        <f t="shared" si="1412"/>
        <v>947.85</v>
      </c>
      <c r="YT68" s="62"/>
      <c r="YU68" s="63"/>
      <c r="YV68" s="64">
        <f t="shared" si="1413"/>
        <v>0</v>
      </c>
      <c r="YW68" s="65">
        <v>695.73</v>
      </c>
      <c r="YX68" s="63"/>
      <c r="YY68" s="64">
        <f t="shared" si="1414"/>
        <v>695.73</v>
      </c>
      <c r="YZ68" s="65"/>
      <c r="ZA68" s="63"/>
      <c r="ZB68" s="64">
        <f t="shared" si="1415"/>
        <v>0</v>
      </c>
      <c r="ZC68" s="65">
        <v>100</v>
      </c>
      <c r="ZD68" s="63"/>
      <c r="ZE68" s="64">
        <f t="shared" si="1416"/>
        <v>100</v>
      </c>
      <c r="ZF68" s="66">
        <f t="shared" si="282"/>
        <v>795.73</v>
      </c>
      <c r="ZG68" s="67">
        <f t="shared" si="1417"/>
        <v>0</v>
      </c>
      <c r="ZH68" s="74"/>
      <c r="ZI68" s="72"/>
      <c r="ZJ68" s="73"/>
      <c r="ZK68" s="74"/>
      <c r="ZL68" s="75"/>
      <c r="ZM68" s="73"/>
      <c r="ZN68" s="74"/>
      <c r="ZO68" s="75"/>
      <c r="ZP68" s="73"/>
      <c r="ZQ68" s="74"/>
      <c r="ZR68" s="75"/>
      <c r="ZS68" s="73"/>
      <c r="ZT68" s="74"/>
      <c r="ZU68" s="76"/>
      <c r="ZV68" s="77"/>
      <c r="ZW68" s="64">
        <f t="shared" si="1418"/>
        <v>0</v>
      </c>
      <c r="ZX68" s="62">
        <v>24.71</v>
      </c>
      <c r="ZY68" s="63"/>
      <c r="ZZ68" s="64">
        <f t="shared" si="1419"/>
        <v>24.71</v>
      </c>
      <c r="AAA68" s="66">
        <f t="shared" si="293"/>
        <v>24.71</v>
      </c>
      <c r="AAB68" s="67">
        <f t="shared" si="293"/>
        <v>0</v>
      </c>
      <c r="AAC68" s="64">
        <f t="shared" si="1420"/>
        <v>24.71</v>
      </c>
      <c r="AAD68" s="85">
        <f t="shared" si="295"/>
        <v>55742.71</v>
      </c>
      <c r="AAE68" s="98">
        <f t="shared" si="295"/>
        <v>0</v>
      </c>
      <c r="AAF68" s="99">
        <f t="shared" si="3"/>
        <v>0</v>
      </c>
      <c r="AAG68" s="100">
        <f t="shared" si="1421"/>
        <v>-55742.71</v>
      </c>
      <c r="AAH68" s="96"/>
      <c r="AAI68" s="97"/>
      <c r="AAJ68" s="97"/>
      <c r="AAK68" s="60"/>
    </row>
    <row r="69" spans="1:713" s="83" customFormat="1" ht="20" customHeight="1" thickBot="1" x14ac:dyDescent="0.25">
      <c r="A69" s="153"/>
      <c r="F69" s="101" t="s">
        <v>165</v>
      </c>
      <c r="G69" s="102">
        <f t="shared" ref="G69:X69" si="1423">SUM(G57:G68)</f>
        <v>371675.99</v>
      </c>
      <c r="H69" s="103">
        <f t="shared" si="1423"/>
        <v>0</v>
      </c>
      <c r="I69" s="104">
        <f t="shared" si="1423"/>
        <v>371675.99</v>
      </c>
      <c r="J69" s="103">
        <f t="shared" si="1423"/>
        <v>37095.769999999997</v>
      </c>
      <c r="K69" s="105">
        <f t="shared" si="1423"/>
        <v>0</v>
      </c>
      <c r="L69" s="104">
        <f t="shared" si="1423"/>
        <v>37095.769999999997</v>
      </c>
      <c r="M69" s="103">
        <f t="shared" si="1423"/>
        <v>30000</v>
      </c>
      <c r="N69" s="105">
        <f t="shared" si="1423"/>
        <v>0</v>
      </c>
      <c r="O69" s="104">
        <f t="shared" si="1423"/>
        <v>30000</v>
      </c>
      <c r="P69" s="103">
        <f t="shared" si="1423"/>
        <v>11000</v>
      </c>
      <c r="Q69" s="105">
        <f t="shared" si="1423"/>
        <v>0</v>
      </c>
      <c r="R69" s="104">
        <f t="shared" si="1423"/>
        <v>11000</v>
      </c>
      <c r="S69" s="103">
        <f t="shared" si="1423"/>
        <v>2896</v>
      </c>
      <c r="T69" s="105">
        <f t="shared" si="1423"/>
        <v>0</v>
      </c>
      <c r="U69" s="104">
        <f t="shared" si="1423"/>
        <v>2896</v>
      </c>
      <c r="V69" s="103">
        <f t="shared" si="1423"/>
        <v>452667.75999999995</v>
      </c>
      <c r="W69" s="106">
        <f t="shared" si="1423"/>
        <v>0</v>
      </c>
      <c r="X69" s="104">
        <f t="shared" si="1423"/>
        <v>452667.75999999995</v>
      </c>
      <c r="Y69" s="107"/>
      <c r="Z69" s="108"/>
      <c r="AA69" s="109"/>
      <c r="AB69" s="108"/>
      <c r="AC69" s="110"/>
      <c r="AD69" s="109"/>
      <c r="AE69" s="108"/>
      <c r="AF69" s="110"/>
      <c r="AG69" s="109"/>
      <c r="AH69" s="108"/>
      <c r="AI69" s="110"/>
      <c r="AJ69" s="109"/>
      <c r="AK69" s="108"/>
      <c r="AL69" s="111"/>
      <c r="AM69" s="104">
        <f>SUM(AM57:AM68)</f>
        <v>0</v>
      </c>
      <c r="AN69" s="102">
        <f t="shared" ref="AN69:AX69" si="1424">SUM(AN57:AN68)</f>
        <v>25000</v>
      </c>
      <c r="AO69" s="103">
        <f t="shared" si="1424"/>
        <v>0</v>
      </c>
      <c r="AP69" s="104">
        <f t="shared" si="1424"/>
        <v>25000</v>
      </c>
      <c r="AQ69" s="103">
        <f t="shared" si="1424"/>
        <v>0</v>
      </c>
      <c r="AR69" s="105">
        <f t="shared" si="1424"/>
        <v>0</v>
      </c>
      <c r="AS69" s="104">
        <f t="shared" si="1424"/>
        <v>0</v>
      </c>
      <c r="AT69" s="103">
        <f t="shared" si="1424"/>
        <v>12021.11</v>
      </c>
      <c r="AU69" s="105">
        <f t="shared" si="1424"/>
        <v>0</v>
      </c>
      <c r="AV69" s="104">
        <f t="shared" si="1424"/>
        <v>12021.11</v>
      </c>
      <c r="AW69" s="103">
        <f t="shared" si="1424"/>
        <v>0</v>
      </c>
      <c r="AX69" s="105">
        <f t="shared" si="1424"/>
        <v>0</v>
      </c>
      <c r="AY69" s="104">
        <f>SUM(AY57:AY68)</f>
        <v>0</v>
      </c>
      <c r="AZ69" s="103">
        <f t="shared" si="23"/>
        <v>37021.11</v>
      </c>
      <c r="BA69" s="106">
        <f>SUM(BA57:BA68)</f>
        <v>0</v>
      </c>
      <c r="BB69" s="104">
        <f t="shared" ref="BB69:BN69" si="1425">SUM(BB57:BB68)</f>
        <v>37021.11</v>
      </c>
      <c r="BC69" s="102">
        <f t="shared" si="1425"/>
        <v>36900</v>
      </c>
      <c r="BD69" s="103">
        <f t="shared" si="1425"/>
        <v>0</v>
      </c>
      <c r="BE69" s="104">
        <f t="shared" si="1425"/>
        <v>36900</v>
      </c>
      <c r="BF69" s="103">
        <f t="shared" si="1425"/>
        <v>0</v>
      </c>
      <c r="BG69" s="105">
        <f t="shared" si="1425"/>
        <v>0</v>
      </c>
      <c r="BH69" s="104">
        <f t="shared" si="1425"/>
        <v>0</v>
      </c>
      <c r="BI69" s="103">
        <f t="shared" si="1425"/>
        <v>8000</v>
      </c>
      <c r="BJ69" s="105">
        <f t="shared" si="1425"/>
        <v>0</v>
      </c>
      <c r="BK69" s="104">
        <f t="shared" si="1425"/>
        <v>8000</v>
      </c>
      <c r="BL69" s="103">
        <f t="shared" si="1425"/>
        <v>1200</v>
      </c>
      <c r="BM69" s="105">
        <f t="shared" si="1425"/>
        <v>58.83</v>
      </c>
      <c r="BN69" s="104">
        <f t="shared" si="1425"/>
        <v>1141.17</v>
      </c>
      <c r="BO69" s="103">
        <f t="shared" si="30"/>
        <v>46100</v>
      </c>
      <c r="BP69" s="106">
        <f>SUM(BP57:BP68)</f>
        <v>58.83</v>
      </c>
      <c r="BQ69" s="104">
        <f>SUM(BQ57:BQ68)</f>
        <v>46041.17</v>
      </c>
      <c r="BR69" s="107"/>
      <c r="BS69" s="108"/>
      <c r="BT69" s="109"/>
      <c r="BU69" s="108"/>
      <c r="BV69" s="110"/>
      <c r="BW69" s="109"/>
      <c r="BX69" s="108"/>
      <c r="BY69" s="110"/>
      <c r="BZ69" s="109"/>
      <c r="CA69" s="108"/>
      <c r="CB69" s="110"/>
      <c r="CC69" s="109"/>
      <c r="CD69" s="108"/>
      <c r="CE69" s="111"/>
      <c r="CF69" s="104">
        <f t="shared" ref="CF69:CR69" si="1426">SUM(CF57:CF68)</f>
        <v>0</v>
      </c>
      <c r="CG69" s="102">
        <f t="shared" si="1426"/>
        <v>20000</v>
      </c>
      <c r="CH69" s="103">
        <f t="shared" si="1426"/>
        <v>0</v>
      </c>
      <c r="CI69" s="104">
        <f t="shared" si="1426"/>
        <v>20000</v>
      </c>
      <c r="CJ69" s="103">
        <f t="shared" si="1426"/>
        <v>0</v>
      </c>
      <c r="CK69" s="105">
        <f t="shared" si="1426"/>
        <v>0</v>
      </c>
      <c r="CL69" s="104">
        <f t="shared" si="1426"/>
        <v>0</v>
      </c>
      <c r="CM69" s="103">
        <f t="shared" si="1426"/>
        <v>2739.5</v>
      </c>
      <c r="CN69" s="105">
        <f t="shared" si="1426"/>
        <v>0</v>
      </c>
      <c r="CO69" s="104">
        <f t="shared" si="1426"/>
        <v>2739.5</v>
      </c>
      <c r="CP69" s="103">
        <f t="shared" si="1426"/>
        <v>0</v>
      </c>
      <c r="CQ69" s="105">
        <f t="shared" si="1426"/>
        <v>0</v>
      </c>
      <c r="CR69" s="104">
        <f t="shared" si="1426"/>
        <v>0</v>
      </c>
      <c r="CS69" s="103">
        <f t="shared" si="40"/>
        <v>22739.5</v>
      </c>
      <c r="CT69" s="106">
        <f>SUM(CT57:CT68)</f>
        <v>0</v>
      </c>
      <c r="CU69" s="104">
        <f t="shared" ref="CU69:DG69" si="1427">SUM(CU57:CU68)</f>
        <v>22739.5</v>
      </c>
      <c r="CV69" s="102">
        <f t="shared" si="1427"/>
        <v>35000.400000000001</v>
      </c>
      <c r="CW69" s="103">
        <f t="shared" si="1427"/>
        <v>0</v>
      </c>
      <c r="CX69" s="104">
        <f t="shared" si="1427"/>
        <v>35000.400000000001</v>
      </c>
      <c r="CY69" s="103">
        <f t="shared" si="1427"/>
        <v>5149.7999999999993</v>
      </c>
      <c r="CZ69" s="105">
        <f t="shared" si="1427"/>
        <v>0</v>
      </c>
      <c r="DA69" s="104">
        <f t="shared" si="1427"/>
        <v>5149.7999999999993</v>
      </c>
      <c r="DB69" s="103">
        <f t="shared" si="1427"/>
        <v>3000</v>
      </c>
      <c r="DC69" s="105">
        <f t="shared" si="1427"/>
        <v>0</v>
      </c>
      <c r="DD69" s="104">
        <f t="shared" si="1427"/>
        <v>3000</v>
      </c>
      <c r="DE69" s="103">
        <f t="shared" si="1427"/>
        <v>0</v>
      </c>
      <c r="DF69" s="105">
        <f t="shared" si="1427"/>
        <v>0</v>
      </c>
      <c r="DG69" s="104">
        <f t="shared" si="1427"/>
        <v>0</v>
      </c>
      <c r="DH69" s="103">
        <f t="shared" si="43"/>
        <v>43150.2</v>
      </c>
      <c r="DI69" s="106">
        <f>SUM(DI57:DI68)</f>
        <v>0</v>
      </c>
      <c r="DJ69" s="104">
        <f t="shared" ref="DJ69:DV69" si="1428">SUM(DJ57:DJ68)</f>
        <v>43150.19999999999</v>
      </c>
      <c r="DK69" s="102">
        <f t="shared" si="1428"/>
        <v>28800</v>
      </c>
      <c r="DL69" s="103">
        <f t="shared" si="1428"/>
        <v>0</v>
      </c>
      <c r="DM69" s="104">
        <f t="shared" si="1428"/>
        <v>28800</v>
      </c>
      <c r="DN69" s="103">
        <f t="shared" si="1428"/>
        <v>10956.960000000001</v>
      </c>
      <c r="DO69" s="105">
        <f t="shared" si="1428"/>
        <v>0</v>
      </c>
      <c r="DP69" s="104">
        <f t="shared" si="1428"/>
        <v>10956.960000000001</v>
      </c>
      <c r="DQ69" s="103">
        <f t="shared" si="1428"/>
        <v>0</v>
      </c>
      <c r="DR69" s="105">
        <f t="shared" si="1428"/>
        <v>0</v>
      </c>
      <c r="DS69" s="104">
        <f t="shared" si="1428"/>
        <v>0</v>
      </c>
      <c r="DT69" s="103">
        <f t="shared" si="1428"/>
        <v>1200</v>
      </c>
      <c r="DU69" s="105">
        <f t="shared" si="1428"/>
        <v>0</v>
      </c>
      <c r="DV69" s="104">
        <f t="shared" si="1428"/>
        <v>1200</v>
      </c>
      <c r="DW69" s="103">
        <f t="shared" si="46"/>
        <v>40956.959999999999</v>
      </c>
      <c r="DX69" s="106">
        <f>SUM(DX57:DX68)</f>
        <v>0</v>
      </c>
      <c r="DY69" s="104">
        <f t="shared" ref="DY69:EK69" si="1429">SUM(DY57:DY68)</f>
        <v>40956.960000000014</v>
      </c>
      <c r="DZ69" s="102">
        <f t="shared" si="1429"/>
        <v>24000</v>
      </c>
      <c r="EA69" s="103">
        <f t="shared" si="1429"/>
        <v>0</v>
      </c>
      <c r="EB69" s="104">
        <f t="shared" si="1429"/>
        <v>24000</v>
      </c>
      <c r="EC69" s="103">
        <f t="shared" si="1429"/>
        <v>0</v>
      </c>
      <c r="ED69" s="105">
        <f t="shared" si="1429"/>
        <v>0</v>
      </c>
      <c r="EE69" s="104">
        <f t="shared" si="1429"/>
        <v>0</v>
      </c>
      <c r="EF69" s="103">
        <f t="shared" si="1429"/>
        <v>0</v>
      </c>
      <c r="EG69" s="105">
        <f t="shared" si="1429"/>
        <v>0</v>
      </c>
      <c r="EH69" s="104">
        <f t="shared" si="1429"/>
        <v>0</v>
      </c>
      <c r="EI69" s="103">
        <f t="shared" si="1429"/>
        <v>1200</v>
      </c>
      <c r="EJ69" s="105">
        <f t="shared" si="1429"/>
        <v>0</v>
      </c>
      <c r="EK69" s="104">
        <f t="shared" si="1429"/>
        <v>1200</v>
      </c>
      <c r="EL69" s="103">
        <f t="shared" si="53"/>
        <v>25200</v>
      </c>
      <c r="EM69" s="106">
        <f>SUM(EM57:EM68)</f>
        <v>0</v>
      </c>
      <c r="EN69" s="104">
        <f t="shared" ref="EN69:EZ69" si="1430">SUM(EN57:EN68)</f>
        <v>25200</v>
      </c>
      <c r="EO69" s="102">
        <f t="shared" si="1430"/>
        <v>36900</v>
      </c>
      <c r="EP69" s="103">
        <f t="shared" si="1430"/>
        <v>0</v>
      </c>
      <c r="EQ69" s="104">
        <f t="shared" si="1430"/>
        <v>36900</v>
      </c>
      <c r="ER69" s="103">
        <f t="shared" si="1430"/>
        <v>3600</v>
      </c>
      <c r="ES69" s="105">
        <f t="shared" si="1430"/>
        <v>0</v>
      </c>
      <c r="ET69" s="104">
        <f t="shared" si="1430"/>
        <v>3600</v>
      </c>
      <c r="EU69" s="103">
        <f t="shared" si="1430"/>
        <v>4500</v>
      </c>
      <c r="EV69" s="105">
        <f t="shared" si="1430"/>
        <v>0</v>
      </c>
      <c r="EW69" s="104">
        <f t="shared" si="1430"/>
        <v>4500</v>
      </c>
      <c r="EX69" s="103">
        <f t="shared" si="1430"/>
        <v>1200</v>
      </c>
      <c r="EY69" s="105">
        <f t="shared" si="1430"/>
        <v>0</v>
      </c>
      <c r="EZ69" s="104">
        <f t="shared" si="1430"/>
        <v>1200</v>
      </c>
      <c r="FA69" s="103">
        <f t="shared" si="60"/>
        <v>46200</v>
      </c>
      <c r="FB69" s="106">
        <f>SUM(FB57:FB68)</f>
        <v>0</v>
      </c>
      <c r="FC69" s="104">
        <f t="shared" ref="FC69:FO69" si="1431">SUM(FC57:FC68)</f>
        <v>46200</v>
      </c>
      <c r="FD69" s="102">
        <f t="shared" si="1431"/>
        <v>36900</v>
      </c>
      <c r="FE69" s="103">
        <f t="shared" si="1431"/>
        <v>0</v>
      </c>
      <c r="FF69" s="104">
        <f t="shared" si="1431"/>
        <v>36900</v>
      </c>
      <c r="FG69" s="103">
        <f t="shared" si="1431"/>
        <v>3600</v>
      </c>
      <c r="FH69" s="105">
        <f t="shared" si="1431"/>
        <v>0</v>
      </c>
      <c r="FI69" s="104">
        <f t="shared" si="1431"/>
        <v>3600</v>
      </c>
      <c r="FJ69" s="103">
        <f t="shared" si="1431"/>
        <v>4500</v>
      </c>
      <c r="FK69" s="105">
        <f t="shared" si="1431"/>
        <v>0</v>
      </c>
      <c r="FL69" s="104">
        <f t="shared" si="1431"/>
        <v>4500</v>
      </c>
      <c r="FM69" s="103">
        <f t="shared" si="1431"/>
        <v>1200</v>
      </c>
      <c r="FN69" s="105">
        <f t="shared" si="1431"/>
        <v>0</v>
      </c>
      <c r="FO69" s="104">
        <f t="shared" si="1431"/>
        <v>1200</v>
      </c>
      <c r="FP69" s="103">
        <f t="shared" si="67"/>
        <v>46200</v>
      </c>
      <c r="FQ69" s="106">
        <f>SUM(FQ57:FQ68)</f>
        <v>0</v>
      </c>
      <c r="FR69" s="104">
        <f t="shared" ref="FR69:GD69" si="1432">SUM(FR57:FR68)</f>
        <v>46200</v>
      </c>
      <c r="FS69" s="102">
        <f t="shared" si="1432"/>
        <v>18000</v>
      </c>
      <c r="FT69" s="103">
        <f t="shared" si="1432"/>
        <v>0</v>
      </c>
      <c r="FU69" s="104">
        <f t="shared" si="1432"/>
        <v>18000</v>
      </c>
      <c r="FV69" s="103">
        <f t="shared" si="1432"/>
        <v>5824.2000000000007</v>
      </c>
      <c r="FW69" s="105">
        <f t="shared" si="1432"/>
        <v>0</v>
      </c>
      <c r="FX69" s="104">
        <f t="shared" si="1432"/>
        <v>5824.2000000000007</v>
      </c>
      <c r="FY69" s="103">
        <f t="shared" si="1432"/>
        <v>3650</v>
      </c>
      <c r="FZ69" s="105">
        <f t="shared" si="1432"/>
        <v>0</v>
      </c>
      <c r="GA69" s="104">
        <f t="shared" si="1432"/>
        <v>3650</v>
      </c>
      <c r="GB69" s="103">
        <f t="shared" si="1432"/>
        <v>0</v>
      </c>
      <c r="GC69" s="105">
        <f t="shared" si="1432"/>
        <v>0</v>
      </c>
      <c r="GD69" s="104">
        <f t="shared" si="1432"/>
        <v>0</v>
      </c>
      <c r="GE69" s="103">
        <f t="shared" si="74"/>
        <v>27474.2</v>
      </c>
      <c r="GF69" s="106">
        <f>SUM(GF57:GF68)</f>
        <v>0</v>
      </c>
      <c r="GG69" s="104">
        <f t="shared" ref="GG69:GS69" si="1433">SUM(GG57:GG68)</f>
        <v>27474.199999999993</v>
      </c>
      <c r="GH69" s="102">
        <f t="shared" si="1433"/>
        <v>18000</v>
      </c>
      <c r="GI69" s="103">
        <f t="shared" si="1433"/>
        <v>0</v>
      </c>
      <c r="GJ69" s="104">
        <f t="shared" si="1433"/>
        <v>18000</v>
      </c>
      <c r="GK69" s="103">
        <f t="shared" si="1433"/>
        <v>7923.96</v>
      </c>
      <c r="GL69" s="105">
        <f t="shared" si="1433"/>
        <v>0</v>
      </c>
      <c r="GM69" s="104">
        <f t="shared" si="1433"/>
        <v>7923.96</v>
      </c>
      <c r="GN69" s="103">
        <f t="shared" si="1433"/>
        <v>3650</v>
      </c>
      <c r="GO69" s="105">
        <f t="shared" si="1433"/>
        <v>0</v>
      </c>
      <c r="GP69" s="104">
        <f t="shared" si="1433"/>
        <v>3650</v>
      </c>
      <c r="GQ69" s="103">
        <f t="shared" si="1433"/>
        <v>0</v>
      </c>
      <c r="GR69" s="105">
        <f t="shared" si="1433"/>
        <v>0</v>
      </c>
      <c r="GS69" s="104">
        <f t="shared" si="1433"/>
        <v>0</v>
      </c>
      <c r="GT69" s="103">
        <f t="shared" si="81"/>
        <v>29573.96</v>
      </c>
      <c r="GU69" s="106">
        <f>SUM(GU57:GU68)</f>
        <v>0</v>
      </c>
      <c r="GV69" s="104">
        <f t="shared" ref="GV69:HH69" si="1434">SUM(GV57:GV68)</f>
        <v>29573.96000000001</v>
      </c>
      <c r="GW69" s="102">
        <f t="shared" si="1434"/>
        <v>26700</v>
      </c>
      <c r="GX69" s="103">
        <f t="shared" si="1434"/>
        <v>0</v>
      </c>
      <c r="GY69" s="104">
        <f t="shared" si="1434"/>
        <v>26700</v>
      </c>
      <c r="GZ69" s="103">
        <f t="shared" si="1434"/>
        <v>6819</v>
      </c>
      <c r="HA69" s="105">
        <f t="shared" si="1434"/>
        <v>0</v>
      </c>
      <c r="HB69" s="104">
        <f t="shared" si="1434"/>
        <v>6819</v>
      </c>
      <c r="HC69" s="103">
        <f t="shared" si="1434"/>
        <v>0</v>
      </c>
      <c r="HD69" s="105">
        <f t="shared" si="1434"/>
        <v>0</v>
      </c>
      <c r="HE69" s="104">
        <f t="shared" si="1434"/>
        <v>0</v>
      </c>
      <c r="HF69" s="103">
        <f t="shared" si="1434"/>
        <v>1200</v>
      </c>
      <c r="HG69" s="105">
        <f t="shared" si="1434"/>
        <v>0</v>
      </c>
      <c r="HH69" s="104">
        <f t="shared" si="1434"/>
        <v>1200</v>
      </c>
      <c r="HI69" s="103">
        <f t="shared" si="84"/>
        <v>34719</v>
      </c>
      <c r="HJ69" s="106">
        <f>SUM(HJ57:HJ68)</f>
        <v>0</v>
      </c>
      <c r="HK69" s="104">
        <f t="shared" ref="HK69:HW69" si="1435">SUM(HK57:HK68)</f>
        <v>34719</v>
      </c>
      <c r="HL69" s="102">
        <f t="shared" si="1435"/>
        <v>36900</v>
      </c>
      <c r="HM69" s="103">
        <f t="shared" si="1435"/>
        <v>0</v>
      </c>
      <c r="HN69" s="104">
        <f t="shared" si="1435"/>
        <v>36900</v>
      </c>
      <c r="HO69" s="103">
        <f t="shared" si="1435"/>
        <v>4400</v>
      </c>
      <c r="HP69" s="105">
        <f t="shared" si="1435"/>
        <v>0</v>
      </c>
      <c r="HQ69" s="104">
        <f t="shared" si="1435"/>
        <v>4400</v>
      </c>
      <c r="HR69" s="103">
        <f t="shared" si="1435"/>
        <v>4800</v>
      </c>
      <c r="HS69" s="105">
        <f t="shared" si="1435"/>
        <v>0</v>
      </c>
      <c r="HT69" s="104">
        <f t="shared" si="1435"/>
        <v>4800</v>
      </c>
      <c r="HU69" s="103">
        <f t="shared" si="1435"/>
        <v>1200</v>
      </c>
      <c r="HV69" s="105">
        <f t="shared" si="1435"/>
        <v>0</v>
      </c>
      <c r="HW69" s="104">
        <f t="shared" si="1435"/>
        <v>1200</v>
      </c>
      <c r="HX69" s="103">
        <f t="shared" si="91"/>
        <v>47300</v>
      </c>
      <c r="HY69" s="106">
        <f>SUM(HY57:HY68)</f>
        <v>0</v>
      </c>
      <c r="HZ69" s="104">
        <f t="shared" ref="HZ69:IL69" si="1436">SUM(HZ57:HZ68)</f>
        <v>47300</v>
      </c>
      <c r="IA69" s="102">
        <f t="shared" si="1436"/>
        <v>19729</v>
      </c>
      <c r="IB69" s="103">
        <f t="shared" si="1436"/>
        <v>0</v>
      </c>
      <c r="IC69" s="104">
        <f t="shared" si="1436"/>
        <v>19729</v>
      </c>
      <c r="ID69" s="103">
        <f t="shared" si="1436"/>
        <v>0</v>
      </c>
      <c r="IE69" s="105">
        <f t="shared" si="1436"/>
        <v>0</v>
      </c>
      <c r="IF69" s="104">
        <f t="shared" si="1436"/>
        <v>0</v>
      </c>
      <c r="IG69" s="103">
        <f t="shared" si="1436"/>
        <v>9701.0400000000009</v>
      </c>
      <c r="IH69" s="105">
        <f t="shared" si="1436"/>
        <v>0</v>
      </c>
      <c r="II69" s="104">
        <f t="shared" si="1436"/>
        <v>9701.0400000000009</v>
      </c>
      <c r="IJ69" s="103">
        <f t="shared" si="1436"/>
        <v>1200</v>
      </c>
      <c r="IK69" s="105">
        <f t="shared" si="1436"/>
        <v>0</v>
      </c>
      <c r="IL69" s="104">
        <f t="shared" si="1436"/>
        <v>1200</v>
      </c>
      <c r="IM69" s="103">
        <f t="shared" si="98"/>
        <v>30630.04</v>
      </c>
      <c r="IN69" s="106">
        <f>SUM(IN57:IN68)</f>
        <v>0</v>
      </c>
      <c r="IO69" s="104">
        <f t="shared" ref="IO69:JA69" si="1437">SUM(IO57:IO68)</f>
        <v>30630.04</v>
      </c>
      <c r="IP69" s="102">
        <f t="shared" si="1437"/>
        <v>20000</v>
      </c>
      <c r="IQ69" s="103">
        <f t="shared" si="1437"/>
        <v>0</v>
      </c>
      <c r="IR69" s="104">
        <f t="shared" si="1437"/>
        <v>20000</v>
      </c>
      <c r="IS69" s="103">
        <f t="shared" si="1437"/>
        <v>0</v>
      </c>
      <c r="IT69" s="105">
        <f t="shared" si="1437"/>
        <v>0</v>
      </c>
      <c r="IU69" s="104">
        <f t="shared" si="1437"/>
        <v>0</v>
      </c>
      <c r="IV69" s="103">
        <f t="shared" si="1437"/>
        <v>2739.5</v>
      </c>
      <c r="IW69" s="105">
        <f t="shared" si="1437"/>
        <v>0</v>
      </c>
      <c r="IX69" s="104">
        <f t="shared" si="1437"/>
        <v>2739.5</v>
      </c>
      <c r="IY69" s="103">
        <f t="shared" si="1437"/>
        <v>0</v>
      </c>
      <c r="IZ69" s="105">
        <f t="shared" si="1437"/>
        <v>0</v>
      </c>
      <c r="JA69" s="104">
        <f t="shared" si="1437"/>
        <v>0</v>
      </c>
      <c r="JB69" s="103">
        <f t="shared" si="105"/>
        <v>22739.5</v>
      </c>
      <c r="JC69" s="106">
        <f>SUM(JC57:JC68)</f>
        <v>0</v>
      </c>
      <c r="JD69" s="104">
        <f>SUM(JD57:JD68)</f>
        <v>22739.5</v>
      </c>
      <c r="JE69" s="107"/>
      <c r="JF69" s="108"/>
      <c r="JG69" s="109"/>
      <c r="JH69" s="108"/>
      <c r="JI69" s="110"/>
      <c r="JJ69" s="109"/>
      <c r="JK69" s="108"/>
      <c r="JL69" s="110"/>
      <c r="JM69" s="109"/>
      <c r="JN69" s="108"/>
      <c r="JO69" s="110"/>
      <c r="JP69" s="109"/>
      <c r="JQ69" s="108"/>
      <c r="JR69" s="111"/>
      <c r="JS69" s="109"/>
      <c r="JT69" s="107"/>
      <c r="JU69" s="108"/>
      <c r="JV69" s="109"/>
      <c r="JW69" s="108"/>
      <c r="JX69" s="110"/>
      <c r="JY69" s="109"/>
      <c r="JZ69" s="108"/>
      <c r="KA69" s="110"/>
      <c r="KB69" s="109"/>
      <c r="KC69" s="108"/>
      <c r="KD69" s="110"/>
      <c r="KE69" s="109"/>
      <c r="KF69" s="108"/>
      <c r="KG69" s="111"/>
      <c r="KH69" s="104">
        <f t="shared" ref="KH69:KT69" si="1438">SUM(KH57:KH68)</f>
        <v>0</v>
      </c>
      <c r="KI69" s="102">
        <f t="shared" si="1438"/>
        <v>100000</v>
      </c>
      <c r="KJ69" s="103">
        <f t="shared" si="1438"/>
        <v>0</v>
      </c>
      <c r="KK69" s="104">
        <f t="shared" si="1438"/>
        <v>100000</v>
      </c>
      <c r="KL69" s="103">
        <f t="shared" si="1438"/>
        <v>0</v>
      </c>
      <c r="KM69" s="105">
        <f t="shared" si="1438"/>
        <v>0</v>
      </c>
      <c r="KN69" s="104">
        <f t="shared" si="1438"/>
        <v>0</v>
      </c>
      <c r="KO69" s="103">
        <f t="shared" si="1438"/>
        <v>0</v>
      </c>
      <c r="KP69" s="105">
        <f t="shared" si="1438"/>
        <v>0</v>
      </c>
      <c r="KQ69" s="104">
        <f t="shared" si="1438"/>
        <v>0</v>
      </c>
      <c r="KR69" s="103">
        <f t="shared" si="1438"/>
        <v>0</v>
      </c>
      <c r="KS69" s="105">
        <f t="shared" si="1438"/>
        <v>49.57</v>
      </c>
      <c r="KT69" s="104">
        <f t="shared" si="1438"/>
        <v>-49.57</v>
      </c>
      <c r="KU69" s="103">
        <f t="shared" ref="KU69:KU127" si="1439">KI69+KL69+KO69+KR69</f>
        <v>100000</v>
      </c>
      <c r="KV69" s="106">
        <f>SUM(KV57:KV68)</f>
        <v>49.57</v>
      </c>
      <c r="KW69" s="104">
        <f>SUM(KW57:KW68)</f>
        <v>99950.43</v>
      </c>
      <c r="KX69" s="122"/>
      <c r="KY69" s="123"/>
      <c r="KZ69" s="124"/>
      <c r="LA69" s="123"/>
      <c r="LB69" s="125"/>
      <c r="LC69" s="124"/>
      <c r="LD69" s="123"/>
      <c r="LE69" s="125"/>
      <c r="LF69" s="124"/>
      <c r="LG69" s="123"/>
      <c r="LH69" s="125"/>
      <c r="LI69" s="109"/>
      <c r="LJ69" s="108"/>
      <c r="LK69" s="111"/>
      <c r="LL69" s="109"/>
      <c r="LM69" s="102">
        <f t="shared" ref="LM69:LX69" si="1440">SUM(LM57:LM68)</f>
        <v>18600</v>
      </c>
      <c r="LN69" s="103">
        <f t="shared" si="1440"/>
        <v>0</v>
      </c>
      <c r="LO69" s="104">
        <f t="shared" si="1440"/>
        <v>18600</v>
      </c>
      <c r="LP69" s="103">
        <f t="shared" si="1440"/>
        <v>0</v>
      </c>
      <c r="LQ69" s="105">
        <f t="shared" si="1440"/>
        <v>0</v>
      </c>
      <c r="LR69" s="104">
        <f t="shared" si="1440"/>
        <v>0</v>
      </c>
      <c r="LS69" s="103">
        <f t="shared" si="1440"/>
        <v>0</v>
      </c>
      <c r="LT69" s="105">
        <f t="shared" si="1440"/>
        <v>0</v>
      </c>
      <c r="LU69" s="104">
        <f t="shared" si="1440"/>
        <v>0</v>
      </c>
      <c r="LV69" s="103">
        <f t="shared" si="1440"/>
        <v>1200</v>
      </c>
      <c r="LW69" s="105">
        <f t="shared" si="1440"/>
        <v>0</v>
      </c>
      <c r="LX69" s="104">
        <f t="shared" si="1440"/>
        <v>1200</v>
      </c>
      <c r="LY69" s="103">
        <f t="shared" si="124"/>
        <v>19800</v>
      </c>
      <c r="LZ69" s="106">
        <f>SUM(LZ57:LZ68)</f>
        <v>0</v>
      </c>
      <c r="MA69" s="104">
        <f t="shared" ref="MA69:MM69" si="1441">SUM(MA57:MA68)</f>
        <v>19800</v>
      </c>
      <c r="MB69" s="102">
        <f t="shared" si="1441"/>
        <v>7800</v>
      </c>
      <c r="MC69" s="103">
        <f t="shared" si="1441"/>
        <v>0</v>
      </c>
      <c r="MD69" s="104">
        <f t="shared" si="1441"/>
        <v>7800</v>
      </c>
      <c r="ME69" s="103">
        <f t="shared" si="1441"/>
        <v>10669.32</v>
      </c>
      <c r="MF69" s="105">
        <f t="shared" si="1441"/>
        <v>0</v>
      </c>
      <c r="MG69" s="104">
        <f t="shared" si="1441"/>
        <v>10669.32</v>
      </c>
      <c r="MH69" s="103">
        <f t="shared" si="1441"/>
        <v>0</v>
      </c>
      <c r="MI69" s="105">
        <f t="shared" si="1441"/>
        <v>0</v>
      </c>
      <c r="MJ69" s="104">
        <f t="shared" si="1441"/>
        <v>0</v>
      </c>
      <c r="MK69" s="103">
        <f t="shared" si="1441"/>
        <v>1200</v>
      </c>
      <c r="ML69" s="105">
        <f t="shared" si="1441"/>
        <v>0</v>
      </c>
      <c r="MM69" s="104">
        <f t="shared" si="1441"/>
        <v>1200</v>
      </c>
      <c r="MN69" s="103">
        <f t="shared" si="131"/>
        <v>19669.32</v>
      </c>
      <c r="MO69" s="106">
        <f>SUM(MO57:MO68)</f>
        <v>0</v>
      </c>
      <c r="MP69" s="104">
        <f t="shared" ref="MP69:NB69" si="1442">SUM(MP57:MP68)</f>
        <v>19669.320000000003</v>
      </c>
      <c r="MQ69" s="102">
        <f t="shared" si="1442"/>
        <v>18200</v>
      </c>
      <c r="MR69" s="103">
        <f t="shared" si="1442"/>
        <v>0</v>
      </c>
      <c r="MS69" s="104">
        <f t="shared" si="1442"/>
        <v>18200</v>
      </c>
      <c r="MT69" s="103">
        <f t="shared" si="1442"/>
        <v>0</v>
      </c>
      <c r="MU69" s="105">
        <f t="shared" si="1442"/>
        <v>0</v>
      </c>
      <c r="MV69" s="104">
        <f t="shared" si="1442"/>
        <v>0</v>
      </c>
      <c r="MW69" s="103">
        <f t="shared" si="1442"/>
        <v>0</v>
      </c>
      <c r="MX69" s="105">
        <f t="shared" si="1442"/>
        <v>0</v>
      </c>
      <c r="MY69" s="104">
        <f t="shared" si="1442"/>
        <v>0</v>
      </c>
      <c r="MZ69" s="103">
        <f t="shared" si="1442"/>
        <v>0</v>
      </c>
      <c r="NA69" s="105">
        <f t="shared" si="1442"/>
        <v>0</v>
      </c>
      <c r="NB69" s="104">
        <f t="shared" si="1442"/>
        <v>0</v>
      </c>
      <c r="NC69" s="103">
        <f t="shared" si="138"/>
        <v>18200</v>
      </c>
      <c r="ND69" s="106">
        <f>SUM(ND57:ND68)</f>
        <v>0</v>
      </c>
      <c r="NE69" s="104">
        <f t="shared" ref="NE69:NQ69" si="1443">SUM(NE57:NE68)</f>
        <v>18200</v>
      </c>
      <c r="NF69" s="102">
        <f t="shared" si="1443"/>
        <v>12000</v>
      </c>
      <c r="NG69" s="103">
        <f t="shared" si="1443"/>
        <v>0</v>
      </c>
      <c r="NH69" s="104">
        <f t="shared" si="1443"/>
        <v>12000</v>
      </c>
      <c r="NI69" s="103">
        <f t="shared" si="1443"/>
        <v>13968.480000000003</v>
      </c>
      <c r="NJ69" s="105">
        <f t="shared" si="1443"/>
        <v>0</v>
      </c>
      <c r="NK69" s="104">
        <f t="shared" si="1443"/>
        <v>13968.480000000003</v>
      </c>
      <c r="NL69" s="103">
        <f t="shared" si="1443"/>
        <v>0</v>
      </c>
      <c r="NM69" s="105">
        <f t="shared" si="1443"/>
        <v>0</v>
      </c>
      <c r="NN69" s="104">
        <f t="shared" si="1443"/>
        <v>0</v>
      </c>
      <c r="NO69" s="103">
        <f t="shared" si="1443"/>
        <v>1200</v>
      </c>
      <c r="NP69" s="105">
        <f t="shared" si="1443"/>
        <v>0</v>
      </c>
      <c r="NQ69" s="104">
        <f t="shared" si="1443"/>
        <v>1200</v>
      </c>
      <c r="NR69" s="103">
        <f t="shared" si="145"/>
        <v>27168.480000000003</v>
      </c>
      <c r="NS69" s="106">
        <f>SUM(NS57:NS68)</f>
        <v>0</v>
      </c>
      <c r="NT69" s="104">
        <f t="shared" ref="NT69:OF69" si="1444">SUM(NT57:NT68)</f>
        <v>27168.480000000003</v>
      </c>
      <c r="NU69" s="102">
        <f t="shared" si="1444"/>
        <v>10368</v>
      </c>
      <c r="NV69" s="103">
        <f t="shared" si="1444"/>
        <v>0</v>
      </c>
      <c r="NW69" s="104">
        <f t="shared" si="1444"/>
        <v>10368</v>
      </c>
      <c r="NX69" s="103">
        <f t="shared" si="1444"/>
        <v>13832.759999999997</v>
      </c>
      <c r="NY69" s="105">
        <f t="shared" si="1444"/>
        <v>0</v>
      </c>
      <c r="NZ69" s="104">
        <f t="shared" si="1444"/>
        <v>13832.759999999997</v>
      </c>
      <c r="OA69" s="103">
        <f t="shared" si="1444"/>
        <v>884.31</v>
      </c>
      <c r="OB69" s="105">
        <f t="shared" si="1444"/>
        <v>0</v>
      </c>
      <c r="OC69" s="104">
        <f t="shared" si="1444"/>
        <v>884.31</v>
      </c>
      <c r="OD69" s="103">
        <f t="shared" si="1444"/>
        <v>1200</v>
      </c>
      <c r="OE69" s="105">
        <f t="shared" si="1444"/>
        <v>0</v>
      </c>
      <c r="OF69" s="104">
        <f t="shared" si="1444"/>
        <v>1200</v>
      </c>
      <c r="OG69" s="103">
        <f t="shared" si="152"/>
        <v>26285.069999999996</v>
      </c>
      <c r="OH69" s="106">
        <f>SUM(OH57:OH68)</f>
        <v>0</v>
      </c>
      <c r="OI69" s="104">
        <f t="shared" ref="OI69:OU69" si="1445">SUM(OI57:OI68)</f>
        <v>26285.069999999996</v>
      </c>
      <c r="OJ69" s="102">
        <f t="shared" si="1445"/>
        <v>17500</v>
      </c>
      <c r="OK69" s="103">
        <f t="shared" si="1445"/>
        <v>0</v>
      </c>
      <c r="OL69" s="104">
        <f t="shared" si="1445"/>
        <v>17500</v>
      </c>
      <c r="OM69" s="103">
        <f t="shared" si="1445"/>
        <v>0</v>
      </c>
      <c r="ON69" s="105">
        <f t="shared" si="1445"/>
        <v>0</v>
      </c>
      <c r="OO69" s="104">
        <f t="shared" si="1445"/>
        <v>0</v>
      </c>
      <c r="OP69" s="103">
        <f t="shared" si="1445"/>
        <v>1200</v>
      </c>
      <c r="OQ69" s="105">
        <f t="shared" si="1445"/>
        <v>0</v>
      </c>
      <c r="OR69" s="104">
        <f t="shared" si="1445"/>
        <v>1200</v>
      </c>
      <c r="OS69" s="103">
        <f t="shared" si="1445"/>
        <v>1200</v>
      </c>
      <c r="OT69" s="105">
        <f t="shared" si="1445"/>
        <v>0</v>
      </c>
      <c r="OU69" s="104">
        <f t="shared" si="1445"/>
        <v>1200</v>
      </c>
      <c r="OV69" s="103">
        <f t="shared" si="159"/>
        <v>19900</v>
      </c>
      <c r="OW69" s="106">
        <f>SUM(OW57:OW68)</f>
        <v>0</v>
      </c>
      <c r="OX69" s="104">
        <f t="shared" ref="OX69:PJ69" si="1446">SUM(OX57:OX68)</f>
        <v>19900</v>
      </c>
      <c r="OY69" s="102">
        <f t="shared" si="1446"/>
        <v>15800</v>
      </c>
      <c r="OZ69" s="103">
        <f t="shared" si="1446"/>
        <v>0</v>
      </c>
      <c r="PA69" s="104">
        <f t="shared" si="1446"/>
        <v>15800</v>
      </c>
      <c r="PB69" s="103">
        <f t="shared" si="1446"/>
        <v>600</v>
      </c>
      <c r="PC69" s="105">
        <f t="shared" si="1446"/>
        <v>0</v>
      </c>
      <c r="PD69" s="104">
        <f t="shared" si="1446"/>
        <v>600</v>
      </c>
      <c r="PE69" s="103">
        <f t="shared" si="1446"/>
        <v>0</v>
      </c>
      <c r="PF69" s="105">
        <f t="shared" si="1446"/>
        <v>0</v>
      </c>
      <c r="PG69" s="104">
        <f t="shared" si="1446"/>
        <v>0</v>
      </c>
      <c r="PH69" s="103">
        <f t="shared" si="1446"/>
        <v>1200</v>
      </c>
      <c r="PI69" s="105">
        <f t="shared" si="1446"/>
        <v>0</v>
      </c>
      <c r="PJ69" s="104">
        <f t="shared" si="1446"/>
        <v>1200</v>
      </c>
      <c r="PK69" s="103">
        <f t="shared" si="166"/>
        <v>17600</v>
      </c>
      <c r="PL69" s="106">
        <f>SUM(PL57:PL68)</f>
        <v>0</v>
      </c>
      <c r="PM69" s="104">
        <f t="shared" ref="PM69:PY69" si="1447">SUM(PM57:PM68)</f>
        <v>17600</v>
      </c>
      <c r="PN69" s="102">
        <f t="shared" si="1447"/>
        <v>18600</v>
      </c>
      <c r="PO69" s="103">
        <f t="shared" si="1447"/>
        <v>0</v>
      </c>
      <c r="PP69" s="104">
        <f t="shared" si="1447"/>
        <v>18600</v>
      </c>
      <c r="PQ69" s="103">
        <f t="shared" si="1447"/>
        <v>0</v>
      </c>
      <c r="PR69" s="105">
        <f t="shared" si="1447"/>
        <v>0</v>
      </c>
      <c r="PS69" s="104">
        <f t="shared" si="1447"/>
        <v>0</v>
      </c>
      <c r="PT69" s="103">
        <f t="shared" si="1447"/>
        <v>0</v>
      </c>
      <c r="PU69" s="105">
        <f t="shared" si="1447"/>
        <v>0</v>
      </c>
      <c r="PV69" s="104">
        <f t="shared" si="1447"/>
        <v>0</v>
      </c>
      <c r="PW69" s="103">
        <f t="shared" si="1447"/>
        <v>1200</v>
      </c>
      <c r="PX69" s="105">
        <f t="shared" si="1447"/>
        <v>0</v>
      </c>
      <c r="PY69" s="104">
        <f t="shared" si="1447"/>
        <v>1200</v>
      </c>
      <c r="PZ69" s="103">
        <f t="shared" si="173"/>
        <v>19800</v>
      </c>
      <c r="QA69" s="106">
        <f>SUM(QA57:QA68)</f>
        <v>0</v>
      </c>
      <c r="QB69" s="104">
        <f t="shared" ref="QB69:QN69" si="1448">SUM(QB57:QB68)</f>
        <v>19800</v>
      </c>
      <c r="QC69" s="102">
        <f t="shared" si="1448"/>
        <v>18000</v>
      </c>
      <c r="QD69" s="103">
        <f t="shared" si="1448"/>
        <v>0</v>
      </c>
      <c r="QE69" s="104">
        <f t="shared" si="1448"/>
        <v>18000</v>
      </c>
      <c r="QF69" s="103">
        <f t="shared" si="1448"/>
        <v>0</v>
      </c>
      <c r="QG69" s="105">
        <f t="shared" si="1448"/>
        <v>0</v>
      </c>
      <c r="QH69" s="104">
        <f t="shared" si="1448"/>
        <v>0</v>
      </c>
      <c r="QI69" s="103">
        <f t="shared" si="1448"/>
        <v>0</v>
      </c>
      <c r="QJ69" s="105">
        <f t="shared" si="1448"/>
        <v>0</v>
      </c>
      <c r="QK69" s="104">
        <f t="shared" si="1448"/>
        <v>0</v>
      </c>
      <c r="QL69" s="103">
        <f t="shared" si="1448"/>
        <v>1200</v>
      </c>
      <c r="QM69" s="105">
        <f t="shared" si="1448"/>
        <v>194.57</v>
      </c>
      <c r="QN69" s="104">
        <f t="shared" si="1448"/>
        <v>1005.4300000000001</v>
      </c>
      <c r="QO69" s="103">
        <f t="shared" si="180"/>
        <v>19200</v>
      </c>
      <c r="QP69" s="106">
        <f>SUM(QP57:QP68)</f>
        <v>194.57</v>
      </c>
      <c r="QQ69" s="104">
        <f>SUM(QQ57:QQ68)</f>
        <v>19005.43</v>
      </c>
      <c r="QR69" s="109"/>
      <c r="QS69" s="109"/>
      <c r="QT69" s="107"/>
      <c r="QU69" s="108"/>
      <c r="QV69" s="109"/>
      <c r="QW69" s="108"/>
      <c r="QX69" s="110"/>
      <c r="QY69" s="109"/>
      <c r="QZ69" s="108"/>
      <c r="RA69" s="110"/>
      <c r="RB69" s="109"/>
      <c r="RC69" s="108"/>
      <c r="RD69" s="110"/>
      <c r="RE69" s="109"/>
      <c r="RF69" s="109"/>
      <c r="RG69" s="107"/>
      <c r="RH69" s="108"/>
      <c r="RI69" s="109"/>
      <c r="RJ69" s="108"/>
      <c r="RK69" s="110"/>
      <c r="RL69" s="109"/>
      <c r="RM69" s="108"/>
      <c r="RN69" s="110"/>
      <c r="RO69" s="109"/>
      <c r="RP69" s="108"/>
      <c r="RQ69" s="110"/>
      <c r="RR69" s="109"/>
      <c r="RS69" s="108"/>
      <c r="RT69" s="111"/>
      <c r="RU69" s="109"/>
      <c r="RV69" s="109"/>
      <c r="RW69" s="107"/>
      <c r="RX69" s="108"/>
      <c r="RY69" s="109"/>
      <c r="RZ69" s="108"/>
      <c r="SA69" s="110"/>
      <c r="SB69" s="109"/>
      <c r="SC69" s="108"/>
      <c r="SD69" s="110"/>
      <c r="SE69" s="109"/>
      <c r="SF69" s="108"/>
      <c r="SG69" s="110"/>
      <c r="SH69" s="109"/>
      <c r="SI69" s="108"/>
      <c r="SJ69" s="104">
        <f t="shared" ref="SJ69:SV69" si="1449">SUM(SJ57:SJ68)</f>
        <v>0</v>
      </c>
      <c r="SK69" s="102">
        <f t="shared" si="1449"/>
        <v>17000</v>
      </c>
      <c r="SL69" s="103">
        <f t="shared" si="1449"/>
        <v>0</v>
      </c>
      <c r="SM69" s="104">
        <f t="shared" si="1449"/>
        <v>17000</v>
      </c>
      <c r="SN69" s="103">
        <f t="shared" si="1449"/>
        <v>0</v>
      </c>
      <c r="SO69" s="105">
        <f t="shared" si="1449"/>
        <v>0</v>
      </c>
      <c r="SP69" s="104">
        <f t="shared" si="1449"/>
        <v>0</v>
      </c>
      <c r="SQ69" s="103">
        <f t="shared" si="1449"/>
        <v>0</v>
      </c>
      <c r="SR69" s="105">
        <f t="shared" si="1449"/>
        <v>0</v>
      </c>
      <c r="SS69" s="104">
        <f t="shared" si="1449"/>
        <v>0</v>
      </c>
      <c r="ST69" s="103">
        <f t="shared" si="1449"/>
        <v>1200</v>
      </c>
      <c r="SU69" s="105">
        <f t="shared" si="1449"/>
        <v>0</v>
      </c>
      <c r="SV69" s="104">
        <f t="shared" si="1449"/>
        <v>1200</v>
      </c>
      <c r="SW69" s="103">
        <f t="shared" si="208"/>
        <v>18200</v>
      </c>
      <c r="SX69" s="106">
        <f>SUM(SX57:SX68)</f>
        <v>0</v>
      </c>
      <c r="SY69" s="104">
        <f t="shared" ref="SY69:TK69" si="1450">SUM(SY57:SY68)</f>
        <v>18200</v>
      </c>
      <c r="SZ69" s="102">
        <f t="shared" si="1450"/>
        <v>11823.960000000001</v>
      </c>
      <c r="TA69" s="103">
        <f t="shared" si="1450"/>
        <v>0</v>
      </c>
      <c r="TB69" s="104">
        <f t="shared" si="1450"/>
        <v>11823.960000000001</v>
      </c>
      <c r="TC69" s="103">
        <f t="shared" si="1450"/>
        <v>8410.7999999999975</v>
      </c>
      <c r="TD69" s="105">
        <f t="shared" si="1450"/>
        <v>0</v>
      </c>
      <c r="TE69" s="104">
        <f t="shared" si="1450"/>
        <v>8410.7999999999975</v>
      </c>
      <c r="TF69" s="103">
        <f t="shared" si="1450"/>
        <v>1800</v>
      </c>
      <c r="TG69" s="105">
        <f t="shared" si="1450"/>
        <v>0</v>
      </c>
      <c r="TH69" s="104">
        <f t="shared" si="1450"/>
        <v>1800</v>
      </c>
      <c r="TI69" s="103">
        <f t="shared" si="1450"/>
        <v>1200</v>
      </c>
      <c r="TJ69" s="105">
        <f t="shared" si="1450"/>
        <v>0</v>
      </c>
      <c r="TK69" s="104">
        <f t="shared" si="1450"/>
        <v>1200</v>
      </c>
      <c r="TL69" s="103">
        <f t="shared" si="215"/>
        <v>23234.76</v>
      </c>
      <c r="TM69" s="106">
        <f>SUM(TM57:TM68)</f>
        <v>0</v>
      </c>
      <c r="TN69" s="104">
        <f t="shared" ref="TN69:TZ69" si="1451">SUM(TN57:TN68)</f>
        <v>23234.76</v>
      </c>
      <c r="TO69" s="102">
        <f t="shared" si="1451"/>
        <v>15500</v>
      </c>
      <c r="TP69" s="103">
        <f t="shared" si="1451"/>
        <v>0</v>
      </c>
      <c r="TQ69" s="104">
        <f t="shared" si="1451"/>
        <v>15500</v>
      </c>
      <c r="TR69" s="103">
        <f t="shared" si="1451"/>
        <v>0</v>
      </c>
      <c r="TS69" s="105">
        <f t="shared" si="1451"/>
        <v>0</v>
      </c>
      <c r="TT69" s="104">
        <f t="shared" si="1451"/>
        <v>0</v>
      </c>
      <c r="TU69" s="103">
        <f t="shared" si="1451"/>
        <v>0</v>
      </c>
      <c r="TV69" s="105">
        <f t="shared" si="1451"/>
        <v>0</v>
      </c>
      <c r="TW69" s="104">
        <f t="shared" si="1451"/>
        <v>0</v>
      </c>
      <c r="TX69" s="103">
        <f t="shared" si="1451"/>
        <v>1200</v>
      </c>
      <c r="TY69" s="105">
        <f t="shared" si="1451"/>
        <v>0</v>
      </c>
      <c r="TZ69" s="104">
        <f t="shared" si="1451"/>
        <v>1200</v>
      </c>
      <c r="UA69" s="103">
        <f t="shared" si="222"/>
        <v>16700</v>
      </c>
      <c r="UB69" s="106">
        <f>SUM(UB57:UB68)</f>
        <v>0</v>
      </c>
      <c r="UC69" s="104">
        <f t="shared" ref="UC69:UO69" si="1452">SUM(UC57:UC68)</f>
        <v>16700</v>
      </c>
      <c r="UD69" s="102">
        <f t="shared" si="1452"/>
        <v>13500</v>
      </c>
      <c r="UE69" s="103">
        <f t="shared" si="1452"/>
        <v>0</v>
      </c>
      <c r="UF69" s="104">
        <f t="shared" si="1452"/>
        <v>13500</v>
      </c>
      <c r="UG69" s="103">
        <f t="shared" si="1452"/>
        <v>5964.4800000000005</v>
      </c>
      <c r="UH69" s="105">
        <f t="shared" si="1452"/>
        <v>0</v>
      </c>
      <c r="UI69" s="104">
        <f t="shared" si="1452"/>
        <v>5964.4800000000005</v>
      </c>
      <c r="UJ69" s="103">
        <f t="shared" si="1452"/>
        <v>0</v>
      </c>
      <c r="UK69" s="105">
        <f t="shared" si="1452"/>
        <v>0</v>
      </c>
      <c r="UL69" s="104">
        <f t="shared" si="1452"/>
        <v>0</v>
      </c>
      <c r="UM69" s="103">
        <f t="shared" si="1452"/>
        <v>1200</v>
      </c>
      <c r="UN69" s="105">
        <f t="shared" si="1452"/>
        <v>0</v>
      </c>
      <c r="UO69" s="104">
        <f t="shared" si="1452"/>
        <v>1200</v>
      </c>
      <c r="UP69" s="103">
        <f t="shared" si="226"/>
        <v>20664.48</v>
      </c>
      <c r="UQ69" s="106">
        <f>SUM(UQ57:UQ68)</f>
        <v>0</v>
      </c>
      <c r="UR69" s="104">
        <f>SUM(UR57:UR68)</f>
        <v>20664.480000000007</v>
      </c>
      <c r="US69" s="109"/>
      <c r="UT69" s="107"/>
      <c r="UU69" s="108"/>
      <c r="UV69" s="109"/>
      <c r="UW69" s="108"/>
      <c r="UX69" s="110"/>
      <c r="UY69" s="109"/>
      <c r="UZ69" s="108"/>
      <c r="VA69" s="110"/>
      <c r="VB69" s="109"/>
      <c r="VC69" s="108"/>
      <c r="VD69" s="110"/>
      <c r="VE69" s="109"/>
      <c r="VF69" s="108"/>
      <c r="VG69" s="111"/>
      <c r="VH69" s="102">
        <f t="shared" ref="VH69:VS69" si="1453">SUM(VH57:VH68)</f>
        <v>18600</v>
      </c>
      <c r="VI69" s="103">
        <f t="shared" si="1453"/>
        <v>0</v>
      </c>
      <c r="VJ69" s="104">
        <f t="shared" si="1453"/>
        <v>18600</v>
      </c>
      <c r="VK69" s="103">
        <f t="shared" si="1453"/>
        <v>0</v>
      </c>
      <c r="VL69" s="105">
        <f t="shared" si="1453"/>
        <v>0</v>
      </c>
      <c r="VM69" s="104">
        <f t="shared" si="1453"/>
        <v>0</v>
      </c>
      <c r="VN69" s="103">
        <f t="shared" si="1453"/>
        <v>0</v>
      </c>
      <c r="VO69" s="105">
        <f t="shared" si="1453"/>
        <v>0</v>
      </c>
      <c r="VP69" s="104">
        <f t="shared" si="1453"/>
        <v>0</v>
      </c>
      <c r="VQ69" s="103">
        <f t="shared" si="1453"/>
        <v>1200</v>
      </c>
      <c r="VR69" s="105">
        <f t="shared" si="1453"/>
        <v>0</v>
      </c>
      <c r="VS69" s="104">
        <f t="shared" si="1453"/>
        <v>1200</v>
      </c>
      <c r="VT69" s="103">
        <f t="shared" si="240"/>
        <v>19800</v>
      </c>
      <c r="VU69" s="106">
        <f>SUM(VU57:VU68)</f>
        <v>0</v>
      </c>
      <c r="VV69" s="104">
        <f>SUM(VV57:VV68)</f>
        <v>19800</v>
      </c>
      <c r="VW69" s="109"/>
      <c r="VX69" s="107"/>
      <c r="VY69" s="108"/>
      <c r="VZ69" s="109"/>
      <c r="WA69" s="108"/>
      <c r="WB69" s="110"/>
      <c r="WC69" s="109"/>
      <c r="WD69" s="108"/>
      <c r="WE69" s="110"/>
      <c r="WF69" s="109"/>
      <c r="WG69" s="108"/>
      <c r="WH69" s="110"/>
      <c r="WI69" s="109"/>
      <c r="WJ69" s="108"/>
      <c r="WK69" s="111"/>
      <c r="WL69" s="109"/>
      <c r="WM69" s="107"/>
      <c r="WN69" s="108"/>
      <c r="WO69" s="109"/>
      <c r="WP69" s="108"/>
      <c r="WQ69" s="110"/>
      <c r="WR69" s="109"/>
      <c r="WS69" s="108"/>
      <c r="WT69" s="110"/>
      <c r="WU69" s="109"/>
      <c r="WV69" s="108"/>
      <c r="WW69" s="110"/>
      <c r="WX69" s="109"/>
      <c r="WY69" s="108"/>
      <c r="WZ69" s="111"/>
      <c r="XA69" s="109"/>
      <c r="XB69" s="107"/>
      <c r="XC69" s="108"/>
      <c r="XD69" s="109"/>
      <c r="XE69" s="108"/>
      <c r="XF69" s="110"/>
      <c r="XG69" s="109"/>
      <c r="XH69" s="108"/>
      <c r="XI69" s="110"/>
      <c r="XJ69" s="109"/>
      <c r="XK69" s="108"/>
      <c r="XL69" s="110"/>
      <c r="XM69" s="109"/>
      <c r="XN69" s="108"/>
      <c r="XO69" s="111"/>
      <c r="XP69" s="102">
        <f t="shared" ref="XP69:YA69" si="1454">SUM(XP57:XP68)</f>
        <v>10404</v>
      </c>
      <c r="XQ69" s="103">
        <f t="shared" si="1454"/>
        <v>0</v>
      </c>
      <c r="XR69" s="104">
        <f t="shared" si="1454"/>
        <v>10404</v>
      </c>
      <c r="XS69" s="103">
        <f t="shared" si="1454"/>
        <v>10130.879999999999</v>
      </c>
      <c r="XT69" s="105">
        <f t="shared" si="1454"/>
        <v>0</v>
      </c>
      <c r="XU69" s="104">
        <f t="shared" si="1454"/>
        <v>10130.879999999999</v>
      </c>
      <c r="XV69" s="103">
        <f t="shared" si="1454"/>
        <v>0</v>
      </c>
      <c r="XW69" s="105">
        <f t="shared" si="1454"/>
        <v>0</v>
      </c>
      <c r="XX69" s="104">
        <f t="shared" si="1454"/>
        <v>0</v>
      </c>
      <c r="XY69" s="103">
        <f t="shared" si="1454"/>
        <v>1200</v>
      </c>
      <c r="XZ69" s="105">
        <f t="shared" si="1454"/>
        <v>0</v>
      </c>
      <c r="YA69" s="104">
        <f t="shared" si="1454"/>
        <v>1200</v>
      </c>
      <c r="YB69" s="103">
        <f t="shared" si="268"/>
        <v>21734.879999999997</v>
      </c>
      <c r="YC69" s="106">
        <f>SUM(YC57:YC68)</f>
        <v>0</v>
      </c>
      <c r="YD69" s="104">
        <f t="shared" ref="YD69:YP69" si="1455">SUM(YD57:YD68)</f>
        <v>21734.880000000008</v>
      </c>
      <c r="YE69" s="102">
        <f t="shared" si="1455"/>
        <v>10680</v>
      </c>
      <c r="YF69" s="103">
        <f t="shared" si="1455"/>
        <v>0</v>
      </c>
      <c r="YG69" s="104">
        <f t="shared" si="1455"/>
        <v>10680</v>
      </c>
      <c r="YH69" s="103">
        <f t="shared" si="1455"/>
        <v>10174.200000000003</v>
      </c>
      <c r="YI69" s="105">
        <f t="shared" si="1455"/>
        <v>0</v>
      </c>
      <c r="YJ69" s="104">
        <f t="shared" si="1455"/>
        <v>10174.200000000003</v>
      </c>
      <c r="YK69" s="103">
        <f t="shared" si="1455"/>
        <v>1000</v>
      </c>
      <c r="YL69" s="105">
        <f t="shared" si="1455"/>
        <v>0</v>
      </c>
      <c r="YM69" s="104">
        <f t="shared" si="1455"/>
        <v>1000</v>
      </c>
      <c r="YN69" s="103">
        <f t="shared" si="1455"/>
        <v>1200</v>
      </c>
      <c r="YO69" s="105">
        <f t="shared" si="1455"/>
        <v>0</v>
      </c>
      <c r="YP69" s="104">
        <f t="shared" si="1455"/>
        <v>1200</v>
      </c>
      <c r="YQ69" s="103">
        <f t="shared" si="275"/>
        <v>23054.200000000004</v>
      </c>
      <c r="YR69" s="106">
        <f>SUM(YR57:YR68)</f>
        <v>0</v>
      </c>
      <c r="YS69" s="104">
        <f t="shared" ref="YS69:ZE69" si="1456">SUM(YS57:YS68)</f>
        <v>23054.199999999997</v>
      </c>
      <c r="YT69" s="102">
        <f t="shared" si="1456"/>
        <v>11184</v>
      </c>
      <c r="YU69" s="103">
        <f t="shared" si="1456"/>
        <v>0</v>
      </c>
      <c r="YV69" s="104">
        <f t="shared" si="1456"/>
        <v>11184</v>
      </c>
      <c r="YW69" s="103">
        <f t="shared" si="1456"/>
        <v>8348.7599999999984</v>
      </c>
      <c r="YX69" s="105">
        <f t="shared" si="1456"/>
        <v>0</v>
      </c>
      <c r="YY69" s="104">
        <f t="shared" si="1456"/>
        <v>8348.7599999999984</v>
      </c>
      <c r="YZ69" s="103">
        <f t="shared" si="1456"/>
        <v>1000</v>
      </c>
      <c r="ZA69" s="105">
        <f t="shared" si="1456"/>
        <v>0</v>
      </c>
      <c r="ZB69" s="104">
        <f t="shared" si="1456"/>
        <v>1000</v>
      </c>
      <c r="ZC69" s="103">
        <f t="shared" si="1456"/>
        <v>1200</v>
      </c>
      <c r="ZD69" s="105">
        <f t="shared" si="1456"/>
        <v>0</v>
      </c>
      <c r="ZE69" s="104">
        <f t="shared" si="1456"/>
        <v>1200</v>
      </c>
      <c r="ZF69" s="103">
        <f t="shared" si="282"/>
        <v>21732.76</v>
      </c>
      <c r="ZG69" s="106">
        <f>SUM(ZG57:ZG68)</f>
        <v>0</v>
      </c>
      <c r="ZH69" s="109"/>
      <c r="ZI69" s="107"/>
      <c r="ZJ69" s="108"/>
      <c r="ZK69" s="109"/>
      <c r="ZL69" s="108"/>
      <c r="ZM69" s="110"/>
      <c r="ZN69" s="109"/>
      <c r="ZO69" s="108"/>
      <c r="ZP69" s="110"/>
      <c r="ZQ69" s="109"/>
      <c r="ZR69" s="108"/>
      <c r="ZS69" s="110"/>
      <c r="ZT69" s="109"/>
      <c r="ZU69" s="108"/>
      <c r="ZV69" s="111"/>
      <c r="ZW69" s="104">
        <f>SUM(ZW57:ZW68)</f>
        <v>0</v>
      </c>
      <c r="ZX69" s="102">
        <f>SUM(ZX57:ZX68)</f>
        <v>296.52000000000004</v>
      </c>
      <c r="ZY69" s="103">
        <f>SUM(ZY57:ZY68)</f>
        <v>0</v>
      </c>
      <c r="ZZ69" s="104">
        <f>SUM(ZZ57:ZZ68)</f>
        <v>296.52000000000004</v>
      </c>
      <c r="AAA69" s="103">
        <f t="shared" si="293"/>
        <v>296.52000000000004</v>
      </c>
      <c r="AAB69" s="106">
        <f t="shared" si="293"/>
        <v>0</v>
      </c>
      <c r="AAC69" s="104">
        <f>SUM(AAC57:AAC68)</f>
        <v>296.52000000000004</v>
      </c>
      <c r="AAD69" s="112">
        <f t="shared" si="295"/>
        <v>1405416.1799999997</v>
      </c>
      <c r="AAE69" s="113">
        <f t="shared" si="295"/>
        <v>302.96999999999997</v>
      </c>
      <c r="AAF69" s="114">
        <f t="shared" ref="AAF69:AAF121" si="1457">AAE69/AAD69</f>
        <v>2.155731549924237E-4</v>
      </c>
      <c r="AAG69" s="113">
        <f>SUM(AAG57:AAG68)</f>
        <v>-1405113.2100000002</v>
      </c>
    </row>
    <row r="70" spans="1:713" s="83" customFormat="1" ht="20" customHeight="1" x14ac:dyDescent="0.2">
      <c r="A70" s="152"/>
      <c r="B70" s="58" t="s">
        <v>136</v>
      </c>
      <c r="C70" s="59"/>
      <c r="D70" s="59"/>
      <c r="E70" s="60">
        <v>2027</v>
      </c>
      <c r="F70" s="61">
        <v>46388</v>
      </c>
      <c r="G70" s="62"/>
      <c r="H70" s="63"/>
      <c r="I70" s="64">
        <f t="shared" ref="I70:I81" si="1458">G70-H70</f>
        <v>0</v>
      </c>
      <c r="J70" s="65">
        <v>4812.04</v>
      </c>
      <c r="K70" s="63"/>
      <c r="L70" s="64">
        <f t="shared" ref="L70:L81" si="1459">J70-K70</f>
        <v>4812.04</v>
      </c>
      <c r="M70" s="65">
        <v>2500</v>
      </c>
      <c r="N70" s="63"/>
      <c r="O70" s="64">
        <f t="shared" ref="O70:O81" si="1460">M70-N70</f>
        <v>2500</v>
      </c>
      <c r="P70" s="65">
        <v>500</v>
      </c>
      <c r="Q70" s="63"/>
      <c r="R70" s="64">
        <f t="shared" ref="R70:R81" si="1461">P70-Q70</f>
        <v>500</v>
      </c>
      <c r="S70" s="65">
        <v>181</v>
      </c>
      <c r="T70" s="63"/>
      <c r="U70" s="64">
        <f t="shared" ref="U70:U81" si="1462">S70-T70</f>
        <v>181</v>
      </c>
      <c r="V70" s="66">
        <f t="shared" ref="V70:W81" si="1463">G70+J70+M70+P70+S70</f>
        <v>7993.04</v>
      </c>
      <c r="W70" s="67">
        <f t="shared" si="1463"/>
        <v>0</v>
      </c>
      <c r="X70" s="64">
        <f t="shared" ref="X70:X81" si="1464">V70-W70</f>
        <v>7993.04</v>
      </c>
      <c r="Y70" s="72"/>
      <c r="Z70" s="73"/>
      <c r="AA70" s="74"/>
      <c r="AB70" s="75"/>
      <c r="AC70" s="73"/>
      <c r="AD70" s="74"/>
      <c r="AE70" s="75"/>
      <c r="AF70" s="73"/>
      <c r="AG70" s="74"/>
      <c r="AH70" s="75"/>
      <c r="AI70" s="73"/>
      <c r="AJ70" s="74"/>
      <c r="AK70" s="76"/>
      <c r="AL70" s="77"/>
      <c r="AM70" s="64">
        <f t="shared" ref="AM70:AM81" si="1465">AK70-AL70</f>
        <v>0</v>
      </c>
      <c r="AN70" s="62"/>
      <c r="AO70" s="63"/>
      <c r="AP70" s="64">
        <f>AN70-AO70</f>
        <v>0</v>
      </c>
      <c r="AQ70" s="65"/>
      <c r="AR70" s="63"/>
      <c r="AS70" s="64">
        <f t="shared" ref="AS70:AS81" si="1466">AQ70-AR70</f>
        <v>0</v>
      </c>
      <c r="AT70" s="65"/>
      <c r="AU70" s="63"/>
      <c r="AV70" s="64">
        <f t="shared" ref="AV70:AV81" si="1467">AT70-AU70</f>
        <v>0</v>
      </c>
      <c r="AW70" s="65"/>
      <c r="AX70" s="63"/>
      <c r="AY70" s="64">
        <f t="shared" ref="AY70:AY81" si="1468">AW70-AX70</f>
        <v>0</v>
      </c>
      <c r="AZ70" s="66">
        <f t="shared" ref="AZ70:AZ121" si="1469">AN70+AQ70+AT70+AW70</f>
        <v>0</v>
      </c>
      <c r="BA70" s="67">
        <f t="shared" ref="BA70:BA81" si="1470">AO70+AR70+AU70++AX70</f>
        <v>0</v>
      </c>
      <c r="BB70" s="64">
        <f t="shared" ref="BB70:BB81" si="1471">AZ70-BA70</f>
        <v>0</v>
      </c>
      <c r="BC70" s="62"/>
      <c r="BD70" s="63"/>
      <c r="BE70" s="64">
        <f t="shared" ref="BE70:BE81" si="1472">BC70-BD70</f>
        <v>0</v>
      </c>
      <c r="BF70" s="65"/>
      <c r="BG70" s="63"/>
      <c r="BH70" s="64">
        <f t="shared" ref="BH70:BH81" si="1473">BF70-BG70</f>
        <v>0</v>
      </c>
      <c r="BI70" s="65"/>
      <c r="BJ70" s="63"/>
      <c r="BK70" s="64">
        <f t="shared" ref="BK70:BK81" si="1474">BI70-BJ70</f>
        <v>0</v>
      </c>
      <c r="BL70" s="65">
        <v>100</v>
      </c>
      <c r="BM70" s="63"/>
      <c r="BN70" s="64">
        <f t="shared" ref="BN70:BN81" si="1475">BL70-BM70</f>
        <v>100</v>
      </c>
      <c r="BO70" s="66">
        <f t="shared" ref="BO70:BO121" si="1476">BC70+BF70+BI70+BL70</f>
        <v>100</v>
      </c>
      <c r="BP70" s="67">
        <f t="shared" ref="BP70:BP81" si="1477">BD70+BG70+BJ70++BM70</f>
        <v>0</v>
      </c>
      <c r="BQ70" s="64">
        <f t="shared" ref="BQ70:BQ81" si="1478">BO70-BP70</f>
        <v>100</v>
      </c>
      <c r="BR70" s="72"/>
      <c r="BS70" s="73"/>
      <c r="BT70" s="74"/>
      <c r="BU70" s="75"/>
      <c r="BV70" s="73"/>
      <c r="BW70" s="74"/>
      <c r="BX70" s="75"/>
      <c r="BY70" s="73"/>
      <c r="BZ70" s="74"/>
      <c r="CA70" s="75"/>
      <c r="CB70" s="73"/>
      <c r="CC70" s="74"/>
      <c r="CD70" s="76"/>
      <c r="CE70" s="77"/>
      <c r="CF70" s="64">
        <f t="shared" ref="CF70:CF81" si="1479">CD70-CE70</f>
        <v>0</v>
      </c>
      <c r="CG70" s="62"/>
      <c r="CH70" s="63"/>
      <c r="CI70" s="64">
        <f t="shared" ref="CI70:CI81" si="1480">CG70-CH70</f>
        <v>0</v>
      </c>
      <c r="CJ70" s="65"/>
      <c r="CK70" s="63"/>
      <c r="CL70" s="64">
        <f t="shared" ref="CL70:CL81" si="1481">CJ70-CK70</f>
        <v>0</v>
      </c>
      <c r="CM70" s="65"/>
      <c r="CN70" s="63"/>
      <c r="CO70" s="64">
        <f t="shared" ref="CO70:CO81" si="1482">CM70-CN70</f>
        <v>0</v>
      </c>
      <c r="CP70" s="65"/>
      <c r="CQ70" s="63"/>
      <c r="CR70" s="64">
        <f t="shared" ref="CR70:CR81" si="1483">CP70-CQ70</f>
        <v>0</v>
      </c>
      <c r="CS70" s="66">
        <f t="shared" ref="CS70:CS121" si="1484">CG70+CJ70+CM70+CP70</f>
        <v>0</v>
      </c>
      <c r="CT70" s="67">
        <f t="shared" ref="CT70:CT81" si="1485">CH70+CK70+CN70++CQ70</f>
        <v>0</v>
      </c>
      <c r="CU70" s="64">
        <f t="shared" ref="CU70:CU81" si="1486">CS70-CT70</f>
        <v>0</v>
      </c>
      <c r="CV70" s="62">
        <v>2916.7</v>
      </c>
      <c r="CW70" s="63"/>
      <c r="CX70" s="64">
        <f t="shared" ref="CX70:CX81" si="1487">CV70-CW70</f>
        <v>2916.7</v>
      </c>
      <c r="CY70" s="65">
        <v>429.15</v>
      </c>
      <c r="CZ70" s="63"/>
      <c r="DA70" s="64">
        <f t="shared" ref="DA70:DA81" si="1488">CY70-CZ70</f>
        <v>429.15</v>
      </c>
      <c r="DB70" s="65"/>
      <c r="DC70" s="63"/>
      <c r="DD70" s="64">
        <f t="shared" ref="DD70:DD81" si="1489">DB70-DC70</f>
        <v>0</v>
      </c>
      <c r="DE70" s="65"/>
      <c r="DF70" s="63"/>
      <c r="DG70" s="64">
        <f t="shared" ref="DG70:DG81" si="1490">DE70-DF70</f>
        <v>0</v>
      </c>
      <c r="DH70" s="66">
        <f t="shared" ref="DH70:DH121" si="1491">CV70+CY70+DB70+DE70</f>
        <v>3345.85</v>
      </c>
      <c r="DI70" s="67">
        <f t="shared" ref="DI70:DI81" si="1492">CW70+CZ70+DC70++DF70</f>
        <v>0</v>
      </c>
      <c r="DJ70" s="64">
        <f t="shared" ref="DJ70:DJ81" si="1493">DH70-DI70</f>
        <v>3345.85</v>
      </c>
      <c r="DK70" s="62">
        <v>2400</v>
      </c>
      <c r="DL70" s="63"/>
      <c r="DM70" s="64">
        <f t="shared" ref="DM70:DM81" si="1494">DK70-DL70</f>
        <v>2400</v>
      </c>
      <c r="DN70" s="65">
        <v>913.08</v>
      </c>
      <c r="DO70" s="63"/>
      <c r="DP70" s="64">
        <f t="shared" ref="DP70:DP81" si="1495">DN70-DO70</f>
        <v>913.08</v>
      </c>
      <c r="DQ70" s="65"/>
      <c r="DR70" s="63"/>
      <c r="DS70" s="64">
        <f t="shared" ref="DS70:DS81" si="1496">DQ70-DR70</f>
        <v>0</v>
      </c>
      <c r="DT70" s="65">
        <v>100</v>
      </c>
      <c r="DU70" s="63"/>
      <c r="DV70" s="64">
        <f t="shared" ref="DV70:DV81" si="1497">DT70-DU70</f>
        <v>100</v>
      </c>
      <c r="DW70" s="66">
        <f t="shared" ref="DW70:DW121" si="1498">DK70+DN70+DQ70+DT70</f>
        <v>3413.08</v>
      </c>
      <c r="DX70" s="67">
        <f t="shared" ref="DX70:DX81" si="1499">DL70+DO70+DR70++DU70</f>
        <v>0</v>
      </c>
      <c r="DY70" s="64">
        <f t="shared" ref="DY70:DY81" si="1500">DW70-DX70</f>
        <v>3413.08</v>
      </c>
      <c r="DZ70" s="62"/>
      <c r="EA70" s="63"/>
      <c r="EB70" s="64">
        <f t="shared" ref="EB70:EB81" si="1501">DZ70-EA70</f>
        <v>0</v>
      </c>
      <c r="EC70" s="65"/>
      <c r="ED70" s="63"/>
      <c r="EE70" s="64">
        <f t="shared" ref="EE70:EE81" si="1502">EC70-ED70</f>
        <v>0</v>
      </c>
      <c r="EF70" s="65"/>
      <c r="EG70" s="63"/>
      <c r="EH70" s="64">
        <f t="shared" ref="EH70:EH81" si="1503">EF70-EG70</f>
        <v>0</v>
      </c>
      <c r="EI70" s="65">
        <v>100</v>
      </c>
      <c r="EJ70" s="63"/>
      <c r="EK70" s="64">
        <f t="shared" ref="EK70:EK81" si="1504">EI70-EJ70</f>
        <v>100</v>
      </c>
      <c r="EL70" s="66">
        <f t="shared" ref="EL70:EL121" si="1505">DZ70+EC70+EF70+EI70</f>
        <v>100</v>
      </c>
      <c r="EM70" s="67">
        <f t="shared" ref="EM70:EM81" si="1506">EA70+ED70+EG70++EJ70</f>
        <v>0</v>
      </c>
      <c r="EN70" s="64">
        <f t="shared" ref="EN70:EN81" si="1507">EL70-EM70</f>
        <v>100</v>
      </c>
      <c r="EO70" s="62"/>
      <c r="EP70" s="63"/>
      <c r="EQ70" s="64">
        <f t="shared" ref="EQ70:EQ81" si="1508">EO70-EP70</f>
        <v>0</v>
      </c>
      <c r="ER70" s="65"/>
      <c r="ES70" s="63"/>
      <c r="ET70" s="64">
        <f t="shared" ref="ET70:ET81" si="1509">ER70-ES70</f>
        <v>0</v>
      </c>
      <c r="EU70" s="65"/>
      <c r="EV70" s="63"/>
      <c r="EW70" s="64">
        <f t="shared" ref="EW70:EW81" si="1510">EU70-EV70</f>
        <v>0</v>
      </c>
      <c r="EX70" s="65">
        <v>100</v>
      </c>
      <c r="EY70" s="63"/>
      <c r="EZ70" s="64">
        <f t="shared" ref="EZ70:EZ81" si="1511">EX70-EY70</f>
        <v>100</v>
      </c>
      <c r="FA70" s="66">
        <f t="shared" ref="FA70:FA121" si="1512">EO70+ER70+EU70+EX70</f>
        <v>100</v>
      </c>
      <c r="FB70" s="67">
        <f t="shared" ref="FB70:FB81" si="1513">EP70+ES70+EV70++EY70</f>
        <v>0</v>
      </c>
      <c r="FC70" s="64">
        <f t="shared" ref="FC70:FC81" si="1514">FA70-FB70</f>
        <v>100</v>
      </c>
      <c r="FD70" s="62"/>
      <c r="FE70" s="63"/>
      <c r="FF70" s="64">
        <f t="shared" ref="FF70:FF81" si="1515">FD70-FE70</f>
        <v>0</v>
      </c>
      <c r="FG70" s="65"/>
      <c r="FH70" s="63"/>
      <c r="FI70" s="64">
        <f t="shared" ref="FI70:FI81" si="1516">FG70-FH70</f>
        <v>0</v>
      </c>
      <c r="FJ70" s="65"/>
      <c r="FK70" s="63"/>
      <c r="FL70" s="64">
        <f t="shared" ref="FL70:FL81" si="1517">FJ70-FK70</f>
        <v>0</v>
      </c>
      <c r="FM70" s="65">
        <v>100</v>
      </c>
      <c r="FN70" s="63"/>
      <c r="FO70" s="64">
        <f t="shared" ref="FO70:FO81" si="1518">FM70-FN70</f>
        <v>100</v>
      </c>
      <c r="FP70" s="66">
        <f t="shared" ref="FP70:FP121" si="1519">FD70+FG70+FJ70+FM70</f>
        <v>100</v>
      </c>
      <c r="FQ70" s="67">
        <f t="shared" ref="FQ70:FQ81" si="1520">FE70+FH70+FK70++FN70</f>
        <v>0</v>
      </c>
      <c r="FR70" s="64">
        <f t="shared" ref="FR70:FR81" si="1521">FP70-FQ70</f>
        <v>100</v>
      </c>
      <c r="FS70" s="62"/>
      <c r="FT70" s="63"/>
      <c r="FU70" s="64">
        <f t="shared" ref="FU70:FU81" si="1522">FS70-FT70</f>
        <v>0</v>
      </c>
      <c r="FV70" s="65">
        <v>485.35</v>
      </c>
      <c r="FW70" s="63"/>
      <c r="FX70" s="64">
        <f t="shared" ref="FX70:FX81" si="1523">FV70-FW70</f>
        <v>485.35</v>
      </c>
      <c r="FY70" s="65"/>
      <c r="FZ70" s="63"/>
      <c r="GA70" s="64">
        <f t="shared" ref="GA70:GA81" si="1524">FY70-FZ70</f>
        <v>0</v>
      </c>
      <c r="GB70" s="65"/>
      <c r="GC70" s="63"/>
      <c r="GD70" s="64">
        <f t="shared" ref="GD70:GD81" si="1525">GB70-GC70</f>
        <v>0</v>
      </c>
      <c r="GE70" s="66">
        <f t="shared" ref="GE70:GE121" si="1526">FS70+FV70+FY70+GB70</f>
        <v>485.35</v>
      </c>
      <c r="GF70" s="67">
        <f t="shared" ref="GF70:GF81" si="1527">FT70+FW70+FZ70++GC70</f>
        <v>0</v>
      </c>
      <c r="GG70" s="64">
        <f t="shared" ref="GG70:GG81" si="1528">GE70-GF70</f>
        <v>485.35</v>
      </c>
      <c r="GH70" s="62"/>
      <c r="GI70" s="63"/>
      <c r="GJ70" s="64">
        <f t="shared" ref="GJ70:GJ81" si="1529">GH70-GI70</f>
        <v>0</v>
      </c>
      <c r="GK70" s="65">
        <v>660.33</v>
      </c>
      <c r="GL70" s="63"/>
      <c r="GM70" s="64">
        <f t="shared" ref="GM70:GM81" si="1530">GK70-GL70</f>
        <v>660.33</v>
      </c>
      <c r="GN70" s="65"/>
      <c r="GO70" s="63"/>
      <c r="GP70" s="64">
        <f t="shared" ref="GP70:GP81" si="1531">GN70-GO70</f>
        <v>0</v>
      </c>
      <c r="GQ70" s="65"/>
      <c r="GR70" s="63"/>
      <c r="GS70" s="64">
        <f t="shared" ref="GS70:GS81" si="1532">GQ70-GR70</f>
        <v>0</v>
      </c>
      <c r="GT70" s="66">
        <f t="shared" ref="GT70:GT121" si="1533">GH70+GK70+GN70+GQ70</f>
        <v>660.33</v>
      </c>
      <c r="GU70" s="67">
        <f t="shared" ref="GU70:GU81" si="1534">GI70+GL70+GO70++GR70</f>
        <v>0</v>
      </c>
      <c r="GV70" s="64">
        <f t="shared" ref="GV70:GV81" si="1535">GT70-GU70</f>
        <v>660.33</v>
      </c>
      <c r="GW70" s="62"/>
      <c r="GX70" s="63"/>
      <c r="GY70" s="64">
        <f t="shared" ref="GY70:GY81" si="1536">GW70-GX70</f>
        <v>0</v>
      </c>
      <c r="GZ70" s="65">
        <v>568.25</v>
      </c>
      <c r="HA70" s="63"/>
      <c r="HB70" s="64">
        <f t="shared" ref="HB70:HB81" si="1537">GZ70-HA70</f>
        <v>568.25</v>
      </c>
      <c r="HC70" s="65"/>
      <c r="HD70" s="63"/>
      <c r="HE70" s="64">
        <f t="shared" ref="HE70:HE81" si="1538">HC70-HD70</f>
        <v>0</v>
      </c>
      <c r="HF70" s="65">
        <v>100</v>
      </c>
      <c r="HG70" s="63"/>
      <c r="HH70" s="64">
        <f t="shared" ref="HH70:HH81" si="1539">HF70-HG70</f>
        <v>100</v>
      </c>
      <c r="HI70" s="66">
        <f t="shared" ref="HI70:HI121" si="1540">GW70+GZ70+HC70+HF70</f>
        <v>668.25</v>
      </c>
      <c r="HJ70" s="67">
        <f t="shared" ref="HJ70:HJ81" si="1541">GX70+HA70+HD70++HG70</f>
        <v>0</v>
      </c>
      <c r="HK70" s="64">
        <f t="shared" ref="HK70:HK81" si="1542">HI70-HJ70</f>
        <v>668.25</v>
      </c>
      <c r="HL70" s="62"/>
      <c r="HM70" s="63"/>
      <c r="HN70" s="64">
        <f t="shared" ref="HN70:HN81" si="1543">HL70-HM70</f>
        <v>0</v>
      </c>
      <c r="HO70" s="65"/>
      <c r="HP70" s="63"/>
      <c r="HQ70" s="64">
        <f t="shared" ref="HQ70:HQ81" si="1544">HO70-HP70</f>
        <v>0</v>
      </c>
      <c r="HR70" s="65"/>
      <c r="HS70" s="63"/>
      <c r="HT70" s="64">
        <f t="shared" ref="HT70:HT81" si="1545">HR70-HS70</f>
        <v>0</v>
      </c>
      <c r="HU70" s="65">
        <v>100</v>
      </c>
      <c r="HV70" s="63"/>
      <c r="HW70" s="64">
        <f t="shared" ref="HW70:HW81" si="1546">HU70-HV70</f>
        <v>100</v>
      </c>
      <c r="HX70" s="66">
        <f t="shared" ref="HX70:HX121" si="1547">HL70+HO70+HR70+HU70</f>
        <v>100</v>
      </c>
      <c r="HY70" s="67">
        <f t="shared" ref="HY70:HY81" si="1548">HM70+HP70+HS70++HV70</f>
        <v>0</v>
      </c>
      <c r="HZ70" s="64">
        <f t="shared" ref="HZ70:HZ81" si="1549">HX70-HY70</f>
        <v>100</v>
      </c>
      <c r="IA70" s="62"/>
      <c r="IB70" s="63"/>
      <c r="IC70" s="64">
        <f t="shared" ref="IC70:IC81" si="1550">IA70-IB70</f>
        <v>0</v>
      </c>
      <c r="ID70" s="65"/>
      <c r="IE70" s="63"/>
      <c r="IF70" s="64">
        <f t="shared" ref="IF70:IF81" si="1551">ID70-IE70</f>
        <v>0</v>
      </c>
      <c r="IG70" s="65"/>
      <c r="IH70" s="63"/>
      <c r="II70" s="64">
        <f t="shared" ref="II70:II81" si="1552">IG70-IH70</f>
        <v>0</v>
      </c>
      <c r="IJ70" s="65">
        <v>100</v>
      </c>
      <c r="IK70" s="63"/>
      <c r="IL70" s="64">
        <f t="shared" ref="IL70:IL81" si="1553">IJ70-IK70</f>
        <v>100</v>
      </c>
      <c r="IM70" s="66">
        <f t="shared" ref="IM70:IM121" si="1554">IA70+ID70+IG70+IJ70</f>
        <v>100</v>
      </c>
      <c r="IN70" s="67">
        <f t="shared" ref="IN70:IN81" si="1555">IB70+IE70+IH70++IK70</f>
        <v>0</v>
      </c>
      <c r="IO70" s="64">
        <f t="shared" ref="IO70:IO81" si="1556">IM70-IN70</f>
        <v>100</v>
      </c>
      <c r="IP70" s="62"/>
      <c r="IQ70" s="63"/>
      <c r="IR70" s="64">
        <f t="shared" ref="IR70:IR81" si="1557">IP70-IQ70</f>
        <v>0</v>
      </c>
      <c r="IS70" s="65"/>
      <c r="IT70" s="63"/>
      <c r="IU70" s="64">
        <f t="shared" ref="IU70:IU81" si="1558">IS70-IT70</f>
        <v>0</v>
      </c>
      <c r="IV70" s="65"/>
      <c r="IW70" s="63"/>
      <c r="IX70" s="64">
        <f t="shared" ref="IX70:IX81" si="1559">IV70-IW70</f>
        <v>0</v>
      </c>
      <c r="IY70" s="65"/>
      <c r="IZ70" s="63"/>
      <c r="JA70" s="64">
        <f t="shared" ref="JA70:JA81" si="1560">IY70-IZ70</f>
        <v>0</v>
      </c>
      <c r="JB70" s="66">
        <f t="shared" ref="JB70:JB121" si="1561">IP70+IS70+IV70+IY70</f>
        <v>0</v>
      </c>
      <c r="JC70" s="67">
        <f t="shared" ref="JC70:JC81" si="1562">IQ70+IT70+IW70++IZ70</f>
        <v>0</v>
      </c>
      <c r="JD70" s="64">
        <f t="shared" ref="JD70:JD81" si="1563">JB70-JC70</f>
        <v>0</v>
      </c>
      <c r="JE70" s="72"/>
      <c r="JF70" s="150"/>
      <c r="JG70" s="74"/>
      <c r="JH70" s="75"/>
      <c r="JI70" s="150"/>
      <c r="JJ70" s="74"/>
      <c r="JK70" s="75"/>
      <c r="JL70" s="150"/>
      <c r="JM70" s="74"/>
      <c r="JN70" s="75"/>
      <c r="JO70" s="150"/>
      <c r="JP70" s="74"/>
      <c r="JQ70" s="76"/>
      <c r="JR70" s="77"/>
      <c r="JS70" s="74"/>
      <c r="JT70" s="72"/>
      <c r="JU70" s="73"/>
      <c r="JV70" s="74"/>
      <c r="JW70" s="75"/>
      <c r="JX70" s="73"/>
      <c r="JY70" s="74"/>
      <c r="JZ70" s="75"/>
      <c r="KA70" s="73"/>
      <c r="KB70" s="74"/>
      <c r="KC70" s="75"/>
      <c r="KD70" s="73"/>
      <c r="KE70" s="74"/>
      <c r="KF70" s="76"/>
      <c r="KG70" s="77"/>
      <c r="KH70" s="64">
        <f t="shared" ref="KH70:KH81" si="1564">KF70-KG70</f>
        <v>0</v>
      </c>
      <c r="KI70" s="62"/>
      <c r="KJ70" s="63"/>
      <c r="KK70" s="64">
        <f t="shared" ref="KK70:KK81" si="1565">KI70-KJ70</f>
        <v>0</v>
      </c>
      <c r="KL70" s="65"/>
      <c r="KM70" s="63"/>
      <c r="KN70" s="64">
        <f t="shared" ref="KN70:KN81" si="1566">KL70-KM70</f>
        <v>0</v>
      </c>
      <c r="KO70" s="65"/>
      <c r="KP70" s="63"/>
      <c r="KQ70" s="64">
        <f t="shared" ref="KQ70:KQ81" si="1567">KO70-KP70</f>
        <v>0</v>
      </c>
      <c r="KR70" s="65"/>
      <c r="KS70" s="63"/>
      <c r="KT70" s="64">
        <f t="shared" ref="KT70:KT81" si="1568">KR70-KS70</f>
        <v>0</v>
      </c>
      <c r="KU70" s="66">
        <f t="shared" si="1439"/>
        <v>0</v>
      </c>
      <c r="KV70" s="67">
        <f t="shared" ref="KV70:KV81" si="1569">KJ70+KM70+KP70++KS70</f>
        <v>0</v>
      </c>
      <c r="KW70" s="64">
        <f t="shared" ref="KW70:KW81" si="1570">KU70-KV70</f>
        <v>0</v>
      </c>
      <c r="KX70" s="72"/>
      <c r="KY70" s="73"/>
      <c r="KZ70" s="74"/>
      <c r="LA70" s="75"/>
      <c r="LB70" s="73"/>
      <c r="LC70" s="74"/>
      <c r="LD70" s="75"/>
      <c r="LE70" s="73"/>
      <c r="LF70" s="74"/>
      <c r="LG70" s="75"/>
      <c r="LH70" s="73"/>
      <c r="LI70" s="74"/>
      <c r="LJ70" s="76"/>
      <c r="LK70" s="77"/>
      <c r="LL70" s="74"/>
      <c r="LM70" s="62"/>
      <c r="LN70" s="63"/>
      <c r="LO70" s="64">
        <f t="shared" ref="LO70:LO81" si="1571">LM70-LN70</f>
        <v>0</v>
      </c>
      <c r="LP70" s="65"/>
      <c r="LQ70" s="63"/>
      <c r="LR70" s="64">
        <f t="shared" ref="LR70:LR81" si="1572">LP70-LQ70</f>
        <v>0</v>
      </c>
      <c r="LS70" s="65"/>
      <c r="LT70" s="63"/>
      <c r="LU70" s="64">
        <f t="shared" ref="LU70:LU81" si="1573">LS70-LT70</f>
        <v>0</v>
      </c>
      <c r="LV70" s="65">
        <v>100</v>
      </c>
      <c r="LW70" s="63"/>
      <c r="LX70" s="64">
        <f t="shared" ref="LX70:LX81" si="1574">LV70-LW70</f>
        <v>100</v>
      </c>
      <c r="LY70" s="66">
        <f t="shared" ref="LY70:LY121" si="1575">LM70+LP70+LS70+LV70</f>
        <v>100</v>
      </c>
      <c r="LZ70" s="67">
        <f t="shared" ref="LZ70:LZ81" si="1576">LN70+LQ70+LT70++LW70</f>
        <v>0</v>
      </c>
      <c r="MA70" s="64">
        <f t="shared" ref="MA70:MA81" si="1577">LY70-LZ70</f>
        <v>100</v>
      </c>
      <c r="MB70" s="62"/>
      <c r="MC70" s="63"/>
      <c r="MD70" s="64">
        <f t="shared" ref="MD70:MD81" si="1578">MB70-MC70</f>
        <v>0</v>
      </c>
      <c r="ME70" s="65">
        <v>889.11</v>
      </c>
      <c r="MF70" s="63"/>
      <c r="MG70" s="64">
        <f t="shared" ref="MG70:MG81" si="1579">ME70-MF70</f>
        <v>889.11</v>
      </c>
      <c r="MH70" s="65"/>
      <c r="MI70" s="63"/>
      <c r="MJ70" s="64">
        <f t="shared" ref="MJ70:MJ81" si="1580">MH70-MI70</f>
        <v>0</v>
      </c>
      <c r="MK70" s="65">
        <v>100</v>
      </c>
      <c r="ML70" s="63"/>
      <c r="MM70" s="64">
        <f t="shared" ref="MM70:MM81" si="1581">MK70-ML70</f>
        <v>100</v>
      </c>
      <c r="MN70" s="66">
        <f t="shared" ref="MN70:MN121" si="1582">MB70+ME70+MH70+MK70</f>
        <v>989.11</v>
      </c>
      <c r="MO70" s="67">
        <f t="shared" ref="MO70:MO81" si="1583">MC70+MF70+MI70++ML70</f>
        <v>0</v>
      </c>
      <c r="MP70" s="64">
        <f t="shared" ref="MP70:MP81" si="1584">MN70-MO70</f>
        <v>989.11</v>
      </c>
      <c r="MQ70" s="62"/>
      <c r="MR70" s="63"/>
      <c r="MS70" s="64">
        <f t="shared" ref="MS70:MS81" si="1585">MQ70-MR70</f>
        <v>0</v>
      </c>
      <c r="MT70" s="65"/>
      <c r="MU70" s="63"/>
      <c r="MV70" s="64">
        <f t="shared" ref="MV70:MV81" si="1586">MT70-MU70</f>
        <v>0</v>
      </c>
      <c r="MW70" s="65"/>
      <c r="MX70" s="63"/>
      <c r="MY70" s="64">
        <f t="shared" ref="MY70:MY81" si="1587">MW70-MX70</f>
        <v>0</v>
      </c>
      <c r="MZ70" s="65"/>
      <c r="NA70" s="63"/>
      <c r="NB70" s="64">
        <f t="shared" ref="NB70:NB81" si="1588">MZ70-NA70</f>
        <v>0</v>
      </c>
      <c r="NC70" s="66">
        <f t="shared" ref="NC70:NC121" si="1589">MQ70+MT70+MW70+MZ70</f>
        <v>0</v>
      </c>
      <c r="ND70" s="67">
        <f t="shared" ref="ND70:ND81" si="1590">MR70+MU70+MX70++NA70</f>
        <v>0</v>
      </c>
      <c r="NE70" s="64">
        <f t="shared" ref="NE70:NE81" si="1591">NC70-ND70</f>
        <v>0</v>
      </c>
      <c r="NF70" s="62"/>
      <c r="NG70" s="63"/>
      <c r="NH70" s="64">
        <f t="shared" ref="NH70:NH81" si="1592">NF70-NG70</f>
        <v>0</v>
      </c>
      <c r="NI70" s="65">
        <v>1164.04</v>
      </c>
      <c r="NJ70" s="63"/>
      <c r="NK70" s="64">
        <f t="shared" ref="NK70:NK81" si="1593">NI70-NJ70</f>
        <v>1164.04</v>
      </c>
      <c r="NL70" s="65"/>
      <c r="NM70" s="63"/>
      <c r="NN70" s="64">
        <f t="shared" ref="NN70:NN81" si="1594">NL70-NM70</f>
        <v>0</v>
      </c>
      <c r="NO70" s="65">
        <v>100</v>
      </c>
      <c r="NP70" s="63"/>
      <c r="NQ70" s="64">
        <f t="shared" ref="NQ70:NQ81" si="1595">NO70-NP70</f>
        <v>100</v>
      </c>
      <c r="NR70" s="66">
        <f t="shared" ref="NR70:NR121" si="1596">NF70+NI70+NL70+NO70</f>
        <v>1264.04</v>
      </c>
      <c r="NS70" s="67">
        <f t="shared" ref="NS70:NS81" si="1597">NG70+NJ70+NM70++NP70</f>
        <v>0</v>
      </c>
      <c r="NT70" s="64">
        <f t="shared" ref="NT70:NT81" si="1598">NR70-NS70</f>
        <v>1264.04</v>
      </c>
      <c r="NU70" s="62"/>
      <c r="NV70" s="63"/>
      <c r="NW70" s="64">
        <f t="shared" ref="NW70:NW81" si="1599">NU70-NV70</f>
        <v>0</v>
      </c>
      <c r="NX70" s="65">
        <v>1152.73</v>
      </c>
      <c r="NY70" s="63"/>
      <c r="NZ70" s="64">
        <f t="shared" ref="NZ70:NZ81" si="1600">NX70-NY70</f>
        <v>1152.73</v>
      </c>
      <c r="OA70" s="65"/>
      <c r="OB70" s="63"/>
      <c r="OC70" s="64">
        <f t="shared" ref="OC70:OC81" si="1601">OA70-OB70</f>
        <v>0</v>
      </c>
      <c r="OD70" s="65">
        <v>100</v>
      </c>
      <c r="OE70" s="63"/>
      <c r="OF70" s="64">
        <f t="shared" ref="OF70:OF81" si="1602">OD70-OE70</f>
        <v>100</v>
      </c>
      <c r="OG70" s="66">
        <f t="shared" ref="OG70:OG121" si="1603">NU70+NX70+OA70+OD70</f>
        <v>1252.73</v>
      </c>
      <c r="OH70" s="67">
        <f t="shared" ref="OH70:OH81" si="1604">NV70+NY70+OB70++OE70</f>
        <v>0</v>
      </c>
      <c r="OI70" s="64">
        <f t="shared" ref="OI70:OI81" si="1605">OG70-OH70</f>
        <v>1252.73</v>
      </c>
      <c r="OJ70" s="62"/>
      <c r="OK70" s="63"/>
      <c r="OL70" s="64">
        <f t="shared" ref="OL70:OL81" si="1606">OJ70-OK70</f>
        <v>0</v>
      </c>
      <c r="OM70" s="65"/>
      <c r="ON70" s="63"/>
      <c r="OO70" s="64">
        <f t="shared" ref="OO70:OO81" si="1607">OM70-ON70</f>
        <v>0</v>
      </c>
      <c r="OP70" s="65"/>
      <c r="OQ70" s="63"/>
      <c r="OR70" s="64">
        <f t="shared" ref="OR70:OR81" si="1608">OP70-OQ70</f>
        <v>0</v>
      </c>
      <c r="OS70" s="65">
        <v>100</v>
      </c>
      <c r="OT70" s="63"/>
      <c r="OU70" s="64">
        <f t="shared" ref="OU70:OU81" si="1609">OS70-OT70</f>
        <v>100</v>
      </c>
      <c r="OV70" s="66">
        <f t="shared" ref="OV70:OV121" si="1610">OJ70+OM70+OP70+OS70</f>
        <v>100</v>
      </c>
      <c r="OW70" s="67">
        <f t="shared" ref="OW70:OW81" si="1611">OK70+ON70+OQ70++OT70</f>
        <v>0</v>
      </c>
      <c r="OX70" s="64">
        <f t="shared" ref="OX70:OX81" si="1612">OV70-OW70</f>
        <v>100</v>
      </c>
      <c r="OY70" s="62"/>
      <c r="OZ70" s="63"/>
      <c r="PA70" s="64">
        <f t="shared" ref="PA70:PA81" si="1613">OY70-OZ70</f>
        <v>0</v>
      </c>
      <c r="PB70" s="65"/>
      <c r="PC70" s="63"/>
      <c r="PD70" s="64">
        <f t="shared" ref="PD70:PD81" si="1614">PB70-PC70</f>
        <v>0</v>
      </c>
      <c r="PE70" s="65"/>
      <c r="PF70" s="63"/>
      <c r="PG70" s="64">
        <f t="shared" ref="PG70:PG81" si="1615">PE70-PF70</f>
        <v>0</v>
      </c>
      <c r="PH70" s="65">
        <v>100</v>
      </c>
      <c r="PI70" s="63"/>
      <c r="PJ70" s="64">
        <f t="shared" ref="PJ70:PJ81" si="1616">PH70-PI70</f>
        <v>100</v>
      </c>
      <c r="PK70" s="66">
        <f t="shared" ref="PK70:PK121" si="1617">OY70+PB70+PE70+PH70</f>
        <v>100</v>
      </c>
      <c r="PL70" s="67">
        <f t="shared" ref="PL70:PL81" si="1618">OZ70+PC70+PF70++PI70</f>
        <v>0</v>
      </c>
      <c r="PM70" s="64">
        <f t="shared" ref="PM70:PM81" si="1619">PK70-PL70</f>
        <v>100</v>
      </c>
      <c r="PN70" s="62">
        <v>1550</v>
      </c>
      <c r="PO70" s="63"/>
      <c r="PP70" s="64">
        <f t="shared" ref="PP70:PP81" si="1620">PN70-PO70</f>
        <v>1550</v>
      </c>
      <c r="PQ70" s="65"/>
      <c r="PR70" s="63"/>
      <c r="PS70" s="64">
        <f t="shared" ref="PS70:PS81" si="1621">PQ70-PR70</f>
        <v>0</v>
      </c>
      <c r="PT70" s="65"/>
      <c r="PU70" s="63"/>
      <c r="PV70" s="64">
        <f t="shared" ref="PV70:PV81" si="1622">PT70-PU70</f>
        <v>0</v>
      </c>
      <c r="PW70" s="65">
        <v>100</v>
      </c>
      <c r="PX70" s="63"/>
      <c r="PY70" s="64">
        <f t="shared" ref="PY70:PY81" si="1623">PW70-PX70</f>
        <v>100</v>
      </c>
      <c r="PZ70" s="66">
        <f t="shared" ref="PZ70:PZ121" si="1624">PN70+PQ70+PT70+PW70</f>
        <v>1650</v>
      </c>
      <c r="QA70" s="67">
        <f t="shared" ref="QA70:QA81" si="1625">PO70+PR70+PU70++PX70</f>
        <v>0</v>
      </c>
      <c r="QB70" s="64">
        <f t="shared" ref="QB70:QB81" si="1626">PZ70-QA70</f>
        <v>1650</v>
      </c>
      <c r="QC70" s="62"/>
      <c r="QD70" s="63"/>
      <c r="QE70" s="64">
        <f t="shared" ref="QE70:QE81" si="1627">QC70-QD70</f>
        <v>0</v>
      </c>
      <c r="QF70" s="65"/>
      <c r="QG70" s="63"/>
      <c r="QH70" s="64">
        <f t="shared" ref="QH70:QH81" si="1628">QF70-QG70</f>
        <v>0</v>
      </c>
      <c r="QI70" s="65"/>
      <c r="QJ70" s="63"/>
      <c r="QK70" s="64">
        <f t="shared" ref="QK70:QK81" si="1629">QI70-QJ70</f>
        <v>0</v>
      </c>
      <c r="QL70" s="65">
        <v>100</v>
      </c>
      <c r="QM70" s="63"/>
      <c r="QN70" s="64">
        <f t="shared" ref="QN70:QN81" si="1630">QL70-QM70</f>
        <v>100</v>
      </c>
      <c r="QO70" s="66">
        <f t="shared" ref="QO70:QO121" si="1631">QC70+QF70+QI70+QL70</f>
        <v>100</v>
      </c>
      <c r="QP70" s="67">
        <f t="shared" ref="QP70:QP81" si="1632">QD70+QG70+QJ70++QM70</f>
        <v>0</v>
      </c>
      <c r="QQ70" s="64">
        <f t="shared" ref="QQ70:QQ81" si="1633">QO70-QP70</f>
        <v>100</v>
      </c>
      <c r="QR70" s="74"/>
      <c r="QS70" s="74"/>
      <c r="QT70" s="72"/>
      <c r="QU70" s="73"/>
      <c r="QV70" s="74"/>
      <c r="QW70" s="75"/>
      <c r="QX70" s="73"/>
      <c r="QY70" s="74"/>
      <c r="QZ70" s="75"/>
      <c r="RA70" s="73"/>
      <c r="RB70" s="74"/>
      <c r="RC70" s="75"/>
      <c r="RD70" s="73"/>
      <c r="RE70" s="74"/>
      <c r="RF70" s="74"/>
      <c r="RG70" s="72"/>
      <c r="RH70" s="73"/>
      <c r="RI70" s="74"/>
      <c r="RJ70" s="75"/>
      <c r="RK70" s="73"/>
      <c r="RL70" s="74"/>
      <c r="RM70" s="75"/>
      <c r="RN70" s="73"/>
      <c r="RO70" s="74"/>
      <c r="RP70" s="75"/>
      <c r="RQ70" s="73"/>
      <c r="RR70" s="74"/>
      <c r="RS70" s="76"/>
      <c r="RT70" s="77"/>
      <c r="RU70" s="74"/>
      <c r="RV70" s="74"/>
      <c r="RW70" s="72"/>
      <c r="RX70" s="73"/>
      <c r="RY70" s="74"/>
      <c r="RZ70" s="75"/>
      <c r="SA70" s="73"/>
      <c r="SB70" s="74"/>
      <c r="SC70" s="75"/>
      <c r="SD70" s="73"/>
      <c r="SE70" s="74"/>
      <c r="SF70" s="75"/>
      <c r="SG70" s="73"/>
      <c r="SH70" s="74"/>
      <c r="SI70" s="76"/>
      <c r="SJ70" s="64">
        <f t="shared" ref="SJ70:SJ81" si="1634">SH70-SI70</f>
        <v>0</v>
      </c>
      <c r="SK70" s="62"/>
      <c r="SL70" s="63"/>
      <c r="SM70" s="64">
        <f t="shared" ref="SM70:SM81" si="1635">SK70-SL70</f>
        <v>0</v>
      </c>
      <c r="SN70" s="65"/>
      <c r="SO70" s="63"/>
      <c r="SP70" s="64">
        <f t="shared" ref="SP70:SP81" si="1636">SN70-SO70</f>
        <v>0</v>
      </c>
      <c r="SQ70" s="65"/>
      <c r="SR70" s="63"/>
      <c r="SS70" s="64">
        <f t="shared" ref="SS70:SS81" si="1637">SQ70-SR70</f>
        <v>0</v>
      </c>
      <c r="ST70" s="65">
        <v>100</v>
      </c>
      <c r="SU70" s="63"/>
      <c r="SV70" s="64">
        <f t="shared" ref="SV70:SV81" si="1638">ST70-SU70</f>
        <v>100</v>
      </c>
      <c r="SW70" s="66">
        <f t="shared" ref="SW70:SW121" si="1639">SK70+SN70+SQ70+ST70</f>
        <v>100</v>
      </c>
      <c r="SX70" s="67">
        <f t="shared" ref="SX70:SX81" si="1640">SL70+SO70+SR70++SU70</f>
        <v>0</v>
      </c>
      <c r="SY70" s="64">
        <f t="shared" ref="SY70:SY81" si="1641">SW70-SX70</f>
        <v>100</v>
      </c>
      <c r="SZ70" s="62">
        <v>985.33</v>
      </c>
      <c r="TA70" s="63"/>
      <c r="TB70" s="64">
        <f t="shared" ref="TB70:TB81" si="1642">SZ70-TA70</f>
        <v>985.33</v>
      </c>
      <c r="TC70" s="65">
        <v>700.9</v>
      </c>
      <c r="TD70" s="63"/>
      <c r="TE70" s="64">
        <f t="shared" ref="TE70:TE81" si="1643">TC70-TD70</f>
        <v>700.9</v>
      </c>
      <c r="TF70" s="65"/>
      <c r="TG70" s="63"/>
      <c r="TH70" s="64">
        <f t="shared" ref="TH70:TH81" si="1644">TF70-TG70</f>
        <v>0</v>
      </c>
      <c r="TI70" s="65">
        <v>100</v>
      </c>
      <c r="TJ70" s="63"/>
      <c r="TK70" s="64">
        <f t="shared" ref="TK70:TK81" si="1645">TI70-TJ70</f>
        <v>100</v>
      </c>
      <c r="TL70" s="66">
        <f t="shared" ref="TL70:TL121" si="1646">SZ70+TC70+TF70+TI70</f>
        <v>1786.23</v>
      </c>
      <c r="TM70" s="67">
        <f t="shared" ref="TM70:TM81" si="1647">TA70+TD70+TG70++TJ70</f>
        <v>0</v>
      </c>
      <c r="TN70" s="64">
        <f t="shared" ref="TN70:TN81" si="1648">TL70-TM70</f>
        <v>1786.23</v>
      </c>
      <c r="TO70" s="62"/>
      <c r="TP70" s="63"/>
      <c r="TQ70" s="64">
        <f t="shared" ref="TQ70:TQ81" si="1649">TO70-TP70</f>
        <v>0</v>
      </c>
      <c r="TR70" s="65"/>
      <c r="TS70" s="63"/>
      <c r="TT70" s="64">
        <f t="shared" ref="TT70:TT81" si="1650">TR70-TS70</f>
        <v>0</v>
      </c>
      <c r="TU70" s="65"/>
      <c r="TV70" s="63"/>
      <c r="TW70" s="64">
        <f t="shared" ref="TW70:TW81" si="1651">TU70-TV70</f>
        <v>0</v>
      </c>
      <c r="TX70" s="65">
        <v>100</v>
      </c>
      <c r="TY70" s="63"/>
      <c r="TZ70" s="64">
        <f t="shared" ref="TZ70:TZ81" si="1652">TX70-TY70</f>
        <v>100</v>
      </c>
      <c r="UA70" s="66">
        <f t="shared" ref="UA70:UA121" si="1653">TO70+TR70+TU70+TX70</f>
        <v>100</v>
      </c>
      <c r="UB70" s="67">
        <f t="shared" ref="UB70:UB81" si="1654">TP70+TS70+TV70++TY70</f>
        <v>0</v>
      </c>
      <c r="UC70" s="64">
        <f t="shared" ref="UC70:UC81" si="1655">UA70-UB70</f>
        <v>100</v>
      </c>
      <c r="UD70" s="62">
        <v>1125</v>
      </c>
      <c r="UE70" s="63"/>
      <c r="UF70" s="64">
        <f t="shared" ref="UF70:UF81" si="1656">UD70-UE70</f>
        <v>1125</v>
      </c>
      <c r="UG70" s="65">
        <v>497.04</v>
      </c>
      <c r="UH70" s="63"/>
      <c r="UI70" s="64">
        <f t="shared" ref="UI70:UI81" si="1657">UG70-UH70</f>
        <v>497.04</v>
      </c>
      <c r="UJ70" s="65"/>
      <c r="UK70" s="63"/>
      <c r="UL70" s="64">
        <f t="shared" ref="UL70:UL81" si="1658">UJ70-UK70</f>
        <v>0</v>
      </c>
      <c r="UM70" s="65">
        <v>100</v>
      </c>
      <c r="UN70" s="63"/>
      <c r="UO70" s="64">
        <f t="shared" ref="UO70:UO81" si="1659">UM70-UN70</f>
        <v>100</v>
      </c>
      <c r="UP70" s="66">
        <f t="shared" ref="UP70:UP121" si="1660">UD70+UG70+UJ70+UM70</f>
        <v>1722.04</v>
      </c>
      <c r="UQ70" s="67">
        <f t="shared" ref="UQ70:UQ81" si="1661">UE70+UH70+UK70++UN70</f>
        <v>0</v>
      </c>
      <c r="UR70" s="64">
        <f t="shared" ref="UR70:UR81" si="1662">UP70-UQ70</f>
        <v>1722.04</v>
      </c>
      <c r="US70" s="74"/>
      <c r="UT70" s="72"/>
      <c r="UU70" s="73"/>
      <c r="UV70" s="74"/>
      <c r="UW70" s="75"/>
      <c r="UX70" s="73"/>
      <c r="UY70" s="74"/>
      <c r="UZ70" s="75"/>
      <c r="VA70" s="73"/>
      <c r="VB70" s="74"/>
      <c r="VC70" s="75"/>
      <c r="VD70" s="73"/>
      <c r="VE70" s="74"/>
      <c r="VF70" s="76"/>
      <c r="VG70" s="77"/>
      <c r="VH70" s="62"/>
      <c r="VI70" s="63"/>
      <c r="VJ70" s="64">
        <f t="shared" ref="VJ70:VJ81" si="1663">VH70-VI70</f>
        <v>0</v>
      </c>
      <c r="VK70" s="65"/>
      <c r="VL70" s="63"/>
      <c r="VM70" s="64">
        <f t="shared" ref="VM70:VM81" si="1664">VK70-VL70</f>
        <v>0</v>
      </c>
      <c r="VN70" s="65"/>
      <c r="VO70" s="63"/>
      <c r="VP70" s="64">
        <f t="shared" ref="VP70:VP81" si="1665">VN70-VO70</f>
        <v>0</v>
      </c>
      <c r="VQ70" s="65">
        <v>100</v>
      </c>
      <c r="VR70" s="63"/>
      <c r="VS70" s="64">
        <f t="shared" ref="VS70:VS81" si="1666">VQ70-VR70</f>
        <v>100</v>
      </c>
      <c r="VT70" s="66">
        <f t="shared" ref="VT70:VT121" si="1667">VH70+VK70+VN70+VQ70</f>
        <v>100</v>
      </c>
      <c r="VU70" s="67">
        <f t="shared" ref="VU70:VU81" si="1668">VI70+VL70+VO70++VR70</f>
        <v>0</v>
      </c>
      <c r="VV70" s="64">
        <f t="shared" ref="VV70:VV81" si="1669">VT70-VU70</f>
        <v>100</v>
      </c>
      <c r="VW70" s="74"/>
      <c r="VX70" s="72"/>
      <c r="VY70" s="73"/>
      <c r="VZ70" s="74"/>
      <c r="WA70" s="75"/>
      <c r="WB70" s="73"/>
      <c r="WC70" s="74"/>
      <c r="WD70" s="75"/>
      <c r="WE70" s="73"/>
      <c r="WF70" s="74"/>
      <c r="WG70" s="75"/>
      <c r="WH70" s="73"/>
      <c r="WI70" s="74"/>
      <c r="WJ70" s="76"/>
      <c r="WK70" s="77"/>
      <c r="WL70" s="74"/>
      <c r="WM70" s="72"/>
      <c r="WN70" s="73"/>
      <c r="WO70" s="74"/>
      <c r="WP70" s="75"/>
      <c r="WQ70" s="73"/>
      <c r="WR70" s="74"/>
      <c r="WS70" s="75"/>
      <c r="WT70" s="73"/>
      <c r="WU70" s="74"/>
      <c r="WV70" s="75"/>
      <c r="WW70" s="73"/>
      <c r="WX70" s="74"/>
      <c r="WY70" s="76"/>
      <c r="WZ70" s="77"/>
      <c r="XA70" s="74"/>
      <c r="XB70" s="72"/>
      <c r="XC70" s="73"/>
      <c r="XD70" s="74"/>
      <c r="XE70" s="75"/>
      <c r="XF70" s="73"/>
      <c r="XG70" s="74"/>
      <c r="XH70" s="75"/>
      <c r="XI70" s="73"/>
      <c r="XJ70" s="74"/>
      <c r="XK70" s="75"/>
      <c r="XL70" s="73"/>
      <c r="XM70" s="74"/>
      <c r="XN70" s="76"/>
      <c r="XO70" s="77"/>
      <c r="XP70" s="62"/>
      <c r="XQ70" s="63"/>
      <c r="XR70" s="64">
        <f t="shared" ref="XR70:XR81" si="1670">XP70-XQ70</f>
        <v>0</v>
      </c>
      <c r="XS70" s="65">
        <v>844.24</v>
      </c>
      <c r="XT70" s="63"/>
      <c r="XU70" s="64">
        <f t="shared" ref="XU70:XU81" si="1671">XS70-XT70</f>
        <v>844.24</v>
      </c>
      <c r="XV70" s="65"/>
      <c r="XW70" s="63"/>
      <c r="XX70" s="64">
        <f t="shared" ref="XX70:XX81" si="1672">XV70-XW70</f>
        <v>0</v>
      </c>
      <c r="XY70" s="65">
        <v>100</v>
      </c>
      <c r="XZ70" s="63"/>
      <c r="YA70" s="64">
        <f t="shared" ref="YA70:YA81" si="1673">XY70-XZ70</f>
        <v>100</v>
      </c>
      <c r="YB70" s="66">
        <f t="shared" ref="YB70:YB121" si="1674">XP70+XS70+XV70+XY70</f>
        <v>944.24</v>
      </c>
      <c r="YC70" s="67">
        <f t="shared" ref="YC70:YC81" si="1675">XQ70+XT70+XW70++XZ70</f>
        <v>0</v>
      </c>
      <c r="YD70" s="64">
        <f t="shared" ref="YD70:YD81" si="1676">YB70-YC70</f>
        <v>944.24</v>
      </c>
      <c r="YE70" s="62"/>
      <c r="YF70" s="63"/>
      <c r="YG70" s="64">
        <f t="shared" ref="YG70:YG81" si="1677">YE70-YF70</f>
        <v>0</v>
      </c>
      <c r="YH70" s="65">
        <v>847.85</v>
      </c>
      <c r="YI70" s="63"/>
      <c r="YJ70" s="64">
        <f t="shared" ref="YJ70:YJ81" si="1678">YH70-YI70</f>
        <v>847.85</v>
      </c>
      <c r="YK70" s="65"/>
      <c r="YL70" s="63"/>
      <c r="YM70" s="64">
        <f t="shared" ref="YM70:YM81" si="1679">YK70-YL70</f>
        <v>0</v>
      </c>
      <c r="YN70" s="65">
        <v>100</v>
      </c>
      <c r="YO70" s="63"/>
      <c r="YP70" s="64">
        <f t="shared" ref="YP70:YP81" si="1680">YN70-YO70</f>
        <v>100</v>
      </c>
      <c r="YQ70" s="66">
        <f t="shared" ref="YQ70:YQ121" si="1681">YE70+YH70+YK70+YN70</f>
        <v>947.85</v>
      </c>
      <c r="YR70" s="67">
        <f t="shared" ref="YR70:YR81" si="1682">YF70+YI70+YL70++YO70</f>
        <v>0</v>
      </c>
      <c r="YS70" s="64">
        <f t="shared" ref="YS70:YS81" si="1683">YQ70-YR70</f>
        <v>947.85</v>
      </c>
      <c r="YT70" s="62"/>
      <c r="YU70" s="63"/>
      <c r="YV70" s="64">
        <f t="shared" ref="YV70:YV81" si="1684">YT70-YU70</f>
        <v>0</v>
      </c>
      <c r="YW70" s="65">
        <v>695.73</v>
      </c>
      <c r="YX70" s="63"/>
      <c r="YY70" s="64">
        <f t="shared" ref="YY70:YY81" si="1685">YW70-YX70</f>
        <v>695.73</v>
      </c>
      <c r="YZ70" s="65"/>
      <c r="ZA70" s="63"/>
      <c r="ZB70" s="64">
        <f t="shared" ref="ZB70:ZB81" si="1686">YZ70-ZA70</f>
        <v>0</v>
      </c>
      <c r="ZC70" s="65">
        <v>100</v>
      </c>
      <c r="ZD70" s="63"/>
      <c r="ZE70" s="64">
        <f t="shared" ref="ZE70:ZE81" si="1687">ZC70-ZD70</f>
        <v>100</v>
      </c>
      <c r="ZF70" s="66">
        <f t="shared" ref="ZF70:ZF121" si="1688">YT70+YW70+YZ70+ZC70</f>
        <v>795.73</v>
      </c>
      <c r="ZG70" s="67">
        <f t="shared" ref="ZG70:ZG81" si="1689">YU70+YX70+ZA70++ZD70</f>
        <v>0</v>
      </c>
      <c r="ZH70" s="74"/>
      <c r="ZI70" s="72"/>
      <c r="ZJ70" s="73"/>
      <c r="ZK70" s="74"/>
      <c r="ZL70" s="75"/>
      <c r="ZM70" s="73"/>
      <c r="ZN70" s="74"/>
      <c r="ZO70" s="75"/>
      <c r="ZP70" s="73"/>
      <c r="ZQ70" s="74"/>
      <c r="ZR70" s="75"/>
      <c r="ZS70" s="73"/>
      <c r="ZT70" s="74"/>
      <c r="ZU70" s="76"/>
      <c r="ZV70" s="77"/>
      <c r="ZW70" s="64">
        <f t="shared" ref="ZW70:ZW81" si="1690">ZU70-ZV70</f>
        <v>0</v>
      </c>
      <c r="ZX70" s="62">
        <v>24.71</v>
      </c>
      <c r="ZY70" s="63"/>
      <c r="ZZ70" s="64">
        <f t="shared" ref="ZZ70:ZZ81" si="1691">ZX70-ZY70</f>
        <v>24.71</v>
      </c>
      <c r="AAA70" s="66">
        <f t="shared" ref="AAA70:AAB121" si="1692">ZX70</f>
        <v>24.71</v>
      </c>
      <c r="AAB70" s="67">
        <f t="shared" si="1692"/>
        <v>0</v>
      </c>
      <c r="AAC70" s="64">
        <f t="shared" ref="AAC70:AAC81" si="1693">AAA70-AAB70</f>
        <v>24.71</v>
      </c>
      <c r="AAD70" s="78">
        <f t="shared" ref="AAD70:AAE120" si="1694">ZU70+ZF70+YQ70+YB70+XM70+WX70+VT70+VE70+UP70+UA70+TL70+SW70+SH70+RS70+RD70+QO70+PZ70+PK70+OV70+OG70+NR70+NC70+MN70+LY70+KU70+KF70+JQ70+JB70+IM70+HX70+HI70+GT70+GE70+FP70+FA70+EL70+DW70+DH70+CS70+CD70+BO70+AZ70+AK70+V70+LJ70</f>
        <v>29217.870000000003</v>
      </c>
      <c r="AAE70" s="79">
        <f t="shared" si="1694"/>
        <v>0</v>
      </c>
      <c r="AAF70" s="80">
        <f t="shared" si="1457"/>
        <v>0</v>
      </c>
      <c r="AAG70" s="81">
        <f t="shared" ref="AAG70:AAG81" si="1695">AAE70-AAD70</f>
        <v>-29217.870000000003</v>
      </c>
      <c r="AAH70" s="58" t="s">
        <v>136</v>
      </c>
      <c r="AAI70" s="59"/>
      <c r="AAJ70" s="59"/>
      <c r="AAK70" s="60">
        <v>2027</v>
      </c>
    </row>
    <row r="71" spans="1:713" s="83" customFormat="1" ht="20" customHeight="1" x14ac:dyDescent="0.2">
      <c r="A71" s="153"/>
      <c r="B71" s="58"/>
      <c r="C71" s="59"/>
      <c r="D71" s="59"/>
      <c r="E71" s="60"/>
      <c r="F71" s="61">
        <v>46419</v>
      </c>
      <c r="G71" s="62"/>
      <c r="H71" s="63"/>
      <c r="I71" s="64">
        <f t="shared" si="1458"/>
        <v>0</v>
      </c>
      <c r="J71" s="65">
        <v>4160.16</v>
      </c>
      <c r="K71" s="63"/>
      <c r="L71" s="64">
        <f t="shared" si="1459"/>
        <v>4160.16</v>
      </c>
      <c r="M71" s="65">
        <v>2500</v>
      </c>
      <c r="N71" s="63"/>
      <c r="O71" s="64">
        <f t="shared" si="1460"/>
        <v>2500</v>
      </c>
      <c r="P71" s="65">
        <v>500</v>
      </c>
      <c r="Q71" s="63"/>
      <c r="R71" s="64">
        <f t="shared" si="1461"/>
        <v>500</v>
      </c>
      <c r="S71" s="65">
        <v>181</v>
      </c>
      <c r="T71" s="63"/>
      <c r="U71" s="64">
        <f t="shared" si="1462"/>
        <v>181</v>
      </c>
      <c r="V71" s="66">
        <f t="shared" si="1463"/>
        <v>7341.16</v>
      </c>
      <c r="W71" s="67">
        <f t="shared" si="1463"/>
        <v>0</v>
      </c>
      <c r="X71" s="64">
        <f t="shared" si="1464"/>
        <v>7341.16</v>
      </c>
      <c r="Y71" s="72"/>
      <c r="Z71" s="73"/>
      <c r="AA71" s="74"/>
      <c r="AB71" s="75"/>
      <c r="AC71" s="73"/>
      <c r="AD71" s="74"/>
      <c r="AE71" s="75"/>
      <c r="AF71" s="73"/>
      <c r="AG71" s="74"/>
      <c r="AH71" s="75"/>
      <c r="AI71" s="73"/>
      <c r="AJ71" s="74"/>
      <c r="AK71" s="76"/>
      <c r="AL71" s="77"/>
      <c r="AM71" s="64">
        <f t="shared" si="1465"/>
        <v>0</v>
      </c>
      <c r="AN71" s="62"/>
      <c r="AO71" s="63"/>
      <c r="AP71" s="64">
        <f t="shared" ref="AP71:AP81" si="1696">AN71-AO71</f>
        <v>0</v>
      </c>
      <c r="AQ71" s="65"/>
      <c r="AR71" s="63"/>
      <c r="AS71" s="64">
        <f t="shared" si="1466"/>
        <v>0</v>
      </c>
      <c r="AT71" s="65"/>
      <c r="AU71" s="63"/>
      <c r="AV71" s="64">
        <f t="shared" si="1467"/>
        <v>0</v>
      </c>
      <c r="AW71" s="65"/>
      <c r="AX71" s="63"/>
      <c r="AY71" s="64">
        <f t="shared" si="1468"/>
        <v>0</v>
      </c>
      <c r="AZ71" s="66">
        <f t="shared" si="1469"/>
        <v>0</v>
      </c>
      <c r="BA71" s="67">
        <f t="shared" si="1470"/>
        <v>0</v>
      </c>
      <c r="BB71" s="64">
        <f t="shared" si="1471"/>
        <v>0</v>
      </c>
      <c r="BC71" s="62">
        <v>6150</v>
      </c>
      <c r="BD71" s="63"/>
      <c r="BE71" s="64">
        <f t="shared" si="1472"/>
        <v>6150</v>
      </c>
      <c r="BF71" s="65"/>
      <c r="BG71" s="63"/>
      <c r="BH71" s="64">
        <f t="shared" si="1473"/>
        <v>0</v>
      </c>
      <c r="BI71" s="65"/>
      <c r="BJ71" s="63"/>
      <c r="BK71" s="64">
        <f t="shared" si="1474"/>
        <v>0</v>
      </c>
      <c r="BL71" s="65">
        <v>100</v>
      </c>
      <c r="BM71" s="63"/>
      <c r="BN71" s="64">
        <f t="shared" si="1475"/>
        <v>100</v>
      </c>
      <c r="BO71" s="66">
        <f t="shared" si="1476"/>
        <v>6250</v>
      </c>
      <c r="BP71" s="67">
        <f t="shared" si="1477"/>
        <v>0</v>
      </c>
      <c r="BQ71" s="64">
        <f t="shared" si="1478"/>
        <v>6250</v>
      </c>
      <c r="BR71" s="72"/>
      <c r="BS71" s="73"/>
      <c r="BT71" s="74"/>
      <c r="BU71" s="75"/>
      <c r="BV71" s="73"/>
      <c r="BW71" s="74"/>
      <c r="BX71" s="75"/>
      <c r="BY71" s="73"/>
      <c r="BZ71" s="74"/>
      <c r="CA71" s="75"/>
      <c r="CB71" s="73"/>
      <c r="CC71" s="74"/>
      <c r="CD71" s="76"/>
      <c r="CE71" s="77"/>
      <c r="CF71" s="64">
        <f t="shared" si="1479"/>
        <v>0</v>
      </c>
      <c r="CG71" s="62"/>
      <c r="CH71" s="63"/>
      <c r="CI71" s="64">
        <f t="shared" si="1480"/>
        <v>0</v>
      </c>
      <c r="CJ71" s="65"/>
      <c r="CK71" s="63"/>
      <c r="CL71" s="64">
        <f t="shared" si="1481"/>
        <v>0</v>
      </c>
      <c r="CM71" s="65"/>
      <c r="CN71" s="63"/>
      <c r="CO71" s="64">
        <f t="shared" si="1482"/>
        <v>0</v>
      </c>
      <c r="CP71" s="65"/>
      <c r="CQ71" s="63"/>
      <c r="CR71" s="64">
        <f t="shared" si="1483"/>
        <v>0</v>
      </c>
      <c r="CS71" s="66">
        <f t="shared" si="1484"/>
        <v>0</v>
      </c>
      <c r="CT71" s="67">
        <f t="shared" si="1485"/>
        <v>0</v>
      </c>
      <c r="CU71" s="64">
        <f t="shared" si="1486"/>
        <v>0</v>
      </c>
      <c r="CV71" s="62">
        <v>2916.7</v>
      </c>
      <c r="CW71" s="63"/>
      <c r="CX71" s="64">
        <f t="shared" si="1487"/>
        <v>2916.7</v>
      </c>
      <c r="CY71" s="65">
        <v>429.15</v>
      </c>
      <c r="CZ71" s="63"/>
      <c r="DA71" s="64">
        <f t="shared" si="1488"/>
        <v>429.15</v>
      </c>
      <c r="DB71" s="65"/>
      <c r="DC71" s="63"/>
      <c r="DD71" s="64">
        <f t="shared" si="1489"/>
        <v>0</v>
      </c>
      <c r="DE71" s="65"/>
      <c r="DF71" s="63"/>
      <c r="DG71" s="64">
        <f t="shared" si="1490"/>
        <v>0</v>
      </c>
      <c r="DH71" s="66">
        <f t="shared" si="1491"/>
        <v>3345.85</v>
      </c>
      <c r="DI71" s="67">
        <f t="shared" si="1492"/>
        <v>0</v>
      </c>
      <c r="DJ71" s="64">
        <f t="shared" si="1493"/>
        <v>3345.85</v>
      </c>
      <c r="DK71" s="62">
        <v>2400</v>
      </c>
      <c r="DL71" s="63"/>
      <c r="DM71" s="64">
        <f t="shared" si="1494"/>
        <v>2400</v>
      </c>
      <c r="DN71" s="65">
        <v>913.08</v>
      </c>
      <c r="DO71" s="63"/>
      <c r="DP71" s="64">
        <f t="shared" si="1495"/>
        <v>913.08</v>
      </c>
      <c r="DQ71" s="65"/>
      <c r="DR71" s="63"/>
      <c r="DS71" s="64">
        <f t="shared" si="1496"/>
        <v>0</v>
      </c>
      <c r="DT71" s="65">
        <v>100</v>
      </c>
      <c r="DU71" s="63"/>
      <c r="DV71" s="64">
        <f t="shared" si="1497"/>
        <v>100</v>
      </c>
      <c r="DW71" s="66">
        <f t="shared" si="1498"/>
        <v>3413.08</v>
      </c>
      <c r="DX71" s="67">
        <f t="shared" si="1499"/>
        <v>0</v>
      </c>
      <c r="DY71" s="64">
        <f t="shared" si="1500"/>
        <v>3413.08</v>
      </c>
      <c r="DZ71" s="62"/>
      <c r="EA71" s="63"/>
      <c r="EB71" s="64">
        <f t="shared" si="1501"/>
        <v>0</v>
      </c>
      <c r="EC71" s="65"/>
      <c r="ED71" s="63"/>
      <c r="EE71" s="64">
        <f t="shared" si="1502"/>
        <v>0</v>
      </c>
      <c r="EF71" s="65"/>
      <c r="EG71" s="63"/>
      <c r="EH71" s="64">
        <f t="shared" si="1503"/>
        <v>0</v>
      </c>
      <c r="EI71" s="65">
        <v>100</v>
      </c>
      <c r="EJ71" s="63"/>
      <c r="EK71" s="64">
        <f t="shared" si="1504"/>
        <v>100</v>
      </c>
      <c r="EL71" s="66">
        <f t="shared" si="1505"/>
        <v>100</v>
      </c>
      <c r="EM71" s="67">
        <f t="shared" si="1506"/>
        <v>0</v>
      </c>
      <c r="EN71" s="64">
        <f t="shared" si="1507"/>
        <v>100</v>
      </c>
      <c r="EO71" s="62">
        <v>6150</v>
      </c>
      <c r="EP71" s="63"/>
      <c r="EQ71" s="64">
        <f t="shared" si="1508"/>
        <v>6150</v>
      </c>
      <c r="ER71" s="65"/>
      <c r="ES71" s="63"/>
      <c r="ET71" s="64">
        <f t="shared" si="1509"/>
        <v>0</v>
      </c>
      <c r="EU71" s="65"/>
      <c r="EV71" s="63"/>
      <c r="EW71" s="64">
        <f t="shared" si="1510"/>
        <v>0</v>
      </c>
      <c r="EX71" s="65">
        <v>100</v>
      </c>
      <c r="EY71" s="63"/>
      <c r="EZ71" s="64">
        <f t="shared" si="1511"/>
        <v>100</v>
      </c>
      <c r="FA71" s="66">
        <f t="shared" si="1512"/>
        <v>6250</v>
      </c>
      <c r="FB71" s="67">
        <f t="shared" si="1513"/>
        <v>0</v>
      </c>
      <c r="FC71" s="64">
        <f t="shared" si="1514"/>
        <v>6250</v>
      </c>
      <c r="FD71" s="62">
        <v>6150</v>
      </c>
      <c r="FE71" s="63"/>
      <c r="FF71" s="64">
        <f t="shared" si="1515"/>
        <v>6150</v>
      </c>
      <c r="FG71" s="65"/>
      <c r="FH71" s="63"/>
      <c r="FI71" s="64">
        <f t="shared" si="1516"/>
        <v>0</v>
      </c>
      <c r="FJ71" s="65"/>
      <c r="FK71" s="63"/>
      <c r="FL71" s="64">
        <f t="shared" si="1517"/>
        <v>0</v>
      </c>
      <c r="FM71" s="65">
        <v>100</v>
      </c>
      <c r="FN71" s="63"/>
      <c r="FO71" s="64">
        <f t="shared" si="1518"/>
        <v>100</v>
      </c>
      <c r="FP71" s="66">
        <f t="shared" si="1519"/>
        <v>6250</v>
      </c>
      <c r="FQ71" s="67">
        <f t="shared" si="1520"/>
        <v>0</v>
      </c>
      <c r="FR71" s="64">
        <f t="shared" si="1521"/>
        <v>6250</v>
      </c>
      <c r="FS71" s="62"/>
      <c r="FT71" s="63"/>
      <c r="FU71" s="64">
        <f t="shared" si="1522"/>
        <v>0</v>
      </c>
      <c r="FV71" s="65">
        <v>485.35</v>
      </c>
      <c r="FW71" s="63"/>
      <c r="FX71" s="64">
        <f t="shared" si="1523"/>
        <v>485.35</v>
      </c>
      <c r="FY71" s="65"/>
      <c r="FZ71" s="63"/>
      <c r="GA71" s="64">
        <f t="shared" si="1524"/>
        <v>0</v>
      </c>
      <c r="GB71" s="65"/>
      <c r="GC71" s="63"/>
      <c r="GD71" s="64">
        <f t="shared" si="1525"/>
        <v>0</v>
      </c>
      <c r="GE71" s="66">
        <f t="shared" si="1526"/>
        <v>485.35</v>
      </c>
      <c r="GF71" s="67">
        <f t="shared" si="1527"/>
        <v>0</v>
      </c>
      <c r="GG71" s="64">
        <f t="shared" si="1528"/>
        <v>485.35</v>
      </c>
      <c r="GH71" s="62"/>
      <c r="GI71" s="63"/>
      <c r="GJ71" s="64">
        <f t="shared" si="1529"/>
        <v>0</v>
      </c>
      <c r="GK71" s="65">
        <v>660.33</v>
      </c>
      <c r="GL71" s="63"/>
      <c r="GM71" s="64">
        <f t="shared" si="1530"/>
        <v>660.33</v>
      </c>
      <c r="GN71" s="65"/>
      <c r="GO71" s="63"/>
      <c r="GP71" s="64">
        <f t="shared" si="1531"/>
        <v>0</v>
      </c>
      <c r="GQ71" s="65"/>
      <c r="GR71" s="63"/>
      <c r="GS71" s="64">
        <f t="shared" si="1532"/>
        <v>0</v>
      </c>
      <c r="GT71" s="66">
        <f t="shared" si="1533"/>
        <v>660.33</v>
      </c>
      <c r="GU71" s="67">
        <f t="shared" si="1534"/>
        <v>0</v>
      </c>
      <c r="GV71" s="64">
        <f t="shared" si="1535"/>
        <v>660.33</v>
      </c>
      <c r="GW71" s="62"/>
      <c r="GX71" s="63"/>
      <c r="GY71" s="64">
        <f t="shared" si="1536"/>
        <v>0</v>
      </c>
      <c r="GZ71" s="65">
        <v>568.25</v>
      </c>
      <c r="HA71" s="63"/>
      <c r="HB71" s="64">
        <f t="shared" si="1537"/>
        <v>568.25</v>
      </c>
      <c r="HC71" s="65"/>
      <c r="HD71" s="63"/>
      <c r="HE71" s="64">
        <f t="shared" si="1538"/>
        <v>0</v>
      </c>
      <c r="HF71" s="65">
        <v>100</v>
      </c>
      <c r="HG71" s="63"/>
      <c r="HH71" s="64">
        <f t="shared" si="1539"/>
        <v>100</v>
      </c>
      <c r="HI71" s="66">
        <f t="shared" si="1540"/>
        <v>668.25</v>
      </c>
      <c r="HJ71" s="67">
        <f t="shared" si="1541"/>
        <v>0</v>
      </c>
      <c r="HK71" s="64">
        <f t="shared" si="1542"/>
        <v>668.25</v>
      </c>
      <c r="HL71" s="62">
        <v>6150</v>
      </c>
      <c r="HM71" s="63"/>
      <c r="HN71" s="64">
        <f t="shared" si="1543"/>
        <v>6150</v>
      </c>
      <c r="HO71" s="65"/>
      <c r="HP71" s="63"/>
      <c r="HQ71" s="64">
        <f t="shared" si="1544"/>
        <v>0</v>
      </c>
      <c r="HR71" s="65"/>
      <c r="HS71" s="63"/>
      <c r="HT71" s="64">
        <f t="shared" si="1545"/>
        <v>0</v>
      </c>
      <c r="HU71" s="65">
        <v>100</v>
      </c>
      <c r="HV71" s="63"/>
      <c r="HW71" s="64">
        <f t="shared" si="1546"/>
        <v>100</v>
      </c>
      <c r="HX71" s="66">
        <f t="shared" si="1547"/>
        <v>6250</v>
      </c>
      <c r="HY71" s="67">
        <f t="shared" si="1548"/>
        <v>0</v>
      </c>
      <c r="HZ71" s="64">
        <f t="shared" si="1549"/>
        <v>6250</v>
      </c>
      <c r="IA71" s="62"/>
      <c r="IB71" s="63"/>
      <c r="IC71" s="64">
        <f t="shared" si="1550"/>
        <v>0</v>
      </c>
      <c r="ID71" s="65"/>
      <c r="IE71" s="63"/>
      <c r="IF71" s="64">
        <f t="shared" si="1551"/>
        <v>0</v>
      </c>
      <c r="IG71" s="65"/>
      <c r="IH71" s="63"/>
      <c r="II71" s="64">
        <f t="shared" si="1552"/>
        <v>0</v>
      </c>
      <c r="IJ71" s="65">
        <v>100</v>
      </c>
      <c r="IK71" s="63"/>
      <c r="IL71" s="64">
        <f t="shared" si="1553"/>
        <v>100</v>
      </c>
      <c r="IM71" s="66">
        <f t="shared" si="1554"/>
        <v>100</v>
      </c>
      <c r="IN71" s="67">
        <f t="shared" si="1555"/>
        <v>0</v>
      </c>
      <c r="IO71" s="64">
        <f t="shared" si="1556"/>
        <v>100</v>
      </c>
      <c r="IP71" s="62"/>
      <c r="IQ71" s="63"/>
      <c r="IR71" s="64">
        <f t="shared" si="1557"/>
        <v>0</v>
      </c>
      <c r="IS71" s="65"/>
      <c r="IT71" s="63"/>
      <c r="IU71" s="64">
        <f t="shared" si="1558"/>
        <v>0</v>
      </c>
      <c r="IV71" s="65"/>
      <c r="IW71" s="63"/>
      <c r="IX71" s="64">
        <f t="shared" si="1559"/>
        <v>0</v>
      </c>
      <c r="IY71" s="65"/>
      <c r="IZ71" s="63"/>
      <c r="JA71" s="64">
        <f t="shared" si="1560"/>
        <v>0</v>
      </c>
      <c r="JB71" s="66">
        <f t="shared" si="1561"/>
        <v>0</v>
      </c>
      <c r="JC71" s="67">
        <f t="shared" si="1562"/>
        <v>0</v>
      </c>
      <c r="JD71" s="64">
        <f t="shared" si="1563"/>
        <v>0</v>
      </c>
      <c r="JE71" s="72"/>
      <c r="JF71" s="150"/>
      <c r="JG71" s="74"/>
      <c r="JH71" s="75"/>
      <c r="JI71" s="150"/>
      <c r="JJ71" s="74"/>
      <c r="JK71" s="75"/>
      <c r="JL71" s="150"/>
      <c r="JM71" s="74"/>
      <c r="JN71" s="75"/>
      <c r="JO71" s="150"/>
      <c r="JP71" s="74"/>
      <c r="JQ71" s="76"/>
      <c r="JR71" s="77"/>
      <c r="JS71" s="74"/>
      <c r="JT71" s="72"/>
      <c r="JU71" s="73"/>
      <c r="JV71" s="74"/>
      <c r="JW71" s="75"/>
      <c r="JX71" s="73"/>
      <c r="JY71" s="74"/>
      <c r="JZ71" s="75"/>
      <c r="KA71" s="73"/>
      <c r="KB71" s="74"/>
      <c r="KC71" s="75"/>
      <c r="KD71" s="73"/>
      <c r="KE71" s="74"/>
      <c r="KF71" s="76"/>
      <c r="KG71" s="77"/>
      <c r="KH71" s="64">
        <f t="shared" si="1564"/>
        <v>0</v>
      </c>
      <c r="KI71" s="62"/>
      <c r="KJ71" s="63"/>
      <c r="KK71" s="64">
        <f t="shared" si="1565"/>
        <v>0</v>
      </c>
      <c r="KL71" s="65"/>
      <c r="KM71" s="63"/>
      <c r="KN71" s="64">
        <f t="shared" si="1566"/>
        <v>0</v>
      </c>
      <c r="KO71" s="65"/>
      <c r="KP71" s="63"/>
      <c r="KQ71" s="64">
        <f t="shared" si="1567"/>
        <v>0</v>
      </c>
      <c r="KR71" s="65"/>
      <c r="KS71" s="63"/>
      <c r="KT71" s="64">
        <f t="shared" si="1568"/>
        <v>0</v>
      </c>
      <c r="KU71" s="66">
        <f t="shared" si="1439"/>
        <v>0</v>
      </c>
      <c r="KV71" s="67">
        <f t="shared" si="1569"/>
        <v>0</v>
      </c>
      <c r="KW71" s="64">
        <f t="shared" si="1570"/>
        <v>0</v>
      </c>
      <c r="KX71" s="72"/>
      <c r="KY71" s="73"/>
      <c r="KZ71" s="74"/>
      <c r="LA71" s="75"/>
      <c r="LB71" s="73"/>
      <c r="LC71" s="74"/>
      <c r="LD71" s="75"/>
      <c r="LE71" s="73"/>
      <c r="LF71" s="74"/>
      <c r="LG71" s="75"/>
      <c r="LH71" s="73"/>
      <c r="LI71" s="74"/>
      <c r="LJ71" s="76"/>
      <c r="LK71" s="77"/>
      <c r="LL71" s="74"/>
      <c r="LM71" s="62"/>
      <c r="LN71" s="63"/>
      <c r="LO71" s="64">
        <f t="shared" si="1571"/>
        <v>0</v>
      </c>
      <c r="LP71" s="65"/>
      <c r="LQ71" s="63"/>
      <c r="LR71" s="64">
        <f t="shared" si="1572"/>
        <v>0</v>
      </c>
      <c r="LS71" s="65"/>
      <c r="LT71" s="63"/>
      <c r="LU71" s="64">
        <f t="shared" si="1573"/>
        <v>0</v>
      </c>
      <c r="LV71" s="65">
        <v>100</v>
      </c>
      <c r="LW71" s="63"/>
      <c r="LX71" s="64">
        <f t="shared" si="1574"/>
        <v>100</v>
      </c>
      <c r="LY71" s="66">
        <f t="shared" si="1575"/>
        <v>100</v>
      </c>
      <c r="LZ71" s="67">
        <f t="shared" si="1576"/>
        <v>0</v>
      </c>
      <c r="MA71" s="64">
        <f t="shared" si="1577"/>
        <v>100</v>
      </c>
      <c r="MB71" s="62"/>
      <c r="MC71" s="63"/>
      <c r="MD71" s="64">
        <f t="shared" si="1578"/>
        <v>0</v>
      </c>
      <c r="ME71" s="65">
        <v>889.11</v>
      </c>
      <c r="MF71" s="63"/>
      <c r="MG71" s="64">
        <f t="shared" si="1579"/>
        <v>889.11</v>
      </c>
      <c r="MH71" s="65"/>
      <c r="MI71" s="63"/>
      <c r="MJ71" s="64">
        <f t="shared" si="1580"/>
        <v>0</v>
      </c>
      <c r="MK71" s="65">
        <v>100</v>
      </c>
      <c r="ML71" s="63"/>
      <c r="MM71" s="64">
        <f t="shared" si="1581"/>
        <v>100</v>
      </c>
      <c r="MN71" s="66">
        <f t="shared" si="1582"/>
        <v>989.11</v>
      </c>
      <c r="MO71" s="67">
        <f t="shared" si="1583"/>
        <v>0</v>
      </c>
      <c r="MP71" s="64">
        <f t="shared" si="1584"/>
        <v>989.11</v>
      </c>
      <c r="MQ71" s="62"/>
      <c r="MR71" s="63"/>
      <c r="MS71" s="64">
        <f t="shared" si="1585"/>
        <v>0</v>
      </c>
      <c r="MT71" s="65"/>
      <c r="MU71" s="63"/>
      <c r="MV71" s="64">
        <f t="shared" si="1586"/>
        <v>0</v>
      </c>
      <c r="MW71" s="65"/>
      <c r="MX71" s="63"/>
      <c r="MY71" s="64">
        <f t="shared" si="1587"/>
        <v>0</v>
      </c>
      <c r="MZ71" s="65"/>
      <c r="NA71" s="63"/>
      <c r="NB71" s="64">
        <f t="shared" si="1588"/>
        <v>0</v>
      </c>
      <c r="NC71" s="66">
        <f t="shared" si="1589"/>
        <v>0</v>
      </c>
      <c r="ND71" s="67">
        <f t="shared" si="1590"/>
        <v>0</v>
      </c>
      <c r="NE71" s="64">
        <f t="shared" si="1591"/>
        <v>0</v>
      </c>
      <c r="NF71" s="62"/>
      <c r="NG71" s="63"/>
      <c r="NH71" s="64">
        <f t="shared" si="1592"/>
        <v>0</v>
      </c>
      <c r="NI71" s="65">
        <v>1164.04</v>
      </c>
      <c r="NJ71" s="63"/>
      <c r="NK71" s="64">
        <f t="shared" si="1593"/>
        <v>1164.04</v>
      </c>
      <c r="NL71" s="65"/>
      <c r="NM71" s="63"/>
      <c r="NN71" s="64">
        <f t="shared" si="1594"/>
        <v>0</v>
      </c>
      <c r="NO71" s="65">
        <v>100</v>
      </c>
      <c r="NP71" s="63"/>
      <c r="NQ71" s="64">
        <f t="shared" si="1595"/>
        <v>100</v>
      </c>
      <c r="NR71" s="66">
        <f t="shared" si="1596"/>
        <v>1264.04</v>
      </c>
      <c r="NS71" s="67">
        <f t="shared" si="1597"/>
        <v>0</v>
      </c>
      <c r="NT71" s="64">
        <f t="shared" si="1598"/>
        <v>1264.04</v>
      </c>
      <c r="NU71" s="62"/>
      <c r="NV71" s="63"/>
      <c r="NW71" s="64">
        <f t="shared" si="1599"/>
        <v>0</v>
      </c>
      <c r="NX71" s="65">
        <v>1152.73</v>
      </c>
      <c r="NY71" s="63"/>
      <c r="NZ71" s="64">
        <f t="shared" si="1600"/>
        <v>1152.73</v>
      </c>
      <c r="OA71" s="65"/>
      <c r="OB71" s="63"/>
      <c r="OC71" s="64">
        <f t="shared" si="1601"/>
        <v>0</v>
      </c>
      <c r="OD71" s="65">
        <v>100</v>
      </c>
      <c r="OE71" s="63"/>
      <c r="OF71" s="64">
        <f t="shared" si="1602"/>
        <v>100</v>
      </c>
      <c r="OG71" s="66">
        <f t="shared" si="1603"/>
        <v>1252.73</v>
      </c>
      <c r="OH71" s="67">
        <f t="shared" si="1604"/>
        <v>0</v>
      </c>
      <c r="OI71" s="64">
        <f t="shared" si="1605"/>
        <v>1252.73</v>
      </c>
      <c r="OJ71" s="62"/>
      <c r="OK71" s="63"/>
      <c r="OL71" s="64">
        <f t="shared" si="1606"/>
        <v>0</v>
      </c>
      <c r="OM71" s="65"/>
      <c r="ON71" s="63"/>
      <c r="OO71" s="64">
        <f t="shared" si="1607"/>
        <v>0</v>
      </c>
      <c r="OP71" s="65"/>
      <c r="OQ71" s="63"/>
      <c r="OR71" s="64">
        <f t="shared" si="1608"/>
        <v>0</v>
      </c>
      <c r="OS71" s="65">
        <v>100</v>
      </c>
      <c r="OT71" s="63"/>
      <c r="OU71" s="64">
        <f t="shared" si="1609"/>
        <v>100</v>
      </c>
      <c r="OV71" s="66">
        <f t="shared" si="1610"/>
        <v>100</v>
      </c>
      <c r="OW71" s="67">
        <f t="shared" si="1611"/>
        <v>0</v>
      </c>
      <c r="OX71" s="64">
        <f t="shared" si="1612"/>
        <v>100</v>
      </c>
      <c r="OY71" s="62"/>
      <c r="OZ71" s="63"/>
      <c r="PA71" s="64">
        <f t="shared" si="1613"/>
        <v>0</v>
      </c>
      <c r="PB71" s="65"/>
      <c r="PC71" s="63"/>
      <c r="PD71" s="64">
        <f t="shared" si="1614"/>
        <v>0</v>
      </c>
      <c r="PE71" s="65"/>
      <c r="PF71" s="63"/>
      <c r="PG71" s="64">
        <f t="shared" si="1615"/>
        <v>0</v>
      </c>
      <c r="PH71" s="65">
        <v>100</v>
      </c>
      <c r="PI71" s="63"/>
      <c r="PJ71" s="64">
        <f t="shared" si="1616"/>
        <v>100</v>
      </c>
      <c r="PK71" s="66">
        <f t="shared" si="1617"/>
        <v>100</v>
      </c>
      <c r="PL71" s="67">
        <f t="shared" si="1618"/>
        <v>0</v>
      </c>
      <c r="PM71" s="64">
        <f t="shared" si="1619"/>
        <v>100</v>
      </c>
      <c r="PN71" s="62">
        <v>1550</v>
      </c>
      <c r="PO71" s="63"/>
      <c r="PP71" s="64">
        <f t="shared" si="1620"/>
        <v>1550</v>
      </c>
      <c r="PQ71" s="65"/>
      <c r="PR71" s="63"/>
      <c r="PS71" s="64">
        <f t="shared" si="1621"/>
        <v>0</v>
      </c>
      <c r="PT71" s="65"/>
      <c r="PU71" s="63"/>
      <c r="PV71" s="64">
        <f t="shared" si="1622"/>
        <v>0</v>
      </c>
      <c r="PW71" s="65">
        <v>100</v>
      </c>
      <c r="PX71" s="63"/>
      <c r="PY71" s="64">
        <f t="shared" si="1623"/>
        <v>100</v>
      </c>
      <c r="PZ71" s="66">
        <f t="shared" si="1624"/>
        <v>1650</v>
      </c>
      <c r="QA71" s="67">
        <f t="shared" si="1625"/>
        <v>0</v>
      </c>
      <c r="QB71" s="64">
        <f t="shared" si="1626"/>
        <v>1650</v>
      </c>
      <c r="QC71" s="62"/>
      <c r="QD71" s="63"/>
      <c r="QE71" s="64">
        <f t="shared" si="1627"/>
        <v>0</v>
      </c>
      <c r="QF71" s="65"/>
      <c r="QG71" s="63"/>
      <c r="QH71" s="64">
        <f t="shared" si="1628"/>
        <v>0</v>
      </c>
      <c r="QI71" s="65"/>
      <c r="QJ71" s="63"/>
      <c r="QK71" s="64">
        <f t="shared" si="1629"/>
        <v>0</v>
      </c>
      <c r="QL71" s="65">
        <v>100</v>
      </c>
      <c r="QM71" s="63"/>
      <c r="QN71" s="64">
        <f t="shared" si="1630"/>
        <v>100</v>
      </c>
      <c r="QO71" s="66">
        <f t="shared" si="1631"/>
        <v>100</v>
      </c>
      <c r="QP71" s="67">
        <f t="shared" si="1632"/>
        <v>0</v>
      </c>
      <c r="QQ71" s="64">
        <f t="shared" si="1633"/>
        <v>100</v>
      </c>
      <c r="QR71" s="74"/>
      <c r="QS71" s="74"/>
      <c r="QT71" s="72"/>
      <c r="QU71" s="73"/>
      <c r="QV71" s="74"/>
      <c r="QW71" s="75"/>
      <c r="QX71" s="73"/>
      <c r="QY71" s="74"/>
      <c r="QZ71" s="75"/>
      <c r="RA71" s="73"/>
      <c r="RB71" s="74"/>
      <c r="RC71" s="75"/>
      <c r="RD71" s="73"/>
      <c r="RE71" s="74"/>
      <c r="RF71" s="74"/>
      <c r="RG71" s="72"/>
      <c r="RH71" s="73"/>
      <c r="RI71" s="74"/>
      <c r="RJ71" s="75"/>
      <c r="RK71" s="73"/>
      <c r="RL71" s="74"/>
      <c r="RM71" s="75"/>
      <c r="RN71" s="73"/>
      <c r="RO71" s="74"/>
      <c r="RP71" s="75"/>
      <c r="RQ71" s="73"/>
      <c r="RR71" s="74"/>
      <c r="RS71" s="76"/>
      <c r="RT71" s="77"/>
      <c r="RU71" s="74"/>
      <c r="RV71" s="74"/>
      <c r="RW71" s="72"/>
      <c r="RX71" s="73"/>
      <c r="RY71" s="74"/>
      <c r="RZ71" s="75"/>
      <c r="SA71" s="73"/>
      <c r="SB71" s="74"/>
      <c r="SC71" s="75"/>
      <c r="SD71" s="73"/>
      <c r="SE71" s="74"/>
      <c r="SF71" s="75"/>
      <c r="SG71" s="73"/>
      <c r="SH71" s="74"/>
      <c r="SI71" s="76"/>
      <c r="SJ71" s="64">
        <f t="shared" si="1634"/>
        <v>0</v>
      </c>
      <c r="SK71" s="62"/>
      <c r="SL71" s="63"/>
      <c r="SM71" s="64">
        <f t="shared" si="1635"/>
        <v>0</v>
      </c>
      <c r="SN71" s="65"/>
      <c r="SO71" s="63"/>
      <c r="SP71" s="64">
        <f t="shared" si="1636"/>
        <v>0</v>
      </c>
      <c r="SQ71" s="65"/>
      <c r="SR71" s="63"/>
      <c r="SS71" s="64">
        <f t="shared" si="1637"/>
        <v>0</v>
      </c>
      <c r="ST71" s="65">
        <v>100</v>
      </c>
      <c r="SU71" s="63"/>
      <c r="SV71" s="64">
        <f t="shared" si="1638"/>
        <v>100</v>
      </c>
      <c r="SW71" s="66">
        <f t="shared" si="1639"/>
        <v>100</v>
      </c>
      <c r="SX71" s="67">
        <f t="shared" si="1640"/>
        <v>0</v>
      </c>
      <c r="SY71" s="64">
        <f t="shared" si="1641"/>
        <v>100</v>
      </c>
      <c r="SZ71" s="62">
        <v>985.33</v>
      </c>
      <c r="TA71" s="63"/>
      <c r="TB71" s="64">
        <f t="shared" si="1642"/>
        <v>985.33</v>
      </c>
      <c r="TC71" s="65">
        <v>700.9</v>
      </c>
      <c r="TD71" s="63"/>
      <c r="TE71" s="64">
        <f t="shared" si="1643"/>
        <v>700.9</v>
      </c>
      <c r="TF71" s="65">
        <v>1800</v>
      </c>
      <c r="TG71" s="63"/>
      <c r="TH71" s="64">
        <f t="shared" si="1644"/>
        <v>1800</v>
      </c>
      <c r="TI71" s="65">
        <v>100</v>
      </c>
      <c r="TJ71" s="63"/>
      <c r="TK71" s="64">
        <f t="shared" si="1645"/>
        <v>100</v>
      </c>
      <c r="TL71" s="66">
        <f t="shared" si="1646"/>
        <v>3586.23</v>
      </c>
      <c r="TM71" s="67">
        <f t="shared" si="1647"/>
        <v>0</v>
      </c>
      <c r="TN71" s="64">
        <f t="shared" si="1648"/>
        <v>3586.23</v>
      </c>
      <c r="TO71" s="62"/>
      <c r="TP71" s="63"/>
      <c r="TQ71" s="64">
        <f t="shared" si="1649"/>
        <v>0</v>
      </c>
      <c r="TR71" s="65"/>
      <c r="TS71" s="63"/>
      <c r="TT71" s="64">
        <f t="shared" si="1650"/>
        <v>0</v>
      </c>
      <c r="TU71" s="65"/>
      <c r="TV71" s="63"/>
      <c r="TW71" s="64">
        <f t="shared" si="1651"/>
        <v>0</v>
      </c>
      <c r="TX71" s="65">
        <v>100</v>
      </c>
      <c r="TY71" s="63"/>
      <c r="TZ71" s="64">
        <f t="shared" si="1652"/>
        <v>100</v>
      </c>
      <c r="UA71" s="66">
        <f t="shared" si="1653"/>
        <v>100</v>
      </c>
      <c r="UB71" s="67">
        <f t="shared" si="1654"/>
        <v>0</v>
      </c>
      <c r="UC71" s="64">
        <f t="shared" si="1655"/>
        <v>100</v>
      </c>
      <c r="UD71" s="62">
        <v>1125</v>
      </c>
      <c r="UE71" s="63"/>
      <c r="UF71" s="64">
        <f t="shared" si="1656"/>
        <v>1125</v>
      </c>
      <c r="UG71" s="65">
        <v>497.04</v>
      </c>
      <c r="UH71" s="63"/>
      <c r="UI71" s="64">
        <f t="shared" si="1657"/>
        <v>497.04</v>
      </c>
      <c r="UJ71" s="65"/>
      <c r="UK71" s="63"/>
      <c r="UL71" s="64">
        <f t="shared" si="1658"/>
        <v>0</v>
      </c>
      <c r="UM71" s="65">
        <v>100</v>
      </c>
      <c r="UN71" s="63"/>
      <c r="UO71" s="64">
        <f t="shared" si="1659"/>
        <v>100</v>
      </c>
      <c r="UP71" s="66">
        <f t="shared" si="1660"/>
        <v>1722.04</v>
      </c>
      <c r="UQ71" s="67">
        <f t="shared" si="1661"/>
        <v>0</v>
      </c>
      <c r="UR71" s="64">
        <f t="shared" si="1662"/>
        <v>1722.04</v>
      </c>
      <c r="US71" s="74"/>
      <c r="UT71" s="72"/>
      <c r="UU71" s="73"/>
      <c r="UV71" s="74"/>
      <c r="UW71" s="75"/>
      <c r="UX71" s="73"/>
      <c r="UY71" s="74"/>
      <c r="UZ71" s="75"/>
      <c r="VA71" s="73"/>
      <c r="VB71" s="74"/>
      <c r="VC71" s="75"/>
      <c r="VD71" s="73"/>
      <c r="VE71" s="74"/>
      <c r="VF71" s="76"/>
      <c r="VG71" s="77"/>
      <c r="VH71" s="62"/>
      <c r="VI71" s="63"/>
      <c r="VJ71" s="64">
        <f t="shared" si="1663"/>
        <v>0</v>
      </c>
      <c r="VK71" s="65"/>
      <c r="VL71" s="63"/>
      <c r="VM71" s="64">
        <f t="shared" si="1664"/>
        <v>0</v>
      </c>
      <c r="VN71" s="65"/>
      <c r="VO71" s="63"/>
      <c r="VP71" s="64">
        <f t="shared" si="1665"/>
        <v>0</v>
      </c>
      <c r="VQ71" s="65">
        <v>100</v>
      </c>
      <c r="VR71" s="63"/>
      <c r="VS71" s="64">
        <f t="shared" si="1666"/>
        <v>100</v>
      </c>
      <c r="VT71" s="66">
        <f t="shared" si="1667"/>
        <v>100</v>
      </c>
      <c r="VU71" s="67">
        <f t="shared" si="1668"/>
        <v>0</v>
      </c>
      <c r="VV71" s="64">
        <f t="shared" si="1669"/>
        <v>100</v>
      </c>
      <c r="VW71" s="74"/>
      <c r="VX71" s="72"/>
      <c r="VY71" s="73"/>
      <c r="VZ71" s="74"/>
      <c r="WA71" s="75"/>
      <c r="WB71" s="73"/>
      <c r="WC71" s="74"/>
      <c r="WD71" s="75"/>
      <c r="WE71" s="73"/>
      <c r="WF71" s="74"/>
      <c r="WG71" s="75"/>
      <c r="WH71" s="73"/>
      <c r="WI71" s="74"/>
      <c r="WJ71" s="76"/>
      <c r="WK71" s="77"/>
      <c r="WL71" s="74"/>
      <c r="WM71" s="72"/>
      <c r="WN71" s="73"/>
      <c r="WO71" s="74"/>
      <c r="WP71" s="75"/>
      <c r="WQ71" s="73"/>
      <c r="WR71" s="74"/>
      <c r="WS71" s="75"/>
      <c r="WT71" s="73"/>
      <c r="WU71" s="74"/>
      <c r="WV71" s="75"/>
      <c r="WW71" s="73"/>
      <c r="WX71" s="74"/>
      <c r="WY71" s="76"/>
      <c r="WZ71" s="77"/>
      <c r="XA71" s="74"/>
      <c r="XB71" s="72"/>
      <c r="XC71" s="73"/>
      <c r="XD71" s="74"/>
      <c r="XE71" s="75"/>
      <c r="XF71" s="73"/>
      <c r="XG71" s="74"/>
      <c r="XH71" s="75"/>
      <c r="XI71" s="73"/>
      <c r="XJ71" s="74"/>
      <c r="XK71" s="75"/>
      <c r="XL71" s="73"/>
      <c r="XM71" s="74"/>
      <c r="XN71" s="76"/>
      <c r="XO71" s="77"/>
      <c r="XP71" s="62"/>
      <c r="XQ71" s="63"/>
      <c r="XR71" s="64">
        <f t="shared" si="1670"/>
        <v>0</v>
      </c>
      <c r="XS71" s="65">
        <v>844.24</v>
      </c>
      <c r="XT71" s="63"/>
      <c r="XU71" s="64">
        <f t="shared" si="1671"/>
        <v>844.24</v>
      </c>
      <c r="XV71" s="65"/>
      <c r="XW71" s="63"/>
      <c r="XX71" s="64">
        <f t="shared" si="1672"/>
        <v>0</v>
      </c>
      <c r="XY71" s="65">
        <v>100</v>
      </c>
      <c r="XZ71" s="63"/>
      <c r="YA71" s="64">
        <f t="shared" si="1673"/>
        <v>100</v>
      </c>
      <c r="YB71" s="66">
        <f t="shared" si="1674"/>
        <v>944.24</v>
      </c>
      <c r="YC71" s="67">
        <f t="shared" si="1675"/>
        <v>0</v>
      </c>
      <c r="YD71" s="64">
        <f t="shared" si="1676"/>
        <v>944.24</v>
      </c>
      <c r="YE71" s="62"/>
      <c r="YF71" s="63"/>
      <c r="YG71" s="64">
        <f t="shared" si="1677"/>
        <v>0</v>
      </c>
      <c r="YH71" s="65">
        <v>847.85</v>
      </c>
      <c r="YI71" s="63"/>
      <c r="YJ71" s="64">
        <f t="shared" si="1678"/>
        <v>847.85</v>
      </c>
      <c r="YK71" s="65"/>
      <c r="YL71" s="63"/>
      <c r="YM71" s="64">
        <f t="shared" si="1679"/>
        <v>0</v>
      </c>
      <c r="YN71" s="65">
        <v>100</v>
      </c>
      <c r="YO71" s="63"/>
      <c r="YP71" s="64">
        <f t="shared" si="1680"/>
        <v>100</v>
      </c>
      <c r="YQ71" s="66">
        <f t="shared" si="1681"/>
        <v>947.85</v>
      </c>
      <c r="YR71" s="67">
        <f t="shared" si="1682"/>
        <v>0</v>
      </c>
      <c r="YS71" s="64">
        <f t="shared" si="1683"/>
        <v>947.85</v>
      </c>
      <c r="YT71" s="62"/>
      <c r="YU71" s="63"/>
      <c r="YV71" s="64">
        <f t="shared" si="1684"/>
        <v>0</v>
      </c>
      <c r="YW71" s="65">
        <v>695.73</v>
      </c>
      <c r="YX71" s="63"/>
      <c r="YY71" s="64">
        <f t="shared" si="1685"/>
        <v>695.73</v>
      </c>
      <c r="YZ71" s="65"/>
      <c r="ZA71" s="63"/>
      <c r="ZB71" s="64">
        <f t="shared" si="1686"/>
        <v>0</v>
      </c>
      <c r="ZC71" s="65">
        <v>100</v>
      </c>
      <c r="ZD71" s="63"/>
      <c r="ZE71" s="64">
        <f t="shared" si="1687"/>
        <v>100</v>
      </c>
      <c r="ZF71" s="66">
        <f t="shared" si="1688"/>
        <v>795.73</v>
      </c>
      <c r="ZG71" s="67">
        <f t="shared" si="1689"/>
        <v>0</v>
      </c>
      <c r="ZH71" s="74"/>
      <c r="ZI71" s="72"/>
      <c r="ZJ71" s="73"/>
      <c r="ZK71" s="74"/>
      <c r="ZL71" s="75"/>
      <c r="ZM71" s="73"/>
      <c r="ZN71" s="74"/>
      <c r="ZO71" s="75"/>
      <c r="ZP71" s="73"/>
      <c r="ZQ71" s="74"/>
      <c r="ZR71" s="75"/>
      <c r="ZS71" s="73"/>
      <c r="ZT71" s="74"/>
      <c r="ZU71" s="76"/>
      <c r="ZV71" s="77"/>
      <c r="ZW71" s="64">
        <f t="shared" si="1690"/>
        <v>0</v>
      </c>
      <c r="ZX71" s="62">
        <v>24.71</v>
      </c>
      <c r="ZY71" s="63"/>
      <c r="ZZ71" s="64">
        <f t="shared" si="1691"/>
        <v>24.71</v>
      </c>
      <c r="AAA71" s="66">
        <f t="shared" si="1692"/>
        <v>24.71</v>
      </c>
      <c r="AAB71" s="67">
        <f t="shared" si="1692"/>
        <v>0</v>
      </c>
      <c r="AAC71" s="64">
        <f t="shared" si="1693"/>
        <v>24.71</v>
      </c>
      <c r="AAD71" s="85">
        <f t="shared" si="1694"/>
        <v>54965.990000000005</v>
      </c>
      <c r="AAE71" s="86">
        <f t="shared" si="1694"/>
        <v>0</v>
      </c>
      <c r="AAF71" s="87">
        <f t="shared" si="1457"/>
        <v>0</v>
      </c>
      <c r="AAG71" s="88">
        <f t="shared" si="1695"/>
        <v>-54965.990000000005</v>
      </c>
      <c r="AAH71" s="58"/>
      <c r="AAI71" s="59"/>
      <c r="AAJ71" s="59"/>
      <c r="AAK71" s="60"/>
    </row>
    <row r="72" spans="1:713" s="83" customFormat="1" ht="20" customHeight="1" x14ac:dyDescent="0.2">
      <c r="A72" s="152"/>
      <c r="B72" s="89">
        <f>AAH72</f>
        <v>1396140.5599999998</v>
      </c>
      <c r="C72" s="90"/>
      <c r="D72" s="90"/>
      <c r="E72" s="60"/>
      <c r="F72" s="61">
        <v>46447</v>
      </c>
      <c r="G72" s="62"/>
      <c r="H72" s="63"/>
      <c r="I72" s="64">
        <f t="shared" si="1458"/>
        <v>0</v>
      </c>
      <c r="J72" s="65">
        <v>4134.46</v>
      </c>
      <c r="K72" s="63"/>
      <c r="L72" s="64">
        <f t="shared" si="1459"/>
        <v>4134.46</v>
      </c>
      <c r="M72" s="65">
        <v>2500</v>
      </c>
      <c r="N72" s="63"/>
      <c r="O72" s="64">
        <f t="shared" si="1460"/>
        <v>2500</v>
      </c>
      <c r="P72" s="65">
        <v>500</v>
      </c>
      <c r="Q72" s="63"/>
      <c r="R72" s="64">
        <f t="shared" si="1461"/>
        <v>500</v>
      </c>
      <c r="S72" s="65">
        <v>181</v>
      </c>
      <c r="T72" s="63"/>
      <c r="U72" s="64">
        <f t="shared" si="1462"/>
        <v>181</v>
      </c>
      <c r="V72" s="66">
        <f t="shared" si="1463"/>
        <v>7315.46</v>
      </c>
      <c r="W72" s="67">
        <f t="shared" si="1463"/>
        <v>0</v>
      </c>
      <c r="X72" s="64">
        <f t="shared" si="1464"/>
        <v>7315.46</v>
      </c>
      <c r="Y72" s="72"/>
      <c r="Z72" s="73"/>
      <c r="AA72" s="74"/>
      <c r="AB72" s="75"/>
      <c r="AC72" s="73"/>
      <c r="AD72" s="74"/>
      <c r="AE72" s="75"/>
      <c r="AF72" s="73"/>
      <c r="AG72" s="74"/>
      <c r="AH72" s="75"/>
      <c r="AI72" s="73"/>
      <c r="AJ72" s="74"/>
      <c r="AK72" s="76"/>
      <c r="AL72" s="77"/>
      <c r="AM72" s="64">
        <f t="shared" si="1465"/>
        <v>0</v>
      </c>
      <c r="AN72" s="62"/>
      <c r="AO72" s="63"/>
      <c r="AP72" s="64">
        <f t="shared" si="1696"/>
        <v>0</v>
      </c>
      <c r="AQ72" s="65"/>
      <c r="AR72" s="63"/>
      <c r="AS72" s="64">
        <f t="shared" si="1466"/>
        <v>0</v>
      </c>
      <c r="AT72" s="65"/>
      <c r="AU72" s="63"/>
      <c r="AV72" s="64">
        <f t="shared" si="1467"/>
        <v>0</v>
      </c>
      <c r="AW72" s="65"/>
      <c r="AX72" s="63"/>
      <c r="AY72" s="64">
        <f t="shared" si="1468"/>
        <v>0</v>
      </c>
      <c r="AZ72" s="66">
        <f t="shared" si="1469"/>
        <v>0</v>
      </c>
      <c r="BA72" s="67">
        <f t="shared" si="1470"/>
        <v>0</v>
      </c>
      <c r="BB72" s="64">
        <f t="shared" si="1471"/>
        <v>0</v>
      </c>
      <c r="BC72" s="62"/>
      <c r="BD72" s="63"/>
      <c r="BE72" s="64">
        <f t="shared" si="1472"/>
        <v>0</v>
      </c>
      <c r="BF72" s="65"/>
      <c r="BG72" s="63"/>
      <c r="BH72" s="64">
        <f t="shared" si="1473"/>
        <v>0</v>
      </c>
      <c r="BI72" s="65"/>
      <c r="BJ72" s="63"/>
      <c r="BK72" s="64">
        <f t="shared" si="1474"/>
        <v>0</v>
      </c>
      <c r="BL72" s="65">
        <v>100</v>
      </c>
      <c r="BM72" s="63"/>
      <c r="BN72" s="64">
        <f t="shared" si="1475"/>
        <v>100</v>
      </c>
      <c r="BO72" s="66">
        <f t="shared" si="1476"/>
        <v>100</v>
      </c>
      <c r="BP72" s="67">
        <f t="shared" si="1477"/>
        <v>0</v>
      </c>
      <c r="BQ72" s="64">
        <f t="shared" si="1478"/>
        <v>100</v>
      </c>
      <c r="BR72" s="72"/>
      <c r="BS72" s="73"/>
      <c r="BT72" s="74"/>
      <c r="BU72" s="75"/>
      <c r="BV72" s="73"/>
      <c r="BW72" s="74"/>
      <c r="BX72" s="75"/>
      <c r="BY72" s="73"/>
      <c r="BZ72" s="74"/>
      <c r="CA72" s="75"/>
      <c r="CB72" s="73"/>
      <c r="CC72" s="74"/>
      <c r="CD72" s="76"/>
      <c r="CE72" s="77"/>
      <c r="CF72" s="64">
        <f t="shared" si="1479"/>
        <v>0</v>
      </c>
      <c r="CG72" s="62"/>
      <c r="CH72" s="63"/>
      <c r="CI72" s="64">
        <f t="shared" si="1480"/>
        <v>0</v>
      </c>
      <c r="CJ72" s="65"/>
      <c r="CK72" s="63"/>
      <c r="CL72" s="64">
        <f t="shared" si="1481"/>
        <v>0</v>
      </c>
      <c r="CM72" s="65"/>
      <c r="CN72" s="63"/>
      <c r="CO72" s="64">
        <f t="shared" si="1482"/>
        <v>0</v>
      </c>
      <c r="CP72" s="65"/>
      <c r="CQ72" s="63"/>
      <c r="CR72" s="64">
        <f t="shared" si="1483"/>
        <v>0</v>
      </c>
      <c r="CS72" s="66">
        <f t="shared" si="1484"/>
        <v>0</v>
      </c>
      <c r="CT72" s="67">
        <f t="shared" si="1485"/>
        <v>0</v>
      </c>
      <c r="CU72" s="64">
        <f t="shared" si="1486"/>
        <v>0</v>
      </c>
      <c r="CV72" s="62">
        <v>2916.7</v>
      </c>
      <c r="CW72" s="63"/>
      <c r="CX72" s="64">
        <f t="shared" si="1487"/>
        <v>2916.7</v>
      </c>
      <c r="CY72" s="65">
        <v>429.15</v>
      </c>
      <c r="CZ72" s="63"/>
      <c r="DA72" s="64">
        <f t="shared" si="1488"/>
        <v>429.15</v>
      </c>
      <c r="DB72" s="65"/>
      <c r="DC72" s="63"/>
      <c r="DD72" s="64">
        <f t="shared" si="1489"/>
        <v>0</v>
      </c>
      <c r="DE72" s="65"/>
      <c r="DF72" s="63"/>
      <c r="DG72" s="64">
        <f t="shared" si="1490"/>
        <v>0</v>
      </c>
      <c r="DH72" s="66">
        <f t="shared" si="1491"/>
        <v>3345.85</v>
      </c>
      <c r="DI72" s="67">
        <f t="shared" si="1492"/>
        <v>0</v>
      </c>
      <c r="DJ72" s="64">
        <f t="shared" si="1493"/>
        <v>3345.85</v>
      </c>
      <c r="DK72" s="62">
        <v>2400</v>
      </c>
      <c r="DL72" s="63"/>
      <c r="DM72" s="64">
        <f t="shared" si="1494"/>
        <v>2400</v>
      </c>
      <c r="DN72" s="65">
        <v>913.08</v>
      </c>
      <c r="DO72" s="63"/>
      <c r="DP72" s="64">
        <f t="shared" si="1495"/>
        <v>913.08</v>
      </c>
      <c r="DQ72" s="65"/>
      <c r="DR72" s="63"/>
      <c r="DS72" s="64">
        <f t="shared" si="1496"/>
        <v>0</v>
      </c>
      <c r="DT72" s="65">
        <v>100</v>
      </c>
      <c r="DU72" s="63"/>
      <c r="DV72" s="64">
        <f t="shared" si="1497"/>
        <v>100</v>
      </c>
      <c r="DW72" s="66">
        <f t="shared" si="1498"/>
        <v>3413.08</v>
      </c>
      <c r="DX72" s="67">
        <f t="shared" si="1499"/>
        <v>0</v>
      </c>
      <c r="DY72" s="64">
        <f t="shared" si="1500"/>
        <v>3413.08</v>
      </c>
      <c r="DZ72" s="62"/>
      <c r="EA72" s="63"/>
      <c r="EB72" s="64">
        <f t="shared" si="1501"/>
        <v>0</v>
      </c>
      <c r="EC72" s="65"/>
      <c r="ED72" s="63"/>
      <c r="EE72" s="64">
        <f t="shared" si="1502"/>
        <v>0</v>
      </c>
      <c r="EF72" s="65"/>
      <c r="EG72" s="63"/>
      <c r="EH72" s="64">
        <f t="shared" si="1503"/>
        <v>0</v>
      </c>
      <c r="EI72" s="65">
        <v>100</v>
      </c>
      <c r="EJ72" s="63"/>
      <c r="EK72" s="64">
        <f t="shared" si="1504"/>
        <v>100</v>
      </c>
      <c r="EL72" s="66">
        <f t="shared" si="1505"/>
        <v>100</v>
      </c>
      <c r="EM72" s="67">
        <f t="shared" si="1506"/>
        <v>0</v>
      </c>
      <c r="EN72" s="64">
        <f t="shared" si="1507"/>
        <v>100</v>
      </c>
      <c r="EO72" s="62"/>
      <c r="EP72" s="63"/>
      <c r="EQ72" s="64">
        <f t="shared" si="1508"/>
        <v>0</v>
      </c>
      <c r="ER72" s="65"/>
      <c r="ES72" s="63"/>
      <c r="ET72" s="64">
        <f t="shared" si="1509"/>
        <v>0</v>
      </c>
      <c r="EU72" s="65"/>
      <c r="EV72" s="63"/>
      <c r="EW72" s="64">
        <f t="shared" si="1510"/>
        <v>0</v>
      </c>
      <c r="EX72" s="65">
        <v>100</v>
      </c>
      <c r="EY72" s="63"/>
      <c r="EZ72" s="64">
        <f t="shared" si="1511"/>
        <v>100</v>
      </c>
      <c r="FA72" s="66">
        <f t="shared" si="1512"/>
        <v>100</v>
      </c>
      <c r="FB72" s="67">
        <f t="shared" si="1513"/>
        <v>0</v>
      </c>
      <c r="FC72" s="64">
        <f t="shared" si="1514"/>
        <v>100</v>
      </c>
      <c r="FD72" s="62"/>
      <c r="FE72" s="63"/>
      <c r="FF72" s="64">
        <f t="shared" si="1515"/>
        <v>0</v>
      </c>
      <c r="FG72" s="65"/>
      <c r="FH72" s="63"/>
      <c r="FI72" s="64">
        <f t="shared" si="1516"/>
        <v>0</v>
      </c>
      <c r="FJ72" s="65"/>
      <c r="FK72" s="63"/>
      <c r="FL72" s="64">
        <f t="shared" si="1517"/>
        <v>0</v>
      </c>
      <c r="FM72" s="65">
        <v>100</v>
      </c>
      <c r="FN72" s="63"/>
      <c r="FO72" s="64">
        <f t="shared" si="1518"/>
        <v>100</v>
      </c>
      <c r="FP72" s="66">
        <f t="shared" si="1519"/>
        <v>100</v>
      </c>
      <c r="FQ72" s="67">
        <f t="shared" si="1520"/>
        <v>0</v>
      </c>
      <c r="FR72" s="64">
        <f t="shared" si="1521"/>
        <v>100</v>
      </c>
      <c r="FS72" s="62"/>
      <c r="FT72" s="63"/>
      <c r="FU72" s="64">
        <f t="shared" si="1522"/>
        <v>0</v>
      </c>
      <c r="FV72" s="65">
        <v>485.35</v>
      </c>
      <c r="FW72" s="63"/>
      <c r="FX72" s="64">
        <f t="shared" si="1523"/>
        <v>485.35</v>
      </c>
      <c r="FY72" s="65">
        <v>3650</v>
      </c>
      <c r="FZ72" s="63"/>
      <c r="GA72" s="64">
        <f t="shared" si="1524"/>
        <v>3650</v>
      </c>
      <c r="GB72" s="65"/>
      <c r="GC72" s="63"/>
      <c r="GD72" s="64">
        <f t="shared" si="1525"/>
        <v>0</v>
      </c>
      <c r="GE72" s="66">
        <f t="shared" si="1526"/>
        <v>4135.3500000000004</v>
      </c>
      <c r="GF72" s="67">
        <f t="shared" si="1527"/>
        <v>0</v>
      </c>
      <c r="GG72" s="64">
        <f t="shared" si="1528"/>
        <v>4135.3500000000004</v>
      </c>
      <c r="GH72" s="62"/>
      <c r="GI72" s="63"/>
      <c r="GJ72" s="64">
        <f t="shared" si="1529"/>
        <v>0</v>
      </c>
      <c r="GK72" s="65">
        <v>660.33</v>
      </c>
      <c r="GL72" s="63"/>
      <c r="GM72" s="64">
        <f t="shared" si="1530"/>
        <v>660.33</v>
      </c>
      <c r="GN72" s="65">
        <v>3650</v>
      </c>
      <c r="GO72" s="63"/>
      <c r="GP72" s="64">
        <f t="shared" si="1531"/>
        <v>3650</v>
      </c>
      <c r="GQ72" s="65"/>
      <c r="GR72" s="63"/>
      <c r="GS72" s="64">
        <f t="shared" si="1532"/>
        <v>0</v>
      </c>
      <c r="GT72" s="66">
        <f t="shared" si="1533"/>
        <v>4310.33</v>
      </c>
      <c r="GU72" s="67">
        <f t="shared" si="1534"/>
        <v>0</v>
      </c>
      <c r="GV72" s="64">
        <f t="shared" si="1535"/>
        <v>4310.33</v>
      </c>
      <c r="GW72" s="62"/>
      <c r="GX72" s="63"/>
      <c r="GY72" s="64">
        <f t="shared" si="1536"/>
        <v>0</v>
      </c>
      <c r="GZ72" s="65">
        <v>568.25</v>
      </c>
      <c r="HA72" s="63"/>
      <c r="HB72" s="64">
        <f t="shared" si="1537"/>
        <v>568.25</v>
      </c>
      <c r="HC72" s="65"/>
      <c r="HD72" s="63"/>
      <c r="HE72" s="64">
        <f t="shared" si="1538"/>
        <v>0</v>
      </c>
      <c r="HF72" s="65">
        <v>100</v>
      </c>
      <c r="HG72" s="63"/>
      <c r="HH72" s="64">
        <f t="shared" si="1539"/>
        <v>100</v>
      </c>
      <c r="HI72" s="66">
        <f t="shared" si="1540"/>
        <v>668.25</v>
      </c>
      <c r="HJ72" s="67">
        <f t="shared" si="1541"/>
        <v>0</v>
      </c>
      <c r="HK72" s="64">
        <f t="shared" si="1542"/>
        <v>668.25</v>
      </c>
      <c r="HL72" s="62"/>
      <c r="HM72" s="63"/>
      <c r="HN72" s="64">
        <f t="shared" si="1543"/>
        <v>0</v>
      </c>
      <c r="HO72" s="65"/>
      <c r="HP72" s="63"/>
      <c r="HQ72" s="64">
        <f t="shared" si="1544"/>
        <v>0</v>
      </c>
      <c r="HR72" s="65"/>
      <c r="HS72" s="63"/>
      <c r="HT72" s="64">
        <f t="shared" si="1545"/>
        <v>0</v>
      </c>
      <c r="HU72" s="65">
        <v>100</v>
      </c>
      <c r="HV72" s="63"/>
      <c r="HW72" s="64">
        <f t="shared" si="1546"/>
        <v>100</v>
      </c>
      <c r="HX72" s="66">
        <f t="shared" si="1547"/>
        <v>100</v>
      </c>
      <c r="HY72" s="67">
        <f t="shared" si="1548"/>
        <v>0</v>
      </c>
      <c r="HZ72" s="64">
        <f t="shared" si="1549"/>
        <v>100</v>
      </c>
      <c r="IA72" s="62"/>
      <c r="IB72" s="63"/>
      <c r="IC72" s="64">
        <f t="shared" si="1550"/>
        <v>0</v>
      </c>
      <c r="ID72" s="65"/>
      <c r="IE72" s="63"/>
      <c r="IF72" s="64">
        <f t="shared" si="1551"/>
        <v>0</v>
      </c>
      <c r="IG72" s="65"/>
      <c r="IH72" s="63"/>
      <c r="II72" s="64">
        <f t="shared" si="1552"/>
        <v>0</v>
      </c>
      <c r="IJ72" s="65">
        <v>100</v>
      </c>
      <c r="IK72" s="63"/>
      <c r="IL72" s="64">
        <f t="shared" si="1553"/>
        <v>100</v>
      </c>
      <c r="IM72" s="66">
        <f t="shared" si="1554"/>
        <v>100</v>
      </c>
      <c r="IN72" s="67">
        <f t="shared" si="1555"/>
        <v>0</v>
      </c>
      <c r="IO72" s="64">
        <f t="shared" si="1556"/>
        <v>100</v>
      </c>
      <c r="IP72" s="62"/>
      <c r="IQ72" s="63"/>
      <c r="IR72" s="64">
        <f t="shared" si="1557"/>
        <v>0</v>
      </c>
      <c r="IS72" s="65"/>
      <c r="IT72" s="63"/>
      <c r="IU72" s="64">
        <f t="shared" si="1558"/>
        <v>0</v>
      </c>
      <c r="IV72" s="65"/>
      <c r="IW72" s="63"/>
      <c r="IX72" s="64">
        <f t="shared" si="1559"/>
        <v>0</v>
      </c>
      <c r="IY72" s="65"/>
      <c r="IZ72" s="63"/>
      <c r="JA72" s="64">
        <f t="shared" si="1560"/>
        <v>0</v>
      </c>
      <c r="JB72" s="66">
        <f t="shared" si="1561"/>
        <v>0</v>
      </c>
      <c r="JC72" s="67">
        <f t="shared" si="1562"/>
        <v>0</v>
      </c>
      <c r="JD72" s="64">
        <f t="shared" si="1563"/>
        <v>0</v>
      </c>
      <c r="JE72" s="72"/>
      <c r="JF72" s="150"/>
      <c r="JG72" s="74"/>
      <c r="JH72" s="75"/>
      <c r="JI72" s="150"/>
      <c r="JJ72" s="74"/>
      <c r="JK72" s="75"/>
      <c r="JL72" s="150"/>
      <c r="JM72" s="74"/>
      <c r="JN72" s="75"/>
      <c r="JO72" s="150"/>
      <c r="JP72" s="74"/>
      <c r="JQ72" s="76"/>
      <c r="JR72" s="77"/>
      <c r="JS72" s="74"/>
      <c r="JT72" s="72"/>
      <c r="JU72" s="73"/>
      <c r="JV72" s="74"/>
      <c r="JW72" s="75"/>
      <c r="JX72" s="73"/>
      <c r="JY72" s="74"/>
      <c r="JZ72" s="75"/>
      <c r="KA72" s="73"/>
      <c r="KB72" s="74"/>
      <c r="KC72" s="75"/>
      <c r="KD72" s="73"/>
      <c r="KE72" s="74"/>
      <c r="KF72" s="76"/>
      <c r="KG72" s="77"/>
      <c r="KH72" s="64">
        <f t="shared" si="1564"/>
        <v>0</v>
      </c>
      <c r="KI72" s="62"/>
      <c r="KJ72" s="63"/>
      <c r="KK72" s="64">
        <f t="shared" si="1565"/>
        <v>0</v>
      </c>
      <c r="KL72" s="65"/>
      <c r="KM72" s="63"/>
      <c r="KN72" s="64">
        <f t="shared" si="1566"/>
        <v>0</v>
      </c>
      <c r="KO72" s="65"/>
      <c r="KP72" s="63"/>
      <c r="KQ72" s="64">
        <f t="shared" si="1567"/>
        <v>0</v>
      </c>
      <c r="KR72" s="65"/>
      <c r="KS72" s="63"/>
      <c r="KT72" s="64">
        <f t="shared" si="1568"/>
        <v>0</v>
      </c>
      <c r="KU72" s="66">
        <f t="shared" si="1439"/>
        <v>0</v>
      </c>
      <c r="KV72" s="67">
        <f t="shared" si="1569"/>
        <v>0</v>
      </c>
      <c r="KW72" s="64">
        <f t="shared" si="1570"/>
        <v>0</v>
      </c>
      <c r="KX72" s="72"/>
      <c r="KY72" s="73"/>
      <c r="KZ72" s="74"/>
      <c r="LA72" s="75"/>
      <c r="LB72" s="73"/>
      <c r="LC72" s="74"/>
      <c r="LD72" s="75"/>
      <c r="LE72" s="73"/>
      <c r="LF72" s="74"/>
      <c r="LG72" s="75"/>
      <c r="LH72" s="73"/>
      <c r="LI72" s="74"/>
      <c r="LJ72" s="76"/>
      <c r="LK72" s="77"/>
      <c r="LL72" s="74"/>
      <c r="LM72" s="62"/>
      <c r="LN72" s="63"/>
      <c r="LO72" s="64">
        <f t="shared" si="1571"/>
        <v>0</v>
      </c>
      <c r="LP72" s="65"/>
      <c r="LQ72" s="63"/>
      <c r="LR72" s="64">
        <f t="shared" si="1572"/>
        <v>0</v>
      </c>
      <c r="LS72" s="65"/>
      <c r="LT72" s="63"/>
      <c r="LU72" s="64">
        <f t="shared" si="1573"/>
        <v>0</v>
      </c>
      <c r="LV72" s="65">
        <v>100</v>
      </c>
      <c r="LW72" s="63"/>
      <c r="LX72" s="64">
        <f t="shared" si="1574"/>
        <v>100</v>
      </c>
      <c r="LY72" s="66">
        <f t="shared" si="1575"/>
        <v>100</v>
      </c>
      <c r="LZ72" s="67">
        <f t="shared" si="1576"/>
        <v>0</v>
      </c>
      <c r="MA72" s="64">
        <f t="shared" si="1577"/>
        <v>100</v>
      </c>
      <c r="MB72" s="62"/>
      <c r="MC72" s="63"/>
      <c r="MD72" s="64">
        <f t="shared" si="1578"/>
        <v>0</v>
      </c>
      <c r="ME72" s="65">
        <v>889.11</v>
      </c>
      <c r="MF72" s="63"/>
      <c r="MG72" s="64">
        <f t="shared" si="1579"/>
        <v>889.11</v>
      </c>
      <c r="MH72" s="65"/>
      <c r="MI72" s="63"/>
      <c r="MJ72" s="64">
        <f t="shared" si="1580"/>
        <v>0</v>
      </c>
      <c r="MK72" s="65">
        <v>100</v>
      </c>
      <c r="ML72" s="63"/>
      <c r="MM72" s="64">
        <f t="shared" si="1581"/>
        <v>100</v>
      </c>
      <c r="MN72" s="66">
        <f t="shared" si="1582"/>
        <v>989.11</v>
      </c>
      <c r="MO72" s="67">
        <f t="shared" si="1583"/>
        <v>0</v>
      </c>
      <c r="MP72" s="64">
        <f t="shared" si="1584"/>
        <v>989.11</v>
      </c>
      <c r="MQ72" s="62"/>
      <c r="MR72" s="63"/>
      <c r="MS72" s="64">
        <f t="shared" si="1585"/>
        <v>0</v>
      </c>
      <c r="MT72" s="65"/>
      <c r="MU72" s="63"/>
      <c r="MV72" s="64">
        <f t="shared" si="1586"/>
        <v>0</v>
      </c>
      <c r="MW72" s="65"/>
      <c r="MX72" s="63"/>
      <c r="MY72" s="64">
        <f t="shared" si="1587"/>
        <v>0</v>
      </c>
      <c r="MZ72" s="65"/>
      <c r="NA72" s="63"/>
      <c r="NB72" s="64">
        <f t="shared" si="1588"/>
        <v>0</v>
      </c>
      <c r="NC72" s="66">
        <f t="shared" si="1589"/>
        <v>0</v>
      </c>
      <c r="ND72" s="67">
        <f t="shared" si="1590"/>
        <v>0</v>
      </c>
      <c r="NE72" s="64">
        <f t="shared" si="1591"/>
        <v>0</v>
      </c>
      <c r="NF72" s="62"/>
      <c r="NG72" s="63"/>
      <c r="NH72" s="64">
        <f t="shared" si="1592"/>
        <v>0</v>
      </c>
      <c r="NI72" s="65">
        <v>1164.04</v>
      </c>
      <c r="NJ72" s="63"/>
      <c r="NK72" s="64">
        <f t="shared" si="1593"/>
        <v>1164.04</v>
      </c>
      <c r="NL72" s="65"/>
      <c r="NM72" s="63"/>
      <c r="NN72" s="64">
        <f t="shared" si="1594"/>
        <v>0</v>
      </c>
      <c r="NO72" s="65">
        <v>100</v>
      </c>
      <c r="NP72" s="63"/>
      <c r="NQ72" s="64">
        <f t="shared" si="1595"/>
        <v>100</v>
      </c>
      <c r="NR72" s="66">
        <f t="shared" si="1596"/>
        <v>1264.04</v>
      </c>
      <c r="NS72" s="67">
        <f t="shared" si="1597"/>
        <v>0</v>
      </c>
      <c r="NT72" s="64">
        <f t="shared" si="1598"/>
        <v>1264.04</v>
      </c>
      <c r="NU72" s="62"/>
      <c r="NV72" s="63"/>
      <c r="NW72" s="64">
        <f t="shared" si="1599"/>
        <v>0</v>
      </c>
      <c r="NX72" s="65">
        <v>1152.73</v>
      </c>
      <c r="NY72" s="63"/>
      <c r="NZ72" s="64">
        <f t="shared" si="1600"/>
        <v>1152.73</v>
      </c>
      <c r="OA72" s="65">
        <v>884.31</v>
      </c>
      <c r="OB72" s="63"/>
      <c r="OC72" s="64">
        <f t="shared" si="1601"/>
        <v>884.31</v>
      </c>
      <c r="OD72" s="65">
        <v>100</v>
      </c>
      <c r="OE72" s="63"/>
      <c r="OF72" s="64">
        <f t="shared" si="1602"/>
        <v>100</v>
      </c>
      <c r="OG72" s="66">
        <f t="shared" si="1603"/>
        <v>2137.04</v>
      </c>
      <c r="OH72" s="67">
        <f t="shared" si="1604"/>
        <v>0</v>
      </c>
      <c r="OI72" s="64">
        <f t="shared" si="1605"/>
        <v>2137.04</v>
      </c>
      <c r="OJ72" s="62"/>
      <c r="OK72" s="63"/>
      <c r="OL72" s="64">
        <f t="shared" si="1606"/>
        <v>0</v>
      </c>
      <c r="OM72" s="65"/>
      <c r="ON72" s="63"/>
      <c r="OO72" s="64">
        <f t="shared" si="1607"/>
        <v>0</v>
      </c>
      <c r="OP72" s="65"/>
      <c r="OQ72" s="63"/>
      <c r="OR72" s="64">
        <f t="shared" si="1608"/>
        <v>0</v>
      </c>
      <c r="OS72" s="65">
        <v>100</v>
      </c>
      <c r="OT72" s="63"/>
      <c r="OU72" s="64">
        <f t="shared" si="1609"/>
        <v>100</v>
      </c>
      <c r="OV72" s="66">
        <f t="shared" si="1610"/>
        <v>100</v>
      </c>
      <c r="OW72" s="67">
        <f t="shared" si="1611"/>
        <v>0</v>
      </c>
      <c r="OX72" s="64">
        <f t="shared" si="1612"/>
        <v>100</v>
      </c>
      <c r="OY72" s="62"/>
      <c r="OZ72" s="63"/>
      <c r="PA72" s="64">
        <f t="shared" si="1613"/>
        <v>0</v>
      </c>
      <c r="PB72" s="65"/>
      <c r="PC72" s="63"/>
      <c r="PD72" s="64">
        <f t="shared" si="1614"/>
        <v>0</v>
      </c>
      <c r="PE72" s="65"/>
      <c r="PF72" s="63"/>
      <c r="PG72" s="64">
        <f t="shared" si="1615"/>
        <v>0</v>
      </c>
      <c r="PH72" s="65">
        <v>100</v>
      </c>
      <c r="PI72" s="63"/>
      <c r="PJ72" s="64">
        <f t="shared" si="1616"/>
        <v>100</v>
      </c>
      <c r="PK72" s="66">
        <f t="shared" si="1617"/>
        <v>100</v>
      </c>
      <c r="PL72" s="67">
        <f t="shared" si="1618"/>
        <v>0</v>
      </c>
      <c r="PM72" s="64">
        <f t="shared" si="1619"/>
        <v>100</v>
      </c>
      <c r="PN72" s="62">
        <v>1550</v>
      </c>
      <c r="PO72" s="63"/>
      <c r="PP72" s="64">
        <f t="shared" si="1620"/>
        <v>1550</v>
      </c>
      <c r="PQ72" s="65"/>
      <c r="PR72" s="63"/>
      <c r="PS72" s="64">
        <f t="shared" si="1621"/>
        <v>0</v>
      </c>
      <c r="PT72" s="65"/>
      <c r="PU72" s="63"/>
      <c r="PV72" s="64">
        <f t="shared" si="1622"/>
        <v>0</v>
      </c>
      <c r="PW72" s="65">
        <v>100</v>
      </c>
      <c r="PX72" s="63"/>
      <c r="PY72" s="64">
        <f t="shared" si="1623"/>
        <v>100</v>
      </c>
      <c r="PZ72" s="66">
        <f t="shared" si="1624"/>
        <v>1650</v>
      </c>
      <c r="QA72" s="67">
        <f t="shared" si="1625"/>
        <v>0</v>
      </c>
      <c r="QB72" s="64">
        <f t="shared" si="1626"/>
        <v>1650</v>
      </c>
      <c r="QC72" s="62"/>
      <c r="QD72" s="63"/>
      <c r="QE72" s="64">
        <f t="shared" si="1627"/>
        <v>0</v>
      </c>
      <c r="QF72" s="65"/>
      <c r="QG72" s="63"/>
      <c r="QH72" s="64">
        <f t="shared" si="1628"/>
        <v>0</v>
      </c>
      <c r="QI72" s="65"/>
      <c r="QJ72" s="63"/>
      <c r="QK72" s="64">
        <f t="shared" si="1629"/>
        <v>0</v>
      </c>
      <c r="QL72" s="65">
        <v>100</v>
      </c>
      <c r="QM72" s="63"/>
      <c r="QN72" s="64">
        <f t="shared" si="1630"/>
        <v>100</v>
      </c>
      <c r="QO72" s="66">
        <f t="shared" si="1631"/>
        <v>100</v>
      </c>
      <c r="QP72" s="67">
        <f t="shared" si="1632"/>
        <v>0</v>
      </c>
      <c r="QQ72" s="64">
        <f t="shared" si="1633"/>
        <v>100</v>
      </c>
      <c r="QR72" s="74"/>
      <c r="QS72" s="74"/>
      <c r="QT72" s="72"/>
      <c r="QU72" s="73"/>
      <c r="QV72" s="74"/>
      <c r="QW72" s="75"/>
      <c r="QX72" s="73"/>
      <c r="QY72" s="74"/>
      <c r="QZ72" s="75"/>
      <c r="RA72" s="73"/>
      <c r="RB72" s="74"/>
      <c r="RC72" s="75"/>
      <c r="RD72" s="73"/>
      <c r="RE72" s="74"/>
      <c r="RF72" s="74"/>
      <c r="RG72" s="72"/>
      <c r="RH72" s="73"/>
      <c r="RI72" s="74"/>
      <c r="RJ72" s="75"/>
      <c r="RK72" s="73"/>
      <c r="RL72" s="74"/>
      <c r="RM72" s="75"/>
      <c r="RN72" s="73"/>
      <c r="RO72" s="74"/>
      <c r="RP72" s="75"/>
      <c r="RQ72" s="73"/>
      <c r="RR72" s="74"/>
      <c r="RS72" s="76"/>
      <c r="RT72" s="77"/>
      <c r="RU72" s="74"/>
      <c r="RV72" s="74"/>
      <c r="RW72" s="72"/>
      <c r="RX72" s="73"/>
      <c r="RY72" s="74"/>
      <c r="RZ72" s="75"/>
      <c r="SA72" s="73"/>
      <c r="SB72" s="74"/>
      <c r="SC72" s="75"/>
      <c r="SD72" s="73"/>
      <c r="SE72" s="74"/>
      <c r="SF72" s="75"/>
      <c r="SG72" s="73"/>
      <c r="SH72" s="74"/>
      <c r="SI72" s="76"/>
      <c r="SJ72" s="64">
        <f t="shared" si="1634"/>
        <v>0</v>
      </c>
      <c r="SK72" s="62"/>
      <c r="SL72" s="63"/>
      <c r="SM72" s="64">
        <f t="shared" si="1635"/>
        <v>0</v>
      </c>
      <c r="SN72" s="65"/>
      <c r="SO72" s="63"/>
      <c r="SP72" s="64">
        <f t="shared" si="1636"/>
        <v>0</v>
      </c>
      <c r="SQ72" s="65"/>
      <c r="SR72" s="63"/>
      <c r="SS72" s="64">
        <f t="shared" si="1637"/>
        <v>0</v>
      </c>
      <c r="ST72" s="65">
        <v>100</v>
      </c>
      <c r="SU72" s="63"/>
      <c r="SV72" s="64">
        <f t="shared" si="1638"/>
        <v>100</v>
      </c>
      <c r="SW72" s="66">
        <f t="shared" si="1639"/>
        <v>100</v>
      </c>
      <c r="SX72" s="67">
        <f t="shared" si="1640"/>
        <v>0</v>
      </c>
      <c r="SY72" s="64">
        <f t="shared" si="1641"/>
        <v>100</v>
      </c>
      <c r="SZ72" s="62">
        <v>985.33</v>
      </c>
      <c r="TA72" s="63"/>
      <c r="TB72" s="64">
        <f t="shared" si="1642"/>
        <v>985.33</v>
      </c>
      <c r="TC72" s="65">
        <v>700.9</v>
      </c>
      <c r="TD72" s="63"/>
      <c r="TE72" s="64">
        <f t="shared" si="1643"/>
        <v>700.9</v>
      </c>
      <c r="TF72" s="65"/>
      <c r="TG72" s="63"/>
      <c r="TH72" s="64">
        <f t="shared" si="1644"/>
        <v>0</v>
      </c>
      <c r="TI72" s="65">
        <v>100</v>
      </c>
      <c r="TJ72" s="63"/>
      <c r="TK72" s="64">
        <f t="shared" si="1645"/>
        <v>100</v>
      </c>
      <c r="TL72" s="66">
        <f t="shared" si="1646"/>
        <v>1786.23</v>
      </c>
      <c r="TM72" s="67">
        <f t="shared" si="1647"/>
        <v>0</v>
      </c>
      <c r="TN72" s="64">
        <f t="shared" si="1648"/>
        <v>1786.23</v>
      </c>
      <c r="TO72" s="62">
        <v>3875</v>
      </c>
      <c r="TP72" s="63"/>
      <c r="TQ72" s="64">
        <f t="shared" si="1649"/>
        <v>3875</v>
      </c>
      <c r="TR72" s="65"/>
      <c r="TS72" s="63"/>
      <c r="TT72" s="64">
        <f t="shared" si="1650"/>
        <v>0</v>
      </c>
      <c r="TU72" s="65"/>
      <c r="TV72" s="63"/>
      <c r="TW72" s="64">
        <f t="shared" si="1651"/>
        <v>0</v>
      </c>
      <c r="TX72" s="65">
        <v>100</v>
      </c>
      <c r="TY72" s="63"/>
      <c r="TZ72" s="64">
        <f t="shared" si="1652"/>
        <v>100</v>
      </c>
      <c r="UA72" s="66">
        <f t="shared" si="1653"/>
        <v>3975</v>
      </c>
      <c r="UB72" s="67">
        <f t="shared" si="1654"/>
        <v>0</v>
      </c>
      <c r="UC72" s="64">
        <f t="shared" si="1655"/>
        <v>3975</v>
      </c>
      <c r="UD72" s="62">
        <v>1125</v>
      </c>
      <c r="UE72" s="63"/>
      <c r="UF72" s="64">
        <f t="shared" si="1656"/>
        <v>1125</v>
      </c>
      <c r="UG72" s="65">
        <v>497.04</v>
      </c>
      <c r="UH72" s="63"/>
      <c r="UI72" s="64">
        <f t="shared" si="1657"/>
        <v>497.04</v>
      </c>
      <c r="UJ72" s="65"/>
      <c r="UK72" s="63"/>
      <c r="UL72" s="64">
        <f t="shared" si="1658"/>
        <v>0</v>
      </c>
      <c r="UM72" s="65">
        <v>100</v>
      </c>
      <c r="UN72" s="63"/>
      <c r="UO72" s="64">
        <f t="shared" si="1659"/>
        <v>100</v>
      </c>
      <c r="UP72" s="66">
        <f t="shared" si="1660"/>
        <v>1722.04</v>
      </c>
      <c r="UQ72" s="67">
        <f t="shared" si="1661"/>
        <v>0</v>
      </c>
      <c r="UR72" s="64">
        <f t="shared" si="1662"/>
        <v>1722.04</v>
      </c>
      <c r="US72" s="74"/>
      <c r="UT72" s="72"/>
      <c r="UU72" s="73"/>
      <c r="UV72" s="74"/>
      <c r="UW72" s="75"/>
      <c r="UX72" s="73"/>
      <c r="UY72" s="74"/>
      <c r="UZ72" s="75"/>
      <c r="VA72" s="73"/>
      <c r="VB72" s="74"/>
      <c r="VC72" s="75"/>
      <c r="VD72" s="73"/>
      <c r="VE72" s="74"/>
      <c r="VF72" s="76"/>
      <c r="VG72" s="77"/>
      <c r="VH72" s="62"/>
      <c r="VI72" s="63"/>
      <c r="VJ72" s="64">
        <f t="shared" si="1663"/>
        <v>0</v>
      </c>
      <c r="VK72" s="65"/>
      <c r="VL72" s="63"/>
      <c r="VM72" s="64">
        <f t="shared" si="1664"/>
        <v>0</v>
      </c>
      <c r="VN72" s="65"/>
      <c r="VO72" s="63"/>
      <c r="VP72" s="64">
        <f t="shared" si="1665"/>
        <v>0</v>
      </c>
      <c r="VQ72" s="65">
        <v>100</v>
      </c>
      <c r="VR72" s="63"/>
      <c r="VS72" s="64">
        <f t="shared" si="1666"/>
        <v>100</v>
      </c>
      <c r="VT72" s="66">
        <f t="shared" si="1667"/>
        <v>100</v>
      </c>
      <c r="VU72" s="67">
        <f t="shared" si="1668"/>
        <v>0</v>
      </c>
      <c r="VV72" s="64">
        <f t="shared" si="1669"/>
        <v>100</v>
      </c>
      <c r="VW72" s="74"/>
      <c r="VX72" s="72"/>
      <c r="VY72" s="73"/>
      <c r="VZ72" s="74"/>
      <c r="WA72" s="75"/>
      <c r="WB72" s="73"/>
      <c r="WC72" s="74"/>
      <c r="WD72" s="75"/>
      <c r="WE72" s="73"/>
      <c r="WF72" s="74"/>
      <c r="WG72" s="75"/>
      <c r="WH72" s="73"/>
      <c r="WI72" s="74"/>
      <c r="WJ72" s="76"/>
      <c r="WK72" s="77"/>
      <c r="WL72" s="74"/>
      <c r="WM72" s="72"/>
      <c r="WN72" s="73"/>
      <c r="WO72" s="74"/>
      <c r="WP72" s="75"/>
      <c r="WQ72" s="73"/>
      <c r="WR72" s="74"/>
      <c r="WS72" s="75"/>
      <c r="WT72" s="73"/>
      <c r="WU72" s="74"/>
      <c r="WV72" s="75"/>
      <c r="WW72" s="73"/>
      <c r="WX72" s="74"/>
      <c r="WY72" s="76"/>
      <c r="WZ72" s="77"/>
      <c r="XA72" s="74"/>
      <c r="XB72" s="72"/>
      <c r="XC72" s="73"/>
      <c r="XD72" s="74"/>
      <c r="XE72" s="75"/>
      <c r="XF72" s="73"/>
      <c r="XG72" s="74"/>
      <c r="XH72" s="75"/>
      <c r="XI72" s="73"/>
      <c r="XJ72" s="74"/>
      <c r="XK72" s="75"/>
      <c r="XL72" s="73"/>
      <c r="XM72" s="74"/>
      <c r="XN72" s="76"/>
      <c r="XO72" s="77"/>
      <c r="XP72" s="62"/>
      <c r="XQ72" s="63"/>
      <c r="XR72" s="64">
        <f t="shared" si="1670"/>
        <v>0</v>
      </c>
      <c r="XS72" s="65">
        <v>844.24</v>
      </c>
      <c r="XT72" s="63"/>
      <c r="XU72" s="64">
        <f t="shared" si="1671"/>
        <v>844.24</v>
      </c>
      <c r="XV72" s="65"/>
      <c r="XW72" s="63"/>
      <c r="XX72" s="64">
        <f t="shared" si="1672"/>
        <v>0</v>
      </c>
      <c r="XY72" s="65">
        <v>100</v>
      </c>
      <c r="XZ72" s="63"/>
      <c r="YA72" s="64">
        <f t="shared" si="1673"/>
        <v>100</v>
      </c>
      <c r="YB72" s="66">
        <f t="shared" si="1674"/>
        <v>944.24</v>
      </c>
      <c r="YC72" s="67">
        <f t="shared" si="1675"/>
        <v>0</v>
      </c>
      <c r="YD72" s="64">
        <f t="shared" si="1676"/>
        <v>944.24</v>
      </c>
      <c r="YE72" s="62"/>
      <c r="YF72" s="63"/>
      <c r="YG72" s="64">
        <f t="shared" si="1677"/>
        <v>0</v>
      </c>
      <c r="YH72" s="65">
        <v>847.85</v>
      </c>
      <c r="YI72" s="63"/>
      <c r="YJ72" s="64">
        <f t="shared" si="1678"/>
        <v>847.85</v>
      </c>
      <c r="YK72" s="65">
        <v>1000</v>
      </c>
      <c r="YL72" s="63"/>
      <c r="YM72" s="64">
        <f t="shared" si="1679"/>
        <v>1000</v>
      </c>
      <c r="YN72" s="65">
        <v>100</v>
      </c>
      <c r="YO72" s="63"/>
      <c r="YP72" s="64">
        <f t="shared" si="1680"/>
        <v>100</v>
      </c>
      <c r="YQ72" s="66">
        <f t="shared" si="1681"/>
        <v>1947.85</v>
      </c>
      <c r="YR72" s="67">
        <f t="shared" si="1682"/>
        <v>0</v>
      </c>
      <c r="YS72" s="64">
        <f t="shared" si="1683"/>
        <v>1947.85</v>
      </c>
      <c r="YT72" s="62"/>
      <c r="YU72" s="63"/>
      <c r="YV72" s="64">
        <f t="shared" si="1684"/>
        <v>0</v>
      </c>
      <c r="YW72" s="65">
        <v>695.73</v>
      </c>
      <c r="YX72" s="63"/>
      <c r="YY72" s="64">
        <f t="shared" si="1685"/>
        <v>695.73</v>
      </c>
      <c r="YZ72" s="65">
        <v>1000</v>
      </c>
      <c r="ZA72" s="63"/>
      <c r="ZB72" s="64">
        <f t="shared" si="1686"/>
        <v>1000</v>
      </c>
      <c r="ZC72" s="65">
        <v>100</v>
      </c>
      <c r="ZD72" s="63"/>
      <c r="ZE72" s="64">
        <f t="shared" si="1687"/>
        <v>100</v>
      </c>
      <c r="ZF72" s="66">
        <f t="shared" si="1688"/>
        <v>1795.73</v>
      </c>
      <c r="ZG72" s="67">
        <f t="shared" si="1689"/>
        <v>0</v>
      </c>
      <c r="ZH72" s="74"/>
      <c r="ZI72" s="72"/>
      <c r="ZJ72" s="73"/>
      <c r="ZK72" s="74"/>
      <c r="ZL72" s="75"/>
      <c r="ZM72" s="73"/>
      <c r="ZN72" s="74"/>
      <c r="ZO72" s="75"/>
      <c r="ZP72" s="73"/>
      <c r="ZQ72" s="74"/>
      <c r="ZR72" s="75"/>
      <c r="ZS72" s="73"/>
      <c r="ZT72" s="74"/>
      <c r="ZU72" s="76"/>
      <c r="ZV72" s="77"/>
      <c r="ZW72" s="64">
        <f t="shared" si="1690"/>
        <v>0</v>
      </c>
      <c r="ZX72" s="62">
        <v>24.71</v>
      </c>
      <c r="ZY72" s="63"/>
      <c r="ZZ72" s="64">
        <f t="shared" si="1691"/>
        <v>24.71</v>
      </c>
      <c r="AAA72" s="66">
        <f t="shared" si="1692"/>
        <v>24.71</v>
      </c>
      <c r="AAB72" s="67">
        <f t="shared" si="1692"/>
        <v>0</v>
      </c>
      <c r="AAC72" s="64">
        <f t="shared" si="1693"/>
        <v>24.71</v>
      </c>
      <c r="AAD72" s="85">
        <f t="shared" si="1694"/>
        <v>42599.6</v>
      </c>
      <c r="AAE72" s="86">
        <f t="shared" si="1694"/>
        <v>0</v>
      </c>
      <c r="AAF72" s="87">
        <f t="shared" si="1457"/>
        <v>0</v>
      </c>
      <c r="AAG72" s="88">
        <f t="shared" si="1695"/>
        <v>-42599.6</v>
      </c>
      <c r="AAH72" s="91">
        <f>AAD82</f>
        <v>1396140.5599999998</v>
      </c>
      <c r="AAI72" s="92"/>
      <c r="AAJ72" s="92"/>
      <c r="AAK72" s="60"/>
    </row>
    <row r="73" spans="1:713" s="83" customFormat="1" ht="20" customHeight="1" x14ac:dyDescent="0.2">
      <c r="A73" s="153"/>
      <c r="B73" s="93"/>
      <c r="C73" s="90"/>
      <c r="D73" s="90"/>
      <c r="E73" s="60"/>
      <c r="F73" s="61">
        <v>46478</v>
      </c>
      <c r="G73" s="62"/>
      <c r="H73" s="63"/>
      <c r="I73" s="64">
        <f t="shared" si="1458"/>
        <v>0</v>
      </c>
      <c r="J73" s="65">
        <v>3418.12</v>
      </c>
      <c r="K73" s="63"/>
      <c r="L73" s="64">
        <f t="shared" si="1459"/>
        <v>3418.12</v>
      </c>
      <c r="M73" s="65">
        <v>2500</v>
      </c>
      <c r="N73" s="63"/>
      <c r="O73" s="64">
        <f t="shared" si="1460"/>
        <v>2500</v>
      </c>
      <c r="P73" s="65">
        <v>500</v>
      </c>
      <c r="Q73" s="63"/>
      <c r="R73" s="64">
        <f t="shared" si="1461"/>
        <v>500</v>
      </c>
      <c r="S73" s="65">
        <v>181</v>
      </c>
      <c r="T73" s="63"/>
      <c r="U73" s="64">
        <f t="shared" si="1462"/>
        <v>181</v>
      </c>
      <c r="V73" s="66">
        <f t="shared" si="1463"/>
        <v>6599.12</v>
      </c>
      <c r="W73" s="67">
        <f t="shared" si="1463"/>
        <v>0</v>
      </c>
      <c r="X73" s="64">
        <f t="shared" si="1464"/>
        <v>6599.12</v>
      </c>
      <c r="Y73" s="72"/>
      <c r="Z73" s="73"/>
      <c r="AA73" s="74"/>
      <c r="AB73" s="75"/>
      <c r="AC73" s="73"/>
      <c r="AD73" s="74"/>
      <c r="AE73" s="75"/>
      <c r="AF73" s="73"/>
      <c r="AG73" s="74"/>
      <c r="AH73" s="75"/>
      <c r="AI73" s="73"/>
      <c r="AJ73" s="74"/>
      <c r="AK73" s="76"/>
      <c r="AL73" s="77"/>
      <c r="AM73" s="64">
        <f t="shared" si="1465"/>
        <v>0</v>
      </c>
      <c r="AN73" s="62"/>
      <c r="AO73" s="63"/>
      <c r="AP73" s="64">
        <f t="shared" si="1696"/>
        <v>0</v>
      </c>
      <c r="AQ73" s="65"/>
      <c r="AR73" s="63"/>
      <c r="AS73" s="64">
        <f t="shared" si="1466"/>
        <v>0</v>
      </c>
      <c r="AT73" s="65"/>
      <c r="AU73" s="63"/>
      <c r="AV73" s="64">
        <f t="shared" si="1467"/>
        <v>0</v>
      </c>
      <c r="AW73" s="65"/>
      <c r="AX73" s="63"/>
      <c r="AY73" s="64">
        <f t="shared" si="1468"/>
        <v>0</v>
      </c>
      <c r="AZ73" s="66">
        <f t="shared" si="1469"/>
        <v>0</v>
      </c>
      <c r="BA73" s="67">
        <f t="shared" si="1470"/>
        <v>0</v>
      </c>
      <c r="BB73" s="64">
        <f t="shared" si="1471"/>
        <v>0</v>
      </c>
      <c r="BC73" s="62">
        <v>6150</v>
      </c>
      <c r="BD73" s="63"/>
      <c r="BE73" s="64">
        <f t="shared" si="1472"/>
        <v>6150</v>
      </c>
      <c r="BF73" s="65"/>
      <c r="BG73" s="63"/>
      <c r="BH73" s="64">
        <f t="shared" si="1473"/>
        <v>0</v>
      </c>
      <c r="BI73" s="65">
        <v>8000</v>
      </c>
      <c r="BJ73" s="63"/>
      <c r="BK73" s="64">
        <f t="shared" si="1474"/>
        <v>8000</v>
      </c>
      <c r="BL73" s="65">
        <v>100</v>
      </c>
      <c r="BM73" s="63"/>
      <c r="BN73" s="64">
        <f t="shared" si="1475"/>
        <v>100</v>
      </c>
      <c r="BO73" s="66">
        <f t="shared" si="1476"/>
        <v>14250</v>
      </c>
      <c r="BP73" s="67">
        <f t="shared" si="1477"/>
        <v>0</v>
      </c>
      <c r="BQ73" s="64">
        <f t="shared" si="1478"/>
        <v>14250</v>
      </c>
      <c r="BR73" s="72"/>
      <c r="BS73" s="73"/>
      <c r="BT73" s="74"/>
      <c r="BU73" s="75"/>
      <c r="BV73" s="73"/>
      <c r="BW73" s="74"/>
      <c r="BX73" s="75"/>
      <c r="BY73" s="73"/>
      <c r="BZ73" s="74"/>
      <c r="CA73" s="75"/>
      <c r="CB73" s="73"/>
      <c r="CC73" s="74"/>
      <c r="CD73" s="76"/>
      <c r="CE73" s="77"/>
      <c r="CF73" s="64">
        <f t="shared" si="1479"/>
        <v>0</v>
      </c>
      <c r="CG73" s="62"/>
      <c r="CH73" s="63"/>
      <c r="CI73" s="64">
        <f t="shared" si="1480"/>
        <v>0</v>
      </c>
      <c r="CJ73" s="65"/>
      <c r="CK73" s="63"/>
      <c r="CL73" s="64">
        <f t="shared" si="1481"/>
        <v>0</v>
      </c>
      <c r="CM73" s="65"/>
      <c r="CN73" s="63"/>
      <c r="CO73" s="64">
        <f t="shared" si="1482"/>
        <v>0</v>
      </c>
      <c r="CP73" s="65"/>
      <c r="CQ73" s="63"/>
      <c r="CR73" s="64">
        <f t="shared" si="1483"/>
        <v>0</v>
      </c>
      <c r="CS73" s="66">
        <f t="shared" si="1484"/>
        <v>0</v>
      </c>
      <c r="CT73" s="67">
        <f t="shared" si="1485"/>
        <v>0</v>
      </c>
      <c r="CU73" s="64">
        <f t="shared" si="1486"/>
        <v>0</v>
      </c>
      <c r="CV73" s="62">
        <v>2916.7</v>
      </c>
      <c r="CW73" s="63"/>
      <c r="CX73" s="64">
        <f t="shared" si="1487"/>
        <v>2916.7</v>
      </c>
      <c r="CY73" s="65">
        <v>429.15</v>
      </c>
      <c r="CZ73" s="63"/>
      <c r="DA73" s="64">
        <f t="shared" si="1488"/>
        <v>429.15</v>
      </c>
      <c r="DB73" s="65">
        <v>3000</v>
      </c>
      <c r="DC73" s="63"/>
      <c r="DD73" s="64">
        <f t="shared" si="1489"/>
        <v>3000</v>
      </c>
      <c r="DE73" s="65"/>
      <c r="DF73" s="63"/>
      <c r="DG73" s="64">
        <f t="shared" si="1490"/>
        <v>0</v>
      </c>
      <c r="DH73" s="66">
        <f t="shared" si="1491"/>
        <v>6345.85</v>
      </c>
      <c r="DI73" s="67">
        <f t="shared" si="1492"/>
        <v>0</v>
      </c>
      <c r="DJ73" s="64">
        <f t="shared" si="1493"/>
        <v>6345.85</v>
      </c>
      <c r="DK73" s="62">
        <v>2400</v>
      </c>
      <c r="DL73" s="63"/>
      <c r="DM73" s="64">
        <f t="shared" si="1494"/>
        <v>2400</v>
      </c>
      <c r="DN73" s="65">
        <v>913.08</v>
      </c>
      <c r="DO73" s="63"/>
      <c r="DP73" s="64">
        <f t="shared" si="1495"/>
        <v>913.08</v>
      </c>
      <c r="DQ73" s="65"/>
      <c r="DR73" s="63"/>
      <c r="DS73" s="64">
        <f t="shared" si="1496"/>
        <v>0</v>
      </c>
      <c r="DT73" s="65">
        <v>100</v>
      </c>
      <c r="DU73" s="63"/>
      <c r="DV73" s="64">
        <f t="shared" si="1497"/>
        <v>100</v>
      </c>
      <c r="DW73" s="66">
        <f t="shared" si="1498"/>
        <v>3413.08</v>
      </c>
      <c r="DX73" s="67">
        <f t="shared" si="1499"/>
        <v>0</v>
      </c>
      <c r="DY73" s="64">
        <f t="shared" si="1500"/>
        <v>3413.08</v>
      </c>
      <c r="DZ73" s="62"/>
      <c r="EA73" s="63"/>
      <c r="EB73" s="64">
        <f t="shared" si="1501"/>
        <v>0</v>
      </c>
      <c r="EC73" s="65"/>
      <c r="ED73" s="63"/>
      <c r="EE73" s="64">
        <f t="shared" si="1502"/>
        <v>0</v>
      </c>
      <c r="EF73" s="65"/>
      <c r="EG73" s="63"/>
      <c r="EH73" s="64">
        <f t="shared" si="1503"/>
        <v>0</v>
      </c>
      <c r="EI73" s="65">
        <v>100</v>
      </c>
      <c r="EJ73" s="63"/>
      <c r="EK73" s="64">
        <f t="shared" si="1504"/>
        <v>100</v>
      </c>
      <c r="EL73" s="66">
        <f t="shared" si="1505"/>
        <v>100</v>
      </c>
      <c r="EM73" s="67">
        <f t="shared" si="1506"/>
        <v>0</v>
      </c>
      <c r="EN73" s="64">
        <f t="shared" si="1507"/>
        <v>100</v>
      </c>
      <c r="EO73" s="62">
        <v>6150</v>
      </c>
      <c r="EP73" s="63"/>
      <c r="EQ73" s="64">
        <f t="shared" si="1508"/>
        <v>6150</v>
      </c>
      <c r="ER73" s="65"/>
      <c r="ES73" s="63"/>
      <c r="ET73" s="64">
        <f t="shared" si="1509"/>
        <v>0</v>
      </c>
      <c r="EU73" s="65"/>
      <c r="EV73" s="63"/>
      <c r="EW73" s="64">
        <f t="shared" si="1510"/>
        <v>0</v>
      </c>
      <c r="EX73" s="65">
        <v>100</v>
      </c>
      <c r="EY73" s="63"/>
      <c r="EZ73" s="64">
        <f t="shared" si="1511"/>
        <v>100</v>
      </c>
      <c r="FA73" s="66">
        <f t="shared" si="1512"/>
        <v>6250</v>
      </c>
      <c r="FB73" s="67">
        <f t="shared" si="1513"/>
        <v>0</v>
      </c>
      <c r="FC73" s="64">
        <f t="shared" si="1514"/>
        <v>6250</v>
      </c>
      <c r="FD73" s="62">
        <v>6150</v>
      </c>
      <c r="FE73" s="63"/>
      <c r="FF73" s="64">
        <f t="shared" si="1515"/>
        <v>6150</v>
      </c>
      <c r="FG73" s="65"/>
      <c r="FH73" s="63"/>
      <c r="FI73" s="64">
        <f t="shared" si="1516"/>
        <v>0</v>
      </c>
      <c r="FJ73" s="65"/>
      <c r="FK73" s="63"/>
      <c r="FL73" s="64">
        <f t="shared" si="1517"/>
        <v>0</v>
      </c>
      <c r="FM73" s="65">
        <v>100</v>
      </c>
      <c r="FN73" s="63"/>
      <c r="FO73" s="64">
        <f t="shared" si="1518"/>
        <v>100</v>
      </c>
      <c r="FP73" s="66">
        <f t="shared" si="1519"/>
        <v>6250</v>
      </c>
      <c r="FQ73" s="67">
        <f t="shared" si="1520"/>
        <v>0</v>
      </c>
      <c r="FR73" s="64">
        <f t="shared" si="1521"/>
        <v>6250</v>
      </c>
      <c r="FS73" s="62"/>
      <c r="FT73" s="63"/>
      <c r="FU73" s="64">
        <f t="shared" si="1522"/>
        <v>0</v>
      </c>
      <c r="FV73" s="65">
        <v>485.35</v>
      </c>
      <c r="FW73" s="63"/>
      <c r="FX73" s="64">
        <f t="shared" si="1523"/>
        <v>485.35</v>
      </c>
      <c r="FY73" s="65"/>
      <c r="FZ73" s="63"/>
      <c r="GA73" s="64">
        <f t="shared" si="1524"/>
        <v>0</v>
      </c>
      <c r="GB73" s="65"/>
      <c r="GC73" s="63"/>
      <c r="GD73" s="64">
        <f t="shared" si="1525"/>
        <v>0</v>
      </c>
      <c r="GE73" s="66">
        <f t="shared" si="1526"/>
        <v>485.35</v>
      </c>
      <c r="GF73" s="67">
        <f t="shared" si="1527"/>
        <v>0</v>
      </c>
      <c r="GG73" s="64">
        <f t="shared" si="1528"/>
        <v>485.35</v>
      </c>
      <c r="GH73" s="62"/>
      <c r="GI73" s="63"/>
      <c r="GJ73" s="64">
        <f t="shared" si="1529"/>
        <v>0</v>
      </c>
      <c r="GK73" s="65">
        <v>660.33</v>
      </c>
      <c r="GL73" s="63"/>
      <c r="GM73" s="64">
        <f t="shared" si="1530"/>
        <v>660.33</v>
      </c>
      <c r="GN73" s="65"/>
      <c r="GO73" s="63"/>
      <c r="GP73" s="64">
        <f t="shared" si="1531"/>
        <v>0</v>
      </c>
      <c r="GQ73" s="65"/>
      <c r="GR73" s="63"/>
      <c r="GS73" s="64">
        <f t="shared" si="1532"/>
        <v>0</v>
      </c>
      <c r="GT73" s="66">
        <f t="shared" si="1533"/>
        <v>660.33</v>
      </c>
      <c r="GU73" s="67">
        <f t="shared" si="1534"/>
        <v>0</v>
      </c>
      <c r="GV73" s="64">
        <f t="shared" si="1535"/>
        <v>660.33</v>
      </c>
      <c r="GW73" s="62"/>
      <c r="GX73" s="63"/>
      <c r="GY73" s="64">
        <f t="shared" si="1536"/>
        <v>0</v>
      </c>
      <c r="GZ73" s="65">
        <v>568.25</v>
      </c>
      <c r="HA73" s="63"/>
      <c r="HB73" s="64">
        <f t="shared" si="1537"/>
        <v>568.25</v>
      </c>
      <c r="HC73" s="65"/>
      <c r="HD73" s="63"/>
      <c r="HE73" s="64">
        <f t="shared" si="1538"/>
        <v>0</v>
      </c>
      <c r="HF73" s="65">
        <v>100</v>
      </c>
      <c r="HG73" s="63"/>
      <c r="HH73" s="64">
        <f t="shared" si="1539"/>
        <v>100</v>
      </c>
      <c r="HI73" s="66">
        <f t="shared" si="1540"/>
        <v>668.25</v>
      </c>
      <c r="HJ73" s="67">
        <f t="shared" si="1541"/>
        <v>0</v>
      </c>
      <c r="HK73" s="64">
        <f t="shared" si="1542"/>
        <v>668.25</v>
      </c>
      <c r="HL73" s="62">
        <v>6150</v>
      </c>
      <c r="HM73" s="63"/>
      <c r="HN73" s="64">
        <f t="shared" si="1543"/>
        <v>6150</v>
      </c>
      <c r="HO73" s="65"/>
      <c r="HP73" s="63"/>
      <c r="HQ73" s="64">
        <f t="shared" si="1544"/>
        <v>0</v>
      </c>
      <c r="HR73" s="65">
        <v>4800</v>
      </c>
      <c r="HS73" s="63"/>
      <c r="HT73" s="64">
        <f t="shared" si="1545"/>
        <v>4800</v>
      </c>
      <c r="HU73" s="65">
        <v>100</v>
      </c>
      <c r="HV73" s="63"/>
      <c r="HW73" s="64">
        <f t="shared" si="1546"/>
        <v>100</v>
      </c>
      <c r="HX73" s="66">
        <f t="shared" si="1547"/>
        <v>11050</v>
      </c>
      <c r="HY73" s="67">
        <f t="shared" si="1548"/>
        <v>0</v>
      </c>
      <c r="HZ73" s="64">
        <f t="shared" si="1549"/>
        <v>11050</v>
      </c>
      <c r="IA73" s="62"/>
      <c r="IB73" s="63"/>
      <c r="IC73" s="64">
        <f t="shared" si="1550"/>
        <v>0</v>
      </c>
      <c r="ID73" s="65"/>
      <c r="IE73" s="63"/>
      <c r="IF73" s="64">
        <f t="shared" si="1551"/>
        <v>0</v>
      </c>
      <c r="IG73" s="65"/>
      <c r="IH73" s="63"/>
      <c r="II73" s="64">
        <f t="shared" si="1552"/>
        <v>0</v>
      </c>
      <c r="IJ73" s="65">
        <v>100</v>
      </c>
      <c r="IK73" s="63"/>
      <c r="IL73" s="64">
        <f t="shared" si="1553"/>
        <v>100</v>
      </c>
      <c r="IM73" s="66">
        <f t="shared" si="1554"/>
        <v>100</v>
      </c>
      <c r="IN73" s="67">
        <f t="shared" si="1555"/>
        <v>0</v>
      </c>
      <c r="IO73" s="64">
        <f t="shared" si="1556"/>
        <v>100</v>
      </c>
      <c r="IP73" s="62"/>
      <c r="IQ73" s="63"/>
      <c r="IR73" s="64">
        <f t="shared" si="1557"/>
        <v>0</v>
      </c>
      <c r="IS73" s="65"/>
      <c r="IT73" s="63"/>
      <c r="IU73" s="64">
        <f t="shared" si="1558"/>
        <v>0</v>
      </c>
      <c r="IV73" s="65"/>
      <c r="IW73" s="63"/>
      <c r="IX73" s="64">
        <f t="shared" si="1559"/>
        <v>0</v>
      </c>
      <c r="IY73" s="65"/>
      <c r="IZ73" s="63"/>
      <c r="JA73" s="64">
        <f t="shared" si="1560"/>
        <v>0</v>
      </c>
      <c r="JB73" s="66">
        <f t="shared" si="1561"/>
        <v>0</v>
      </c>
      <c r="JC73" s="67">
        <f t="shared" si="1562"/>
        <v>0</v>
      </c>
      <c r="JD73" s="64">
        <f t="shared" si="1563"/>
        <v>0</v>
      </c>
      <c r="JE73" s="72"/>
      <c r="JF73" s="150"/>
      <c r="JG73" s="74"/>
      <c r="JH73" s="75"/>
      <c r="JI73" s="150"/>
      <c r="JJ73" s="74"/>
      <c r="JK73" s="75"/>
      <c r="JL73" s="150"/>
      <c r="JM73" s="74"/>
      <c r="JN73" s="75"/>
      <c r="JO73" s="150"/>
      <c r="JP73" s="74"/>
      <c r="JQ73" s="76"/>
      <c r="JR73" s="77"/>
      <c r="JS73" s="74"/>
      <c r="JT73" s="72"/>
      <c r="JU73" s="73"/>
      <c r="JV73" s="74"/>
      <c r="JW73" s="75"/>
      <c r="JX73" s="73"/>
      <c r="JY73" s="74"/>
      <c r="JZ73" s="75"/>
      <c r="KA73" s="73"/>
      <c r="KB73" s="74"/>
      <c r="KC73" s="75"/>
      <c r="KD73" s="73"/>
      <c r="KE73" s="74"/>
      <c r="KF73" s="76"/>
      <c r="KG73" s="77"/>
      <c r="KH73" s="64">
        <f t="shared" si="1564"/>
        <v>0</v>
      </c>
      <c r="KI73" s="62"/>
      <c r="KJ73" s="63"/>
      <c r="KK73" s="64">
        <f t="shared" si="1565"/>
        <v>0</v>
      </c>
      <c r="KL73" s="65"/>
      <c r="KM73" s="63"/>
      <c r="KN73" s="64">
        <f t="shared" si="1566"/>
        <v>0</v>
      </c>
      <c r="KO73" s="65"/>
      <c r="KP73" s="63"/>
      <c r="KQ73" s="64">
        <f t="shared" si="1567"/>
        <v>0</v>
      </c>
      <c r="KR73" s="65"/>
      <c r="KS73" s="63"/>
      <c r="KT73" s="64">
        <f t="shared" si="1568"/>
        <v>0</v>
      </c>
      <c r="KU73" s="66">
        <f t="shared" si="1439"/>
        <v>0</v>
      </c>
      <c r="KV73" s="67">
        <f t="shared" si="1569"/>
        <v>0</v>
      </c>
      <c r="KW73" s="64">
        <f t="shared" si="1570"/>
        <v>0</v>
      </c>
      <c r="KX73" s="72"/>
      <c r="KY73" s="73"/>
      <c r="KZ73" s="74"/>
      <c r="LA73" s="75"/>
      <c r="LB73" s="73"/>
      <c r="LC73" s="74"/>
      <c r="LD73" s="75"/>
      <c r="LE73" s="73"/>
      <c r="LF73" s="74"/>
      <c r="LG73" s="75"/>
      <c r="LH73" s="73"/>
      <c r="LI73" s="74"/>
      <c r="LJ73" s="76"/>
      <c r="LK73" s="77"/>
      <c r="LL73" s="74"/>
      <c r="LM73" s="62"/>
      <c r="LN73" s="63"/>
      <c r="LO73" s="64">
        <f t="shared" si="1571"/>
        <v>0</v>
      </c>
      <c r="LP73" s="65"/>
      <c r="LQ73" s="63"/>
      <c r="LR73" s="64">
        <f t="shared" si="1572"/>
        <v>0</v>
      </c>
      <c r="LS73" s="65"/>
      <c r="LT73" s="63"/>
      <c r="LU73" s="64">
        <f t="shared" si="1573"/>
        <v>0</v>
      </c>
      <c r="LV73" s="65">
        <v>100</v>
      </c>
      <c r="LW73" s="63"/>
      <c r="LX73" s="64">
        <f t="shared" si="1574"/>
        <v>100</v>
      </c>
      <c r="LY73" s="66">
        <f t="shared" si="1575"/>
        <v>100</v>
      </c>
      <c r="LZ73" s="67">
        <f t="shared" si="1576"/>
        <v>0</v>
      </c>
      <c r="MA73" s="64">
        <f t="shared" si="1577"/>
        <v>100</v>
      </c>
      <c r="MB73" s="62"/>
      <c r="MC73" s="63"/>
      <c r="MD73" s="64">
        <f t="shared" si="1578"/>
        <v>0</v>
      </c>
      <c r="ME73" s="65">
        <v>889.11</v>
      </c>
      <c r="MF73" s="63"/>
      <c r="MG73" s="64">
        <f t="shared" si="1579"/>
        <v>889.11</v>
      </c>
      <c r="MH73" s="65"/>
      <c r="MI73" s="63"/>
      <c r="MJ73" s="64">
        <f t="shared" si="1580"/>
        <v>0</v>
      </c>
      <c r="MK73" s="65">
        <v>100</v>
      </c>
      <c r="ML73" s="63"/>
      <c r="MM73" s="64">
        <f t="shared" si="1581"/>
        <v>100</v>
      </c>
      <c r="MN73" s="66">
        <f t="shared" si="1582"/>
        <v>989.11</v>
      </c>
      <c r="MO73" s="67">
        <f t="shared" si="1583"/>
        <v>0</v>
      </c>
      <c r="MP73" s="64">
        <f t="shared" si="1584"/>
        <v>989.11</v>
      </c>
      <c r="MQ73" s="62"/>
      <c r="MR73" s="63"/>
      <c r="MS73" s="64">
        <f t="shared" si="1585"/>
        <v>0</v>
      </c>
      <c r="MT73" s="65"/>
      <c r="MU73" s="63"/>
      <c r="MV73" s="64">
        <f t="shared" si="1586"/>
        <v>0</v>
      </c>
      <c r="MW73" s="65"/>
      <c r="MX73" s="63"/>
      <c r="MY73" s="64">
        <f t="shared" si="1587"/>
        <v>0</v>
      </c>
      <c r="MZ73" s="65"/>
      <c r="NA73" s="63"/>
      <c r="NB73" s="64">
        <f t="shared" si="1588"/>
        <v>0</v>
      </c>
      <c r="NC73" s="66">
        <f t="shared" si="1589"/>
        <v>0</v>
      </c>
      <c r="ND73" s="67">
        <f t="shared" si="1590"/>
        <v>0</v>
      </c>
      <c r="NE73" s="64">
        <f t="shared" si="1591"/>
        <v>0</v>
      </c>
      <c r="NF73" s="62"/>
      <c r="NG73" s="63"/>
      <c r="NH73" s="64">
        <f t="shared" si="1592"/>
        <v>0</v>
      </c>
      <c r="NI73" s="65">
        <v>1164.04</v>
      </c>
      <c r="NJ73" s="63"/>
      <c r="NK73" s="64">
        <f t="shared" si="1593"/>
        <v>1164.04</v>
      </c>
      <c r="NL73" s="65"/>
      <c r="NM73" s="63"/>
      <c r="NN73" s="64">
        <f t="shared" si="1594"/>
        <v>0</v>
      </c>
      <c r="NO73" s="65">
        <v>100</v>
      </c>
      <c r="NP73" s="63"/>
      <c r="NQ73" s="64">
        <f t="shared" si="1595"/>
        <v>100</v>
      </c>
      <c r="NR73" s="66">
        <f t="shared" si="1596"/>
        <v>1264.04</v>
      </c>
      <c r="NS73" s="67">
        <f t="shared" si="1597"/>
        <v>0</v>
      </c>
      <c r="NT73" s="64">
        <f t="shared" si="1598"/>
        <v>1264.04</v>
      </c>
      <c r="NU73" s="62"/>
      <c r="NV73" s="63"/>
      <c r="NW73" s="64">
        <f t="shared" si="1599"/>
        <v>0</v>
      </c>
      <c r="NX73" s="65">
        <v>1152.73</v>
      </c>
      <c r="NY73" s="63"/>
      <c r="NZ73" s="64">
        <f t="shared" si="1600"/>
        <v>1152.73</v>
      </c>
      <c r="OA73" s="65"/>
      <c r="OB73" s="63"/>
      <c r="OC73" s="64">
        <f t="shared" si="1601"/>
        <v>0</v>
      </c>
      <c r="OD73" s="65">
        <v>100</v>
      </c>
      <c r="OE73" s="63"/>
      <c r="OF73" s="64">
        <f t="shared" si="1602"/>
        <v>100</v>
      </c>
      <c r="OG73" s="66">
        <f t="shared" si="1603"/>
        <v>1252.73</v>
      </c>
      <c r="OH73" s="67">
        <f t="shared" si="1604"/>
        <v>0</v>
      </c>
      <c r="OI73" s="64">
        <f t="shared" si="1605"/>
        <v>1252.73</v>
      </c>
      <c r="OJ73" s="62"/>
      <c r="OK73" s="63"/>
      <c r="OL73" s="64">
        <f t="shared" si="1606"/>
        <v>0</v>
      </c>
      <c r="OM73" s="65"/>
      <c r="ON73" s="63"/>
      <c r="OO73" s="64">
        <f t="shared" si="1607"/>
        <v>0</v>
      </c>
      <c r="OP73" s="65"/>
      <c r="OQ73" s="63"/>
      <c r="OR73" s="64">
        <f t="shared" si="1608"/>
        <v>0</v>
      </c>
      <c r="OS73" s="65">
        <v>100</v>
      </c>
      <c r="OT73" s="63"/>
      <c r="OU73" s="64">
        <f t="shared" si="1609"/>
        <v>100</v>
      </c>
      <c r="OV73" s="66">
        <f t="shared" si="1610"/>
        <v>100</v>
      </c>
      <c r="OW73" s="67">
        <f t="shared" si="1611"/>
        <v>0</v>
      </c>
      <c r="OX73" s="64">
        <f t="shared" si="1612"/>
        <v>100</v>
      </c>
      <c r="OY73" s="62"/>
      <c r="OZ73" s="63"/>
      <c r="PA73" s="64">
        <f t="shared" si="1613"/>
        <v>0</v>
      </c>
      <c r="PB73" s="65"/>
      <c r="PC73" s="63"/>
      <c r="PD73" s="64">
        <f t="shared" si="1614"/>
        <v>0</v>
      </c>
      <c r="PE73" s="65"/>
      <c r="PF73" s="63"/>
      <c r="PG73" s="64">
        <f t="shared" si="1615"/>
        <v>0</v>
      </c>
      <c r="PH73" s="65">
        <v>100</v>
      </c>
      <c r="PI73" s="63"/>
      <c r="PJ73" s="64">
        <f t="shared" si="1616"/>
        <v>100</v>
      </c>
      <c r="PK73" s="66">
        <f t="shared" si="1617"/>
        <v>100</v>
      </c>
      <c r="PL73" s="67">
        <f t="shared" si="1618"/>
        <v>0</v>
      </c>
      <c r="PM73" s="64">
        <f t="shared" si="1619"/>
        <v>100</v>
      </c>
      <c r="PN73" s="62">
        <v>1550</v>
      </c>
      <c r="PO73" s="63"/>
      <c r="PP73" s="64">
        <f t="shared" si="1620"/>
        <v>1550</v>
      </c>
      <c r="PQ73" s="65"/>
      <c r="PR73" s="63"/>
      <c r="PS73" s="64">
        <f t="shared" si="1621"/>
        <v>0</v>
      </c>
      <c r="PT73" s="65"/>
      <c r="PU73" s="63"/>
      <c r="PV73" s="64">
        <f t="shared" si="1622"/>
        <v>0</v>
      </c>
      <c r="PW73" s="65">
        <v>100</v>
      </c>
      <c r="PX73" s="63"/>
      <c r="PY73" s="64">
        <f t="shared" si="1623"/>
        <v>100</v>
      </c>
      <c r="PZ73" s="66">
        <f t="shared" si="1624"/>
        <v>1650</v>
      </c>
      <c r="QA73" s="67">
        <f t="shared" si="1625"/>
        <v>0</v>
      </c>
      <c r="QB73" s="64">
        <f t="shared" si="1626"/>
        <v>1650</v>
      </c>
      <c r="QC73" s="62"/>
      <c r="QD73" s="63"/>
      <c r="QE73" s="64">
        <f t="shared" si="1627"/>
        <v>0</v>
      </c>
      <c r="QF73" s="65"/>
      <c r="QG73" s="63"/>
      <c r="QH73" s="64">
        <f t="shared" si="1628"/>
        <v>0</v>
      </c>
      <c r="QI73" s="65"/>
      <c r="QJ73" s="63"/>
      <c r="QK73" s="64">
        <f t="shared" si="1629"/>
        <v>0</v>
      </c>
      <c r="QL73" s="65">
        <v>100</v>
      </c>
      <c r="QM73" s="63"/>
      <c r="QN73" s="64">
        <f t="shared" si="1630"/>
        <v>100</v>
      </c>
      <c r="QO73" s="66">
        <f t="shared" si="1631"/>
        <v>100</v>
      </c>
      <c r="QP73" s="67">
        <f t="shared" si="1632"/>
        <v>0</v>
      </c>
      <c r="QQ73" s="64">
        <f t="shared" si="1633"/>
        <v>100</v>
      </c>
      <c r="QR73" s="74"/>
      <c r="QS73" s="74"/>
      <c r="QT73" s="72"/>
      <c r="QU73" s="73"/>
      <c r="QV73" s="74"/>
      <c r="QW73" s="75"/>
      <c r="QX73" s="73"/>
      <c r="QY73" s="74"/>
      <c r="QZ73" s="75"/>
      <c r="RA73" s="73"/>
      <c r="RB73" s="74"/>
      <c r="RC73" s="75"/>
      <c r="RD73" s="73"/>
      <c r="RE73" s="74"/>
      <c r="RF73" s="74"/>
      <c r="RG73" s="72"/>
      <c r="RH73" s="73"/>
      <c r="RI73" s="74"/>
      <c r="RJ73" s="75"/>
      <c r="RK73" s="73"/>
      <c r="RL73" s="74"/>
      <c r="RM73" s="75"/>
      <c r="RN73" s="73"/>
      <c r="RO73" s="74"/>
      <c r="RP73" s="75"/>
      <c r="RQ73" s="73"/>
      <c r="RR73" s="74"/>
      <c r="RS73" s="76"/>
      <c r="RT73" s="77"/>
      <c r="RU73" s="74"/>
      <c r="RV73" s="74"/>
      <c r="RW73" s="72"/>
      <c r="RX73" s="73"/>
      <c r="RY73" s="74"/>
      <c r="RZ73" s="75"/>
      <c r="SA73" s="73"/>
      <c r="SB73" s="74"/>
      <c r="SC73" s="75"/>
      <c r="SD73" s="73"/>
      <c r="SE73" s="74"/>
      <c r="SF73" s="75"/>
      <c r="SG73" s="73"/>
      <c r="SH73" s="74"/>
      <c r="SI73" s="76"/>
      <c r="SJ73" s="64">
        <f t="shared" si="1634"/>
        <v>0</v>
      </c>
      <c r="SK73" s="62"/>
      <c r="SL73" s="63"/>
      <c r="SM73" s="64">
        <f t="shared" si="1635"/>
        <v>0</v>
      </c>
      <c r="SN73" s="65"/>
      <c r="SO73" s="63"/>
      <c r="SP73" s="64">
        <f t="shared" si="1636"/>
        <v>0</v>
      </c>
      <c r="SQ73" s="65"/>
      <c r="SR73" s="63"/>
      <c r="SS73" s="64">
        <f t="shared" si="1637"/>
        <v>0</v>
      </c>
      <c r="ST73" s="65">
        <v>100</v>
      </c>
      <c r="SU73" s="63"/>
      <c r="SV73" s="64">
        <f t="shared" si="1638"/>
        <v>100</v>
      </c>
      <c r="SW73" s="66">
        <f t="shared" si="1639"/>
        <v>100</v>
      </c>
      <c r="SX73" s="67">
        <f t="shared" si="1640"/>
        <v>0</v>
      </c>
      <c r="SY73" s="64">
        <f t="shared" si="1641"/>
        <v>100</v>
      </c>
      <c r="SZ73" s="62">
        <v>985.33</v>
      </c>
      <c r="TA73" s="63"/>
      <c r="TB73" s="64">
        <f t="shared" si="1642"/>
        <v>985.33</v>
      </c>
      <c r="TC73" s="65">
        <v>700.9</v>
      </c>
      <c r="TD73" s="63"/>
      <c r="TE73" s="64">
        <f t="shared" si="1643"/>
        <v>700.9</v>
      </c>
      <c r="TF73" s="65"/>
      <c r="TG73" s="63"/>
      <c r="TH73" s="64">
        <f t="shared" si="1644"/>
        <v>0</v>
      </c>
      <c r="TI73" s="65">
        <v>100</v>
      </c>
      <c r="TJ73" s="63"/>
      <c r="TK73" s="64">
        <f t="shared" si="1645"/>
        <v>100</v>
      </c>
      <c r="TL73" s="66">
        <f t="shared" si="1646"/>
        <v>1786.23</v>
      </c>
      <c r="TM73" s="67">
        <f t="shared" si="1647"/>
        <v>0</v>
      </c>
      <c r="TN73" s="64">
        <f t="shared" si="1648"/>
        <v>1786.23</v>
      </c>
      <c r="TO73" s="62"/>
      <c r="TP73" s="63"/>
      <c r="TQ73" s="64">
        <f t="shared" si="1649"/>
        <v>0</v>
      </c>
      <c r="TR73" s="65"/>
      <c r="TS73" s="63"/>
      <c r="TT73" s="64">
        <f t="shared" si="1650"/>
        <v>0</v>
      </c>
      <c r="TU73" s="65"/>
      <c r="TV73" s="63"/>
      <c r="TW73" s="64">
        <f t="shared" si="1651"/>
        <v>0</v>
      </c>
      <c r="TX73" s="65">
        <v>100</v>
      </c>
      <c r="TY73" s="63"/>
      <c r="TZ73" s="64">
        <f t="shared" si="1652"/>
        <v>100</v>
      </c>
      <c r="UA73" s="66">
        <f t="shared" si="1653"/>
        <v>100</v>
      </c>
      <c r="UB73" s="67">
        <f t="shared" si="1654"/>
        <v>0</v>
      </c>
      <c r="UC73" s="64">
        <f t="shared" si="1655"/>
        <v>100</v>
      </c>
      <c r="UD73" s="62">
        <v>1125</v>
      </c>
      <c r="UE73" s="63"/>
      <c r="UF73" s="64">
        <f t="shared" si="1656"/>
        <v>1125</v>
      </c>
      <c r="UG73" s="65">
        <v>497.04</v>
      </c>
      <c r="UH73" s="63"/>
      <c r="UI73" s="64">
        <f t="shared" si="1657"/>
        <v>497.04</v>
      </c>
      <c r="UJ73" s="65"/>
      <c r="UK73" s="63"/>
      <c r="UL73" s="64">
        <f t="shared" si="1658"/>
        <v>0</v>
      </c>
      <c r="UM73" s="65">
        <v>100</v>
      </c>
      <c r="UN73" s="63"/>
      <c r="UO73" s="64">
        <f t="shared" si="1659"/>
        <v>100</v>
      </c>
      <c r="UP73" s="66">
        <f t="shared" si="1660"/>
        <v>1722.04</v>
      </c>
      <c r="UQ73" s="67">
        <f t="shared" si="1661"/>
        <v>0</v>
      </c>
      <c r="UR73" s="64">
        <f t="shared" si="1662"/>
        <v>1722.04</v>
      </c>
      <c r="US73" s="74"/>
      <c r="UT73" s="72"/>
      <c r="UU73" s="73"/>
      <c r="UV73" s="74"/>
      <c r="UW73" s="75"/>
      <c r="UX73" s="73"/>
      <c r="UY73" s="74"/>
      <c r="UZ73" s="75"/>
      <c r="VA73" s="73"/>
      <c r="VB73" s="74"/>
      <c r="VC73" s="75"/>
      <c r="VD73" s="73"/>
      <c r="VE73" s="74"/>
      <c r="VF73" s="76"/>
      <c r="VG73" s="77"/>
      <c r="VH73" s="62"/>
      <c r="VI73" s="63"/>
      <c r="VJ73" s="64">
        <f t="shared" si="1663"/>
        <v>0</v>
      </c>
      <c r="VK73" s="65"/>
      <c r="VL73" s="63"/>
      <c r="VM73" s="64">
        <f t="shared" si="1664"/>
        <v>0</v>
      </c>
      <c r="VN73" s="65"/>
      <c r="VO73" s="63"/>
      <c r="VP73" s="64">
        <f t="shared" si="1665"/>
        <v>0</v>
      </c>
      <c r="VQ73" s="65">
        <v>100</v>
      </c>
      <c r="VR73" s="63"/>
      <c r="VS73" s="64">
        <f t="shared" si="1666"/>
        <v>100</v>
      </c>
      <c r="VT73" s="66">
        <f t="shared" si="1667"/>
        <v>100</v>
      </c>
      <c r="VU73" s="67">
        <f t="shared" si="1668"/>
        <v>0</v>
      </c>
      <c r="VV73" s="64">
        <f t="shared" si="1669"/>
        <v>100</v>
      </c>
      <c r="VW73" s="74"/>
      <c r="VX73" s="72"/>
      <c r="VY73" s="73"/>
      <c r="VZ73" s="74"/>
      <c r="WA73" s="75"/>
      <c r="WB73" s="73"/>
      <c r="WC73" s="74"/>
      <c r="WD73" s="75"/>
      <c r="WE73" s="73"/>
      <c r="WF73" s="74"/>
      <c r="WG73" s="75"/>
      <c r="WH73" s="73"/>
      <c r="WI73" s="74"/>
      <c r="WJ73" s="76"/>
      <c r="WK73" s="77"/>
      <c r="WL73" s="74"/>
      <c r="WM73" s="72"/>
      <c r="WN73" s="73"/>
      <c r="WO73" s="74"/>
      <c r="WP73" s="75"/>
      <c r="WQ73" s="73"/>
      <c r="WR73" s="74"/>
      <c r="WS73" s="75"/>
      <c r="WT73" s="73"/>
      <c r="WU73" s="74"/>
      <c r="WV73" s="75"/>
      <c r="WW73" s="73"/>
      <c r="WX73" s="74"/>
      <c r="WY73" s="76"/>
      <c r="WZ73" s="77"/>
      <c r="XA73" s="74"/>
      <c r="XB73" s="72"/>
      <c r="XC73" s="73"/>
      <c r="XD73" s="74"/>
      <c r="XE73" s="75"/>
      <c r="XF73" s="73"/>
      <c r="XG73" s="74"/>
      <c r="XH73" s="75"/>
      <c r="XI73" s="73"/>
      <c r="XJ73" s="74"/>
      <c r="XK73" s="75"/>
      <c r="XL73" s="73"/>
      <c r="XM73" s="74"/>
      <c r="XN73" s="76"/>
      <c r="XO73" s="77"/>
      <c r="XP73" s="62"/>
      <c r="XQ73" s="63"/>
      <c r="XR73" s="64">
        <f t="shared" si="1670"/>
        <v>0</v>
      </c>
      <c r="XS73" s="65">
        <v>844.24</v>
      </c>
      <c r="XT73" s="63"/>
      <c r="XU73" s="64">
        <f t="shared" si="1671"/>
        <v>844.24</v>
      </c>
      <c r="XV73" s="65"/>
      <c r="XW73" s="63"/>
      <c r="XX73" s="64">
        <f t="shared" si="1672"/>
        <v>0</v>
      </c>
      <c r="XY73" s="65">
        <v>100</v>
      </c>
      <c r="XZ73" s="63"/>
      <c r="YA73" s="64">
        <f t="shared" si="1673"/>
        <v>100</v>
      </c>
      <c r="YB73" s="66">
        <f t="shared" si="1674"/>
        <v>944.24</v>
      </c>
      <c r="YC73" s="67">
        <f t="shared" si="1675"/>
        <v>0</v>
      </c>
      <c r="YD73" s="64">
        <f t="shared" si="1676"/>
        <v>944.24</v>
      </c>
      <c r="YE73" s="62"/>
      <c r="YF73" s="63"/>
      <c r="YG73" s="64">
        <f t="shared" si="1677"/>
        <v>0</v>
      </c>
      <c r="YH73" s="65">
        <v>847.85</v>
      </c>
      <c r="YI73" s="63"/>
      <c r="YJ73" s="64">
        <f t="shared" si="1678"/>
        <v>847.85</v>
      </c>
      <c r="YK73" s="65"/>
      <c r="YL73" s="63"/>
      <c r="YM73" s="64">
        <f t="shared" si="1679"/>
        <v>0</v>
      </c>
      <c r="YN73" s="65">
        <v>100</v>
      </c>
      <c r="YO73" s="63"/>
      <c r="YP73" s="64">
        <f t="shared" si="1680"/>
        <v>100</v>
      </c>
      <c r="YQ73" s="66">
        <f t="shared" si="1681"/>
        <v>947.85</v>
      </c>
      <c r="YR73" s="67">
        <f t="shared" si="1682"/>
        <v>0</v>
      </c>
      <c r="YS73" s="64">
        <f t="shared" si="1683"/>
        <v>947.85</v>
      </c>
      <c r="YT73" s="62"/>
      <c r="YU73" s="63"/>
      <c r="YV73" s="64">
        <f t="shared" si="1684"/>
        <v>0</v>
      </c>
      <c r="YW73" s="65">
        <v>695.73</v>
      </c>
      <c r="YX73" s="63"/>
      <c r="YY73" s="64">
        <f t="shared" si="1685"/>
        <v>695.73</v>
      </c>
      <c r="YZ73" s="65"/>
      <c r="ZA73" s="63"/>
      <c r="ZB73" s="64">
        <f t="shared" si="1686"/>
        <v>0</v>
      </c>
      <c r="ZC73" s="65">
        <v>100</v>
      </c>
      <c r="ZD73" s="63"/>
      <c r="ZE73" s="64">
        <f t="shared" si="1687"/>
        <v>100</v>
      </c>
      <c r="ZF73" s="66">
        <f t="shared" si="1688"/>
        <v>795.73</v>
      </c>
      <c r="ZG73" s="67">
        <f t="shared" si="1689"/>
        <v>0</v>
      </c>
      <c r="ZH73" s="74"/>
      <c r="ZI73" s="72"/>
      <c r="ZJ73" s="73"/>
      <c r="ZK73" s="74"/>
      <c r="ZL73" s="75"/>
      <c r="ZM73" s="73"/>
      <c r="ZN73" s="74"/>
      <c r="ZO73" s="75"/>
      <c r="ZP73" s="73"/>
      <c r="ZQ73" s="74"/>
      <c r="ZR73" s="75"/>
      <c r="ZS73" s="73"/>
      <c r="ZT73" s="74"/>
      <c r="ZU73" s="76"/>
      <c r="ZV73" s="77"/>
      <c r="ZW73" s="64">
        <f t="shared" si="1690"/>
        <v>0</v>
      </c>
      <c r="ZX73" s="62">
        <v>24.71</v>
      </c>
      <c r="ZY73" s="63"/>
      <c r="ZZ73" s="64">
        <f t="shared" si="1691"/>
        <v>24.71</v>
      </c>
      <c r="AAA73" s="66">
        <f t="shared" si="1692"/>
        <v>24.71</v>
      </c>
      <c r="AAB73" s="67">
        <f t="shared" si="1692"/>
        <v>0</v>
      </c>
      <c r="AAC73" s="64">
        <f t="shared" si="1693"/>
        <v>24.71</v>
      </c>
      <c r="AAD73" s="85">
        <f t="shared" si="1694"/>
        <v>68223.95</v>
      </c>
      <c r="AAE73" s="86">
        <f t="shared" si="1694"/>
        <v>0</v>
      </c>
      <c r="AAF73" s="87">
        <f t="shared" si="1457"/>
        <v>0</v>
      </c>
      <c r="AAG73" s="88">
        <f t="shared" si="1695"/>
        <v>-68223.95</v>
      </c>
      <c r="AAH73" s="91"/>
      <c r="AAI73" s="92"/>
      <c r="AAJ73" s="92"/>
      <c r="AAK73" s="60"/>
    </row>
    <row r="74" spans="1:713" s="83" customFormat="1" ht="20" customHeight="1" x14ac:dyDescent="0.2">
      <c r="A74" s="152"/>
      <c r="B74" s="58" t="s">
        <v>145</v>
      </c>
      <c r="C74" s="59"/>
      <c r="D74" s="59"/>
      <c r="E74" s="60"/>
      <c r="F74" s="61">
        <v>46508</v>
      </c>
      <c r="G74" s="62"/>
      <c r="H74" s="63"/>
      <c r="I74" s="64">
        <f t="shared" si="1458"/>
        <v>0</v>
      </c>
      <c r="J74" s="65">
        <v>3514.55</v>
      </c>
      <c r="K74" s="63"/>
      <c r="L74" s="64">
        <f t="shared" si="1459"/>
        <v>3514.55</v>
      </c>
      <c r="M74" s="65">
        <v>2500</v>
      </c>
      <c r="N74" s="63"/>
      <c r="O74" s="64">
        <f t="shared" si="1460"/>
        <v>2500</v>
      </c>
      <c r="P74" s="65">
        <v>750</v>
      </c>
      <c r="Q74" s="63"/>
      <c r="R74" s="64">
        <f t="shared" si="1461"/>
        <v>750</v>
      </c>
      <c r="S74" s="65">
        <v>181</v>
      </c>
      <c r="T74" s="63"/>
      <c r="U74" s="64">
        <f t="shared" si="1462"/>
        <v>181</v>
      </c>
      <c r="V74" s="66">
        <f t="shared" si="1463"/>
        <v>6945.55</v>
      </c>
      <c r="W74" s="67">
        <f t="shared" si="1463"/>
        <v>0</v>
      </c>
      <c r="X74" s="64">
        <f t="shared" si="1464"/>
        <v>6945.55</v>
      </c>
      <c r="Y74" s="72"/>
      <c r="Z74" s="73"/>
      <c r="AA74" s="74"/>
      <c r="AB74" s="75"/>
      <c r="AC74" s="73"/>
      <c r="AD74" s="74"/>
      <c r="AE74" s="75"/>
      <c r="AF74" s="73"/>
      <c r="AG74" s="74"/>
      <c r="AH74" s="75"/>
      <c r="AI74" s="73"/>
      <c r="AJ74" s="74"/>
      <c r="AK74" s="76"/>
      <c r="AL74" s="77"/>
      <c r="AM74" s="64">
        <f t="shared" si="1465"/>
        <v>0</v>
      </c>
      <c r="AN74" s="62"/>
      <c r="AO74" s="63"/>
      <c r="AP74" s="64">
        <f t="shared" si="1696"/>
        <v>0</v>
      </c>
      <c r="AQ74" s="65"/>
      <c r="AR74" s="63"/>
      <c r="AS74" s="64">
        <f t="shared" si="1466"/>
        <v>0</v>
      </c>
      <c r="AT74" s="65"/>
      <c r="AU74" s="63"/>
      <c r="AV74" s="64">
        <f t="shared" si="1467"/>
        <v>0</v>
      </c>
      <c r="AW74" s="65"/>
      <c r="AX74" s="63"/>
      <c r="AY74" s="64">
        <f t="shared" si="1468"/>
        <v>0</v>
      </c>
      <c r="AZ74" s="66">
        <f t="shared" si="1469"/>
        <v>0</v>
      </c>
      <c r="BA74" s="67">
        <f t="shared" si="1470"/>
        <v>0</v>
      </c>
      <c r="BB74" s="64">
        <f t="shared" si="1471"/>
        <v>0</v>
      </c>
      <c r="BC74" s="62"/>
      <c r="BD74" s="63"/>
      <c r="BE74" s="64">
        <f t="shared" si="1472"/>
        <v>0</v>
      </c>
      <c r="BF74" s="65"/>
      <c r="BG74" s="63"/>
      <c r="BH74" s="64">
        <f t="shared" si="1473"/>
        <v>0</v>
      </c>
      <c r="BI74" s="65"/>
      <c r="BJ74" s="63"/>
      <c r="BK74" s="64">
        <f t="shared" si="1474"/>
        <v>0</v>
      </c>
      <c r="BL74" s="65">
        <v>100</v>
      </c>
      <c r="BM74" s="63"/>
      <c r="BN74" s="64">
        <f t="shared" si="1475"/>
        <v>100</v>
      </c>
      <c r="BO74" s="66">
        <f t="shared" si="1476"/>
        <v>100</v>
      </c>
      <c r="BP74" s="67">
        <f t="shared" si="1477"/>
        <v>0</v>
      </c>
      <c r="BQ74" s="64">
        <f t="shared" si="1478"/>
        <v>100</v>
      </c>
      <c r="BR74" s="72"/>
      <c r="BS74" s="73"/>
      <c r="BT74" s="74"/>
      <c r="BU74" s="75"/>
      <c r="BV74" s="73"/>
      <c r="BW74" s="74"/>
      <c r="BX74" s="75"/>
      <c r="BY74" s="73"/>
      <c r="BZ74" s="74"/>
      <c r="CA74" s="75"/>
      <c r="CB74" s="73"/>
      <c r="CC74" s="74"/>
      <c r="CD74" s="76"/>
      <c r="CE74" s="77"/>
      <c r="CF74" s="64">
        <f t="shared" si="1479"/>
        <v>0</v>
      </c>
      <c r="CG74" s="62"/>
      <c r="CH74" s="63"/>
      <c r="CI74" s="64">
        <f t="shared" si="1480"/>
        <v>0</v>
      </c>
      <c r="CJ74" s="65"/>
      <c r="CK74" s="63"/>
      <c r="CL74" s="64">
        <f t="shared" si="1481"/>
        <v>0</v>
      </c>
      <c r="CM74" s="65"/>
      <c r="CN74" s="63"/>
      <c r="CO74" s="64">
        <f t="shared" si="1482"/>
        <v>0</v>
      </c>
      <c r="CP74" s="65"/>
      <c r="CQ74" s="63"/>
      <c r="CR74" s="64">
        <f t="shared" si="1483"/>
        <v>0</v>
      </c>
      <c r="CS74" s="66">
        <f t="shared" si="1484"/>
        <v>0</v>
      </c>
      <c r="CT74" s="67">
        <f t="shared" si="1485"/>
        <v>0</v>
      </c>
      <c r="CU74" s="64">
        <f t="shared" si="1486"/>
        <v>0</v>
      </c>
      <c r="CV74" s="62">
        <v>2916.7</v>
      </c>
      <c r="CW74" s="63"/>
      <c r="CX74" s="64">
        <f t="shared" si="1487"/>
        <v>2916.7</v>
      </c>
      <c r="CY74" s="65">
        <v>429.15</v>
      </c>
      <c r="CZ74" s="63"/>
      <c r="DA74" s="64">
        <f t="shared" si="1488"/>
        <v>429.15</v>
      </c>
      <c r="DB74" s="65"/>
      <c r="DC74" s="63"/>
      <c r="DD74" s="64">
        <f t="shared" si="1489"/>
        <v>0</v>
      </c>
      <c r="DE74" s="65"/>
      <c r="DF74" s="63"/>
      <c r="DG74" s="64">
        <f t="shared" si="1490"/>
        <v>0</v>
      </c>
      <c r="DH74" s="66">
        <f t="shared" si="1491"/>
        <v>3345.85</v>
      </c>
      <c r="DI74" s="67">
        <f t="shared" si="1492"/>
        <v>0</v>
      </c>
      <c r="DJ74" s="64">
        <f t="shared" si="1493"/>
        <v>3345.85</v>
      </c>
      <c r="DK74" s="62">
        <v>2400</v>
      </c>
      <c r="DL74" s="63"/>
      <c r="DM74" s="64">
        <f t="shared" si="1494"/>
        <v>2400</v>
      </c>
      <c r="DN74" s="65">
        <v>913.08</v>
      </c>
      <c r="DO74" s="63"/>
      <c r="DP74" s="64">
        <f t="shared" si="1495"/>
        <v>913.08</v>
      </c>
      <c r="DQ74" s="65"/>
      <c r="DR74" s="63"/>
      <c r="DS74" s="64">
        <f t="shared" si="1496"/>
        <v>0</v>
      </c>
      <c r="DT74" s="65">
        <v>100</v>
      </c>
      <c r="DU74" s="63"/>
      <c r="DV74" s="64">
        <f t="shared" si="1497"/>
        <v>100</v>
      </c>
      <c r="DW74" s="66">
        <f t="shared" si="1498"/>
        <v>3413.08</v>
      </c>
      <c r="DX74" s="67">
        <f t="shared" si="1499"/>
        <v>0</v>
      </c>
      <c r="DY74" s="64">
        <f t="shared" si="1500"/>
        <v>3413.08</v>
      </c>
      <c r="DZ74" s="62"/>
      <c r="EA74" s="63"/>
      <c r="EB74" s="64">
        <f t="shared" si="1501"/>
        <v>0</v>
      </c>
      <c r="EC74" s="65"/>
      <c r="ED74" s="63"/>
      <c r="EE74" s="64">
        <f t="shared" si="1502"/>
        <v>0</v>
      </c>
      <c r="EF74" s="65"/>
      <c r="EG74" s="63"/>
      <c r="EH74" s="64">
        <f t="shared" si="1503"/>
        <v>0</v>
      </c>
      <c r="EI74" s="65">
        <v>100</v>
      </c>
      <c r="EJ74" s="63"/>
      <c r="EK74" s="64">
        <f t="shared" si="1504"/>
        <v>100</v>
      </c>
      <c r="EL74" s="66">
        <f t="shared" si="1505"/>
        <v>100</v>
      </c>
      <c r="EM74" s="67">
        <f t="shared" si="1506"/>
        <v>0</v>
      </c>
      <c r="EN74" s="64">
        <f t="shared" si="1507"/>
        <v>100</v>
      </c>
      <c r="EO74" s="62"/>
      <c r="EP74" s="63"/>
      <c r="EQ74" s="64">
        <f t="shared" si="1508"/>
        <v>0</v>
      </c>
      <c r="ER74" s="65"/>
      <c r="ES74" s="63"/>
      <c r="ET74" s="64">
        <f t="shared" si="1509"/>
        <v>0</v>
      </c>
      <c r="EU74" s="65">
        <v>4500</v>
      </c>
      <c r="EV74" s="63"/>
      <c r="EW74" s="64">
        <f t="shared" si="1510"/>
        <v>4500</v>
      </c>
      <c r="EX74" s="65">
        <v>100</v>
      </c>
      <c r="EY74" s="63"/>
      <c r="EZ74" s="64">
        <f t="shared" si="1511"/>
        <v>100</v>
      </c>
      <c r="FA74" s="66">
        <f t="shared" si="1512"/>
        <v>4600</v>
      </c>
      <c r="FB74" s="67">
        <f t="shared" si="1513"/>
        <v>0</v>
      </c>
      <c r="FC74" s="64">
        <f t="shared" si="1514"/>
        <v>4600</v>
      </c>
      <c r="FD74" s="62"/>
      <c r="FE74" s="63"/>
      <c r="FF74" s="64">
        <f t="shared" si="1515"/>
        <v>0</v>
      </c>
      <c r="FG74" s="65"/>
      <c r="FH74" s="63"/>
      <c r="FI74" s="64">
        <f t="shared" si="1516"/>
        <v>0</v>
      </c>
      <c r="FJ74" s="65">
        <v>4500</v>
      </c>
      <c r="FK74" s="63"/>
      <c r="FL74" s="64">
        <f t="shared" si="1517"/>
        <v>4500</v>
      </c>
      <c r="FM74" s="65">
        <v>100</v>
      </c>
      <c r="FN74" s="63"/>
      <c r="FO74" s="64">
        <f t="shared" si="1518"/>
        <v>100</v>
      </c>
      <c r="FP74" s="66">
        <f t="shared" si="1519"/>
        <v>4600</v>
      </c>
      <c r="FQ74" s="67">
        <f t="shared" si="1520"/>
        <v>0</v>
      </c>
      <c r="FR74" s="64">
        <f t="shared" si="1521"/>
        <v>4600</v>
      </c>
      <c r="FS74" s="62"/>
      <c r="FT74" s="63"/>
      <c r="FU74" s="64">
        <f t="shared" si="1522"/>
        <v>0</v>
      </c>
      <c r="FV74" s="65">
        <v>485.35</v>
      </c>
      <c r="FW74" s="63"/>
      <c r="FX74" s="64">
        <f t="shared" si="1523"/>
        <v>485.35</v>
      </c>
      <c r="FY74" s="65"/>
      <c r="FZ74" s="63"/>
      <c r="GA74" s="64">
        <f t="shared" si="1524"/>
        <v>0</v>
      </c>
      <c r="GB74" s="65"/>
      <c r="GC74" s="63"/>
      <c r="GD74" s="64">
        <f t="shared" si="1525"/>
        <v>0</v>
      </c>
      <c r="GE74" s="66">
        <f t="shared" si="1526"/>
        <v>485.35</v>
      </c>
      <c r="GF74" s="67">
        <f t="shared" si="1527"/>
        <v>0</v>
      </c>
      <c r="GG74" s="64">
        <f t="shared" si="1528"/>
        <v>485.35</v>
      </c>
      <c r="GH74" s="62"/>
      <c r="GI74" s="63"/>
      <c r="GJ74" s="64">
        <f t="shared" si="1529"/>
        <v>0</v>
      </c>
      <c r="GK74" s="65">
        <v>660.33</v>
      </c>
      <c r="GL74" s="63"/>
      <c r="GM74" s="64">
        <f t="shared" si="1530"/>
        <v>660.33</v>
      </c>
      <c r="GN74" s="65"/>
      <c r="GO74" s="63"/>
      <c r="GP74" s="64">
        <f t="shared" si="1531"/>
        <v>0</v>
      </c>
      <c r="GQ74" s="65"/>
      <c r="GR74" s="63"/>
      <c r="GS74" s="64">
        <f t="shared" si="1532"/>
        <v>0</v>
      </c>
      <c r="GT74" s="66">
        <f t="shared" si="1533"/>
        <v>660.33</v>
      </c>
      <c r="GU74" s="67">
        <f t="shared" si="1534"/>
        <v>0</v>
      </c>
      <c r="GV74" s="64">
        <f t="shared" si="1535"/>
        <v>660.33</v>
      </c>
      <c r="GW74" s="62"/>
      <c r="GX74" s="63"/>
      <c r="GY74" s="64">
        <f t="shared" si="1536"/>
        <v>0</v>
      </c>
      <c r="GZ74" s="65">
        <v>568.25</v>
      </c>
      <c r="HA74" s="63"/>
      <c r="HB74" s="64">
        <f t="shared" si="1537"/>
        <v>568.25</v>
      </c>
      <c r="HC74" s="65"/>
      <c r="HD74" s="63"/>
      <c r="HE74" s="64">
        <f t="shared" si="1538"/>
        <v>0</v>
      </c>
      <c r="HF74" s="65">
        <v>100</v>
      </c>
      <c r="HG74" s="63"/>
      <c r="HH74" s="64">
        <f t="shared" si="1539"/>
        <v>100</v>
      </c>
      <c r="HI74" s="66">
        <f t="shared" si="1540"/>
        <v>668.25</v>
      </c>
      <c r="HJ74" s="67">
        <f t="shared" si="1541"/>
        <v>0</v>
      </c>
      <c r="HK74" s="64">
        <f t="shared" si="1542"/>
        <v>668.25</v>
      </c>
      <c r="HL74" s="62"/>
      <c r="HM74" s="63"/>
      <c r="HN74" s="64">
        <f t="shared" si="1543"/>
        <v>0</v>
      </c>
      <c r="HO74" s="65"/>
      <c r="HP74" s="63"/>
      <c r="HQ74" s="64">
        <f t="shared" si="1544"/>
        <v>0</v>
      </c>
      <c r="HR74" s="65"/>
      <c r="HS74" s="63"/>
      <c r="HT74" s="64">
        <f t="shared" si="1545"/>
        <v>0</v>
      </c>
      <c r="HU74" s="65">
        <v>100</v>
      </c>
      <c r="HV74" s="63"/>
      <c r="HW74" s="64">
        <f t="shared" si="1546"/>
        <v>100</v>
      </c>
      <c r="HX74" s="66">
        <f t="shared" si="1547"/>
        <v>100</v>
      </c>
      <c r="HY74" s="67">
        <f t="shared" si="1548"/>
        <v>0</v>
      </c>
      <c r="HZ74" s="64">
        <f t="shared" si="1549"/>
        <v>100</v>
      </c>
      <c r="IA74" s="62"/>
      <c r="IB74" s="63"/>
      <c r="IC74" s="64">
        <f t="shared" si="1550"/>
        <v>0</v>
      </c>
      <c r="ID74" s="65"/>
      <c r="IE74" s="63"/>
      <c r="IF74" s="64">
        <f t="shared" si="1551"/>
        <v>0</v>
      </c>
      <c r="IG74" s="65"/>
      <c r="IH74" s="63"/>
      <c r="II74" s="64">
        <f t="shared" si="1552"/>
        <v>0</v>
      </c>
      <c r="IJ74" s="65">
        <v>100</v>
      </c>
      <c r="IK74" s="63"/>
      <c r="IL74" s="64">
        <f t="shared" si="1553"/>
        <v>100</v>
      </c>
      <c r="IM74" s="66">
        <f t="shared" si="1554"/>
        <v>100</v>
      </c>
      <c r="IN74" s="67">
        <f t="shared" si="1555"/>
        <v>0</v>
      </c>
      <c r="IO74" s="64">
        <f t="shared" si="1556"/>
        <v>100</v>
      </c>
      <c r="IP74" s="62"/>
      <c r="IQ74" s="63"/>
      <c r="IR74" s="64">
        <f t="shared" si="1557"/>
        <v>0</v>
      </c>
      <c r="IS74" s="65"/>
      <c r="IT74" s="63"/>
      <c r="IU74" s="64">
        <f t="shared" si="1558"/>
        <v>0</v>
      </c>
      <c r="IV74" s="65"/>
      <c r="IW74" s="63"/>
      <c r="IX74" s="64">
        <f t="shared" si="1559"/>
        <v>0</v>
      </c>
      <c r="IY74" s="65"/>
      <c r="IZ74" s="63"/>
      <c r="JA74" s="64">
        <f t="shared" si="1560"/>
        <v>0</v>
      </c>
      <c r="JB74" s="66">
        <f t="shared" si="1561"/>
        <v>0</v>
      </c>
      <c r="JC74" s="67">
        <f t="shared" si="1562"/>
        <v>0</v>
      </c>
      <c r="JD74" s="64">
        <f t="shared" si="1563"/>
        <v>0</v>
      </c>
      <c r="JE74" s="72"/>
      <c r="JF74" s="150"/>
      <c r="JG74" s="74"/>
      <c r="JH74" s="75"/>
      <c r="JI74" s="150"/>
      <c r="JJ74" s="74"/>
      <c r="JK74" s="75"/>
      <c r="JL74" s="150"/>
      <c r="JM74" s="74"/>
      <c r="JN74" s="75"/>
      <c r="JO74" s="150"/>
      <c r="JP74" s="74"/>
      <c r="JQ74" s="76"/>
      <c r="JR74" s="77"/>
      <c r="JS74" s="74"/>
      <c r="JT74" s="72"/>
      <c r="JU74" s="73"/>
      <c r="JV74" s="74"/>
      <c r="JW74" s="75"/>
      <c r="JX74" s="73"/>
      <c r="JY74" s="74"/>
      <c r="JZ74" s="75"/>
      <c r="KA74" s="73"/>
      <c r="KB74" s="74"/>
      <c r="KC74" s="75"/>
      <c r="KD74" s="73"/>
      <c r="KE74" s="74"/>
      <c r="KF74" s="76"/>
      <c r="KG74" s="77"/>
      <c r="KH74" s="64">
        <f t="shared" si="1564"/>
        <v>0</v>
      </c>
      <c r="KI74" s="62"/>
      <c r="KJ74" s="63"/>
      <c r="KK74" s="64">
        <f t="shared" si="1565"/>
        <v>0</v>
      </c>
      <c r="KL74" s="65"/>
      <c r="KM74" s="63"/>
      <c r="KN74" s="64">
        <f t="shared" si="1566"/>
        <v>0</v>
      </c>
      <c r="KO74" s="65"/>
      <c r="KP74" s="63"/>
      <c r="KQ74" s="64">
        <f t="shared" si="1567"/>
        <v>0</v>
      </c>
      <c r="KR74" s="65"/>
      <c r="KS74" s="63"/>
      <c r="KT74" s="64">
        <f t="shared" si="1568"/>
        <v>0</v>
      </c>
      <c r="KU74" s="66">
        <f t="shared" si="1439"/>
        <v>0</v>
      </c>
      <c r="KV74" s="67">
        <f t="shared" si="1569"/>
        <v>0</v>
      </c>
      <c r="KW74" s="64">
        <f t="shared" si="1570"/>
        <v>0</v>
      </c>
      <c r="KX74" s="72"/>
      <c r="KY74" s="73"/>
      <c r="KZ74" s="74"/>
      <c r="LA74" s="75"/>
      <c r="LB74" s="73"/>
      <c r="LC74" s="74"/>
      <c r="LD74" s="75"/>
      <c r="LE74" s="73"/>
      <c r="LF74" s="74"/>
      <c r="LG74" s="75"/>
      <c r="LH74" s="73"/>
      <c r="LI74" s="74"/>
      <c r="LJ74" s="76"/>
      <c r="LK74" s="77"/>
      <c r="LL74" s="74"/>
      <c r="LM74" s="62"/>
      <c r="LN74" s="63"/>
      <c r="LO74" s="64">
        <f t="shared" si="1571"/>
        <v>0</v>
      </c>
      <c r="LP74" s="65"/>
      <c r="LQ74" s="63"/>
      <c r="LR74" s="64">
        <f t="shared" si="1572"/>
        <v>0</v>
      </c>
      <c r="LS74" s="65"/>
      <c r="LT74" s="63"/>
      <c r="LU74" s="64">
        <f t="shared" si="1573"/>
        <v>0</v>
      </c>
      <c r="LV74" s="65">
        <v>100</v>
      </c>
      <c r="LW74" s="63"/>
      <c r="LX74" s="64">
        <f t="shared" si="1574"/>
        <v>100</v>
      </c>
      <c r="LY74" s="66">
        <f t="shared" si="1575"/>
        <v>100</v>
      </c>
      <c r="LZ74" s="67">
        <f t="shared" si="1576"/>
        <v>0</v>
      </c>
      <c r="MA74" s="64">
        <f t="shared" si="1577"/>
        <v>100</v>
      </c>
      <c r="MB74" s="62"/>
      <c r="MC74" s="63"/>
      <c r="MD74" s="64">
        <f t="shared" si="1578"/>
        <v>0</v>
      </c>
      <c r="ME74" s="65">
        <v>889.11</v>
      </c>
      <c r="MF74" s="63"/>
      <c r="MG74" s="64">
        <f t="shared" si="1579"/>
        <v>889.11</v>
      </c>
      <c r="MH74" s="65"/>
      <c r="MI74" s="63"/>
      <c r="MJ74" s="64">
        <f t="shared" si="1580"/>
        <v>0</v>
      </c>
      <c r="MK74" s="65">
        <v>100</v>
      </c>
      <c r="ML74" s="63"/>
      <c r="MM74" s="64">
        <f t="shared" si="1581"/>
        <v>100</v>
      </c>
      <c r="MN74" s="66">
        <f t="shared" si="1582"/>
        <v>989.11</v>
      </c>
      <c r="MO74" s="67">
        <f t="shared" si="1583"/>
        <v>0</v>
      </c>
      <c r="MP74" s="64">
        <f t="shared" si="1584"/>
        <v>989.11</v>
      </c>
      <c r="MQ74" s="62"/>
      <c r="MR74" s="63"/>
      <c r="MS74" s="64">
        <f t="shared" si="1585"/>
        <v>0</v>
      </c>
      <c r="MT74" s="65"/>
      <c r="MU74" s="63"/>
      <c r="MV74" s="64">
        <f t="shared" si="1586"/>
        <v>0</v>
      </c>
      <c r="MW74" s="65"/>
      <c r="MX74" s="63"/>
      <c r="MY74" s="64">
        <f t="shared" si="1587"/>
        <v>0</v>
      </c>
      <c r="MZ74" s="65"/>
      <c r="NA74" s="63"/>
      <c r="NB74" s="64">
        <f t="shared" si="1588"/>
        <v>0</v>
      </c>
      <c r="NC74" s="66">
        <f t="shared" si="1589"/>
        <v>0</v>
      </c>
      <c r="ND74" s="67">
        <f t="shared" si="1590"/>
        <v>0</v>
      </c>
      <c r="NE74" s="64">
        <f t="shared" si="1591"/>
        <v>0</v>
      </c>
      <c r="NF74" s="62"/>
      <c r="NG74" s="63"/>
      <c r="NH74" s="64">
        <f t="shared" si="1592"/>
        <v>0</v>
      </c>
      <c r="NI74" s="65">
        <v>1164.04</v>
      </c>
      <c r="NJ74" s="63"/>
      <c r="NK74" s="64">
        <f t="shared" si="1593"/>
        <v>1164.04</v>
      </c>
      <c r="NL74" s="65"/>
      <c r="NM74" s="63"/>
      <c r="NN74" s="64">
        <f t="shared" si="1594"/>
        <v>0</v>
      </c>
      <c r="NO74" s="65">
        <v>100</v>
      </c>
      <c r="NP74" s="63"/>
      <c r="NQ74" s="64">
        <f t="shared" si="1595"/>
        <v>100</v>
      </c>
      <c r="NR74" s="66">
        <f t="shared" si="1596"/>
        <v>1264.04</v>
      </c>
      <c r="NS74" s="67">
        <f t="shared" si="1597"/>
        <v>0</v>
      </c>
      <c r="NT74" s="64">
        <f t="shared" si="1598"/>
        <v>1264.04</v>
      </c>
      <c r="NU74" s="62"/>
      <c r="NV74" s="63"/>
      <c r="NW74" s="64">
        <f t="shared" si="1599"/>
        <v>0</v>
      </c>
      <c r="NX74" s="65">
        <v>1152.73</v>
      </c>
      <c r="NY74" s="63"/>
      <c r="NZ74" s="64">
        <f t="shared" si="1600"/>
        <v>1152.73</v>
      </c>
      <c r="OA74" s="65"/>
      <c r="OB74" s="63"/>
      <c r="OC74" s="64">
        <f t="shared" si="1601"/>
        <v>0</v>
      </c>
      <c r="OD74" s="65">
        <v>100</v>
      </c>
      <c r="OE74" s="63"/>
      <c r="OF74" s="64">
        <f t="shared" si="1602"/>
        <v>100</v>
      </c>
      <c r="OG74" s="66">
        <f t="shared" si="1603"/>
        <v>1252.73</v>
      </c>
      <c r="OH74" s="67">
        <f t="shared" si="1604"/>
        <v>0</v>
      </c>
      <c r="OI74" s="64">
        <f t="shared" si="1605"/>
        <v>1252.73</v>
      </c>
      <c r="OJ74" s="62"/>
      <c r="OK74" s="63"/>
      <c r="OL74" s="64">
        <f t="shared" si="1606"/>
        <v>0</v>
      </c>
      <c r="OM74" s="65"/>
      <c r="ON74" s="63"/>
      <c r="OO74" s="64">
        <f t="shared" si="1607"/>
        <v>0</v>
      </c>
      <c r="OP74" s="65"/>
      <c r="OQ74" s="63"/>
      <c r="OR74" s="64">
        <f t="shared" si="1608"/>
        <v>0</v>
      </c>
      <c r="OS74" s="65">
        <v>100</v>
      </c>
      <c r="OT74" s="63"/>
      <c r="OU74" s="64">
        <f t="shared" si="1609"/>
        <v>100</v>
      </c>
      <c r="OV74" s="66">
        <f t="shared" si="1610"/>
        <v>100</v>
      </c>
      <c r="OW74" s="67">
        <f t="shared" si="1611"/>
        <v>0</v>
      </c>
      <c r="OX74" s="64">
        <f t="shared" si="1612"/>
        <v>100</v>
      </c>
      <c r="OY74" s="62"/>
      <c r="OZ74" s="63"/>
      <c r="PA74" s="64">
        <f t="shared" si="1613"/>
        <v>0</v>
      </c>
      <c r="PB74" s="65"/>
      <c r="PC74" s="63"/>
      <c r="PD74" s="64">
        <f t="shared" si="1614"/>
        <v>0</v>
      </c>
      <c r="PE74" s="65"/>
      <c r="PF74" s="63"/>
      <c r="PG74" s="64">
        <f t="shared" si="1615"/>
        <v>0</v>
      </c>
      <c r="PH74" s="65">
        <v>100</v>
      </c>
      <c r="PI74" s="63"/>
      <c r="PJ74" s="64">
        <f t="shared" si="1616"/>
        <v>100</v>
      </c>
      <c r="PK74" s="66">
        <f t="shared" si="1617"/>
        <v>100</v>
      </c>
      <c r="PL74" s="67">
        <f t="shared" si="1618"/>
        <v>0</v>
      </c>
      <c r="PM74" s="64">
        <f t="shared" si="1619"/>
        <v>100</v>
      </c>
      <c r="PN74" s="62">
        <v>1550</v>
      </c>
      <c r="PO74" s="63"/>
      <c r="PP74" s="64">
        <f t="shared" si="1620"/>
        <v>1550</v>
      </c>
      <c r="PQ74" s="65"/>
      <c r="PR74" s="63"/>
      <c r="PS74" s="64">
        <f t="shared" si="1621"/>
        <v>0</v>
      </c>
      <c r="PT74" s="65"/>
      <c r="PU74" s="63"/>
      <c r="PV74" s="64">
        <f t="shared" si="1622"/>
        <v>0</v>
      </c>
      <c r="PW74" s="65">
        <v>100</v>
      </c>
      <c r="PX74" s="63"/>
      <c r="PY74" s="64">
        <f t="shared" si="1623"/>
        <v>100</v>
      </c>
      <c r="PZ74" s="66">
        <f t="shared" si="1624"/>
        <v>1650</v>
      </c>
      <c r="QA74" s="67">
        <f t="shared" si="1625"/>
        <v>0</v>
      </c>
      <c r="QB74" s="64">
        <f t="shared" si="1626"/>
        <v>1650</v>
      </c>
      <c r="QC74" s="62"/>
      <c r="QD74" s="63"/>
      <c r="QE74" s="64">
        <f t="shared" si="1627"/>
        <v>0</v>
      </c>
      <c r="QF74" s="65"/>
      <c r="QG74" s="63"/>
      <c r="QH74" s="64">
        <f t="shared" si="1628"/>
        <v>0</v>
      </c>
      <c r="QI74" s="65"/>
      <c r="QJ74" s="63"/>
      <c r="QK74" s="64">
        <f t="shared" si="1629"/>
        <v>0</v>
      </c>
      <c r="QL74" s="65">
        <v>100</v>
      </c>
      <c r="QM74" s="63"/>
      <c r="QN74" s="64">
        <f t="shared" si="1630"/>
        <v>100</v>
      </c>
      <c r="QO74" s="66">
        <f t="shared" si="1631"/>
        <v>100</v>
      </c>
      <c r="QP74" s="67">
        <f t="shared" si="1632"/>
        <v>0</v>
      </c>
      <c r="QQ74" s="64">
        <f t="shared" si="1633"/>
        <v>100</v>
      </c>
      <c r="QR74" s="74"/>
      <c r="QS74" s="74"/>
      <c r="QT74" s="72"/>
      <c r="QU74" s="73"/>
      <c r="QV74" s="74"/>
      <c r="QW74" s="75"/>
      <c r="QX74" s="73"/>
      <c r="QY74" s="74"/>
      <c r="QZ74" s="75"/>
      <c r="RA74" s="73"/>
      <c r="RB74" s="74"/>
      <c r="RC74" s="75"/>
      <c r="RD74" s="73"/>
      <c r="RE74" s="74"/>
      <c r="RF74" s="74"/>
      <c r="RG74" s="72"/>
      <c r="RH74" s="73"/>
      <c r="RI74" s="74"/>
      <c r="RJ74" s="75"/>
      <c r="RK74" s="73"/>
      <c r="RL74" s="74"/>
      <c r="RM74" s="75"/>
      <c r="RN74" s="73"/>
      <c r="RO74" s="74"/>
      <c r="RP74" s="75"/>
      <c r="RQ74" s="73"/>
      <c r="RR74" s="74"/>
      <c r="RS74" s="76"/>
      <c r="RT74" s="77"/>
      <c r="RU74" s="74"/>
      <c r="RV74" s="74"/>
      <c r="RW74" s="72"/>
      <c r="RX74" s="73"/>
      <c r="RY74" s="74"/>
      <c r="RZ74" s="75"/>
      <c r="SA74" s="73"/>
      <c r="SB74" s="74"/>
      <c r="SC74" s="75"/>
      <c r="SD74" s="73"/>
      <c r="SE74" s="74"/>
      <c r="SF74" s="75"/>
      <c r="SG74" s="73"/>
      <c r="SH74" s="74"/>
      <c r="SI74" s="76"/>
      <c r="SJ74" s="64">
        <f t="shared" si="1634"/>
        <v>0</v>
      </c>
      <c r="SK74" s="62"/>
      <c r="SL74" s="63"/>
      <c r="SM74" s="64">
        <f t="shared" si="1635"/>
        <v>0</v>
      </c>
      <c r="SN74" s="65"/>
      <c r="SO74" s="63"/>
      <c r="SP74" s="64">
        <f t="shared" si="1636"/>
        <v>0</v>
      </c>
      <c r="SQ74" s="65"/>
      <c r="SR74" s="63"/>
      <c r="SS74" s="64">
        <f t="shared" si="1637"/>
        <v>0</v>
      </c>
      <c r="ST74" s="65">
        <v>100</v>
      </c>
      <c r="SU74" s="63"/>
      <c r="SV74" s="64">
        <f t="shared" si="1638"/>
        <v>100</v>
      </c>
      <c r="SW74" s="66">
        <f t="shared" si="1639"/>
        <v>100</v>
      </c>
      <c r="SX74" s="67">
        <f t="shared" si="1640"/>
        <v>0</v>
      </c>
      <c r="SY74" s="64">
        <f t="shared" si="1641"/>
        <v>100</v>
      </c>
      <c r="SZ74" s="62">
        <v>985.33</v>
      </c>
      <c r="TA74" s="63"/>
      <c r="TB74" s="64">
        <f t="shared" si="1642"/>
        <v>985.33</v>
      </c>
      <c r="TC74" s="65">
        <v>700.9</v>
      </c>
      <c r="TD74" s="63"/>
      <c r="TE74" s="64">
        <f t="shared" si="1643"/>
        <v>700.9</v>
      </c>
      <c r="TF74" s="65"/>
      <c r="TG74" s="63"/>
      <c r="TH74" s="64">
        <f t="shared" si="1644"/>
        <v>0</v>
      </c>
      <c r="TI74" s="65">
        <v>100</v>
      </c>
      <c r="TJ74" s="63"/>
      <c r="TK74" s="64">
        <f t="shared" si="1645"/>
        <v>100</v>
      </c>
      <c r="TL74" s="66">
        <f t="shared" si="1646"/>
        <v>1786.23</v>
      </c>
      <c r="TM74" s="67">
        <f t="shared" si="1647"/>
        <v>0</v>
      </c>
      <c r="TN74" s="64">
        <f t="shared" si="1648"/>
        <v>1786.23</v>
      </c>
      <c r="TO74" s="62"/>
      <c r="TP74" s="63"/>
      <c r="TQ74" s="64">
        <f t="shared" si="1649"/>
        <v>0</v>
      </c>
      <c r="TR74" s="65"/>
      <c r="TS74" s="63"/>
      <c r="TT74" s="64">
        <f t="shared" si="1650"/>
        <v>0</v>
      </c>
      <c r="TU74" s="65"/>
      <c r="TV74" s="63"/>
      <c r="TW74" s="64">
        <f t="shared" si="1651"/>
        <v>0</v>
      </c>
      <c r="TX74" s="65">
        <v>100</v>
      </c>
      <c r="TY74" s="63"/>
      <c r="TZ74" s="64">
        <f t="shared" si="1652"/>
        <v>100</v>
      </c>
      <c r="UA74" s="66">
        <f t="shared" si="1653"/>
        <v>100</v>
      </c>
      <c r="UB74" s="67">
        <f t="shared" si="1654"/>
        <v>0</v>
      </c>
      <c r="UC74" s="64">
        <f t="shared" si="1655"/>
        <v>100</v>
      </c>
      <c r="UD74" s="62">
        <v>1125</v>
      </c>
      <c r="UE74" s="63"/>
      <c r="UF74" s="64">
        <f t="shared" si="1656"/>
        <v>1125</v>
      </c>
      <c r="UG74" s="65">
        <v>497.04</v>
      </c>
      <c r="UH74" s="63"/>
      <c r="UI74" s="64">
        <f t="shared" si="1657"/>
        <v>497.04</v>
      </c>
      <c r="UJ74" s="65"/>
      <c r="UK74" s="63"/>
      <c r="UL74" s="64">
        <f t="shared" si="1658"/>
        <v>0</v>
      </c>
      <c r="UM74" s="65">
        <v>100</v>
      </c>
      <c r="UN74" s="63"/>
      <c r="UO74" s="64">
        <f t="shared" si="1659"/>
        <v>100</v>
      </c>
      <c r="UP74" s="66">
        <f t="shared" si="1660"/>
        <v>1722.04</v>
      </c>
      <c r="UQ74" s="67">
        <f t="shared" si="1661"/>
        <v>0</v>
      </c>
      <c r="UR74" s="64">
        <f t="shared" si="1662"/>
        <v>1722.04</v>
      </c>
      <c r="US74" s="74"/>
      <c r="UT74" s="72"/>
      <c r="UU74" s="73"/>
      <c r="UV74" s="74"/>
      <c r="UW74" s="75"/>
      <c r="UX74" s="73"/>
      <c r="UY74" s="74"/>
      <c r="UZ74" s="75"/>
      <c r="VA74" s="73"/>
      <c r="VB74" s="74"/>
      <c r="VC74" s="75"/>
      <c r="VD74" s="73"/>
      <c r="VE74" s="74"/>
      <c r="VF74" s="76"/>
      <c r="VG74" s="77"/>
      <c r="VH74" s="62"/>
      <c r="VI74" s="63"/>
      <c r="VJ74" s="64">
        <f t="shared" si="1663"/>
        <v>0</v>
      </c>
      <c r="VK74" s="65"/>
      <c r="VL74" s="63"/>
      <c r="VM74" s="64">
        <f t="shared" si="1664"/>
        <v>0</v>
      </c>
      <c r="VN74" s="65"/>
      <c r="VO74" s="63"/>
      <c r="VP74" s="64">
        <f t="shared" si="1665"/>
        <v>0</v>
      </c>
      <c r="VQ74" s="65">
        <v>100</v>
      </c>
      <c r="VR74" s="63"/>
      <c r="VS74" s="64">
        <f t="shared" si="1666"/>
        <v>100</v>
      </c>
      <c r="VT74" s="66">
        <f t="shared" si="1667"/>
        <v>100</v>
      </c>
      <c r="VU74" s="67">
        <f t="shared" si="1668"/>
        <v>0</v>
      </c>
      <c r="VV74" s="64">
        <f t="shared" si="1669"/>
        <v>100</v>
      </c>
      <c r="VW74" s="74"/>
      <c r="VX74" s="72"/>
      <c r="VY74" s="73"/>
      <c r="VZ74" s="74"/>
      <c r="WA74" s="75"/>
      <c r="WB74" s="73"/>
      <c r="WC74" s="74"/>
      <c r="WD74" s="75"/>
      <c r="WE74" s="73"/>
      <c r="WF74" s="74"/>
      <c r="WG74" s="75"/>
      <c r="WH74" s="73"/>
      <c r="WI74" s="74"/>
      <c r="WJ74" s="76"/>
      <c r="WK74" s="77"/>
      <c r="WL74" s="74"/>
      <c r="WM74" s="72"/>
      <c r="WN74" s="73"/>
      <c r="WO74" s="74"/>
      <c r="WP74" s="75"/>
      <c r="WQ74" s="73"/>
      <c r="WR74" s="74"/>
      <c r="WS74" s="75"/>
      <c r="WT74" s="73"/>
      <c r="WU74" s="74"/>
      <c r="WV74" s="75"/>
      <c r="WW74" s="73"/>
      <c r="WX74" s="74"/>
      <c r="WY74" s="76"/>
      <c r="WZ74" s="77"/>
      <c r="XA74" s="74"/>
      <c r="XB74" s="72"/>
      <c r="XC74" s="73"/>
      <c r="XD74" s="74"/>
      <c r="XE74" s="75"/>
      <c r="XF74" s="73"/>
      <c r="XG74" s="74"/>
      <c r="XH74" s="75"/>
      <c r="XI74" s="73"/>
      <c r="XJ74" s="74"/>
      <c r="XK74" s="75"/>
      <c r="XL74" s="73"/>
      <c r="XM74" s="74"/>
      <c r="XN74" s="76"/>
      <c r="XO74" s="77"/>
      <c r="XP74" s="62"/>
      <c r="XQ74" s="63"/>
      <c r="XR74" s="64">
        <f t="shared" si="1670"/>
        <v>0</v>
      </c>
      <c r="XS74" s="65">
        <v>844.24</v>
      </c>
      <c r="XT74" s="63"/>
      <c r="XU74" s="64">
        <f t="shared" si="1671"/>
        <v>844.24</v>
      </c>
      <c r="XV74" s="65"/>
      <c r="XW74" s="63"/>
      <c r="XX74" s="64">
        <f t="shared" si="1672"/>
        <v>0</v>
      </c>
      <c r="XY74" s="65">
        <v>100</v>
      </c>
      <c r="XZ74" s="63"/>
      <c r="YA74" s="64">
        <f t="shared" si="1673"/>
        <v>100</v>
      </c>
      <c r="YB74" s="66">
        <f t="shared" si="1674"/>
        <v>944.24</v>
      </c>
      <c r="YC74" s="67">
        <f t="shared" si="1675"/>
        <v>0</v>
      </c>
      <c r="YD74" s="64">
        <f t="shared" si="1676"/>
        <v>944.24</v>
      </c>
      <c r="YE74" s="62"/>
      <c r="YF74" s="63"/>
      <c r="YG74" s="64">
        <f t="shared" si="1677"/>
        <v>0</v>
      </c>
      <c r="YH74" s="65">
        <v>847.85</v>
      </c>
      <c r="YI74" s="63"/>
      <c r="YJ74" s="64">
        <f t="shared" si="1678"/>
        <v>847.85</v>
      </c>
      <c r="YK74" s="65"/>
      <c r="YL74" s="63"/>
      <c r="YM74" s="64">
        <f t="shared" si="1679"/>
        <v>0</v>
      </c>
      <c r="YN74" s="65">
        <v>100</v>
      </c>
      <c r="YO74" s="63"/>
      <c r="YP74" s="64">
        <f t="shared" si="1680"/>
        <v>100</v>
      </c>
      <c r="YQ74" s="66">
        <f t="shared" si="1681"/>
        <v>947.85</v>
      </c>
      <c r="YR74" s="67">
        <f t="shared" si="1682"/>
        <v>0</v>
      </c>
      <c r="YS74" s="64">
        <f t="shared" si="1683"/>
        <v>947.85</v>
      </c>
      <c r="YT74" s="62"/>
      <c r="YU74" s="63"/>
      <c r="YV74" s="64">
        <f t="shared" si="1684"/>
        <v>0</v>
      </c>
      <c r="YW74" s="65">
        <v>695.73</v>
      </c>
      <c r="YX74" s="63"/>
      <c r="YY74" s="64">
        <f t="shared" si="1685"/>
        <v>695.73</v>
      </c>
      <c r="YZ74" s="65"/>
      <c r="ZA74" s="63"/>
      <c r="ZB74" s="64">
        <f t="shared" si="1686"/>
        <v>0</v>
      </c>
      <c r="ZC74" s="65">
        <v>100</v>
      </c>
      <c r="ZD74" s="63"/>
      <c r="ZE74" s="64">
        <f t="shared" si="1687"/>
        <v>100</v>
      </c>
      <c r="ZF74" s="66">
        <f t="shared" si="1688"/>
        <v>795.73</v>
      </c>
      <c r="ZG74" s="67">
        <f t="shared" si="1689"/>
        <v>0</v>
      </c>
      <c r="ZH74" s="74"/>
      <c r="ZI74" s="72"/>
      <c r="ZJ74" s="73"/>
      <c r="ZK74" s="74"/>
      <c r="ZL74" s="75"/>
      <c r="ZM74" s="73"/>
      <c r="ZN74" s="74"/>
      <c r="ZO74" s="75"/>
      <c r="ZP74" s="73"/>
      <c r="ZQ74" s="74"/>
      <c r="ZR74" s="75"/>
      <c r="ZS74" s="73"/>
      <c r="ZT74" s="74"/>
      <c r="ZU74" s="76"/>
      <c r="ZV74" s="77"/>
      <c r="ZW74" s="64">
        <f t="shared" si="1690"/>
        <v>0</v>
      </c>
      <c r="ZX74" s="62">
        <v>24.71</v>
      </c>
      <c r="ZY74" s="63"/>
      <c r="ZZ74" s="64">
        <f t="shared" si="1691"/>
        <v>24.71</v>
      </c>
      <c r="AAA74" s="66">
        <f t="shared" si="1692"/>
        <v>24.71</v>
      </c>
      <c r="AAB74" s="67">
        <f t="shared" si="1692"/>
        <v>0</v>
      </c>
      <c r="AAC74" s="64">
        <f t="shared" si="1693"/>
        <v>24.71</v>
      </c>
      <c r="AAD74" s="85">
        <f t="shared" si="1694"/>
        <v>37170.380000000005</v>
      </c>
      <c r="AAE74" s="86">
        <f t="shared" si="1694"/>
        <v>0</v>
      </c>
      <c r="AAF74" s="87">
        <f t="shared" si="1457"/>
        <v>0</v>
      </c>
      <c r="AAG74" s="88">
        <f t="shared" si="1695"/>
        <v>-37170.380000000005</v>
      </c>
      <c r="AAH74" s="58" t="s">
        <v>145</v>
      </c>
      <c r="AAI74" s="59"/>
      <c r="AAJ74" s="59"/>
      <c r="AAK74" s="60"/>
    </row>
    <row r="75" spans="1:713" s="83" customFormat="1" ht="20" customHeight="1" x14ac:dyDescent="0.2">
      <c r="A75" s="153"/>
      <c r="B75" s="58"/>
      <c r="C75" s="59"/>
      <c r="D75" s="59"/>
      <c r="E75" s="60"/>
      <c r="F75" s="61">
        <v>46539</v>
      </c>
      <c r="G75" s="62"/>
      <c r="H75" s="63"/>
      <c r="I75" s="64">
        <f t="shared" si="1458"/>
        <v>0</v>
      </c>
      <c r="J75" s="65">
        <v>2485.8200000000002</v>
      </c>
      <c r="K75" s="63"/>
      <c r="L75" s="64">
        <f t="shared" si="1459"/>
        <v>2485.8200000000002</v>
      </c>
      <c r="M75" s="65">
        <v>2500</v>
      </c>
      <c r="N75" s="63"/>
      <c r="O75" s="64">
        <f t="shared" si="1460"/>
        <v>2500</v>
      </c>
      <c r="P75" s="65">
        <v>1000</v>
      </c>
      <c r="Q75" s="63"/>
      <c r="R75" s="64">
        <f t="shared" si="1461"/>
        <v>1000</v>
      </c>
      <c r="S75" s="65">
        <v>362</v>
      </c>
      <c r="T75" s="63"/>
      <c r="U75" s="64">
        <f t="shared" si="1462"/>
        <v>362</v>
      </c>
      <c r="V75" s="66">
        <f t="shared" si="1463"/>
        <v>6347.82</v>
      </c>
      <c r="W75" s="67">
        <f t="shared" si="1463"/>
        <v>0</v>
      </c>
      <c r="X75" s="64">
        <f t="shared" si="1464"/>
        <v>6347.82</v>
      </c>
      <c r="Y75" s="72"/>
      <c r="Z75" s="73"/>
      <c r="AA75" s="74"/>
      <c r="AB75" s="75"/>
      <c r="AC75" s="73"/>
      <c r="AD75" s="74"/>
      <c r="AE75" s="75"/>
      <c r="AF75" s="73"/>
      <c r="AG75" s="74"/>
      <c r="AH75" s="75"/>
      <c r="AI75" s="73"/>
      <c r="AJ75" s="74"/>
      <c r="AK75" s="76"/>
      <c r="AL75" s="77"/>
      <c r="AM75" s="64">
        <f t="shared" si="1465"/>
        <v>0</v>
      </c>
      <c r="AN75" s="62">
        <v>6250</v>
      </c>
      <c r="AO75" s="63"/>
      <c r="AP75" s="64">
        <f t="shared" si="1696"/>
        <v>6250</v>
      </c>
      <c r="AQ75" s="65"/>
      <c r="AR75" s="63"/>
      <c r="AS75" s="64">
        <f t="shared" si="1466"/>
        <v>0</v>
      </c>
      <c r="AT75" s="65"/>
      <c r="AU75" s="63"/>
      <c r="AV75" s="64">
        <f t="shared" si="1467"/>
        <v>0</v>
      </c>
      <c r="AW75" s="65"/>
      <c r="AX75" s="63"/>
      <c r="AY75" s="64">
        <f t="shared" si="1468"/>
        <v>0</v>
      </c>
      <c r="AZ75" s="66">
        <f t="shared" si="1469"/>
        <v>6250</v>
      </c>
      <c r="BA75" s="67">
        <f t="shared" si="1470"/>
        <v>0</v>
      </c>
      <c r="BB75" s="64">
        <f t="shared" si="1471"/>
        <v>6250</v>
      </c>
      <c r="BC75" s="62">
        <v>6150</v>
      </c>
      <c r="BD75" s="63"/>
      <c r="BE75" s="64">
        <f t="shared" si="1472"/>
        <v>6150</v>
      </c>
      <c r="BF75" s="65"/>
      <c r="BG75" s="63"/>
      <c r="BH75" s="64">
        <f t="shared" si="1473"/>
        <v>0</v>
      </c>
      <c r="BI75" s="65"/>
      <c r="BJ75" s="63"/>
      <c r="BK75" s="64">
        <f t="shared" si="1474"/>
        <v>0</v>
      </c>
      <c r="BL75" s="65">
        <v>100</v>
      </c>
      <c r="BM75" s="63"/>
      <c r="BN75" s="64">
        <f t="shared" si="1475"/>
        <v>100</v>
      </c>
      <c r="BO75" s="66">
        <f t="shared" si="1476"/>
        <v>6250</v>
      </c>
      <c r="BP75" s="67">
        <f t="shared" si="1477"/>
        <v>0</v>
      </c>
      <c r="BQ75" s="64">
        <f t="shared" si="1478"/>
        <v>6250</v>
      </c>
      <c r="BR75" s="72"/>
      <c r="BS75" s="73"/>
      <c r="BT75" s="74"/>
      <c r="BU75" s="75"/>
      <c r="BV75" s="73"/>
      <c r="BW75" s="74"/>
      <c r="BX75" s="75"/>
      <c r="BY75" s="73"/>
      <c r="BZ75" s="74"/>
      <c r="CA75" s="75"/>
      <c r="CB75" s="73"/>
      <c r="CC75" s="74"/>
      <c r="CD75" s="76"/>
      <c r="CE75" s="77"/>
      <c r="CF75" s="64">
        <f t="shared" si="1479"/>
        <v>0</v>
      </c>
      <c r="CG75" s="62">
        <v>5000</v>
      </c>
      <c r="CH75" s="63"/>
      <c r="CI75" s="64">
        <f t="shared" si="1480"/>
        <v>5000</v>
      </c>
      <c r="CJ75" s="65"/>
      <c r="CK75" s="63"/>
      <c r="CL75" s="64">
        <f t="shared" si="1481"/>
        <v>0</v>
      </c>
      <c r="CM75" s="65"/>
      <c r="CN75" s="63"/>
      <c r="CO75" s="64">
        <f t="shared" si="1482"/>
        <v>0</v>
      </c>
      <c r="CP75" s="65"/>
      <c r="CQ75" s="63"/>
      <c r="CR75" s="64">
        <f t="shared" si="1483"/>
        <v>0</v>
      </c>
      <c r="CS75" s="66">
        <f t="shared" si="1484"/>
        <v>5000</v>
      </c>
      <c r="CT75" s="67">
        <f t="shared" si="1485"/>
        <v>0</v>
      </c>
      <c r="CU75" s="64">
        <f t="shared" si="1486"/>
        <v>5000</v>
      </c>
      <c r="CV75" s="62">
        <v>2916.7</v>
      </c>
      <c r="CW75" s="63"/>
      <c r="CX75" s="64">
        <f t="shared" si="1487"/>
        <v>2916.7</v>
      </c>
      <c r="CY75" s="65">
        <v>429.15</v>
      </c>
      <c r="CZ75" s="63"/>
      <c r="DA75" s="64">
        <f t="shared" si="1488"/>
        <v>429.15</v>
      </c>
      <c r="DB75" s="65"/>
      <c r="DC75" s="63"/>
      <c r="DD75" s="64">
        <f t="shared" si="1489"/>
        <v>0</v>
      </c>
      <c r="DE75" s="65"/>
      <c r="DF75" s="63"/>
      <c r="DG75" s="64">
        <f t="shared" si="1490"/>
        <v>0</v>
      </c>
      <c r="DH75" s="66">
        <f t="shared" si="1491"/>
        <v>3345.85</v>
      </c>
      <c r="DI75" s="67">
        <f t="shared" si="1492"/>
        <v>0</v>
      </c>
      <c r="DJ75" s="64">
        <f t="shared" si="1493"/>
        <v>3345.85</v>
      </c>
      <c r="DK75" s="62">
        <v>2400</v>
      </c>
      <c r="DL75" s="63"/>
      <c r="DM75" s="64">
        <f t="shared" si="1494"/>
        <v>2400</v>
      </c>
      <c r="DN75" s="65">
        <v>913.08</v>
      </c>
      <c r="DO75" s="63"/>
      <c r="DP75" s="64">
        <f t="shared" si="1495"/>
        <v>913.08</v>
      </c>
      <c r="DQ75" s="65"/>
      <c r="DR75" s="63"/>
      <c r="DS75" s="64">
        <f t="shared" si="1496"/>
        <v>0</v>
      </c>
      <c r="DT75" s="65">
        <v>100</v>
      </c>
      <c r="DU75" s="63"/>
      <c r="DV75" s="64">
        <f t="shared" si="1497"/>
        <v>100</v>
      </c>
      <c r="DW75" s="66">
        <f t="shared" si="1498"/>
        <v>3413.08</v>
      </c>
      <c r="DX75" s="67">
        <f t="shared" si="1499"/>
        <v>0</v>
      </c>
      <c r="DY75" s="64">
        <f t="shared" si="1500"/>
        <v>3413.08</v>
      </c>
      <c r="DZ75" s="62"/>
      <c r="EA75" s="63"/>
      <c r="EB75" s="64">
        <f t="shared" si="1501"/>
        <v>0</v>
      </c>
      <c r="EC75" s="65"/>
      <c r="ED75" s="63"/>
      <c r="EE75" s="64">
        <f t="shared" si="1502"/>
        <v>0</v>
      </c>
      <c r="EF75" s="65"/>
      <c r="EG75" s="63"/>
      <c r="EH75" s="64">
        <f t="shared" si="1503"/>
        <v>0</v>
      </c>
      <c r="EI75" s="65">
        <v>100</v>
      </c>
      <c r="EJ75" s="63"/>
      <c r="EK75" s="64">
        <f t="shared" si="1504"/>
        <v>100</v>
      </c>
      <c r="EL75" s="66">
        <f t="shared" si="1505"/>
        <v>100</v>
      </c>
      <c r="EM75" s="67">
        <f t="shared" si="1506"/>
        <v>0</v>
      </c>
      <c r="EN75" s="64">
        <f t="shared" si="1507"/>
        <v>100</v>
      </c>
      <c r="EO75" s="62">
        <v>6150</v>
      </c>
      <c r="EP75" s="63"/>
      <c r="EQ75" s="64">
        <f t="shared" si="1508"/>
        <v>6150</v>
      </c>
      <c r="ER75" s="65"/>
      <c r="ES75" s="63"/>
      <c r="ET75" s="64">
        <f t="shared" si="1509"/>
        <v>0</v>
      </c>
      <c r="EU75" s="65"/>
      <c r="EV75" s="63"/>
      <c r="EW75" s="64">
        <f t="shared" si="1510"/>
        <v>0</v>
      </c>
      <c r="EX75" s="65">
        <v>100</v>
      </c>
      <c r="EY75" s="63"/>
      <c r="EZ75" s="64">
        <f t="shared" si="1511"/>
        <v>100</v>
      </c>
      <c r="FA75" s="66">
        <f t="shared" si="1512"/>
        <v>6250</v>
      </c>
      <c r="FB75" s="67">
        <f t="shared" si="1513"/>
        <v>0</v>
      </c>
      <c r="FC75" s="64">
        <f t="shared" si="1514"/>
        <v>6250</v>
      </c>
      <c r="FD75" s="62">
        <v>6150</v>
      </c>
      <c r="FE75" s="63"/>
      <c r="FF75" s="64">
        <f t="shared" si="1515"/>
        <v>6150</v>
      </c>
      <c r="FG75" s="65"/>
      <c r="FH75" s="63"/>
      <c r="FI75" s="64">
        <f t="shared" si="1516"/>
        <v>0</v>
      </c>
      <c r="FJ75" s="65"/>
      <c r="FK75" s="63"/>
      <c r="FL75" s="64">
        <f t="shared" si="1517"/>
        <v>0</v>
      </c>
      <c r="FM75" s="65">
        <v>100</v>
      </c>
      <c r="FN75" s="63"/>
      <c r="FO75" s="64">
        <f t="shared" si="1518"/>
        <v>100</v>
      </c>
      <c r="FP75" s="66">
        <f t="shared" si="1519"/>
        <v>6250</v>
      </c>
      <c r="FQ75" s="67">
        <f t="shared" si="1520"/>
        <v>0</v>
      </c>
      <c r="FR75" s="64">
        <f t="shared" si="1521"/>
        <v>6250</v>
      </c>
      <c r="FS75" s="62"/>
      <c r="FT75" s="63"/>
      <c r="FU75" s="64">
        <f t="shared" si="1522"/>
        <v>0</v>
      </c>
      <c r="FV75" s="65">
        <v>485.35</v>
      </c>
      <c r="FW75" s="63"/>
      <c r="FX75" s="64">
        <f t="shared" si="1523"/>
        <v>485.35</v>
      </c>
      <c r="FY75" s="65"/>
      <c r="FZ75" s="63"/>
      <c r="GA75" s="64">
        <f t="shared" si="1524"/>
        <v>0</v>
      </c>
      <c r="GB75" s="65"/>
      <c r="GC75" s="63"/>
      <c r="GD75" s="64">
        <f t="shared" si="1525"/>
        <v>0</v>
      </c>
      <c r="GE75" s="66">
        <f t="shared" si="1526"/>
        <v>485.35</v>
      </c>
      <c r="GF75" s="67">
        <f t="shared" si="1527"/>
        <v>0</v>
      </c>
      <c r="GG75" s="64">
        <f t="shared" si="1528"/>
        <v>485.35</v>
      </c>
      <c r="GH75" s="62"/>
      <c r="GI75" s="63"/>
      <c r="GJ75" s="64">
        <f t="shared" si="1529"/>
        <v>0</v>
      </c>
      <c r="GK75" s="65">
        <v>660.33</v>
      </c>
      <c r="GL75" s="63"/>
      <c r="GM75" s="64">
        <f t="shared" si="1530"/>
        <v>660.33</v>
      </c>
      <c r="GN75" s="65"/>
      <c r="GO75" s="63"/>
      <c r="GP75" s="64">
        <f t="shared" si="1531"/>
        <v>0</v>
      </c>
      <c r="GQ75" s="65"/>
      <c r="GR75" s="63"/>
      <c r="GS75" s="64">
        <f t="shared" si="1532"/>
        <v>0</v>
      </c>
      <c r="GT75" s="66">
        <f t="shared" si="1533"/>
        <v>660.33</v>
      </c>
      <c r="GU75" s="67">
        <f t="shared" si="1534"/>
        <v>0</v>
      </c>
      <c r="GV75" s="64">
        <f t="shared" si="1535"/>
        <v>660.33</v>
      </c>
      <c r="GW75" s="62"/>
      <c r="GX75" s="63"/>
      <c r="GY75" s="64">
        <f t="shared" si="1536"/>
        <v>0</v>
      </c>
      <c r="GZ75" s="65">
        <v>568.25</v>
      </c>
      <c r="HA75" s="63"/>
      <c r="HB75" s="64">
        <f t="shared" si="1537"/>
        <v>568.25</v>
      </c>
      <c r="HC75" s="65"/>
      <c r="HD75" s="63"/>
      <c r="HE75" s="64">
        <f t="shared" si="1538"/>
        <v>0</v>
      </c>
      <c r="HF75" s="65">
        <v>100</v>
      </c>
      <c r="HG75" s="63"/>
      <c r="HH75" s="64">
        <f t="shared" si="1539"/>
        <v>100</v>
      </c>
      <c r="HI75" s="66">
        <f t="shared" si="1540"/>
        <v>668.25</v>
      </c>
      <c r="HJ75" s="67">
        <f t="shared" si="1541"/>
        <v>0</v>
      </c>
      <c r="HK75" s="64">
        <f t="shared" si="1542"/>
        <v>668.25</v>
      </c>
      <c r="HL75" s="62">
        <v>6150</v>
      </c>
      <c r="HM75" s="63"/>
      <c r="HN75" s="64">
        <f t="shared" si="1543"/>
        <v>6150</v>
      </c>
      <c r="HO75" s="65"/>
      <c r="HP75" s="63"/>
      <c r="HQ75" s="64">
        <f t="shared" si="1544"/>
        <v>0</v>
      </c>
      <c r="HR75" s="65"/>
      <c r="HS75" s="63"/>
      <c r="HT75" s="64">
        <f t="shared" si="1545"/>
        <v>0</v>
      </c>
      <c r="HU75" s="65">
        <v>100</v>
      </c>
      <c r="HV75" s="63"/>
      <c r="HW75" s="64">
        <f t="shared" si="1546"/>
        <v>100</v>
      </c>
      <c r="HX75" s="66">
        <f t="shared" si="1547"/>
        <v>6250</v>
      </c>
      <c r="HY75" s="67">
        <f t="shared" si="1548"/>
        <v>0</v>
      </c>
      <c r="HZ75" s="64">
        <f t="shared" si="1549"/>
        <v>6250</v>
      </c>
      <c r="IA75" s="62"/>
      <c r="IB75" s="63"/>
      <c r="IC75" s="64">
        <f t="shared" si="1550"/>
        <v>0</v>
      </c>
      <c r="ID75" s="65"/>
      <c r="IE75" s="63"/>
      <c r="IF75" s="64">
        <f t="shared" si="1551"/>
        <v>0</v>
      </c>
      <c r="IG75" s="65">
        <v>9701.0400000000009</v>
      </c>
      <c r="IH75" s="63"/>
      <c r="II75" s="64">
        <f t="shared" si="1552"/>
        <v>9701.0400000000009</v>
      </c>
      <c r="IJ75" s="65">
        <v>100</v>
      </c>
      <c r="IK75" s="63"/>
      <c r="IL75" s="64">
        <f t="shared" si="1553"/>
        <v>100</v>
      </c>
      <c r="IM75" s="66">
        <f t="shared" si="1554"/>
        <v>9801.0400000000009</v>
      </c>
      <c r="IN75" s="67">
        <f t="shared" si="1555"/>
        <v>0</v>
      </c>
      <c r="IO75" s="64">
        <f t="shared" si="1556"/>
        <v>9801.0400000000009</v>
      </c>
      <c r="IP75" s="62">
        <v>5000</v>
      </c>
      <c r="IQ75" s="63"/>
      <c r="IR75" s="64">
        <f t="shared" si="1557"/>
        <v>5000</v>
      </c>
      <c r="IS75" s="65"/>
      <c r="IT75" s="63"/>
      <c r="IU75" s="64">
        <f t="shared" si="1558"/>
        <v>0</v>
      </c>
      <c r="IV75" s="65"/>
      <c r="IW75" s="63"/>
      <c r="IX75" s="64">
        <f t="shared" si="1559"/>
        <v>0</v>
      </c>
      <c r="IY75" s="65"/>
      <c r="IZ75" s="63"/>
      <c r="JA75" s="64">
        <f t="shared" si="1560"/>
        <v>0</v>
      </c>
      <c r="JB75" s="66">
        <f t="shared" si="1561"/>
        <v>5000</v>
      </c>
      <c r="JC75" s="67">
        <f t="shared" si="1562"/>
        <v>0</v>
      </c>
      <c r="JD75" s="64">
        <f t="shared" si="1563"/>
        <v>5000</v>
      </c>
      <c r="JE75" s="72"/>
      <c r="JF75" s="150"/>
      <c r="JG75" s="74"/>
      <c r="JH75" s="75"/>
      <c r="JI75" s="150"/>
      <c r="JJ75" s="74"/>
      <c r="JK75" s="75"/>
      <c r="JL75" s="150"/>
      <c r="JM75" s="74"/>
      <c r="JN75" s="75"/>
      <c r="JO75" s="150"/>
      <c r="JP75" s="74"/>
      <c r="JQ75" s="76"/>
      <c r="JR75" s="77"/>
      <c r="JS75" s="74"/>
      <c r="JT75" s="72"/>
      <c r="JU75" s="73"/>
      <c r="JV75" s="74"/>
      <c r="JW75" s="75"/>
      <c r="JX75" s="73"/>
      <c r="JY75" s="74"/>
      <c r="JZ75" s="75"/>
      <c r="KA75" s="73"/>
      <c r="KB75" s="74"/>
      <c r="KC75" s="75"/>
      <c r="KD75" s="73"/>
      <c r="KE75" s="74"/>
      <c r="KF75" s="76"/>
      <c r="KG75" s="77"/>
      <c r="KH75" s="64">
        <f t="shared" si="1564"/>
        <v>0</v>
      </c>
      <c r="KI75" s="62">
        <v>50000</v>
      </c>
      <c r="KJ75" s="63"/>
      <c r="KK75" s="64">
        <f t="shared" si="1565"/>
        <v>50000</v>
      </c>
      <c r="KL75" s="65"/>
      <c r="KM75" s="63"/>
      <c r="KN75" s="64">
        <f t="shared" si="1566"/>
        <v>0</v>
      </c>
      <c r="KO75" s="65"/>
      <c r="KP75" s="63"/>
      <c r="KQ75" s="64">
        <f t="shared" si="1567"/>
        <v>0</v>
      </c>
      <c r="KR75" s="65"/>
      <c r="KS75" s="63"/>
      <c r="KT75" s="64">
        <f t="shared" si="1568"/>
        <v>0</v>
      </c>
      <c r="KU75" s="66">
        <f t="shared" si="1439"/>
        <v>50000</v>
      </c>
      <c r="KV75" s="67">
        <f t="shared" si="1569"/>
        <v>0</v>
      </c>
      <c r="KW75" s="64">
        <f t="shared" si="1570"/>
        <v>50000</v>
      </c>
      <c r="KX75" s="72"/>
      <c r="KY75" s="73"/>
      <c r="KZ75" s="74"/>
      <c r="LA75" s="75"/>
      <c r="LB75" s="73"/>
      <c r="LC75" s="74"/>
      <c r="LD75" s="75"/>
      <c r="LE75" s="73"/>
      <c r="LF75" s="74"/>
      <c r="LG75" s="75"/>
      <c r="LH75" s="73"/>
      <c r="LI75" s="74"/>
      <c r="LJ75" s="76"/>
      <c r="LK75" s="77"/>
      <c r="LL75" s="74"/>
      <c r="LM75" s="62"/>
      <c r="LN75" s="63"/>
      <c r="LO75" s="64">
        <f t="shared" si="1571"/>
        <v>0</v>
      </c>
      <c r="LP75" s="65"/>
      <c r="LQ75" s="63"/>
      <c r="LR75" s="64">
        <f t="shared" si="1572"/>
        <v>0</v>
      </c>
      <c r="LS75" s="65"/>
      <c r="LT75" s="63"/>
      <c r="LU75" s="64">
        <f t="shared" si="1573"/>
        <v>0</v>
      </c>
      <c r="LV75" s="65">
        <v>100</v>
      </c>
      <c r="LW75" s="63"/>
      <c r="LX75" s="64">
        <f t="shared" si="1574"/>
        <v>100</v>
      </c>
      <c r="LY75" s="66">
        <f t="shared" si="1575"/>
        <v>100</v>
      </c>
      <c r="LZ75" s="67">
        <f t="shared" si="1576"/>
        <v>0</v>
      </c>
      <c r="MA75" s="64">
        <f t="shared" si="1577"/>
        <v>100</v>
      </c>
      <c r="MB75" s="62">
        <f>6*650</f>
        <v>3900</v>
      </c>
      <c r="MC75" s="63"/>
      <c r="MD75" s="64">
        <f t="shared" si="1578"/>
        <v>3900</v>
      </c>
      <c r="ME75" s="65">
        <v>889.11</v>
      </c>
      <c r="MF75" s="63"/>
      <c r="MG75" s="64">
        <f t="shared" si="1579"/>
        <v>889.11</v>
      </c>
      <c r="MH75" s="65"/>
      <c r="MI75" s="63"/>
      <c r="MJ75" s="64">
        <f t="shared" si="1580"/>
        <v>0</v>
      </c>
      <c r="MK75" s="65">
        <v>100</v>
      </c>
      <c r="ML75" s="63"/>
      <c r="MM75" s="64">
        <f t="shared" si="1581"/>
        <v>100</v>
      </c>
      <c r="MN75" s="66">
        <f t="shared" si="1582"/>
        <v>4889.1099999999997</v>
      </c>
      <c r="MO75" s="67">
        <f t="shared" si="1583"/>
        <v>0</v>
      </c>
      <c r="MP75" s="64">
        <f t="shared" si="1584"/>
        <v>4889.1099999999997</v>
      </c>
      <c r="MQ75" s="62">
        <v>9100</v>
      </c>
      <c r="MR75" s="63"/>
      <c r="MS75" s="64">
        <f t="shared" si="1585"/>
        <v>9100</v>
      </c>
      <c r="MT75" s="65"/>
      <c r="MU75" s="63"/>
      <c r="MV75" s="64">
        <f t="shared" si="1586"/>
        <v>0</v>
      </c>
      <c r="MW75" s="65"/>
      <c r="MX75" s="63"/>
      <c r="MY75" s="64">
        <f t="shared" si="1587"/>
        <v>0</v>
      </c>
      <c r="MZ75" s="65"/>
      <c r="NA75" s="63"/>
      <c r="NB75" s="64">
        <f t="shared" si="1588"/>
        <v>0</v>
      </c>
      <c r="NC75" s="66">
        <f t="shared" si="1589"/>
        <v>9100</v>
      </c>
      <c r="ND75" s="67">
        <f t="shared" si="1590"/>
        <v>0</v>
      </c>
      <c r="NE75" s="64">
        <f t="shared" si="1591"/>
        <v>9100</v>
      </c>
      <c r="NF75" s="62">
        <v>6000</v>
      </c>
      <c r="NG75" s="63"/>
      <c r="NH75" s="64">
        <f t="shared" si="1592"/>
        <v>6000</v>
      </c>
      <c r="NI75" s="65">
        <v>1164.04</v>
      </c>
      <c r="NJ75" s="63"/>
      <c r="NK75" s="64">
        <f t="shared" si="1593"/>
        <v>1164.04</v>
      </c>
      <c r="NL75" s="65"/>
      <c r="NM75" s="63"/>
      <c r="NN75" s="64">
        <f t="shared" si="1594"/>
        <v>0</v>
      </c>
      <c r="NO75" s="65">
        <v>100</v>
      </c>
      <c r="NP75" s="63"/>
      <c r="NQ75" s="64">
        <f t="shared" si="1595"/>
        <v>100</v>
      </c>
      <c r="NR75" s="66">
        <f t="shared" si="1596"/>
        <v>7264.04</v>
      </c>
      <c r="NS75" s="67">
        <f t="shared" si="1597"/>
        <v>0</v>
      </c>
      <c r="NT75" s="64">
        <f t="shared" si="1598"/>
        <v>7264.04</v>
      </c>
      <c r="NU75" s="62">
        <f>6*864</f>
        <v>5184</v>
      </c>
      <c r="NV75" s="63"/>
      <c r="NW75" s="64">
        <f t="shared" si="1599"/>
        <v>5184</v>
      </c>
      <c r="NX75" s="65">
        <v>1152.73</v>
      </c>
      <c r="NY75" s="63"/>
      <c r="NZ75" s="64">
        <f t="shared" si="1600"/>
        <v>1152.73</v>
      </c>
      <c r="OA75" s="65"/>
      <c r="OB75" s="63"/>
      <c r="OC75" s="64">
        <f t="shared" si="1601"/>
        <v>0</v>
      </c>
      <c r="OD75" s="65">
        <v>100</v>
      </c>
      <c r="OE75" s="63"/>
      <c r="OF75" s="64">
        <f t="shared" si="1602"/>
        <v>100</v>
      </c>
      <c r="OG75" s="66">
        <f t="shared" si="1603"/>
        <v>6436.73</v>
      </c>
      <c r="OH75" s="67">
        <f t="shared" si="1604"/>
        <v>0</v>
      </c>
      <c r="OI75" s="64">
        <f t="shared" si="1605"/>
        <v>6436.73</v>
      </c>
      <c r="OJ75" s="62"/>
      <c r="OK75" s="63"/>
      <c r="OL75" s="64">
        <f t="shared" si="1606"/>
        <v>0</v>
      </c>
      <c r="OM75" s="65"/>
      <c r="ON75" s="63"/>
      <c r="OO75" s="64">
        <f t="shared" si="1607"/>
        <v>0</v>
      </c>
      <c r="OP75" s="65"/>
      <c r="OQ75" s="63"/>
      <c r="OR75" s="64">
        <f t="shared" si="1608"/>
        <v>0</v>
      </c>
      <c r="OS75" s="65">
        <v>100</v>
      </c>
      <c r="OT75" s="63"/>
      <c r="OU75" s="64">
        <f t="shared" si="1609"/>
        <v>100</v>
      </c>
      <c r="OV75" s="66">
        <f t="shared" si="1610"/>
        <v>100</v>
      </c>
      <c r="OW75" s="67">
        <f t="shared" si="1611"/>
        <v>0</v>
      </c>
      <c r="OX75" s="64">
        <f t="shared" si="1612"/>
        <v>100</v>
      </c>
      <c r="OY75" s="62"/>
      <c r="OZ75" s="63"/>
      <c r="PA75" s="64">
        <f t="shared" si="1613"/>
        <v>0</v>
      </c>
      <c r="PB75" s="65">
        <v>600</v>
      </c>
      <c r="PC75" s="63"/>
      <c r="PD75" s="64">
        <f t="shared" si="1614"/>
        <v>600</v>
      </c>
      <c r="PE75" s="65"/>
      <c r="PF75" s="63"/>
      <c r="PG75" s="64">
        <f t="shared" si="1615"/>
        <v>0</v>
      </c>
      <c r="PH75" s="65">
        <v>100</v>
      </c>
      <c r="PI75" s="63"/>
      <c r="PJ75" s="64">
        <f t="shared" si="1616"/>
        <v>100</v>
      </c>
      <c r="PK75" s="66">
        <f t="shared" si="1617"/>
        <v>700</v>
      </c>
      <c r="PL75" s="67">
        <f t="shared" si="1618"/>
        <v>0</v>
      </c>
      <c r="PM75" s="64">
        <f t="shared" si="1619"/>
        <v>700</v>
      </c>
      <c r="PN75" s="62">
        <v>1550</v>
      </c>
      <c r="PO75" s="63"/>
      <c r="PP75" s="64">
        <f t="shared" si="1620"/>
        <v>1550</v>
      </c>
      <c r="PQ75" s="65"/>
      <c r="PR75" s="63"/>
      <c r="PS75" s="64">
        <f t="shared" si="1621"/>
        <v>0</v>
      </c>
      <c r="PT75" s="65"/>
      <c r="PU75" s="63"/>
      <c r="PV75" s="64">
        <f t="shared" si="1622"/>
        <v>0</v>
      </c>
      <c r="PW75" s="65">
        <v>100</v>
      </c>
      <c r="PX75" s="63"/>
      <c r="PY75" s="64">
        <f t="shared" si="1623"/>
        <v>100</v>
      </c>
      <c r="PZ75" s="66">
        <f t="shared" si="1624"/>
        <v>1650</v>
      </c>
      <c r="QA75" s="67">
        <f t="shared" si="1625"/>
        <v>0</v>
      </c>
      <c r="QB75" s="64">
        <f t="shared" si="1626"/>
        <v>1650</v>
      </c>
      <c r="QC75" s="62"/>
      <c r="QD75" s="63"/>
      <c r="QE75" s="64">
        <f t="shared" si="1627"/>
        <v>0</v>
      </c>
      <c r="QF75" s="65"/>
      <c r="QG75" s="63"/>
      <c r="QH75" s="64">
        <f t="shared" si="1628"/>
        <v>0</v>
      </c>
      <c r="QI75" s="65"/>
      <c r="QJ75" s="63"/>
      <c r="QK75" s="64">
        <f t="shared" si="1629"/>
        <v>0</v>
      </c>
      <c r="QL75" s="65">
        <v>100</v>
      </c>
      <c r="QM75" s="63"/>
      <c r="QN75" s="64">
        <f t="shared" si="1630"/>
        <v>100</v>
      </c>
      <c r="QO75" s="66">
        <f t="shared" si="1631"/>
        <v>100</v>
      </c>
      <c r="QP75" s="67">
        <f t="shared" si="1632"/>
        <v>0</v>
      </c>
      <c r="QQ75" s="64">
        <f t="shared" si="1633"/>
        <v>100</v>
      </c>
      <c r="QR75" s="74"/>
      <c r="QS75" s="74"/>
      <c r="QT75" s="72"/>
      <c r="QU75" s="73"/>
      <c r="QV75" s="74"/>
      <c r="QW75" s="75"/>
      <c r="QX75" s="73"/>
      <c r="QY75" s="74"/>
      <c r="QZ75" s="75"/>
      <c r="RA75" s="73"/>
      <c r="RB75" s="74"/>
      <c r="RC75" s="75"/>
      <c r="RD75" s="73"/>
      <c r="RE75" s="74"/>
      <c r="RF75" s="74"/>
      <c r="RG75" s="72"/>
      <c r="RH75" s="73"/>
      <c r="RI75" s="74"/>
      <c r="RJ75" s="75"/>
      <c r="RK75" s="73"/>
      <c r="RL75" s="74"/>
      <c r="RM75" s="75"/>
      <c r="RN75" s="73"/>
      <c r="RO75" s="74"/>
      <c r="RP75" s="75"/>
      <c r="RQ75" s="73"/>
      <c r="RR75" s="74"/>
      <c r="RS75" s="76"/>
      <c r="RT75" s="77"/>
      <c r="RU75" s="74"/>
      <c r="RV75" s="74"/>
      <c r="RW75" s="72"/>
      <c r="RX75" s="73"/>
      <c r="RY75" s="74"/>
      <c r="RZ75" s="75"/>
      <c r="SA75" s="73"/>
      <c r="SB75" s="74"/>
      <c r="SC75" s="75"/>
      <c r="SD75" s="73"/>
      <c r="SE75" s="74"/>
      <c r="SF75" s="75"/>
      <c r="SG75" s="73"/>
      <c r="SH75" s="74"/>
      <c r="SI75" s="76"/>
      <c r="SJ75" s="64">
        <f t="shared" si="1634"/>
        <v>0</v>
      </c>
      <c r="SK75" s="62"/>
      <c r="SL75" s="63"/>
      <c r="SM75" s="64">
        <f t="shared" si="1635"/>
        <v>0</v>
      </c>
      <c r="SN75" s="65"/>
      <c r="SO75" s="63"/>
      <c r="SP75" s="64">
        <f t="shared" si="1636"/>
        <v>0</v>
      </c>
      <c r="SQ75" s="65"/>
      <c r="SR75" s="63"/>
      <c r="SS75" s="64">
        <f t="shared" si="1637"/>
        <v>0</v>
      </c>
      <c r="ST75" s="65">
        <v>100</v>
      </c>
      <c r="SU75" s="63"/>
      <c r="SV75" s="64">
        <f t="shared" si="1638"/>
        <v>100</v>
      </c>
      <c r="SW75" s="66">
        <f t="shared" si="1639"/>
        <v>100</v>
      </c>
      <c r="SX75" s="67">
        <f t="shared" si="1640"/>
        <v>0</v>
      </c>
      <c r="SY75" s="64">
        <f t="shared" si="1641"/>
        <v>100</v>
      </c>
      <c r="SZ75" s="62">
        <v>985.33</v>
      </c>
      <c r="TA75" s="63"/>
      <c r="TB75" s="64">
        <f t="shared" si="1642"/>
        <v>985.33</v>
      </c>
      <c r="TC75" s="65">
        <v>700.9</v>
      </c>
      <c r="TD75" s="63"/>
      <c r="TE75" s="64">
        <f t="shared" si="1643"/>
        <v>700.9</v>
      </c>
      <c r="TF75" s="65"/>
      <c r="TG75" s="63"/>
      <c r="TH75" s="64">
        <f t="shared" si="1644"/>
        <v>0</v>
      </c>
      <c r="TI75" s="65">
        <v>100</v>
      </c>
      <c r="TJ75" s="63"/>
      <c r="TK75" s="64">
        <f t="shared" si="1645"/>
        <v>100</v>
      </c>
      <c r="TL75" s="66">
        <f t="shared" si="1646"/>
        <v>1786.23</v>
      </c>
      <c r="TM75" s="67">
        <f t="shared" si="1647"/>
        <v>0</v>
      </c>
      <c r="TN75" s="64">
        <f t="shared" si="1648"/>
        <v>1786.23</v>
      </c>
      <c r="TO75" s="62">
        <v>3875</v>
      </c>
      <c r="TP75" s="63"/>
      <c r="TQ75" s="64">
        <f t="shared" si="1649"/>
        <v>3875</v>
      </c>
      <c r="TR75" s="65"/>
      <c r="TS75" s="63"/>
      <c r="TT75" s="64">
        <f t="shared" si="1650"/>
        <v>0</v>
      </c>
      <c r="TU75" s="65"/>
      <c r="TV75" s="63"/>
      <c r="TW75" s="64">
        <f t="shared" si="1651"/>
        <v>0</v>
      </c>
      <c r="TX75" s="65">
        <v>100</v>
      </c>
      <c r="TY75" s="63"/>
      <c r="TZ75" s="64">
        <f t="shared" si="1652"/>
        <v>100</v>
      </c>
      <c r="UA75" s="66">
        <f t="shared" si="1653"/>
        <v>3975</v>
      </c>
      <c r="UB75" s="67">
        <f t="shared" si="1654"/>
        <v>0</v>
      </c>
      <c r="UC75" s="64">
        <f t="shared" si="1655"/>
        <v>3975</v>
      </c>
      <c r="UD75" s="62">
        <v>1125</v>
      </c>
      <c r="UE75" s="63"/>
      <c r="UF75" s="64">
        <f t="shared" si="1656"/>
        <v>1125</v>
      </c>
      <c r="UG75" s="65">
        <v>497.04</v>
      </c>
      <c r="UH75" s="63"/>
      <c r="UI75" s="64">
        <f t="shared" si="1657"/>
        <v>497.04</v>
      </c>
      <c r="UJ75" s="65"/>
      <c r="UK75" s="63"/>
      <c r="UL75" s="64">
        <f t="shared" si="1658"/>
        <v>0</v>
      </c>
      <c r="UM75" s="65">
        <v>100</v>
      </c>
      <c r="UN75" s="63"/>
      <c r="UO75" s="64">
        <f t="shared" si="1659"/>
        <v>100</v>
      </c>
      <c r="UP75" s="66">
        <f t="shared" si="1660"/>
        <v>1722.04</v>
      </c>
      <c r="UQ75" s="67">
        <f t="shared" si="1661"/>
        <v>0</v>
      </c>
      <c r="UR75" s="64">
        <f t="shared" si="1662"/>
        <v>1722.04</v>
      </c>
      <c r="US75" s="74"/>
      <c r="UT75" s="72"/>
      <c r="UU75" s="73"/>
      <c r="UV75" s="74"/>
      <c r="UW75" s="75"/>
      <c r="UX75" s="73"/>
      <c r="UY75" s="74"/>
      <c r="UZ75" s="75"/>
      <c r="VA75" s="73"/>
      <c r="VB75" s="74"/>
      <c r="VC75" s="75"/>
      <c r="VD75" s="73"/>
      <c r="VE75" s="74"/>
      <c r="VF75" s="76"/>
      <c r="VG75" s="77"/>
      <c r="VH75" s="62">
        <v>18600</v>
      </c>
      <c r="VI75" s="63"/>
      <c r="VJ75" s="64">
        <f t="shared" si="1663"/>
        <v>18600</v>
      </c>
      <c r="VK75" s="65"/>
      <c r="VL75" s="63"/>
      <c r="VM75" s="64">
        <f t="shared" si="1664"/>
        <v>0</v>
      </c>
      <c r="VN75" s="65"/>
      <c r="VO75" s="63"/>
      <c r="VP75" s="64">
        <f t="shared" si="1665"/>
        <v>0</v>
      </c>
      <c r="VQ75" s="65">
        <v>100</v>
      </c>
      <c r="VR75" s="63"/>
      <c r="VS75" s="64">
        <f t="shared" si="1666"/>
        <v>100</v>
      </c>
      <c r="VT75" s="66">
        <f t="shared" si="1667"/>
        <v>18700</v>
      </c>
      <c r="VU75" s="67">
        <f t="shared" si="1668"/>
        <v>0</v>
      </c>
      <c r="VV75" s="64">
        <f t="shared" si="1669"/>
        <v>18700</v>
      </c>
      <c r="VW75" s="74"/>
      <c r="VX75" s="72"/>
      <c r="VY75" s="73"/>
      <c r="VZ75" s="74"/>
      <c r="WA75" s="75"/>
      <c r="WB75" s="73"/>
      <c r="WC75" s="74"/>
      <c r="WD75" s="75"/>
      <c r="WE75" s="73"/>
      <c r="WF75" s="74"/>
      <c r="WG75" s="75"/>
      <c r="WH75" s="73"/>
      <c r="WI75" s="74"/>
      <c r="WJ75" s="76"/>
      <c r="WK75" s="77"/>
      <c r="WL75" s="74"/>
      <c r="WM75" s="72"/>
      <c r="WN75" s="73"/>
      <c r="WO75" s="74"/>
      <c r="WP75" s="75"/>
      <c r="WQ75" s="73"/>
      <c r="WR75" s="74"/>
      <c r="WS75" s="75"/>
      <c r="WT75" s="73"/>
      <c r="WU75" s="74"/>
      <c r="WV75" s="75"/>
      <c r="WW75" s="73"/>
      <c r="WX75" s="74"/>
      <c r="WY75" s="76"/>
      <c r="WZ75" s="77"/>
      <c r="XA75" s="74"/>
      <c r="XB75" s="72"/>
      <c r="XC75" s="73"/>
      <c r="XD75" s="74"/>
      <c r="XE75" s="75"/>
      <c r="XF75" s="73"/>
      <c r="XG75" s="74"/>
      <c r="XH75" s="75"/>
      <c r="XI75" s="73"/>
      <c r="XJ75" s="74"/>
      <c r="XK75" s="75"/>
      <c r="XL75" s="73"/>
      <c r="XM75" s="74"/>
      <c r="XN75" s="76"/>
      <c r="XO75" s="77"/>
      <c r="XP75" s="62">
        <v>5202</v>
      </c>
      <c r="XQ75" s="63"/>
      <c r="XR75" s="64">
        <f t="shared" si="1670"/>
        <v>5202</v>
      </c>
      <c r="XS75" s="65">
        <v>844.24</v>
      </c>
      <c r="XT75" s="63"/>
      <c r="XU75" s="64">
        <f t="shared" si="1671"/>
        <v>844.24</v>
      </c>
      <c r="XV75" s="65"/>
      <c r="XW75" s="63"/>
      <c r="XX75" s="64">
        <f t="shared" si="1672"/>
        <v>0</v>
      </c>
      <c r="XY75" s="65">
        <v>100</v>
      </c>
      <c r="XZ75" s="63"/>
      <c r="YA75" s="64">
        <f t="shared" si="1673"/>
        <v>100</v>
      </c>
      <c r="YB75" s="66">
        <f t="shared" si="1674"/>
        <v>6146.24</v>
      </c>
      <c r="YC75" s="67">
        <f t="shared" si="1675"/>
        <v>0</v>
      </c>
      <c r="YD75" s="64">
        <f t="shared" si="1676"/>
        <v>6146.24</v>
      </c>
      <c r="YE75" s="62">
        <v>5340</v>
      </c>
      <c r="YF75" s="63"/>
      <c r="YG75" s="64">
        <f t="shared" si="1677"/>
        <v>5340</v>
      </c>
      <c r="YH75" s="65">
        <v>847.85</v>
      </c>
      <c r="YI75" s="63"/>
      <c r="YJ75" s="64">
        <f t="shared" si="1678"/>
        <v>847.85</v>
      </c>
      <c r="YK75" s="65"/>
      <c r="YL75" s="63"/>
      <c r="YM75" s="64">
        <f t="shared" si="1679"/>
        <v>0</v>
      </c>
      <c r="YN75" s="65">
        <v>100</v>
      </c>
      <c r="YO75" s="63"/>
      <c r="YP75" s="64">
        <f t="shared" si="1680"/>
        <v>100</v>
      </c>
      <c r="YQ75" s="66">
        <f t="shared" si="1681"/>
        <v>6287.85</v>
      </c>
      <c r="YR75" s="67">
        <f t="shared" si="1682"/>
        <v>0</v>
      </c>
      <c r="YS75" s="64">
        <f t="shared" si="1683"/>
        <v>6287.85</v>
      </c>
      <c r="YT75" s="62">
        <v>5592</v>
      </c>
      <c r="YU75" s="63"/>
      <c r="YV75" s="64">
        <f t="shared" si="1684"/>
        <v>5592</v>
      </c>
      <c r="YW75" s="65">
        <v>695.73</v>
      </c>
      <c r="YX75" s="63"/>
      <c r="YY75" s="64">
        <f t="shared" si="1685"/>
        <v>695.73</v>
      </c>
      <c r="YZ75" s="65"/>
      <c r="ZA75" s="63"/>
      <c r="ZB75" s="64">
        <f t="shared" si="1686"/>
        <v>0</v>
      </c>
      <c r="ZC75" s="65">
        <v>100</v>
      </c>
      <c r="ZD75" s="63"/>
      <c r="ZE75" s="64">
        <f t="shared" si="1687"/>
        <v>100</v>
      </c>
      <c r="ZF75" s="66">
        <f t="shared" si="1688"/>
        <v>6387.73</v>
      </c>
      <c r="ZG75" s="67">
        <f t="shared" si="1689"/>
        <v>0</v>
      </c>
      <c r="ZH75" s="74"/>
      <c r="ZI75" s="72"/>
      <c r="ZJ75" s="73"/>
      <c r="ZK75" s="74"/>
      <c r="ZL75" s="75"/>
      <c r="ZM75" s="73"/>
      <c r="ZN75" s="74"/>
      <c r="ZO75" s="75"/>
      <c r="ZP75" s="73"/>
      <c r="ZQ75" s="74"/>
      <c r="ZR75" s="75"/>
      <c r="ZS75" s="73"/>
      <c r="ZT75" s="74"/>
      <c r="ZU75" s="76"/>
      <c r="ZV75" s="77"/>
      <c r="ZW75" s="64">
        <f t="shared" si="1690"/>
        <v>0</v>
      </c>
      <c r="ZX75" s="62">
        <v>24.71</v>
      </c>
      <c r="ZY75" s="63"/>
      <c r="ZZ75" s="64">
        <f t="shared" si="1691"/>
        <v>24.71</v>
      </c>
      <c r="AAA75" s="66">
        <f t="shared" si="1692"/>
        <v>24.71</v>
      </c>
      <c r="AAB75" s="67">
        <f t="shared" si="1692"/>
        <v>0</v>
      </c>
      <c r="AAC75" s="64">
        <f t="shared" si="1693"/>
        <v>24.71</v>
      </c>
      <c r="AAD75" s="85">
        <f t="shared" si="1694"/>
        <v>191516.69</v>
      </c>
      <c r="AAE75" s="86">
        <f t="shared" si="1694"/>
        <v>0</v>
      </c>
      <c r="AAF75" s="87">
        <f t="shared" si="1457"/>
        <v>0</v>
      </c>
      <c r="AAG75" s="88">
        <f t="shared" si="1695"/>
        <v>-191516.69</v>
      </c>
      <c r="AAH75" s="58"/>
      <c r="AAI75" s="59"/>
      <c r="AAJ75" s="59"/>
      <c r="AAK75" s="60"/>
    </row>
    <row r="76" spans="1:713" s="83" customFormat="1" ht="20" customHeight="1" x14ac:dyDescent="0.2">
      <c r="A76" s="152"/>
      <c r="B76" s="89">
        <f>AAH76</f>
        <v>0</v>
      </c>
      <c r="C76" s="90"/>
      <c r="D76" s="90"/>
      <c r="E76" s="60"/>
      <c r="F76" s="61">
        <v>46569</v>
      </c>
      <c r="G76" s="62">
        <f>371675.99/2</f>
        <v>185837.995</v>
      </c>
      <c r="H76" s="63"/>
      <c r="I76" s="64">
        <f t="shared" si="1458"/>
        <v>185837.995</v>
      </c>
      <c r="J76" s="65">
        <v>2166.9299999999998</v>
      </c>
      <c r="K76" s="63"/>
      <c r="L76" s="64">
        <f t="shared" si="1459"/>
        <v>2166.9299999999998</v>
      </c>
      <c r="M76" s="65">
        <v>2500</v>
      </c>
      <c r="N76" s="63"/>
      <c r="O76" s="64">
        <f t="shared" si="1460"/>
        <v>2500</v>
      </c>
      <c r="P76" s="65">
        <v>1250</v>
      </c>
      <c r="Q76" s="63"/>
      <c r="R76" s="64">
        <f t="shared" si="1461"/>
        <v>1250</v>
      </c>
      <c r="S76" s="65">
        <v>362</v>
      </c>
      <c r="T76" s="63"/>
      <c r="U76" s="64">
        <f t="shared" si="1462"/>
        <v>362</v>
      </c>
      <c r="V76" s="66">
        <f t="shared" si="1463"/>
        <v>192116.92499999999</v>
      </c>
      <c r="W76" s="67">
        <f t="shared" si="1463"/>
        <v>0</v>
      </c>
      <c r="X76" s="64">
        <f t="shared" si="1464"/>
        <v>192116.92499999999</v>
      </c>
      <c r="Y76" s="72"/>
      <c r="Z76" s="73"/>
      <c r="AA76" s="74"/>
      <c r="AB76" s="75"/>
      <c r="AC76" s="73"/>
      <c r="AD76" s="74"/>
      <c r="AE76" s="75"/>
      <c r="AF76" s="73"/>
      <c r="AG76" s="74"/>
      <c r="AH76" s="75"/>
      <c r="AI76" s="73"/>
      <c r="AJ76" s="74"/>
      <c r="AK76" s="76"/>
      <c r="AL76" s="77"/>
      <c r="AM76" s="64">
        <f t="shared" si="1465"/>
        <v>0</v>
      </c>
      <c r="AN76" s="62">
        <v>6250</v>
      </c>
      <c r="AO76" s="63"/>
      <c r="AP76" s="64">
        <f t="shared" si="1696"/>
        <v>6250</v>
      </c>
      <c r="AQ76" s="65"/>
      <c r="AR76" s="63"/>
      <c r="AS76" s="64">
        <f t="shared" si="1466"/>
        <v>0</v>
      </c>
      <c r="AT76" s="65"/>
      <c r="AU76" s="63"/>
      <c r="AV76" s="64">
        <f t="shared" si="1467"/>
        <v>0</v>
      </c>
      <c r="AW76" s="65"/>
      <c r="AX76" s="63"/>
      <c r="AY76" s="64">
        <f t="shared" si="1468"/>
        <v>0</v>
      </c>
      <c r="AZ76" s="66">
        <f t="shared" si="1469"/>
        <v>6250</v>
      </c>
      <c r="BA76" s="67">
        <f t="shared" si="1470"/>
        <v>0</v>
      </c>
      <c r="BB76" s="64">
        <f t="shared" si="1471"/>
        <v>6250</v>
      </c>
      <c r="BC76" s="62"/>
      <c r="BD76" s="63"/>
      <c r="BE76" s="64">
        <f t="shared" si="1472"/>
        <v>0</v>
      </c>
      <c r="BF76" s="65"/>
      <c r="BG76" s="63"/>
      <c r="BH76" s="64">
        <f t="shared" si="1473"/>
        <v>0</v>
      </c>
      <c r="BI76" s="65"/>
      <c r="BJ76" s="63"/>
      <c r="BK76" s="64">
        <f t="shared" si="1474"/>
        <v>0</v>
      </c>
      <c r="BL76" s="65">
        <v>100</v>
      </c>
      <c r="BM76" s="63"/>
      <c r="BN76" s="64">
        <f t="shared" si="1475"/>
        <v>100</v>
      </c>
      <c r="BO76" s="66">
        <f t="shared" si="1476"/>
        <v>100</v>
      </c>
      <c r="BP76" s="67">
        <f t="shared" si="1477"/>
        <v>0</v>
      </c>
      <c r="BQ76" s="64">
        <f t="shared" si="1478"/>
        <v>100</v>
      </c>
      <c r="BR76" s="72"/>
      <c r="BS76" s="73"/>
      <c r="BT76" s="74"/>
      <c r="BU76" s="75"/>
      <c r="BV76" s="73"/>
      <c r="BW76" s="74"/>
      <c r="BX76" s="75"/>
      <c r="BY76" s="73"/>
      <c r="BZ76" s="74"/>
      <c r="CA76" s="75"/>
      <c r="CB76" s="73"/>
      <c r="CC76" s="74"/>
      <c r="CD76" s="76"/>
      <c r="CE76" s="77"/>
      <c r="CF76" s="64">
        <f t="shared" si="1479"/>
        <v>0</v>
      </c>
      <c r="CG76" s="62">
        <v>5000</v>
      </c>
      <c r="CH76" s="63"/>
      <c r="CI76" s="64">
        <f t="shared" si="1480"/>
        <v>5000</v>
      </c>
      <c r="CJ76" s="65"/>
      <c r="CK76" s="63"/>
      <c r="CL76" s="64">
        <f t="shared" si="1481"/>
        <v>0</v>
      </c>
      <c r="CM76" s="65"/>
      <c r="CN76" s="63"/>
      <c r="CO76" s="64">
        <f t="shared" si="1482"/>
        <v>0</v>
      </c>
      <c r="CP76" s="65"/>
      <c r="CQ76" s="63"/>
      <c r="CR76" s="64">
        <f t="shared" si="1483"/>
        <v>0</v>
      </c>
      <c r="CS76" s="66">
        <f t="shared" si="1484"/>
        <v>5000</v>
      </c>
      <c r="CT76" s="67">
        <f t="shared" si="1485"/>
        <v>0</v>
      </c>
      <c r="CU76" s="64">
        <f t="shared" si="1486"/>
        <v>5000</v>
      </c>
      <c r="CV76" s="62">
        <v>2916.7</v>
      </c>
      <c r="CW76" s="63"/>
      <c r="CX76" s="64">
        <f t="shared" si="1487"/>
        <v>2916.7</v>
      </c>
      <c r="CY76" s="65">
        <v>429.15</v>
      </c>
      <c r="CZ76" s="63"/>
      <c r="DA76" s="64">
        <f t="shared" si="1488"/>
        <v>429.15</v>
      </c>
      <c r="DB76" s="65"/>
      <c r="DC76" s="63"/>
      <c r="DD76" s="64">
        <f t="shared" si="1489"/>
        <v>0</v>
      </c>
      <c r="DE76" s="65"/>
      <c r="DF76" s="63"/>
      <c r="DG76" s="64">
        <f t="shared" si="1490"/>
        <v>0</v>
      </c>
      <c r="DH76" s="66">
        <f t="shared" si="1491"/>
        <v>3345.85</v>
      </c>
      <c r="DI76" s="67">
        <f t="shared" si="1492"/>
        <v>0</v>
      </c>
      <c r="DJ76" s="64">
        <f t="shared" si="1493"/>
        <v>3345.85</v>
      </c>
      <c r="DK76" s="62">
        <v>2400</v>
      </c>
      <c r="DL76" s="63"/>
      <c r="DM76" s="64">
        <f t="shared" si="1494"/>
        <v>2400</v>
      </c>
      <c r="DN76" s="65">
        <v>913.08</v>
      </c>
      <c r="DO76" s="63"/>
      <c r="DP76" s="64">
        <f t="shared" si="1495"/>
        <v>913.08</v>
      </c>
      <c r="DQ76" s="65"/>
      <c r="DR76" s="63"/>
      <c r="DS76" s="64">
        <f t="shared" si="1496"/>
        <v>0</v>
      </c>
      <c r="DT76" s="65">
        <v>100</v>
      </c>
      <c r="DU76" s="63"/>
      <c r="DV76" s="64">
        <f t="shared" si="1497"/>
        <v>100</v>
      </c>
      <c r="DW76" s="66">
        <f t="shared" si="1498"/>
        <v>3413.08</v>
      </c>
      <c r="DX76" s="67">
        <f t="shared" si="1499"/>
        <v>0</v>
      </c>
      <c r="DY76" s="64">
        <f t="shared" si="1500"/>
        <v>3413.08</v>
      </c>
      <c r="DZ76" s="62">
        <v>12000</v>
      </c>
      <c r="EA76" s="63"/>
      <c r="EB76" s="64">
        <f t="shared" si="1501"/>
        <v>12000</v>
      </c>
      <c r="EC76" s="65"/>
      <c r="ED76" s="63"/>
      <c r="EE76" s="64">
        <f t="shared" si="1502"/>
        <v>0</v>
      </c>
      <c r="EF76" s="65"/>
      <c r="EG76" s="63"/>
      <c r="EH76" s="64">
        <f t="shared" si="1503"/>
        <v>0</v>
      </c>
      <c r="EI76" s="65">
        <v>100</v>
      </c>
      <c r="EJ76" s="63"/>
      <c r="EK76" s="64">
        <f t="shared" si="1504"/>
        <v>100</v>
      </c>
      <c r="EL76" s="66">
        <f t="shared" si="1505"/>
        <v>12100</v>
      </c>
      <c r="EM76" s="67">
        <f t="shared" si="1506"/>
        <v>0</v>
      </c>
      <c r="EN76" s="64">
        <f t="shared" si="1507"/>
        <v>12100</v>
      </c>
      <c r="EO76" s="62"/>
      <c r="EP76" s="63"/>
      <c r="EQ76" s="64">
        <f t="shared" si="1508"/>
        <v>0</v>
      </c>
      <c r="ER76" s="65">
        <v>3600</v>
      </c>
      <c r="ES76" s="63"/>
      <c r="ET76" s="64">
        <f t="shared" si="1509"/>
        <v>3600</v>
      </c>
      <c r="EU76" s="65"/>
      <c r="EV76" s="63"/>
      <c r="EW76" s="64">
        <f t="shared" si="1510"/>
        <v>0</v>
      </c>
      <c r="EX76" s="65">
        <v>100</v>
      </c>
      <c r="EY76" s="63"/>
      <c r="EZ76" s="64">
        <f t="shared" si="1511"/>
        <v>100</v>
      </c>
      <c r="FA76" s="66">
        <f t="shared" si="1512"/>
        <v>3700</v>
      </c>
      <c r="FB76" s="67">
        <f t="shared" si="1513"/>
        <v>0</v>
      </c>
      <c r="FC76" s="64">
        <f t="shared" si="1514"/>
        <v>3700</v>
      </c>
      <c r="FD76" s="62"/>
      <c r="FE76" s="63"/>
      <c r="FF76" s="64">
        <f t="shared" si="1515"/>
        <v>0</v>
      </c>
      <c r="FG76" s="65">
        <v>3600</v>
      </c>
      <c r="FH76" s="63"/>
      <c r="FI76" s="64">
        <f t="shared" si="1516"/>
        <v>3600</v>
      </c>
      <c r="FJ76" s="65"/>
      <c r="FK76" s="63"/>
      <c r="FL76" s="64">
        <f t="shared" si="1517"/>
        <v>0</v>
      </c>
      <c r="FM76" s="65">
        <v>100</v>
      </c>
      <c r="FN76" s="63"/>
      <c r="FO76" s="64">
        <f t="shared" si="1518"/>
        <v>100</v>
      </c>
      <c r="FP76" s="66">
        <f t="shared" si="1519"/>
        <v>3700</v>
      </c>
      <c r="FQ76" s="67">
        <f t="shared" si="1520"/>
        <v>0</v>
      </c>
      <c r="FR76" s="64">
        <f t="shared" si="1521"/>
        <v>3700</v>
      </c>
      <c r="FS76" s="62">
        <v>18000</v>
      </c>
      <c r="FT76" s="63"/>
      <c r="FU76" s="64">
        <f t="shared" si="1522"/>
        <v>18000</v>
      </c>
      <c r="FV76" s="65">
        <v>485.35</v>
      </c>
      <c r="FW76" s="63"/>
      <c r="FX76" s="64">
        <f t="shared" si="1523"/>
        <v>485.35</v>
      </c>
      <c r="FY76" s="65"/>
      <c r="FZ76" s="63"/>
      <c r="GA76" s="64">
        <f t="shared" si="1524"/>
        <v>0</v>
      </c>
      <c r="GB76" s="65"/>
      <c r="GC76" s="63"/>
      <c r="GD76" s="64">
        <f t="shared" si="1525"/>
        <v>0</v>
      </c>
      <c r="GE76" s="66">
        <f t="shared" si="1526"/>
        <v>18485.349999999999</v>
      </c>
      <c r="GF76" s="67">
        <f t="shared" si="1527"/>
        <v>0</v>
      </c>
      <c r="GG76" s="64">
        <f t="shared" si="1528"/>
        <v>18485.349999999999</v>
      </c>
      <c r="GH76" s="62">
        <v>18000</v>
      </c>
      <c r="GI76" s="63"/>
      <c r="GJ76" s="64">
        <f t="shared" si="1529"/>
        <v>18000</v>
      </c>
      <c r="GK76" s="65">
        <v>660.33</v>
      </c>
      <c r="GL76" s="63"/>
      <c r="GM76" s="64">
        <f t="shared" si="1530"/>
        <v>660.33</v>
      </c>
      <c r="GN76" s="65"/>
      <c r="GO76" s="63"/>
      <c r="GP76" s="64">
        <f t="shared" si="1531"/>
        <v>0</v>
      </c>
      <c r="GQ76" s="65"/>
      <c r="GR76" s="63"/>
      <c r="GS76" s="64">
        <f t="shared" si="1532"/>
        <v>0</v>
      </c>
      <c r="GT76" s="66">
        <f t="shared" si="1533"/>
        <v>18660.330000000002</v>
      </c>
      <c r="GU76" s="67">
        <f t="shared" si="1534"/>
        <v>0</v>
      </c>
      <c r="GV76" s="64">
        <f t="shared" si="1535"/>
        <v>18660.330000000002</v>
      </c>
      <c r="GW76" s="62">
        <v>13350</v>
      </c>
      <c r="GX76" s="63"/>
      <c r="GY76" s="64">
        <f t="shared" si="1536"/>
        <v>13350</v>
      </c>
      <c r="GZ76" s="65">
        <v>568.25</v>
      </c>
      <c r="HA76" s="63"/>
      <c r="HB76" s="64">
        <f t="shared" si="1537"/>
        <v>568.25</v>
      </c>
      <c r="HC76" s="65"/>
      <c r="HD76" s="63"/>
      <c r="HE76" s="64">
        <f t="shared" si="1538"/>
        <v>0</v>
      </c>
      <c r="HF76" s="65">
        <v>100</v>
      </c>
      <c r="HG76" s="63"/>
      <c r="HH76" s="64">
        <f t="shared" si="1539"/>
        <v>100</v>
      </c>
      <c r="HI76" s="66">
        <f t="shared" si="1540"/>
        <v>14018.25</v>
      </c>
      <c r="HJ76" s="67">
        <f t="shared" si="1541"/>
        <v>0</v>
      </c>
      <c r="HK76" s="64">
        <f t="shared" si="1542"/>
        <v>14018.25</v>
      </c>
      <c r="HL76" s="62"/>
      <c r="HM76" s="63"/>
      <c r="HN76" s="64">
        <f t="shared" si="1543"/>
        <v>0</v>
      </c>
      <c r="HO76" s="65">
        <v>4400</v>
      </c>
      <c r="HP76" s="63"/>
      <c r="HQ76" s="64">
        <f t="shared" si="1544"/>
        <v>4400</v>
      </c>
      <c r="HR76" s="65"/>
      <c r="HS76" s="63"/>
      <c r="HT76" s="64">
        <f t="shared" si="1545"/>
        <v>0</v>
      </c>
      <c r="HU76" s="65">
        <v>100</v>
      </c>
      <c r="HV76" s="63"/>
      <c r="HW76" s="64">
        <f t="shared" si="1546"/>
        <v>100</v>
      </c>
      <c r="HX76" s="66">
        <f t="shared" si="1547"/>
        <v>4500</v>
      </c>
      <c r="HY76" s="67">
        <f t="shared" si="1548"/>
        <v>0</v>
      </c>
      <c r="HZ76" s="64">
        <f t="shared" si="1549"/>
        <v>4500</v>
      </c>
      <c r="IA76" s="62">
        <v>9864.5</v>
      </c>
      <c r="IB76" s="63"/>
      <c r="IC76" s="64">
        <f t="shared" si="1550"/>
        <v>9864.5</v>
      </c>
      <c r="ID76" s="65"/>
      <c r="IE76" s="63"/>
      <c r="IF76" s="64">
        <f t="shared" si="1551"/>
        <v>0</v>
      </c>
      <c r="IG76" s="65"/>
      <c r="IH76" s="63"/>
      <c r="II76" s="64">
        <f t="shared" si="1552"/>
        <v>0</v>
      </c>
      <c r="IJ76" s="65">
        <v>100</v>
      </c>
      <c r="IK76" s="63"/>
      <c r="IL76" s="64">
        <f t="shared" si="1553"/>
        <v>100</v>
      </c>
      <c r="IM76" s="66">
        <f t="shared" si="1554"/>
        <v>9964.5</v>
      </c>
      <c r="IN76" s="67">
        <f t="shared" si="1555"/>
        <v>0</v>
      </c>
      <c r="IO76" s="64">
        <f t="shared" si="1556"/>
        <v>9964.5</v>
      </c>
      <c r="IP76" s="62">
        <v>5000</v>
      </c>
      <c r="IQ76" s="63"/>
      <c r="IR76" s="64">
        <f t="shared" si="1557"/>
        <v>5000</v>
      </c>
      <c r="IS76" s="65"/>
      <c r="IT76" s="63"/>
      <c r="IU76" s="64">
        <f t="shared" si="1558"/>
        <v>0</v>
      </c>
      <c r="IV76" s="65"/>
      <c r="IW76" s="63"/>
      <c r="IX76" s="64">
        <f t="shared" si="1559"/>
        <v>0</v>
      </c>
      <c r="IY76" s="65"/>
      <c r="IZ76" s="63"/>
      <c r="JA76" s="64">
        <f t="shared" si="1560"/>
        <v>0</v>
      </c>
      <c r="JB76" s="66">
        <f t="shared" si="1561"/>
        <v>5000</v>
      </c>
      <c r="JC76" s="67">
        <f t="shared" si="1562"/>
        <v>0</v>
      </c>
      <c r="JD76" s="64">
        <f t="shared" si="1563"/>
        <v>5000</v>
      </c>
      <c r="JE76" s="72"/>
      <c r="JF76" s="150"/>
      <c r="JG76" s="74"/>
      <c r="JH76" s="75"/>
      <c r="JI76" s="150"/>
      <c r="JJ76" s="74"/>
      <c r="JK76" s="75"/>
      <c r="JL76" s="150"/>
      <c r="JM76" s="74"/>
      <c r="JN76" s="75"/>
      <c r="JO76" s="150"/>
      <c r="JP76" s="74"/>
      <c r="JQ76" s="76"/>
      <c r="JR76" s="77"/>
      <c r="JS76" s="74"/>
      <c r="JT76" s="72"/>
      <c r="JU76" s="73"/>
      <c r="JV76" s="74"/>
      <c r="JW76" s="75"/>
      <c r="JX76" s="73"/>
      <c r="JY76" s="74"/>
      <c r="JZ76" s="75"/>
      <c r="KA76" s="73"/>
      <c r="KB76" s="74"/>
      <c r="KC76" s="75"/>
      <c r="KD76" s="73"/>
      <c r="KE76" s="74"/>
      <c r="KF76" s="76"/>
      <c r="KG76" s="77"/>
      <c r="KH76" s="64">
        <f t="shared" si="1564"/>
        <v>0</v>
      </c>
      <c r="KI76" s="62">
        <v>50000</v>
      </c>
      <c r="KJ76" s="63"/>
      <c r="KK76" s="64">
        <f t="shared" si="1565"/>
        <v>50000</v>
      </c>
      <c r="KL76" s="65"/>
      <c r="KM76" s="63"/>
      <c r="KN76" s="64">
        <f t="shared" si="1566"/>
        <v>0</v>
      </c>
      <c r="KO76" s="65"/>
      <c r="KP76" s="63"/>
      <c r="KQ76" s="64">
        <f t="shared" si="1567"/>
        <v>0</v>
      </c>
      <c r="KR76" s="65"/>
      <c r="KS76" s="63"/>
      <c r="KT76" s="64">
        <f t="shared" si="1568"/>
        <v>0</v>
      </c>
      <c r="KU76" s="66">
        <f t="shared" si="1439"/>
        <v>50000</v>
      </c>
      <c r="KV76" s="67">
        <f t="shared" si="1569"/>
        <v>0</v>
      </c>
      <c r="KW76" s="64">
        <f t="shared" si="1570"/>
        <v>50000</v>
      </c>
      <c r="KX76" s="72"/>
      <c r="KY76" s="73"/>
      <c r="KZ76" s="74"/>
      <c r="LA76" s="75"/>
      <c r="LB76" s="73"/>
      <c r="LC76" s="74"/>
      <c r="LD76" s="75"/>
      <c r="LE76" s="73"/>
      <c r="LF76" s="74"/>
      <c r="LG76" s="75"/>
      <c r="LH76" s="73"/>
      <c r="LI76" s="74"/>
      <c r="LJ76" s="76"/>
      <c r="LK76" s="77"/>
      <c r="LL76" s="74"/>
      <c r="LM76" s="62">
        <v>9300</v>
      </c>
      <c r="LN76" s="63"/>
      <c r="LO76" s="64">
        <f t="shared" si="1571"/>
        <v>9300</v>
      </c>
      <c r="LP76" s="65"/>
      <c r="LQ76" s="63"/>
      <c r="LR76" s="64">
        <f t="shared" si="1572"/>
        <v>0</v>
      </c>
      <c r="LS76" s="65"/>
      <c r="LT76" s="63"/>
      <c r="LU76" s="64">
        <f t="shared" si="1573"/>
        <v>0</v>
      </c>
      <c r="LV76" s="65">
        <v>100</v>
      </c>
      <c r="LW76" s="63"/>
      <c r="LX76" s="64">
        <f t="shared" si="1574"/>
        <v>100</v>
      </c>
      <c r="LY76" s="66">
        <f t="shared" si="1575"/>
        <v>9400</v>
      </c>
      <c r="LZ76" s="67">
        <f t="shared" si="1576"/>
        <v>0</v>
      </c>
      <c r="MA76" s="64">
        <f t="shared" si="1577"/>
        <v>9400</v>
      </c>
      <c r="MB76" s="62">
        <f>6*650</f>
        <v>3900</v>
      </c>
      <c r="MC76" s="63"/>
      <c r="MD76" s="64">
        <f t="shared" si="1578"/>
        <v>3900</v>
      </c>
      <c r="ME76" s="65">
        <v>889.11</v>
      </c>
      <c r="MF76" s="63"/>
      <c r="MG76" s="64">
        <f t="shared" si="1579"/>
        <v>889.11</v>
      </c>
      <c r="MH76" s="65"/>
      <c r="MI76" s="63"/>
      <c r="MJ76" s="64">
        <f t="shared" si="1580"/>
        <v>0</v>
      </c>
      <c r="MK76" s="65">
        <v>100</v>
      </c>
      <c r="ML76" s="63"/>
      <c r="MM76" s="64">
        <f t="shared" si="1581"/>
        <v>100</v>
      </c>
      <c r="MN76" s="66">
        <f t="shared" si="1582"/>
        <v>4889.1099999999997</v>
      </c>
      <c r="MO76" s="67">
        <f t="shared" si="1583"/>
        <v>0</v>
      </c>
      <c r="MP76" s="64">
        <f t="shared" si="1584"/>
        <v>4889.1099999999997</v>
      </c>
      <c r="MQ76" s="62">
        <v>9100</v>
      </c>
      <c r="MR76" s="63"/>
      <c r="MS76" s="64">
        <f t="shared" si="1585"/>
        <v>9100</v>
      </c>
      <c r="MT76" s="65"/>
      <c r="MU76" s="63"/>
      <c r="MV76" s="64">
        <f t="shared" si="1586"/>
        <v>0</v>
      </c>
      <c r="MW76" s="65"/>
      <c r="MX76" s="63"/>
      <c r="MY76" s="64">
        <f t="shared" si="1587"/>
        <v>0</v>
      </c>
      <c r="MZ76" s="65"/>
      <c r="NA76" s="63"/>
      <c r="NB76" s="64">
        <f t="shared" si="1588"/>
        <v>0</v>
      </c>
      <c r="NC76" s="66">
        <f t="shared" si="1589"/>
        <v>9100</v>
      </c>
      <c r="ND76" s="67">
        <f t="shared" si="1590"/>
        <v>0</v>
      </c>
      <c r="NE76" s="64">
        <f t="shared" si="1591"/>
        <v>9100</v>
      </c>
      <c r="NF76" s="62">
        <v>6000</v>
      </c>
      <c r="NG76" s="63"/>
      <c r="NH76" s="64">
        <f t="shared" si="1592"/>
        <v>6000</v>
      </c>
      <c r="NI76" s="65">
        <v>1164.04</v>
      </c>
      <c r="NJ76" s="63"/>
      <c r="NK76" s="64">
        <f t="shared" si="1593"/>
        <v>1164.04</v>
      </c>
      <c r="NL76" s="65"/>
      <c r="NM76" s="63"/>
      <c r="NN76" s="64">
        <f t="shared" si="1594"/>
        <v>0</v>
      </c>
      <c r="NO76" s="65">
        <v>100</v>
      </c>
      <c r="NP76" s="63"/>
      <c r="NQ76" s="64">
        <f t="shared" si="1595"/>
        <v>100</v>
      </c>
      <c r="NR76" s="66">
        <f t="shared" si="1596"/>
        <v>7264.04</v>
      </c>
      <c r="NS76" s="67">
        <f t="shared" si="1597"/>
        <v>0</v>
      </c>
      <c r="NT76" s="64">
        <f t="shared" si="1598"/>
        <v>7264.04</v>
      </c>
      <c r="NU76" s="62">
        <f>6*864</f>
        <v>5184</v>
      </c>
      <c r="NV76" s="63"/>
      <c r="NW76" s="64">
        <f t="shared" si="1599"/>
        <v>5184</v>
      </c>
      <c r="NX76" s="65">
        <v>1152.73</v>
      </c>
      <c r="NY76" s="63"/>
      <c r="NZ76" s="64">
        <f t="shared" si="1600"/>
        <v>1152.73</v>
      </c>
      <c r="OA76" s="65"/>
      <c r="OB76" s="63"/>
      <c r="OC76" s="64">
        <f t="shared" si="1601"/>
        <v>0</v>
      </c>
      <c r="OD76" s="65">
        <v>100</v>
      </c>
      <c r="OE76" s="63"/>
      <c r="OF76" s="64">
        <f t="shared" si="1602"/>
        <v>100</v>
      </c>
      <c r="OG76" s="66">
        <f t="shared" si="1603"/>
        <v>6436.73</v>
      </c>
      <c r="OH76" s="67">
        <f t="shared" si="1604"/>
        <v>0</v>
      </c>
      <c r="OI76" s="64">
        <f t="shared" si="1605"/>
        <v>6436.73</v>
      </c>
      <c r="OJ76" s="62"/>
      <c r="OK76" s="63"/>
      <c r="OL76" s="64">
        <f t="shared" si="1606"/>
        <v>0</v>
      </c>
      <c r="OM76" s="65"/>
      <c r="ON76" s="63"/>
      <c r="OO76" s="64">
        <f t="shared" si="1607"/>
        <v>0</v>
      </c>
      <c r="OP76" s="65"/>
      <c r="OQ76" s="63"/>
      <c r="OR76" s="64">
        <f t="shared" si="1608"/>
        <v>0</v>
      </c>
      <c r="OS76" s="65">
        <v>100</v>
      </c>
      <c r="OT76" s="63"/>
      <c r="OU76" s="64">
        <f t="shared" si="1609"/>
        <v>100</v>
      </c>
      <c r="OV76" s="66">
        <f t="shared" si="1610"/>
        <v>100</v>
      </c>
      <c r="OW76" s="67">
        <f t="shared" si="1611"/>
        <v>0</v>
      </c>
      <c r="OX76" s="64">
        <f t="shared" si="1612"/>
        <v>100</v>
      </c>
      <c r="OY76" s="62">
        <v>15800</v>
      </c>
      <c r="OZ76" s="63"/>
      <c r="PA76" s="64">
        <f t="shared" si="1613"/>
        <v>15800</v>
      </c>
      <c r="PB76" s="65"/>
      <c r="PC76" s="63"/>
      <c r="PD76" s="64">
        <f t="shared" si="1614"/>
        <v>0</v>
      </c>
      <c r="PE76" s="65"/>
      <c r="PF76" s="63"/>
      <c r="PG76" s="64">
        <f t="shared" si="1615"/>
        <v>0</v>
      </c>
      <c r="PH76" s="65">
        <v>100</v>
      </c>
      <c r="PI76" s="63"/>
      <c r="PJ76" s="64">
        <f t="shared" si="1616"/>
        <v>100</v>
      </c>
      <c r="PK76" s="66">
        <f t="shared" si="1617"/>
        <v>15900</v>
      </c>
      <c r="PL76" s="67">
        <f t="shared" si="1618"/>
        <v>0</v>
      </c>
      <c r="PM76" s="64">
        <f t="shared" si="1619"/>
        <v>15900</v>
      </c>
      <c r="PN76" s="62">
        <v>1550</v>
      </c>
      <c r="PO76" s="63"/>
      <c r="PP76" s="64">
        <f t="shared" si="1620"/>
        <v>1550</v>
      </c>
      <c r="PQ76" s="65"/>
      <c r="PR76" s="63"/>
      <c r="PS76" s="64">
        <f t="shared" si="1621"/>
        <v>0</v>
      </c>
      <c r="PT76" s="65"/>
      <c r="PU76" s="63"/>
      <c r="PV76" s="64">
        <f t="shared" si="1622"/>
        <v>0</v>
      </c>
      <c r="PW76" s="65">
        <v>100</v>
      </c>
      <c r="PX76" s="63"/>
      <c r="PY76" s="64">
        <f t="shared" si="1623"/>
        <v>100</v>
      </c>
      <c r="PZ76" s="66">
        <f t="shared" si="1624"/>
        <v>1650</v>
      </c>
      <c r="QA76" s="67">
        <f t="shared" si="1625"/>
        <v>0</v>
      </c>
      <c r="QB76" s="64">
        <f t="shared" si="1626"/>
        <v>1650</v>
      </c>
      <c r="QC76" s="62">
        <v>9000</v>
      </c>
      <c r="QD76" s="63"/>
      <c r="QE76" s="64">
        <f t="shared" si="1627"/>
        <v>9000</v>
      </c>
      <c r="QF76" s="65"/>
      <c r="QG76" s="63"/>
      <c r="QH76" s="64">
        <f t="shared" si="1628"/>
        <v>0</v>
      </c>
      <c r="QI76" s="65"/>
      <c r="QJ76" s="63"/>
      <c r="QK76" s="64">
        <f t="shared" si="1629"/>
        <v>0</v>
      </c>
      <c r="QL76" s="65">
        <v>100</v>
      </c>
      <c r="QM76" s="63"/>
      <c r="QN76" s="64">
        <f t="shared" si="1630"/>
        <v>100</v>
      </c>
      <c r="QO76" s="66">
        <f t="shared" si="1631"/>
        <v>9100</v>
      </c>
      <c r="QP76" s="67">
        <f t="shared" si="1632"/>
        <v>0</v>
      </c>
      <c r="QQ76" s="64">
        <f t="shared" si="1633"/>
        <v>9100</v>
      </c>
      <c r="QR76" s="74"/>
      <c r="QS76" s="74"/>
      <c r="QT76" s="72"/>
      <c r="QU76" s="73"/>
      <c r="QV76" s="74"/>
      <c r="QW76" s="75"/>
      <c r="QX76" s="73"/>
      <c r="QY76" s="74"/>
      <c r="QZ76" s="75"/>
      <c r="RA76" s="73"/>
      <c r="RB76" s="74"/>
      <c r="RC76" s="75"/>
      <c r="RD76" s="73"/>
      <c r="RE76" s="74"/>
      <c r="RF76" s="74"/>
      <c r="RG76" s="72"/>
      <c r="RH76" s="73"/>
      <c r="RI76" s="74"/>
      <c r="RJ76" s="75"/>
      <c r="RK76" s="73"/>
      <c r="RL76" s="74"/>
      <c r="RM76" s="75"/>
      <c r="RN76" s="73"/>
      <c r="RO76" s="74"/>
      <c r="RP76" s="75"/>
      <c r="RQ76" s="73"/>
      <c r="RR76" s="74"/>
      <c r="RS76" s="76"/>
      <c r="RT76" s="77"/>
      <c r="RU76" s="74"/>
      <c r="RV76" s="74"/>
      <c r="RW76" s="72"/>
      <c r="RX76" s="73"/>
      <c r="RY76" s="74"/>
      <c r="RZ76" s="75"/>
      <c r="SA76" s="73"/>
      <c r="SB76" s="74"/>
      <c r="SC76" s="75"/>
      <c r="SD76" s="73"/>
      <c r="SE76" s="74"/>
      <c r="SF76" s="75"/>
      <c r="SG76" s="73"/>
      <c r="SH76" s="74"/>
      <c r="SI76" s="76"/>
      <c r="SJ76" s="64">
        <f t="shared" si="1634"/>
        <v>0</v>
      </c>
      <c r="SK76" s="62"/>
      <c r="SL76" s="63"/>
      <c r="SM76" s="64">
        <f t="shared" si="1635"/>
        <v>0</v>
      </c>
      <c r="SN76" s="65"/>
      <c r="SO76" s="63"/>
      <c r="SP76" s="64">
        <f t="shared" si="1636"/>
        <v>0</v>
      </c>
      <c r="SQ76" s="65"/>
      <c r="SR76" s="63"/>
      <c r="SS76" s="64">
        <f t="shared" si="1637"/>
        <v>0</v>
      </c>
      <c r="ST76" s="65">
        <v>100</v>
      </c>
      <c r="SU76" s="63"/>
      <c r="SV76" s="64">
        <f t="shared" si="1638"/>
        <v>100</v>
      </c>
      <c r="SW76" s="66">
        <f t="shared" si="1639"/>
        <v>100</v>
      </c>
      <c r="SX76" s="67">
        <f t="shared" si="1640"/>
        <v>0</v>
      </c>
      <c r="SY76" s="64">
        <f t="shared" si="1641"/>
        <v>100</v>
      </c>
      <c r="SZ76" s="62">
        <v>985.33</v>
      </c>
      <c r="TA76" s="63"/>
      <c r="TB76" s="64">
        <f t="shared" si="1642"/>
        <v>985.33</v>
      </c>
      <c r="TC76" s="65">
        <v>700.9</v>
      </c>
      <c r="TD76" s="63"/>
      <c r="TE76" s="64">
        <f t="shared" si="1643"/>
        <v>700.9</v>
      </c>
      <c r="TF76" s="65"/>
      <c r="TG76" s="63"/>
      <c r="TH76" s="64">
        <f t="shared" si="1644"/>
        <v>0</v>
      </c>
      <c r="TI76" s="65">
        <v>100</v>
      </c>
      <c r="TJ76" s="63"/>
      <c r="TK76" s="64">
        <f t="shared" si="1645"/>
        <v>100</v>
      </c>
      <c r="TL76" s="66">
        <f t="shared" si="1646"/>
        <v>1786.23</v>
      </c>
      <c r="TM76" s="67">
        <f t="shared" si="1647"/>
        <v>0</v>
      </c>
      <c r="TN76" s="64">
        <f t="shared" si="1648"/>
        <v>1786.23</v>
      </c>
      <c r="TO76" s="62"/>
      <c r="TP76" s="63"/>
      <c r="TQ76" s="64">
        <f t="shared" si="1649"/>
        <v>0</v>
      </c>
      <c r="TR76" s="65"/>
      <c r="TS76" s="63"/>
      <c r="TT76" s="64">
        <f t="shared" si="1650"/>
        <v>0</v>
      </c>
      <c r="TU76" s="65"/>
      <c r="TV76" s="63"/>
      <c r="TW76" s="64">
        <f t="shared" si="1651"/>
        <v>0</v>
      </c>
      <c r="TX76" s="65">
        <v>100</v>
      </c>
      <c r="TY76" s="63"/>
      <c r="TZ76" s="64">
        <f t="shared" si="1652"/>
        <v>100</v>
      </c>
      <c r="UA76" s="66">
        <f t="shared" si="1653"/>
        <v>100</v>
      </c>
      <c r="UB76" s="67">
        <f t="shared" si="1654"/>
        <v>0</v>
      </c>
      <c r="UC76" s="64">
        <f t="shared" si="1655"/>
        <v>100</v>
      </c>
      <c r="UD76" s="62">
        <v>6750</v>
      </c>
      <c r="UE76" s="63"/>
      <c r="UF76" s="64">
        <f t="shared" si="1656"/>
        <v>6750</v>
      </c>
      <c r="UG76" s="65">
        <v>497.04</v>
      </c>
      <c r="UH76" s="63"/>
      <c r="UI76" s="64">
        <f t="shared" si="1657"/>
        <v>497.04</v>
      </c>
      <c r="UJ76" s="65"/>
      <c r="UK76" s="63"/>
      <c r="UL76" s="64">
        <f t="shared" si="1658"/>
        <v>0</v>
      </c>
      <c r="UM76" s="65">
        <v>100</v>
      </c>
      <c r="UN76" s="63"/>
      <c r="UO76" s="64">
        <f t="shared" si="1659"/>
        <v>100</v>
      </c>
      <c r="UP76" s="66">
        <f t="shared" si="1660"/>
        <v>7347.04</v>
      </c>
      <c r="UQ76" s="67">
        <f t="shared" si="1661"/>
        <v>0</v>
      </c>
      <c r="UR76" s="64">
        <f t="shared" si="1662"/>
        <v>7347.04</v>
      </c>
      <c r="US76" s="74"/>
      <c r="UT76" s="72"/>
      <c r="UU76" s="73"/>
      <c r="UV76" s="74"/>
      <c r="UW76" s="75"/>
      <c r="UX76" s="73"/>
      <c r="UY76" s="74"/>
      <c r="UZ76" s="75"/>
      <c r="VA76" s="73"/>
      <c r="VB76" s="74"/>
      <c r="VC76" s="75"/>
      <c r="VD76" s="73"/>
      <c r="VE76" s="74"/>
      <c r="VF76" s="76"/>
      <c r="VG76" s="77"/>
      <c r="VH76" s="62"/>
      <c r="VI76" s="63"/>
      <c r="VJ76" s="64">
        <f t="shared" si="1663"/>
        <v>0</v>
      </c>
      <c r="VK76" s="65"/>
      <c r="VL76" s="63"/>
      <c r="VM76" s="64">
        <f t="shared" si="1664"/>
        <v>0</v>
      </c>
      <c r="VN76" s="65"/>
      <c r="VO76" s="63"/>
      <c r="VP76" s="64">
        <f t="shared" si="1665"/>
        <v>0</v>
      </c>
      <c r="VQ76" s="65">
        <v>100</v>
      </c>
      <c r="VR76" s="63"/>
      <c r="VS76" s="64">
        <f t="shared" si="1666"/>
        <v>100</v>
      </c>
      <c r="VT76" s="66">
        <f t="shared" si="1667"/>
        <v>100</v>
      </c>
      <c r="VU76" s="67">
        <f t="shared" si="1668"/>
        <v>0</v>
      </c>
      <c r="VV76" s="64">
        <f t="shared" si="1669"/>
        <v>100</v>
      </c>
      <c r="VW76" s="74"/>
      <c r="VX76" s="72"/>
      <c r="VY76" s="73"/>
      <c r="VZ76" s="74"/>
      <c r="WA76" s="75"/>
      <c r="WB76" s="73"/>
      <c r="WC76" s="74"/>
      <c r="WD76" s="75"/>
      <c r="WE76" s="73"/>
      <c r="WF76" s="74"/>
      <c r="WG76" s="75"/>
      <c r="WH76" s="73"/>
      <c r="WI76" s="74"/>
      <c r="WJ76" s="76"/>
      <c r="WK76" s="77"/>
      <c r="WL76" s="74"/>
      <c r="WM76" s="72"/>
      <c r="WN76" s="73"/>
      <c r="WO76" s="74"/>
      <c r="WP76" s="75"/>
      <c r="WQ76" s="73"/>
      <c r="WR76" s="74"/>
      <c r="WS76" s="75"/>
      <c r="WT76" s="73"/>
      <c r="WU76" s="74"/>
      <c r="WV76" s="75"/>
      <c r="WW76" s="73"/>
      <c r="WX76" s="74"/>
      <c r="WY76" s="76"/>
      <c r="WZ76" s="77"/>
      <c r="XA76" s="74"/>
      <c r="XB76" s="72"/>
      <c r="XC76" s="73"/>
      <c r="XD76" s="74"/>
      <c r="XE76" s="75"/>
      <c r="XF76" s="73"/>
      <c r="XG76" s="74"/>
      <c r="XH76" s="75"/>
      <c r="XI76" s="73"/>
      <c r="XJ76" s="74"/>
      <c r="XK76" s="75"/>
      <c r="XL76" s="73"/>
      <c r="XM76" s="74"/>
      <c r="XN76" s="76"/>
      <c r="XO76" s="77"/>
      <c r="XP76" s="62">
        <v>5202</v>
      </c>
      <c r="XQ76" s="63"/>
      <c r="XR76" s="64">
        <f t="shared" si="1670"/>
        <v>5202</v>
      </c>
      <c r="XS76" s="65">
        <v>844.24</v>
      </c>
      <c r="XT76" s="63"/>
      <c r="XU76" s="64">
        <f t="shared" si="1671"/>
        <v>844.24</v>
      </c>
      <c r="XV76" s="65"/>
      <c r="XW76" s="63"/>
      <c r="XX76" s="64">
        <f t="shared" si="1672"/>
        <v>0</v>
      </c>
      <c r="XY76" s="65">
        <v>100</v>
      </c>
      <c r="XZ76" s="63"/>
      <c r="YA76" s="64">
        <f t="shared" si="1673"/>
        <v>100</v>
      </c>
      <c r="YB76" s="66">
        <f t="shared" si="1674"/>
        <v>6146.24</v>
      </c>
      <c r="YC76" s="67">
        <f t="shared" si="1675"/>
        <v>0</v>
      </c>
      <c r="YD76" s="64">
        <f t="shared" si="1676"/>
        <v>6146.24</v>
      </c>
      <c r="YE76" s="62">
        <v>5340</v>
      </c>
      <c r="YF76" s="63"/>
      <c r="YG76" s="64">
        <f t="shared" si="1677"/>
        <v>5340</v>
      </c>
      <c r="YH76" s="65">
        <v>847.85</v>
      </c>
      <c r="YI76" s="63"/>
      <c r="YJ76" s="64">
        <f t="shared" si="1678"/>
        <v>847.85</v>
      </c>
      <c r="YK76" s="65"/>
      <c r="YL76" s="63"/>
      <c r="YM76" s="64">
        <f t="shared" si="1679"/>
        <v>0</v>
      </c>
      <c r="YN76" s="65">
        <v>100</v>
      </c>
      <c r="YO76" s="63"/>
      <c r="YP76" s="64">
        <f t="shared" si="1680"/>
        <v>100</v>
      </c>
      <c r="YQ76" s="66">
        <f t="shared" si="1681"/>
        <v>6287.85</v>
      </c>
      <c r="YR76" s="67">
        <f t="shared" si="1682"/>
        <v>0</v>
      </c>
      <c r="YS76" s="64">
        <f t="shared" si="1683"/>
        <v>6287.85</v>
      </c>
      <c r="YT76" s="62">
        <v>5592</v>
      </c>
      <c r="YU76" s="63"/>
      <c r="YV76" s="64">
        <f t="shared" si="1684"/>
        <v>5592</v>
      </c>
      <c r="YW76" s="65">
        <v>695.73</v>
      </c>
      <c r="YX76" s="63"/>
      <c r="YY76" s="64">
        <f t="shared" si="1685"/>
        <v>695.73</v>
      </c>
      <c r="YZ76" s="65"/>
      <c r="ZA76" s="63"/>
      <c r="ZB76" s="64">
        <f t="shared" si="1686"/>
        <v>0</v>
      </c>
      <c r="ZC76" s="65">
        <v>100</v>
      </c>
      <c r="ZD76" s="63"/>
      <c r="ZE76" s="64">
        <f t="shared" si="1687"/>
        <v>100</v>
      </c>
      <c r="ZF76" s="66">
        <f t="shared" si="1688"/>
        <v>6387.73</v>
      </c>
      <c r="ZG76" s="67">
        <f t="shared" si="1689"/>
        <v>0</v>
      </c>
      <c r="ZH76" s="74"/>
      <c r="ZI76" s="72"/>
      <c r="ZJ76" s="73"/>
      <c r="ZK76" s="74"/>
      <c r="ZL76" s="75"/>
      <c r="ZM76" s="73"/>
      <c r="ZN76" s="74"/>
      <c r="ZO76" s="75"/>
      <c r="ZP76" s="73"/>
      <c r="ZQ76" s="74"/>
      <c r="ZR76" s="75"/>
      <c r="ZS76" s="73"/>
      <c r="ZT76" s="74"/>
      <c r="ZU76" s="76"/>
      <c r="ZV76" s="77"/>
      <c r="ZW76" s="64">
        <f t="shared" si="1690"/>
        <v>0</v>
      </c>
      <c r="ZX76" s="62">
        <v>24.71</v>
      </c>
      <c r="ZY76" s="63"/>
      <c r="ZZ76" s="64">
        <f t="shared" si="1691"/>
        <v>24.71</v>
      </c>
      <c r="AAA76" s="66">
        <f t="shared" si="1692"/>
        <v>24.71</v>
      </c>
      <c r="AAB76" s="67">
        <f t="shared" si="1692"/>
        <v>0</v>
      </c>
      <c r="AAC76" s="64">
        <f t="shared" si="1693"/>
        <v>24.71</v>
      </c>
      <c r="AAD76" s="85">
        <f t="shared" si="1694"/>
        <v>442449.255</v>
      </c>
      <c r="AAE76" s="86">
        <f t="shared" si="1694"/>
        <v>0</v>
      </c>
      <c r="AAF76" s="87">
        <f t="shared" si="1457"/>
        <v>0</v>
      </c>
      <c r="AAG76" s="88">
        <f t="shared" si="1695"/>
        <v>-442449.255</v>
      </c>
      <c r="AAH76" s="89">
        <f>W82+AL82+BA82+BP82+CE82+CT82+DI82+DX82+EM82+FB82+FQ82+GF82+GU82+HJ82+HY82+IN82+JC82+JR82+KG82+KV82+LZ82+MO82+ND82+NS82+OH82+OW82+PL82+QA82+QP82+RE82+RT82+SI82+TM82+UB82+UQ82+VF82+VU82+WJ82+WY82+XN82+YC82+YR82+ZG82+ZV82+AAB82</f>
        <v>0</v>
      </c>
      <c r="AAI76" s="92"/>
      <c r="AAJ76" s="92"/>
      <c r="AAK76" s="60"/>
    </row>
    <row r="77" spans="1:713" s="83" customFormat="1" ht="20" customHeight="1" x14ac:dyDescent="0.2">
      <c r="A77" s="153"/>
      <c r="B77" s="93"/>
      <c r="C77" s="90"/>
      <c r="D77" s="90"/>
      <c r="E77" s="60"/>
      <c r="F77" s="61">
        <v>46600</v>
      </c>
      <c r="G77" s="62">
        <f>371675.99/2</f>
        <v>185837.995</v>
      </c>
      <c r="H77" s="63"/>
      <c r="I77" s="64">
        <f t="shared" si="1458"/>
        <v>185837.995</v>
      </c>
      <c r="J77" s="65">
        <v>2157.52</v>
      </c>
      <c r="K77" s="63"/>
      <c r="L77" s="64">
        <f t="shared" si="1459"/>
        <v>2157.52</v>
      </c>
      <c r="M77" s="65">
        <v>2500</v>
      </c>
      <c r="N77" s="63"/>
      <c r="O77" s="64">
        <f t="shared" si="1460"/>
        <v>2500</v>
      </c>
      <c r="P77" s="65">
        <v>1500</v>
      </c>
      <c r="Q77" s="63"/>
      <c r="R77" s="64">
        <f t="shared" si="1461"/>
        <v>1500</v>
      </c>
      <c r="S77" s="65">
        <v>362</v>
      </c>
      <c r="T77" s="63"/>
      <c r="U77" s="64">
        <f t="shared" si="1462"/>
        <v>362</v>
      </c>
      <c r="V77" s="66">
        <f t="shared" si="1463"/>
        <v>192357.51499999998</v>
      </c>
      <c r="W77" s="67">
        <f t="shared" si="1463"/>
        <v>0</v>
      </c>
      <c r="X77" s="64">
        <f t="shared" si="1464"/>
        <v>192357.51499999998</v>
      </c>
      <c r="Y77" s="72"/>
      <c r="Z77" s="73"/>
      <c r="AA77" s="74"/>
      <c r="AB77" s="75"/>
      <c r="AC77" s="73"/>
      <c r="AD77" s="74"/>
      <c r="AE77" s="75"/>
      <c r="AF77" s="73"/>
      <c r="AG77" s="74"/>
      <c r="AH77" s="75"/>
      <c r="AI77" s="73"/>
      <c r="AJ77" s="74"/>
      <c r="AK77" s="76"/>
      <c r="AL77" s="77"/>
      <c r="AM77" s="64">
        <f t="shared" si="1465"/>
        <v>0</v>
      </c>
      <c r="AN77" s="62">
        <v>6250</v>
      </c>
      <c r="AO77" s="63"/>
      <c r="AP77" s="64">
        <f t="shared" si="1696"/>
        <v>6250</v>
      </c>
      <c r="AQ77" s="65"/>
      <c r="AR77" s="63"/>
      <c r="AS77" s="64">
        <f t="shared" si="1466"/>
        <v>0</v>
      </c>
      <c r="AT77" s="65">
        <v>2745.49</v>
      </c>
      <c r="AU77" s="63"/>
      <c r="AV77" s="64">
        <f t="shared" si="1467"/>
        <v>2745.49</v>
      </c>
      <c r="AW77" s="65"/>
      <c r="AX77" s="63"/>
      <c r="AY77" s="64">
        <f t="shared" si="1468"/>
        <v>0</v>
      </c>
      <c r="AZ77" s="66">
        <f t="shared" si="1469"/>
        <v>8995.49</v>
      </c>
      <c r="BA77" s="67">
        <f t="shared" si="1470"/>
        <v>0</v>
      </c>
      <c r="BB77" s="64">
        <f t="shared" si="1471"/>
        <v>8995.49</v>
      </c>
      <c r="BC77" s="62">
        <v>6150</v>
      </c>
      <c r="BD77" s="63"/>
      <c r="BE77" s="64">
        <f t="shared" si="1472"/>
        <v>6150</v>
      </c>
      <c r="BF77" s="65"/>
      <c r="BG77" s="63"/>
      <c r="BH77" s="64">
        <f t="shared" si="1473"/>
        <v>0</v>
      </c>
      <c r="BI77" s="65"/>
      <c r="BJ77" s="63"/>
      <c r="BK77" s="64">
        <f t="shared" si="1474"/>
        <v>0</v>
      </c>
      <c r="BL77" s="65">
        <v>100</v>
      </c>
      <c r="BM77" s="63"/>
      <c r="BN77" s="64">
        <f t="shared" si="1475"/>
        <v>100</v>
      </c>
      <c r="BO77" s="66">
        <f t="shared" si="1476"/>
        <v>6250</v>
      </c>
      <c r="BP77" s="67">
        <f t="shared" si="1477"/>
        <v>0</v>
      </c>
      <c r="BQ77" s="64">
        <f t="shared" si="1478"/>
        <v>6250</v>
      </c>
      <c r="BR77" s="72"/>
      <c r="BS77" s="73"/>
      <c r="BT77" s="74"/>
      <c r="BU77" s="75"/>
      <c r="BV77" s="73"/>
      <c r="BW77" s="74"/>
      <c r="BX77" s="75"/>
      <c r="BY77" s="73"/>
      <c r="BZ77" s="74"/>
      <c r="CA77" s="75"/>
      <c r="CB77" s="73"/>
      <c r="CC77" s="74"/>
      <c r="CD77" s="76"/>
      <c r="CE77" s="77"/>
      <c r="CF77" s="64">
        <f t="shared" si="1479"/>
        <v>0</v>
      </c>
      <c r="CG77" s="62">
        <v>5000</v>
      </c>
      <c r="CH77" s="63"/>
      <c r="CI77" s="64">
        <f t="shared" si="1480"/>
        <v>5000</v>
      </c>
      <c r="CJ77" s="65"/>
      <c r="CK77" s="63"/>
      <c r="CL77" s="64">
        <f t="shared" si="1481"/>
        <v>0</v>
      </c>
      <c r="CM77" s="65">
        <f>2739.5</f>
        <v>2739.5</v>
      </c>
      <c r="CN77" s="63"/>
      <c r="CO77" s="64">
        <f t="shared" si="1482"/>
        <v>2739.5</v>
      </c>
      <c r="CP77" s="65"/>
      <c r="CQ77" s="63"/>
      <c r="CR77" s="64">
        <f t="shared" si="1483"/>
        <v>0</v>
      </c>
      <c r="CS77" s="66">
        <f t="shared" si="1484"/>
        <v>7739.5</v>
      </c>
      <c r="CT77" s="67">
        <f t="shared" si="1485"/>
        <v>0</v>
      </c>
      <c r="CU77" s="64">
        <f t="shared" si="1486"/>
        <v>7739.5</v>
      </c>
      <c r="CV77" s="62">
        <v>2916.7</v>
      </c>
      <c r="CW77" s="63"/>
      <c r="CX77" s="64">
        <f t="shared" si="1487"/>
        <v>2916.7</v>
      </c>
      <c r="CY77" s="65">
        <v>429.15</v>
      </c>
      <c r="CZ77" s="63"/>
      <c r="DA77" s="64">
        <f t="shared" si="1488"/>
        <v>429.15</v>
      </c>
      <c r="DB77" s="65"/>
      <c r="DC77" s="63"/>
      <c r="DD77" s="64">
        <f t="shared" si="1489"/>
        <v>0</v>
      </c>
      <c r="DE77" s="65"/>
      <c r="DF77" s="63"/>
      <c r="DG77" s="64">
        <f t="shared" si="1490"/>
        <v>0</v>
      </c>
      <c r="DH77" s="66">
        <f t="shared" si="1491"/>
        <v>3345.85</v>
      </c>
      <c r="DI77" s="67">
        <f t="shared" si="1492"/>
        <v>0</v>
      </c>
      <c r="DJ77" s="64">
        <f t="shared" si="1493"/>
        <v>3345.85</v>
      </c>
      <c r="DK77" s="62">
        <v>2400</v>
      </c>
      <c r="DL77" s="63"/>
      <c r="DM77" s="64">
        <f t="shared" si="1494"/>
        <v>2400</v>
      </c>
      <c r="DN77" s="65">
        <v>913.08</v>
      </c>
      <c r="DO77" s="63"/>
      <c r="DP77" s="64">
        <f t="shared" si="1495"/>
        <v>913.08</v>
      </c>
      <c r="DQ77" s="65"/>
      <c r="DR77" s="63"/>
      <c r="DS77" s="64">
        <f t="shared" si="1496"/>
        <v>0</v>
      </c>
      <c r="DT77" s="65">
        <v>100</v>
      </c>
      <c r="DU77" s="63"/>
      <c r="DV77" s="64">
        <f t="shared" si="1497"/>
        <v>100</v>
      </c>
      <c r="DW77" s="66">
        <f t="shared" si="1498"/>
        <v>3413.08</v>
      </c>
      <c r="DX77" s="67">
        <f t="shared" si="1499"/>
        <v>0</v>
      </c>
      <c r="DY77" s="64">
        <f t="shared" si="1500"/>
        <v>3413.08</v>
      </c>
      <c r="DZ77" s="62">
        <v>12000</v>
      </c>
      <c r="EA77" s="63"/>
      <c r="EB77" s="64">
        <f t="shared" si="1501"/>
        <v>12000</v>
      </c>
      <c r="EC77" s="65"/>
      <c r="ED77" s="63"/>
      <c r="EE77" s="64">
        <f t="shared" si="1502"/>
        <v>0</v>
      </c>
      <c r="EF77" s="65"/>
      <c r="EG77" s="63"/>
      <c r="EH77" s="64">
        <f t="shared" si="1503"/>
        <v>0</v>
      </c>
      <c r="EI77" s="65">
        <v>100</v>
      </c>
      <c r="EJ77" s="63"/>
      <c r="EK77" s="64">
        <f t="shared" si="1504"/>
        <v>100</v>
      </c>
      <c r="EL77" s="66">
        <f t="shared" si="1505"/>
        <v>12100</v>
      </c>
      <c r="EM77" s="67">
        <f t="shared" si="1506"/>
        <v>0</v>
      </c>
      <c r="EN77" s="64">
        <f t="shared" si="1507"/>
        <v>12100</v>
      </c>
      <c r="EO77" s="62">
        <v>6150</v>
      </c>
      <c r="EP77" s="63"/>
      <c r="EQ77" s="64">
        <f t="shared" si="1508"/>
        <v>6150</v>
      </c>
      <c r="ER77" s="65"/>
      <c r="ES77" s="63"/>
      <c r="ET77" s="64">
        <f t="shared" si="1509"/>
        <v>0</v>
      </c>
      <c r="EU77" s="65"/>
      <c r="EV77" s="63"/>
      <c r="EW77" s="64">
        <f t="shared" si="1510"/>
        <v>0</v>
      </c>
      <c r="EX77" s="65">
        <v>100</v>
      </c>
      <c r="EY77" s="63"/>
      <c r="EZ77" s="64">
        <f t="shared" si="1511"/>
        <v>100</v>
      </c>
      <c r="FA77" s="66">
        <f t="shared" si="1512"/>
        <v>6250</v>
      </c>
      <c r="FB77" s="67">
        <f t="shared" si="1513"/>
        <v>0</v>
      </c>
      <c r="FC77" s="64">
        <f t="shared" si="1514"/>
        <v>6250</v>
      </c>
      <c r="FD77" s="62">
        <v>6150</v>
      </c>
      <c r="FE77" s="63"/>
      <c r="FF77" s="64">
        <f t="shared" si="1515"/>
        <v>6150</v>
      </c>
      <c r="FG77" s="65"/>
      <c r="FH77" s="63"/>
      <c r="FI77" s="64">
        <f t="shared" si="1516"/>
        <v>0</v>
      </c>
      <c r="FJ77" s="65"/>
      <c r="FK77" s="63"/>
      <c r="FL77" s="64">
        <f t="shared" si="1517"/>
        <v>0</v>
      </c>
      <c r="FM77" s="65">
        <v>100</v>
      </c>
      <c r="FN77" s="63"/>
      <c r="FO77" s="64">
        <f t="shared" si="1518"/>
        <v>100</v>
      </c>
      <c r="FP77" s="66">
        <f t="shared" si="1519"/>
        <v>6250</v>
      </c>
      <c r="FQ77" s="67">
        <f t="shared" si="1520"/>
        <v>0</v>
      </c>
      <c r="FR77" s="64">
        <f t="shared" si="1521"/>
        <v>6250</v>
      </c>
      <c r="FS77" s="62"/>
      <c r="FT77" s="63"/>
      <c r="FU77" s="64">
        <f t="shared" si="1522"/>
        <v>0</v>
      </c>
      <c r="FV77" s="65">
        <v>485.35</v>
      </c>
      <c r="FW77" s="63"/>
      <c r="FX77" s="64">
        <f t="shared" si="1523"/>
        <v>485.35</v>
      </c>
      <c r="FY77" s="65"/>
      <c r="FZ77" s="63"/>
      <c r="GA77" s="64">
        <f t="shared" si="1524"/>
        <v>0</v>
      </c>
      <c r="GB77" s="65"/>
      <c r="GC77" s="63"/>
      <c r="GD77" s="64">
        <f t="shared" si="1525"/>
        <v>0</v>
      </c>
      <c r="GE77" s="66">
        <f t="shared" si="1526"/>
        <v>485.35</v>
      </c>
      <c r="GF77" s="67">
        <f t="shared" si="1527"/>
        <v>0</v>
      </c>
      <c r="GG77" s="64">
        <f t="shared" si="1528"/>
        <v>485.35</v>
      </c>
      <c r="GH77" s="62"/>
      <c r="GI77" s="63"/>
      <c r="GJ77" s="64">
        <f t="shared" si="1529"/>
        <v>0</v>
      </c>
      <c r="GK77" s="65">
        <v>660.33</v>
      </c>
      <c r="GL77" s="63"/>
      <c r="GM77" s="64">
        <f t="shared" si="1530"/>
        <v>660.33</v>
      </c>
      <c r="GN77" s="65"/>
      <c r="GO77" s="63"/>
      <c r="GP77" s="64">
        <f t="shared" si="1531"/>
        <v>0</v>
      </c>
      <c r="GQ77" s="65"/>
      <c r="GR77" s="63"/>
      <c r="GS77" s="64">
        <f t="shared" si="1532"/>
        <v>0</v>
      </c>
      <c r="GT77" s="66">
        <f t="shared" si="1533"/>
        <v>660.33</v>
      </c>
      <c r="GU77" s="67">
        <f t="shared" si="1534"/>
        <v>0</v>
      </c>
      <c r="GV77" s="64">
        <f t="shared" si="1535"/>
        <v>660.33</v>
      </c>
      <c r="GW77" s="62">
        <v>13350</v>
      </c>
      <c r="GX77" s="63"/>
      <c r="GY77" s="64">
        <f t="shared" si="1536"/>
        <v>13350</v>
      </c>
      <c r="GZ77" s="65">
        <v>568.25</v>
      </c>
      <c r="HA77" s="63"/>
      <c r="HB77" s="64">
        <f t="shared" si="1537"/>
        <v>568.25</v>
      </c>
      <c r="HC77" s="65"/>
      <c r="HD77" s="63"/>
      <c r="HE77" s="64">
        <f t="shared" si="1538"/>
        <v>0</v>
      </c>
      <c r="HF77" s="65">
        <v>100</v>
      </c>
      <c r="HG77" s="63"/>
      <c r="HH77" s="64">
        <f t="shared" si="1539"/>
        <v>100</v>
      </c>
      <c r="HI77" s="66">
        <f t="shared" si="1540"/>
        <v>14018.25</v>
      </c>
      <c r="HJ77" s="67">
        <f t="shared" si="1541"/>
        <v>0</v>
      </c>
      <c r="HK77" s="64">
        <f t="shared" si="1542"/>
        <v>14018.25</v>
      </c>
      <c r="HL77" s="62">
        <v>6150</v>
      </c>
      <c r="HM77" s="63"/>
      <c r="HN77" s="64">
        <f t="shared" si="1543"/>
        <v>6150</v>
      </c>
      <c r="HO77" s="65"/>
      <c r="HP77" s="63"/>
      <c r="HQ77" s="64">
        <f t="shared" si="1544"/>
        <v>0</v>
      </c>
      <c r="HR77" s="65"/>
      <c r="HS77" s="63"/>
      <c r="HT77" s="64">
        <f t="shared" si="1545"/>
        <v>0</v>
      </c>
      <c r="HU77" s="65">
        <v>100</v>
      </c>
      <c r="HV77" s="63"/>
      <c r="HW77" s="64">
        <f t="shared" si="1546"/>
        <v>100</v>
      </c>
      <c r="HX77" s="66">
        <f t="shared" si="1547"/>
        <v>6250</v>
      </c>
      <c r="HY77" s="67">
        <f t="shared" si="1548"/>
        <v>0</v>
      </c>
      <c r="HZ77" s="64">
        <f t="shared" si="1549"/>
        <v>6250</v>
      </c>
      <c r="IA77" s="62">
        <f>9864.5</f>
        <v>9864.5</v>
      </c>
      <c r="IB77" s="63"/>
      <c r="IC77" s="64">
        <f t="shared" si="1550"/>
        <v>9864.5</v>
      </c>
      <c r="ID77" s="65"/>
      <c r="IE77" s="63"/>
      <c r="IF77" s="64">
        <f t="shared" si="1551"/>
        <v>0</v>
      </c>
      <c r="IG77" s="65"/>
      <c r="IH77" s="63"/>
      <c r="II77" s="64">
        <f t="shared" si="1552"/>
        <v>0</v>
      </c>
      <c r="IJ77" s="65">
        <v>100</v>
      </c>
      <c r="IK77" s="63"/>
      <c r="IL77" s="64">
        <f t="shared" si="1553"/>
        <v>100</v>
      </c>
      <c r="IM77" s="66">
        <f t="shared" si="1554"/>
        <v>9964.5</v>
      </c>
      <c r="IN77" s="67">
        <f t="shared" si="1555"/>
        <v>0</v>
      </c>
      <c r="IO77" s="64">
        <f t="shared" si="1556"/>
        <v>9964.5</v>
      </c>
      <c r="IP77" s="62">
        <v>5000</v>
      </c>
      <c r="IQ77" s="63"/>
      <c r="IR77" s="64">
        <f t="shared" si="1557"/>
        <v>5000</v>
      </c>
      <c r="IS77" s="65"/>
      <c r="IT77" s="63"/>
      <c r="IU77" s="64">
        <f t="shared" si="1558"/>
        <v>0</v>
      </c>
      <c r="IV77" s="65">
        <v>2739.5</v>
      </c>
      <c r="IW77" s="63"/>
      <c r="IX77" s="64">
        <f t="shared" si="1559"/>
        <v>2739.5</v>
      </c>
      <c r="IY77" s="65"/>
      <c r="IZ77" s="63"/>
      <c r="JA77" s="64">
        <f t="shared" si="1560"/>
        <v>0</v>
      </c>
      <c r="JB77" s="66">
        <f t="shared" si="1561"/>
        <v>7739.5</v>
      </c>
      <c r="JC77" s="67">
        <f t="shared" si="1562"/>
        <v>0</v>
      </c>
      <c r="JD77" s="64">
        <f t="shared" si="1563"/>
        <v>7739.5</v>
      </c>
      <c r="JE77" s="72"/>
      <c r="JF77" s="150"/>
      <c r="JG77" s="74"/>
      <c r="JH77" s="75"/>
      <c r="JI77" s="150"/>
      <c r="JJ77" s="74"/>
      <c r="JK77" s="75"/>
      <c r="JL77" s="150"/>
      <c r="JM77" s="74"/>
      <c r="JN77" s="75"/>
      <c r="JO77" s="150"/>
      <c r="JP77" s="74"/>
      <c r="JQ77" s="76"/>
      <c r="JR77" s="77"/>
      <c r="JS77" s="74"/>
      <c r="JT77" s="72"/>
      <c r="JU77" s="73"/>
      <c r="JV77" s="74"/>
      <c r="JW77" s="75"/>
      <c r="JX77" s="73"/>
      <c r="JY77" s="74"/>
      <c r="JZ77" s="75"/>
      <c r="KA77" s="73"/>
      <c r="KB77" s="74"/>
      <c r="KC77" s="75"/>
      <c r="KD77" s="73"/>
      <c r="KE77" s="74"/>
      <c r="KF77" s="76"/>
      <c r="KG77" s="77"/>
      <c r="KH77" s="64">
        <f t="shared" si="1564"/>
        <v>0</v>
      </c>
      <c r="KI77" s="62"/>
      <c r="KJ77" s="63"/>
      <c r="KK77" s="64">
        <f t="shared" si="1565"/>
        <v>0</v>
      </c>
      <c r="KL77" s="65"/>
      <c r="KM77" s="63"/>
      <c r="KN77" s="64">
        <f t="shared" si="1566"/>
        <v>0</v>
      </c>
      <c r="KO77" s="65"/>
      <c r="KP77" s="63"/>
      <c r="KQ77" s="64">
        <f t="shared" si="1567"/>
        <v>0</v>
      </c>
      <c r="KR77" s="65"/>
      <c r="KS77" s="63"/>
      <c r="KT77" s="64">
        <f t="shared" si="1568"/>
        <v>0</v>
      </c>
      <c r="KU77" s="66">
        <f t="shared" si="1439"/>
        <v>0</v>
      </c>
      <c r="KV77" s="67">
        <f t="shared" si="1569"/>
        <v>0</v>
      </c>
      <c r="KW77" s="64">
        <f t="shared" si="1570"/>
        <v>0</v>
      </c>
      <c r="KX77" s="72"/>
      <c r="KY77" s="73"/>
      <c r="KZ77" s="74"/>
      <c r="LA77" s="75"/>
      <c r="LB77" s="73"/>
      <c r="LC77" s="74"/>
      <c r="LD77" s="75"/>
      <c r="LE77" s="73"/>
      <c r="LF77" s="74"/>
      <c r="LG77" s="75"/>
      <c r="LH77" s="73"/>
      <c r="LI77" s="74"/>
      <c r="LJ77" s="76"/>
      <c r="LK77" s="77"/>
      <c r="LL77" s="74"/>
      <c r="LM77" s="62">
        <v>9300</v>
      </c>
      <c r="LN77" s="63"/>
      <c r="LO77" s="64">
        <f t="shared" si="1571"/>
        <v>9300</v>
      </c>
      <c r="LP77" s="65"/>
      <c r="LQ77" s="63"/>
      <c r="LR77" s="64">
        <f t="shared" si="1572"/>
        <v>0</v>
      </c>
      <c r="LS77" s="65"/>
      <c r="LT77" s="63"/>
      <c r="LU77" s="64">
        <f t="shared" si="1573"/>
        <v>0</v>
      </c>
      <c r="LV77" s="65">
        <v>100</v>
      </c>
      <c r="LW77" s="63"/>
      <c r="LX77" s="64">
        <f t="shared" si="1574"/>
        <v>100</v>
      </c>
      <c r="LY77" s="66">
        <f t="shared" si="1575"/>
        <v>9400</v>
      </c>
      <c r="LZ77" s="67">
        <f t="shared" si="1576"/>
        <v>0</v>
      </c>
      <c r="MA77" s="64">
        <f t="shared" si="1577"/>
        <v>9400</v>
      </c>
      <c r="MB77" s="62"/>
      <c r="MC77" s="63"/>
      <c r="MD77" s="64">
        <f t="shared" si="1578"/>
        <v>0</v>
      </c>
      <c r="ME77" s="65">
        <v>889.11</v>
      </c>
      <c r="MF77" s="63"/>
      <c r="MG77" s="64">
        <f t="shared" si="1579"/>
        <v>889.11</v>
      </c>
      <c r="MH77" s="65"/>
      <c r="MI77" s="63"/>
      <c r="MJ77" s="64">
        <f t="shared" si="1580"/>
        <v>0</v>
      </c>
      <c r="MK77" s="65">
        <v>100</v>
      </c>
      <c r="ML77" s="63"/>
      <c r="MM77" s="64">
        <f t="shared" si="1581"/>
        <v>100</v>
      </c>
      <c r="MN77" s="66">
        <f t="shared" si="1582"/>
        <v>989.11</v>
      </c>
      <c r="MO77" s="67">
        <f t="shared" si="1583"/>
        <v>0</v>
      </c>
      <c r="MP77" s="64">
        <f t="shared" si="1584"/>
        <v>989.11</v>
      </c>
      <c r="MQ77" s="62"/>
      <c r="MR77" s="63"/>
      <c r="MS77" s="64">
        <f t="shared" si="1585"/>
        <v>0</v>
      </c>
      <c r="MT77" s="65"/>
      <c r="MU77" s="63"/>
      <c r="MV77" s="64">
        <f t="shared" si="1586"/>
        <v>0</v>
      </c>
      <c r="MW77" s="65"/>
      <c r="MX77" s="63"/>
      <c r="MY77" s="64">
        <f t="shared" si="1587"/>
        <v>0</v>
      </c>
      <c r="MZ77" s="65"/>
      <c r="NA77" s="63"/>
      <c r="NB77" s="64">
        <f t="shared" si="1588"/>
        <v>0</v>
      </c>
      <c r="NC77" s="66">
        <f t="shared" si="1589"/>
        <v>0</v>
      </c>
      <c r="ND77" s="67">
        <f t="shared" si="1590"/>
        <v>0</v>
      </c>
      <c r="NE77" s="64">
        <f t="shared" si="1591"/>
        <v>0</v>
      </c>
      <c r="NF77" s="62"/>
      <c r="NG77" s="63"/>
      <c r="NH77" s="64">
        <f t="shared" si="1592"/>
        <v>0</v>
      </c>
      <c r="NI77" s="65">
        <v>1164.04</v>
      </c>
      <c r="NJ77" s="63"/>
      <c r="NK77" s="64">
        <f t="shared" si="1593"/>
        <v>1164.04</v>
      </c>
      <c r="NL77" s="65"/>
      <c r="NM77" s="63"/>
      <c r="NN77" s="64">
        <f t="shared" si="1594"/>
        <v>0</v>
      </c>
      <c r="NO77" s="65">
        <v>100</v>
      </c>
      <c r="NP77" s="63"/>
      <c r="NQ77" s="64">
        <f t="shared" si="1595"/>
        <v>100</v>
      </c>
      <c r="NR77" s="66">
        <f t="shared" si="1596"/>
        <v>1264.04</v>
      </c>
      <c r="NS77" s="67">
        <f t="shared" si="1597"/>
        <v>0</v>
      </c>
      <c r="NT77" s="64">
        <f t="shared" si="1598"/>
        <v>1264.04</v>
      </c>
      <c r="NU77" s="62"/>
      <c r="NV77" s="63"/>
      <c r="NW77" s="64">
        <f t="shared" si="1599"/>
        <v>0</v>
      </c>
      <c r="NX77" s="65">
        <v>1152.73</v>
      </c>
      <c r="NY77" s="63"/>
      <c r="NZ77" s="64">
        <f t="shared" si="1600"/>
        <v>1152.73</v>
      </c>
      <c r="OA77" s="65"/>
      <c r="OB77" s="63"/>
      <c r="OC77" s="64">
        <f t="shared" si="1601"/>
        <v>0</v>
      </c>
      <c r="OD77" s="65">
        <v>100</v>
      </c>
      <c r="OE77" s="63"/>
      <c r="OF77" s="64">
        <f t="shared" si="1602"/>
        <v>100</v>
      </c>
      <c r="OG77" s="66">
        <f t="shared" si="1603"/>
        <v>1252.73</v>
      </c>
      <c r="OH77" s="67">
        <f t="shared" si="1604"/>
        <v>0</v>
      </c>
      <c r="OI77" s="64">
        <f t="shared" si="1605"/>
        <v>1252.73</v>
      </c>
      <c r="OJ77" s="62"/>
      <c r="OK77" s="63"/>
      <c r="OL77" s="64">
        <f t="shared" si="1606"/>
        <v>0</v>
      </c>
      <c r="OM77" s="65"/>
      <c r="ON77" s="63"/>
      <c r="OO77" s="64">
        <f t="shared" si="1607"/>
        <v>0</v>
      </c>
      <c r="OP77" s="65"/>
      <c r="OQ77" s="63"/>
      <c r="OR77" s="64">
        <f t="shared" si="1608"/>
        <v>0</v>
      </c>
      <c r="OS77" s="65">
        <v>100</v>
      </c>
      <c r="OT77" s="63"/>
      <c r="OU77" s="64">
        <f t="shared" si="1609"/>
        <v>100</v>
      </c>
      <c r="OV77" s="66">
        <f t="shared" si="1610"/>
        <v>100</v>
      </c>
      <c r="OW77" s="67">
        <f t="shared" si="1611"/>
        <v>0</v>
      </c>
      <c r="OX77" s="64">
        <f t="shared" si="1612"/>
        <v>100</v>
      </c>
      <c r="OY77" s="62"/>
      <c r="OZ77" s="63"/>
      <c r="PA77" s="64">
        <f t="shared" si="1613"/>
        <v>0</v>
      </c>
      <c r="PB77" s="65"/>
      <c r="PC77" s="63"/>
      <c r="PD77" s="64">
        <f t="shared" si="1614"/>
        <v>0</v>
      </c>
      <c r="PE77" s="65"/>
      <c r="PF77" s="63"/>
      <c r="PG77" s="64">
        <f t="shared" si="1615"/>
        <v>0</v>
      </c>
      <c r="PH77" s="65">
        <v>100</v>
      </c>
      <c r="PI77" s="63"/>
      <c r="PJ77" s="64">
        <f t="shared" si="1616"/>
        <v>100</v>
      </c>
      <c r="PK77" s="66">
        <f t="shared" si="1617"/>
        <v>100</v>
      </c>
      <c r="PL77" s="67">
        <f t="shared" si="1618"/>
        <v>0</v>
      </c>
      <c r="PM77" s="64">
        <f t="shared" si="1619"/>
        <v>100</v>
      </c>
      <c r="PN77" s="62">
        <v>1550</v>
      </c>
      <c r="PO77" s="63"/>
      <c r="PP77" s="64">
        <f t="shared" si="1620"/>
        <v>1550</v>
      </c>
      <c r="PQ77" s="65"/>
      <c r="PR77" s="63"/>
      <c r="PS77" s="64">
        <f t="shared" si="1621"/>
        <v>0</v>
      </c>
      <c r="PT77" s="65"/>
      <c r="PU77" s="63"/>
      <c r="PV77" s="64">
        <f t="shared" si="1622"/>
        <v>0</v>
      </c>
      <c r="PW77" s="65">
        <v>100</v>
      </c>
      <c r="PX77" s="63"/>
      <c r="PY77" s="64">
        <f t="shared" si="1623"/>
        <v>100</v>
      </c>
      <c r="PZ77" s="66">
        <f t="shared" si="1624"/>
        <v>1650</v>
      </c>
      <c r="QA77" s="67">
        <f t="shared" si="1625"/>
        <v>0</v>
      </c>
      <c r="QB77" s="64">
        <f t="shared" si="1626"/>
        <v>1650</v>
      </c>
      <c r="QC77" s="62">
        <v>9000</v>
      </c>
      <c r="QD77" s="63"/>
      <c r="QE77" s="64">
        <f t="shared" si="1627"/>
        <v>9000</v>
      </c>
      <c r="QF77" s="65"/>
      <c r="QG77" s="63"/>
      <c r="QH77" s="64">
        <f t="shared" si="1628"/>
        <v>0</v>
      </c>
      <c r="QI77" s="65"/>
      <c r="QJ77" s="63"/>
      <c r="QK77" s="64">
        <f t="shared" si="1629"/>
        <v>0</v>
      </c>
      <c r="QL77" s="65">
        <v>100</v>
      </c>
      <c r="QM77" s="63"/>
      <c r="QN77" s="64">
        <f t="shared" si="1630"/>
        <v>100</v>
      </c>
      <c r="QO77" s="66">
        <f t="shared" si="1631"/>
        <v>9100</v>
      </c>
      <c r="QP77" s="67">
        <f t="shared" si="1632"/>
        <v>0</v>
      </c>
      <c r="QQ77" s="64">
        <f t="shared" si="1633"/>
        <v>9100</v>
      </c>
      <c r="QR77" s="74"/>
      <c r="QS77" s="74"/>
      <c r="QT77" s="72"/>
      <c r="QU77" s="73"/>
      <c r="QV77" s="74"/>
      <c r="QW77" s="75"/>
      <c r="QX77" s="73"/>
      <c r="QY77" s="74"/>
      <c r="QZ77" s="75"/>
      <c r="RA77" s="73"/>
      <c r="RB77" s="74"/>
      <c r="RC77" s="75"/>
      <c r="RD77" s="73"/>
      <c r="RE77" s="74"/>
      <c r="RF77" s="74"/>
      <c r="RG77" s="72"/>
      <c r="RH77" s="73"/>
      <c r="RI77" s="74"/>
      <c r="RJ77" s="75"/>
      <c r="RK77" s="73"/>
      <c r="RL77" s="74"/>
      <c r="RM77" s="75"/>
      <c r="RN77" s="73"/>
      <c r="RO77" s="74"/>
      <c r="RP77" s="75"/>
      <c r="RQ77" s="73"/>
      <c r="RR77" s="74"/>
      <c r="RS77" s="76"/>
      <c r="RT77" s="77"/>
      <c r="RU77" s="74"/>
      <c r="RV77" s="74"/>
      <c r="RW77" s="72"/>
      <c r="RX77" s="73"/>
      <c r="RY77" s="74"/>
      <c r="RZ77" s="75"/>
      <c r="SA77" s="73"/>
      <c r="SB77" s="74"/>
      <c r="SC77" s="75"/>
      <c r="SD77" s="73"/>
      <c r="SE77" s="74"/>
      <c r="SF77" s="75"/>
      <c r="SG77" s="73"/>
      <c r="SH77" s="74"/>
      <c r="SI77" s="76"/>
      <c r="SJ77" s="64">
        <f t="shared" si="1634"/>
        <v>0</v>
      </c>
      <c r="SK77" s="62">
        <v>17000</v>
      </c>
      <c r="SL77" s="63"/>
      <c r="SM77" s="64">
        <f t="shared" si="1635"/>
        <v>17000</v>
      </c>
      <c r="SN77" s="65"/>
      <c r="SO77" s="63"/>
      <c r="SP77" s="64">
        <f t="shared" si="1636"/>
        <v>0</v>
      </c>
      <c r="SQ77" s="65"/>
      <c r="SR77" s="63"/>
      <c r="SS77" s="64">
        <f t="shared" si="1637"/>
        <v>0</v>
      </c>
      <c r="ST77" s="65">
        <v>100</v>
      </c>
      <c r="SU77" s="63"/>
      <c r="SV77" s="64">
        <f t="shared" si="1638"/>
        <v>100</v>
      </c>
      <c r="SW77" s="66">
        <f t="shared" si="1639"/>
        <v>17100</v>
      </c>
      <c r="SX77" s="67">
        <f t="shared" si="1640"/>
        <v>0</v>
      </c>
      <c r="SY77" s="64">
        <f t="shared" si="1641"/>
        <v>17100</v>
      </c>
      <c r="SZ77" s="62">
        <v>985.33</v>
      </c>
      <c r="TA77" s="63"/>
      <c r="TB77" s="64">
        <f t="shared" si="1642"/>
        <v>985.33</v>
      </c>
      <c r="TC77" s="65">
        <v>700.9</v>
      </c>
      <c r="TD77" s="63"/>
      <c r="TE77" s="64">
        <f t="shared" si="1643"/>
        <v>700.9</v>
      </c>
      <c r="TF77" s="65"/>
      <c r="TG77" s="63"/>
      <c r="TH77" s="64">
        <f t="shared" si="1644"/>
        <v>0</v>
      </c>
      <c r="TI77" s="65">
        <v>100</v>
      </c>
      <c r="TJ77" s="63"/>
      <c r="TK77" s="64">
        <f t="shared" si="1645"/>
        <v>100</v>
      </c>
      <c r="TL77" s="66">
        <f t="shared" si="1646"/>
        <v>1786.23</v>
      </c>
      <c r="TM77" s="67">
        <f t="shared" si="1647"/>
        <v>0</v>
      </c>
      <c r="TN77" s="64">
        <f t="shared" si="1648"/>
        <v>1786.23</v>
      </c>
      <c r="TO77" s="62"/>
      <c r="TP77" s="63"/>
      <c r="TQ77" s="64">
        <f t="shared" si="1649"/>
        <v>0</v>
      </c>
      <c r="TR77" s="65"/>
      <c r="TS77" s="63"/>
      <c r="TT77" s="64">
        <f t="shared" si="1650"/>
        <v>0</v>
      </c>
      <c r="TU77" s="65"/>
      <c r="TV77" s="63"/>
      <c r="TW77" s="64">
        <f t="shared" si="1651"/>
        <v>0</v>
      </c>
      <c r="TX77" s="65">
        <v>100</v>
      </c>
      <c r="TY77" s="63"/>
      <c r="TZ77" s="64">
        <f t="shared" si="1652"/>
        <v>100</v>
      </c>
      <c r="UA77" s="66">
        <f t="shared" si="1653"/>
        <v>100</v>
      </c>
      <c r="UB77" s="67">
        <f t="shared" si="1654"/>
        <v>0</v>
      </c>
      <c r="UC77" s="64">
        <f t="shared" si="1655"/>
        <v>100</v>
      </c>
      <c r="UD77" s="62"/>
      <c r="UE77" s="63"/>
      <c r="UF77" s="64">
        <f t="shared" si="1656"/>
        <v>0</v>
      </c>
      <c r="UG77" s="65">
        <v>497.04</v>
      </c>
      <c r="UH77" s="63"/>
      <c r="UI77" s="64">
        <f t="shared" si="1657"/>
        <v>497.04</v>
      </c>
      <c r="UJ77" s="65"/>
      <c r="UK77" s="63"/>
      <c r="UL77" s="64">
        <f t="shared" si="1658"/>
        <v>0</v>
      </c>
      <c r="UM77" s="65">
        <v>100</v>
      </c>
      <c r="UN77" s="63"/>
      <c r="UO77" s="64">
        <f t="shared" si="1659"/>
        <v>100</v>
      </c>
      <c r="UP77" s="66">
        <f t="shared" si="1660"/>
        <v>597.04</v>
      </c>
      <c r="UQ77" s="67">
        <f t="shared" si="1661"/>
        <v>0</v>
      </c>
      <c r="UR77" s="64">
        <f t="shared" si="1662"/>
        <v>597.04</v>
      </c>
      <c r="US77" s="74"/>
      <c r="UT77" s="72"/>
      <c r="UU77" s="73"/>
      <c r="UV77" s="74"/>
      <c r="UW77" s="75"/>
      <c r="UX77" s="73"/>
      <c r="UY77" s="74"/>
      <c r="UZ77" s="75"/>
      <c r="VA77" s="73"/>
      <c r="VB77" s="74"/>
      <c r="VC77" s="75"/>
      <c r="VD77" s="73"/>
      <c r="VE77" s="74"/>
      <c r="VF77" s="76"/>
      <c r="VG77" s="77"/>
      <c r="VH77" s="62"/>
      <c r="VI77" s="63"/>
      <c r="VJ77" s="64">
        <f t="shared" si="1663"/>
        <v>0</v>
      </c>
      <c r="VK77" s="65"/>
      <c r="VL77" s="63"/>
      <c r="VM77" s="64">
        <f t="shared" si="1664"/>
        <v>0</v>
      </c>
      <c r="VN77" s="65"/>
      <c r="VO77" s="63"/>
      <c r="VP77" s="64">
        <f t="shared" si="1665"/>
        <v>0</v>
      </c>
      <c r="VQ77" s="65">
        <v>100</v>
      </c>
      <c r="VR77" s="63"/>
      <c r="VS77" s="64">
        <f t="shared" si="1666"/>
        <v>100</v>
      </c>
      <c r="VT77" s="66">
        <f t="shared" si="1667"/>
        <v>100</v>
      </c>
      <c r="VU77" s="67">
        <f t="shared" si="1668"/>
        <v>0</v>
      </c>
      <c r="VV77" s="64">
        <f t="shared" si="1669"/>
        <v>100</v>
      </c>
      <c r="VW77" s="74"/>
      <c r="VX77" s="72"/>
      <c r="VY77" s="73"/>
      <c r="VZ77" s="74"/>
      <c r="WA77" s="75"/>
      <c r="WB77" s="73"/>
      <c r="WC77" s="74"/>
      <c r="WD77" s="75"/>
      <c r="WE77" s="73"/>
      <c r="WF77" s="74"/>
      <c r="WG77" s="75"/>
      <c r="WH77" s="73"/>
      <c r="WI77" s="74"/>
      <c r="WJ77" s="76"/>
      <c r="WK77" s="77"/>
      <c r="WL77" s="74"/>
      <c r="WM77" s="72"/>
      <c r="WN77" s="73"/>
      <c r="WO77" s="74"/>
      <c r="WP77" s="75"/>
      <c r="WQ77" s="73"/>
      <c r="WR77" s="74"/>
      <c r="WS77" s="75"/>
      <c r="WT77" s="73"/>
      <c r="WU77" s="74"/>
      <c r="WV77" s="75"/>
      <c r="WW77" s="73"/>
      <c r="WX77" s="74"/>
      <c r="WY77" s="76"/>
      <c r="WZ77" s="77"/>
      <c r="XA77" s="74"/>
      <c r="XB77" s="72"/>
      <c r="XC77" s="73"/>
      <c r="XD77" s="74"/>
      <c r="XE77" s="75"/>
      <c r="XF77" s="73"/>
      <c r="XG77" s="74"/>
      <c r="XH77" s="75"/>
      <c r="XI77" s="73"/>
      <c r="XJ77" s="74"/>
      <c r="XK77" s="75"/>
      <c r="XL77" s="73"/>
      <c r="XM77" s="74"/>
      <c r="XN77" s="76"/>
      <c r="XO77" s="77"/>
      <c r="XP77" s="62"/>
      <c r="XQ77" s="63"/>
      <c r="XR77" s="64">
        <f t="shared" si="1670"/>
        <v>0</v>
      </c>
      <c r="XS77" s="65">
        <v>844.24</v>
      </c>
      <c r="XT77" s="63"/>
      <c r="XU77" s="64">
        <f t="shared" si="1671"/>
        <v>844.24</v>
      </c>
      <c r="XV77" s="65"/>
      <c r="XW77" s="63"/>
      <c r="XX77" s="64">
        <f t="shared" si="1672"/>
        <v>0</v>
      </c>
      <c r="XY77" s="65">
        <v>100</v>
      </c>
      <c r="XZ77" s="63"/>
      <c r="YA77" s="64">
        <f t="shared" si="1673"/>
        <v>100</v>
      </c>
      <c r="YB77" s="66">
        <f t="shared" si="1674"/>
        <v>944.24</v>
      </c>
      <c r="YC77" s="67">
        <f t="shared" si="1675"/>
        <v>0</v>
      </c>
      <c r="YD77" s="64">
        <f t="shared" si="1676"/>
        <v>944.24</v>
      </c>
      <c r="YE77" s="62"/>
      <c r="YF77" s="63"/>
      <c r="YG77" s="64">
        <f t="shared" si="1677"/>
        <v>0</v>
      </c>
      <c r="YH77" s="65">
        <v>847.85</v>
      </c>
      <c r="YI77" s="63"/>
      <c r="YJ77" s="64">
        <f t="shared" si="1678"/>
        <v>847.85</v>
      </c>
      <c r="YK77" s="65"/>
      <c r="YL77" s="63"/>
      <c r="YM77" s="64">
        <f t="shared" si="1679"/>
        <v>0</v>
      </c>
      <c r="YN77" s="65">
        <v>100</v>
      </c>
      <c r="YO77" s="63"/>
      <c r="YP77" s="64">
        <f t="shared" si="1680"/>
        <v>100</v>
      </c>
      <c r="YQ77" s="66">
        <f t="shared" si="1681"/>
        <v>947.85</v>
      </c>
      <c r="YR77" s="67">
        <f t="shared" si="1682"/>
        <v>0</v>
      </c>
      <c r="YS77" s="64">
        <f t="shared" si="1683"/>
        <v>947.85</v>
      </c>
      <c r="YT77" s="62"/>
      <c r="YU77" s="63"/>
      <c r="YV77" s="64">
        <f t="shared" si="1684"/>
        <v>0</v>
      </c>
      <c r="YW77" s="65">
        <v>695.73</v>
      </c>
      <c r="YX77" s="63"/>
      <c r="YY77" s="64">
        <f t="shared" si="1685"/>
        <v>695.73</v>
      </c>
      <c r="YZ77" s="65"/>
      <c r="ZA77" s="63"/>
      <c r="ZB77" s="64">
        <f t="shared" si="1686"/>
        <v>0</v>
      </c>
      <c r="ZC77" s="65">
        <v>100</v>
      </c>
      <c r="ZD77" s="63"/>
      <c r="ZE77" s="64">
        <f t="shared" si="1687"/>
        <v>100</v>
      </c>
      <c r="ZF77" s="66">
        <f t="shared" si="1688"/>
        <v>795.73</v>
      </c>
      <c r="ZG77" s="67">
        <f t="shared" si="1689"/>
        <v>0</v>
      </c>
      <c r="ZH77" s="74"/>
      <c r="ZI77" s="72"/>
      <c r="ZJ77" s="73"/>
      <c r="ZK77" s="74"/>
      <c r="ZL77" s="75"/>
      <c r="ZM77" s="73"/>
      <c r="ZN77" s="74"/>
      <c r="ZO77" s="75"/>
      <c r="ZP77" s="73"/>
      <c r="ZQ77" s="74"/>
      <c r="ZR77" s="75"/>
      <c r="ZS77" s="73"/>
      <c r="ZT77" s="74"/>
      <c r="ZU77" s="76"/>
      <c r="ZV77" s="77"/>
      <c r="ZW77" s="64">
        <f t="shared" si="1690"/>
        <v>0</v>
      </c>
      <c r="ZX77" s="62">
        <v>24.71</v>
      </c>
      <c r="ZY77" s="63"/>
      <c r="ZZ77" s="64">
        <f t="shared" si="1691"/>
        <v>24.71</v>
      </c>
      <c r="AAA77" s="66">
        <f t="shared" si="1692"/>
        <v>24.71</v>
      </c>
      <c r="AAB77" s="67">
        <f t="shared" si="1692"/>
        <v>0</v>
      </c>
      <c r="AAC77" s="64">
        <f t="shared" si="1693"/>
        <v>24.71</v>
      </c>
      <c r="AAD77" s="85">
        <f t="shared" si="1694"/>
        <v>332046.33499999996</v>
      </c>
      <c r="AAE77" s="86">
        <f t="shared" si="1694"/>
        <v>0</v>
      </c>
      <c r="AAF77" s="87">
        <f t="shared" si="1457"/>
        <v>0</v>
      </c>
      <c r="AAG77" s="88">
        <f t="shared" si="1695"/>
        <v>-332046.33499999996</v>
      </c>
      <c r="AAH77" s="89"/>
      <c r="AAI77" s="92"/>
      <c r="AAJ77" s="92"/>
      <c r="AAK77" s="60"/>
    </row>
    <row r="78" spans="1:713" s="83" customFormat="1" ht="20" customHeight="1" x14ac:dyDescent="0.2">
      <c r="A78" s="152"/>
      <c r="B78" s="94">
        <f>B76/B72</f>
        <v>0</v>
      </c>
      <c r="C78" s="95"/>
      <c r="D78" s="95"/>
      <c r="E78" s="60"/>
      <c r="F78" s="61">
        <v>46631</v>
      </c>
      <c r="G78" s="62"/>
      <c r="H78" s="63"/>
      <c r="I78" s="64">
        <f t="shared" si="1458"/>
        <v>0</v>
      </c>
      <c r="J78" s="65">
        <v>2154.35</v>
      </c>
      <c r="K78" s="63"/>
      <c r="L78" s="64">
        <f t="shared" si="1459"/>
        <v>2154.35</v>
      </c>
      <c r="M78" s="65">
        <v>2500</v>
      </c>
      <c r="N78" s="63"/>
      <c r="O78" s="64">
        <f t="shared" si="1460"/>
        <v>2500</v>
      </c>
      <c r="P78" s="65">
        <v>1500</v>
      </c>
      <c r="Q78" s="63"/>
      <c r="R78" s="64">
        <f t="shared" si="1461"/>
        <v>1500</v>
      </c>
      <c r="S78" s="65">
        <v>362</v>
      </c>
      <c r="T78" s="63"/>
      <c r="U78" s="64">
        <f t="shared" si="1462"/>
        <v>362</v>
      </c>
      <c r="V78" s="66">
        <f t="shared" si="1463"/>
        <v>6516.35</v>
      </c>
      <c r="W78" s="67">
        <f t="shared" si="1463"/>
        <v>0</v>
      </c>
      <c r="X78" s="64">
        <f t="shared" si="1464"/>
        <v>6516.35</v>
      </c>
      <c r="Y78" s="72"/>
      <c r="Z78" s="73"/>
      <c r="AA78" s="74"/>
      <c r="AB78" s="75"/>
      <c r="AC78" s="73"/>
      <c r="AD78" s="74"/>
      <c r="AE78" s="75"/>
      <c r="AF78" s="73"/>
      <c r="AG78" s="74"/>
      <c r="AH78" s="75"/>
      <c r="AI78" s="73"/>
      <c r="AJ78" s="74"/>
      <c r="AK78" s="76"/>
      <c r="AL78" s="77"/>
      <c r="AM78" s="64">
        <f t="shared" si="1465"/>
        <v>0</v>
      </c>
      <c r="AN78" s="62">
        <v>6250</v>
      </c>
      <c r="AO78" s="63"/>
      <c r="AP78" s="64">
        <f t="shared" si="1696"/>
        <v>6250</v>
      </c>
      <c r="AQ78" s="65"/>
      <c r="AR78" s="63"/>
      <c r="AS78" s="64">
        <f t="shared" si="1466"/>
        <v>0</v>
      </c>
      <c r="AT78" s="65"/>
      <c r="AU78" s="63"/>
      <c r="AV78" s="64">
        <f t="shared" si="1467"/>
        <v>0</v>
      </c>
      <c r="AW78" s="65"/>
      <c r="AX78" s="63"/>
      <c r="AY78" s="64">
        <f t="shared" si="1468"/>
        <v>0</v>
      </c>
      <c r="AZ78" s="66">
        <f t="shared" si="1469"/>
        <v>6250</v>
      </c>
      <c r="BA78" s="67">
        <f t="shared" si="1470"/>
        <v>0</v>
      </c>
      <c r="BB78" s="64">
        <f t="shared" si="1471"/>
        <v>6250</v>
      </c>
      <c r="BC78" s="62"/>
      <c r="BD78" s="63"/>
      <c r="BE78" s="64">
        <f t="shared" si="1472"/>
        <v>0</v>
      </c>
      <c r="BF78" s="65"/>
      <c r="BG78" s="63"/>
      <c r="BH78" s="64">
        <f t="shared" si="1473"/>
        <v>0</v>
      </c>
      <c r="BI78" s="65"/>
      <c r="BJ78" s="63"/>
      <c r="BK78" s="64">
        <f t="shared" si="1474"/>
        <v>0</v>
      </c>
      <c r="BL78" s="65">
        <v>100</v>
      </c>
      <c r="BM78" s="63"/>
      <c r="BN78" s="64">
        <f t="shared" si="1475"/>
        <v>100</v>
      </c>
      <c r="BO78" s="66">
        <f t="shared" si="1476"/>
        <v>100</v>
      </c>
      <c r="BP78" s="67">
        <f t="shared" si="1477"/>
        <v>0</v>
      </c>
      <c r="BQ78" s="64">
        <f t="shared" si="1478"/>
        <v>100</v>
      </c>
      <c r="BR78" s="72"/>
      <c r="BS78" s="73"/>
      <c r="BT78" s="74"/>
      <c r="BU78" s="75"/>
      <c r="BV78" s="73"/>
      <c r="BW78" s="74"/>
      <c r="BX78" s="75"/>
      <c r="BY78" s="73"/>
      <c r="BZ78" s="74"/>
      <c r="CA78" s="75"/>
      <c r="CB78" s="73"/>
      <c r="CC78" s="74"/>
      <c r="CD78" s="76"/>
      <c r="CE78" s="77"/>
      <c r="CF78" s="64">
        <f t="shared" si="1479"/>
        <v>0</v>
      </c>
      <c r="CG78" s="62">
        <v>5000</v>
      </c>
      <c r="CH78" s="63"/>
      <c r="CI78" s="64">
        <f t="shared" si="1480"/>
        <v>5000</v>
      </c>
      <c r="CJ78" s="65"/>
      <c r="CK78" s="63"/>
      <c r="CL78" s="64">
        <f t="shared" si="1481"/>
        <v>0</v>
      </c>
      <c r="CM78" s="65"/>
      <c r="CN78" s="63"/>
      <c r="CO78" s="64">
        <f t="shared" si="1482"/>
        <v>0</v>
      </c>
      <c r="CP78" s="65"/>
      <c r="CQ78" s="63"/>
      <c r="CR78" s="64">
        <f t="shared" si="1483"/>
        <v>0</v>
      </c>
      <c r="CS78" s="66">
        <f t="shared" si="1484"/>
        <v>5000</v>
      </c>
      <c r="CT78" s="67">
        <f t="shared" si="1485"/>
        <v>0</v>
      </c>
      <c r="CU78" s="64">
        <f t="shared" si="1486"/>
        <v>5000</v>
      </c>
      <c r="CV78" s="62">
        <v>2916.7</v>
      </c>
      <c r="CW78" s="63"/>
      <c r="CX78" s="64">
        <f t="shared" si="1487"/>
        <v>2916.7</v>
      </c>
      <c r="CY78" s="65">
        <v>429.15</v>
      </c>
      <c r="CZ78" s="63"/>
      <c r="DA78" s="64">
        <f t="shared" si="1488"/>
        <v>429.15</v>
      </c>
      <c r="DB78" s="65"/>
      <c r="DC78" s="63"/>
      <c r="DD78" s="64">
        <f t="shared" si="1489"/>
        <v>0</v>
      </c>
      <c r="DE78" s="65"/>
      <c r="DF78" s="63"/>
      <c r="DG78" s="64">
        <f t="shared" si="1490"/>
        <v>0</v>
      </c>
      <c r="DH78" s="66">
        <f t="shared" si="1491"/>
        <v>3345.85</v>
      </c>
      <c r="DI78" s="67">
        <f t="shared" si="1492"/>
        <v>0</v>
      </c>
      <c r="DJ78" s="64">
        <f t="shared" si="1493"/>
        <v>3345.85</v>
      </c>
      <c r="DK78" s="62">
        <v>2400</v>
      </c>
      <c r="DL78" s="63"/>
      <c r="DM78" s="64">
        <f t="shared" si="1494"/>
        <v>2400</v>
      </c>
      <c r="DN78" s="65">
        <v>913.08</v>
      </c>
      <c r="DO78" s="63"/>
      <c r="DP78" s="64">
        <f t="shared" si="1495"/>
        <v>913.08</v>
      </c>
      <c r="DQ78" s="65"/>
      <c r="DR78" s="63"/>
      <c r="DS78" s="64">
        <f t="shared" si="1496"/>
        <v>0</v>
      </c>
      <c r="DT78" s="65">
        <v>100</v>
      </c>
      <c r="DU78" s="63"/>
      <c r="DV78" s="64">
        <f t="shared" si="1497"/>
        <v>100</v>
      </c>
      <c r="DW78" s="66">
        <f t="shared" si="1498"/>
        <v>3413.08</v>
      </c>
      <c r="DX78" s="67">
        <f t="shared" si="1499"/>
        <v>0</v>
      </c>
      <c r="DY78" s="64">
        <f t="shared" si="1500"/>
        <v>3413.08</v>
      </c>
      <c r="DZ78" s="62"/>
      <c r="EA78" s="63"/>
      <c r="EB78" s="64">
        <f t="shared" si="1501"/>
        <v>0</v>
      </c>
      <c r="EC78" s="65"/>
      <c r="ED78" s="63"/>
      <c r="EE78" s="64">
        <f t="shared" si="1502"/>
        <v>0</v>
      </c>
      <c r="EF78" s="65"/>
      <c r="EG78" s="63"/>
      <c r="EH78" s="64">
        <f t="shared" si="1503"/>
        <v>0</v>
      </c>
      <c r="EI78" s="65">
        <v>100</v>
      </c>
      <c r="EJ78" s="63"/>
      <c r="EK78" s="64">
        <f t="shared" si="1504"/>
        <v>100</v>
      </c>
      <c r="EL78" s="66">
        <f t="shared" si="1505"/>
        <v>100</v>
      </c>
      <c r="EM78" s="67">
        <f t="shared" si="1506"/>
        <v>0</v>
      </c>
      <c r="EN78" s="64">
        <f t="shared" si="1507"/>
        <v>100</v>
      </c>
      <c r="EO78" s="62"/>
      <c r="EP78" s="63"/>
      <c r="EQ78" s="64">
        <f t="shared" si="1508"/>
        <v>0</v>
      </c>
      <c r="ER78" s="65"/>
      <c r="ES78" s="63"/>
      <c r="ET78" s="64">
        <f t="shared" si="1509"/>
        <v>0</v>
      </c>
      <c r="EU78" s="65"/>
      <c r="EV78" s="63"/>
      <c r="EW78" s="64">
        <f t="shared" si="1510"/>
        <v>0</v>
      </c>
      <c r="EX78" s="65">
        <v>100</v>
      </c>
      <c r="EY78" s="63"/>
      <c r="EZ78" s="64">
        <f t="shared" si="1511"/>
        <v>100</v>
      </c>
      <c r="FA78" s="66">
        <f t="shared" si="1512"/>
        <v>100</v>
      </c>
      <c r="FB78" s="67">
        <f t="shared" si="1513"/>
        <v>0</v>
      </c>
      <c r="FC78" s="64">
        <f t="shared" si="1514"/>
        <v>100</v>
      </c>
      <c r="FD78" s="62"/>
      <c r="FE78" s="63"/>
      <c r="FF78" s="64">
        <f t="shared" si="1515"/>
        <v>0</v>
      </c>
      <c r="FG78" s="65"/>
      <c r="FH78" s="63"/>
      <c r="FI78" s="64">
        <f t="shared" si="1516"/>
        <v>0</v>
      </c>
      <c r="FJ78" s="65"/>
      <c r="FK78" s="63"/>
      <c r="FL78" s="64">
        <f t="shared" si="1517"/>
        <v>0</v>
      </c>
      <c r="FM78" s="65">
        <v>100</v>
      </c>
      <c r="FN78" s="63"/>
      <c r="FO78" s="64">
        <f t="shared" si="1518"/>
        <v>100</v>
      </c>
      <c r="FP78" s="66">
        <f t="shared" si="1519"/>
        <v>100</v>
      </c>
      <c r="FQ78" s="67">
        <f t="shared" si="1520"/>
        <v>0</v>
      </c>
      <c r="FR78" s="64">
        <f t="shared" si="1521"/>
        <v>100</v>
      </c>
      <c r="FS78" s="62"/>
      <c r="FT78" s="63"/>
      <c r="FU78" s="64">
        <f t="shared" si="1522"/>
        <v>0</v>
      </c>
      <c r="FV78" s="65">
        <v>485.35</v>
      </c>
      <c r="FW78" s="63"/>
      <c r="FX78" s="64">
        <f t="shared" si="1523"/>
        <v>485.35</v>
      </c>
      <c r="FY78" s="65"/>
      <c r="FZ78" s="63"/>
      <c r="GA78" s="64">
        <f t="shared" si="1524"/>
        <v>0</v>
      </c>
      <c r="GB78" s="65"/>
      <c r="GC78" s="63"/>
      <c r="GD78" s="64">
        <f t="shared" si="1525"/>
        <v>0</v>
      </c>
      <c r="GE78" s="66">
        <f t="shared" si="1526"/>
        <v>485.35</v>
      </c>
      <c r="GF78" s="67">
        <f t="shared" si="1527"/>
        <v>0</v>
      </c>
      <c r="GG78" s="64">
        <f t="shared" si="1528"/>
        <v>485.35</v>
      </c>
      <c r="GH78" s="62"/>
      <c r="GI78" s="63"/>
      <c r="GJ78" s="64">
        <f t="shared" si="1529"/>
        <v>0</v>
      </c>
      <c r="GK78" s="65">
        <v>660.33</v>
      </c>
      <c r="GL78" s="63"/>
      <c r="GM78" s="64">
        <f t="shared" si="1530"/>
        <v>660.33</v>
      </c>
      <c r="GN78" s="65"/>
      <c r="GO78" s="63"/>
      <c r="GP78" s="64">
        <f t="shared" si="1531"/>
        <v>0</v>
      </c>
      <c r="GQ78" s="65"/>
      <c r="GR78" s="63"/>
      <c r="GS78" s="64">
        <f t="shared" si="1532"/>
        <v>0</v>
      </c>
      <c r="GT78" s="66">
        <f t="shared" si="1533"/>
        <v>660.33</v>
      </c>
      <c r="GU78" s="67">
        <f t="shared" si="1534"/>
        <v>0</v>
      </c>
      <c r="GV78" s="64">
        <f t="shared" si="1535"/>
        <v>660.33</v>
      </c>
      <c r="GW78" s="62"/>
      <c r="GX78" s="63"/>
      <c r="GY78" s="64">
        <f t="shared" si="1536"/>
        <v>0</v>
      </c>
      <c r="GZ78" s="65">
        <v>568.25</v>
      </c>
      <c r="HA78" s="63"/>
      <c r="HB78" s="64">
        <f t="shared" si="1537"/>
        <v>568.25</v>
      </c>
      <c r="HC78" s="65"/>
      <c r="HD78" s="63"/>
      <c r="HE78" s="64">
        <f t="shared" si="1538"/>
        <v>0</v>
      </c>
      <c r="HF78" s="65">
        <v>100</v>
      </c>
      <c r="HG78" s="63"/>
      <c r="HH78" s="64">
        <f t="shared" si="1539"/>
        <v>100</v>
      </c>
      <c r="HI78" s="66">
        <f t="shared" si="1540"/>
        <v>668.25</v>
      </c>
      <c r="HJ78" s="67">
        <f t="shared" si="1541"/>
        <v>0</v>
      </c>
      <c r="HK78" s="64">
        <f t="shared" si="1542"/>
        <v>668.25</v>
      </c>
      <c r="HL78" s="62"/>
      <c r="HM78" s="63"/>
      <c r="HN78" s="64">
        <f t="shared" si="1543"/>
        <v>0</v>
      </c>
      <c r="HO78" s="65"/>
      <c r="HP78" s="63"/>
      <c r="HQ78" s="64">
        <f t="shared" si="1544"/>
        <v>0</v>
      </c>
      <c r="HR78" s="65"/>
      <c r="HS78" s="63"/>
      <c r="HT78" s="64">
        <f t="shared" si="1545"/>
        <v>0</v>
      </c>
      <c r="HU78" s="65">
        <v>100</v>
      </c>
      <c r="HV78" s="63"/>
      <c r="HW78" s="64">
        <f t="shared" si="1546"/>
        <v>100</v>
      </c>
      <c r="HX78" s="66">
        <f t="shared" si="1547"/>
        <v>100</v>
      </c>
      <c r="HY78" s="67">
        <f t="shared" si="1548"/>
        <v>0</v>
      </c>
      <c r="HZ78" s="64">
        <f t="shared" si="1549"/>
        <v>100</v>
      </c>
      <c r="IA78" s="62"/>
      <c r="IB78" s="63"/>
      <c r="IC78" s="64">
        <f t="shared" si="1550"/>
        <v>0</v>
      </c>
      <c r="ID78" s="65"/>
      <c r="IE78" s="63"/>
      <c r="IF78" s="64">
        <f t="shared" si="1551"/>
        <v>0</v>
      </c>
      <c r="IG78" s="65"/>
      <c r="IH78" s="63"/>
      <c r="II78" s="64">
        <f t="shared" si="1552"/>
        <v>0</v>
      </c>
      <c r="IJ78" s="65">
        <v>100</v>
      </c>
      <c r="IK78" s="63"/>
      <c r="IL78" s="64">
        <f t="shared" si="1553"/>
        <v>100</v>
      </c>
      <c r="IM78" s="66">
        <f t="shared" si="1554"/>
        <v>100</v>
      </c>
      <c r="IN78" s="67">
        <f t="shared" si="1555"/>
        <v>0</v>
      </c>
      <c r="IO78" s="64">
        <f t="shared" si="1556"/>
        <v>100</v>
      </c>
      <c r="IP78" s="62">
        <v>5000</v>
      </c>
      <c r="IQ78" s="63"/>
      <c r="IR78" s="64">
        <f t="shared" si="1557"/>
        <v>5000</v>
      </c>
      <c r="IS78" s="65"/>
      <c r="IT78" s="63"/>
      <c r="IU78" s="64">
        <f t="shared" si="1558"/>
        <v>0</v>
      </c>
      <c r="IV78" s="65"/>
      <c r="IW78" s="63"/>
      <c r="IX78" s="64">
        <f t="shared" si="1559"/>
        <v>0</v>
      </c>
      <c r="IY78" s="65"/>
      <c r="IZ78" s="63"/>
      <c r="JA78" s="64">
        <f t="shared" si="1560"/>
        <v>0</v>
      </c>
      <c r="JB78" s="66">
        <f t="shared" si="1561"/>
        <v>5000</v>
      </c>
      <c r="JC78" s="67">
        <f t="shared" si="1562"/>
        <v>0</v>
      </c>
      <c r="JD78" s="64">
        <f t="shared" si="1563"/>
        <v>5000</v>
      </c>
      <c r="JE78" s="72"/>
      <c r="JF78" s="150"/>
      <c r="JG78" s="74"/>
      <c r="JH78" s="75"/>
      <c r="JI78" s="150"/>
      <c r="JJ78" s="74"/>
      <c r="JK78" s="75"/>
      <c r="JL78" s="150"/>
      <c r="JM78" s="74"/>
      <c r="JN78" s="75"/>
      <c r="JO78" s="150"/>
      <c r="JP78" s="74"/>
      <c r="JQ78" s="76"/>
      <c r="JR78" s="77"/>
      <c r="JS78" s="74"/>
      <c r="JT78" s="72"/>
      <c r="JU78" s="73"/>
      <c r="JV78" s="74"/>
      <c r="JW78" s="75"/>
      <c r="JX78" s="73"/>
      <c r="JY78" s="74"/>
      <c r="JZ78" s="75"/>
      <c r="KA78" s="73"/>
      <c r="KB78" s="74"/>
      <c r="KC78" s="75"/>
      <c r="KD78" s="73"/>
      <c r="KE78" s="74"/>
      <c r="KF78" s="76"/>
      <c r="KG78" s="77"/>
      <c r="KH78" s="64">
        <f t="shared" si="1564"/>
        <v>0</v>
      </c>
      <c r="KI78" s="62"/>
      <c r="KJ78" s="63"/>
      <c r="KK78" s="64">
        <f t="shared" si="1565"/>
        <v>0</v>
      </c>
      <c r="KL78" s="65"/>
      <c r="KM78" s="63"/>
      <c r="KN78" s="64">
        <f t="shared" si="1566"/>
        <v>0</v>
      </c>
      <c r="KO78" s="65"/>
      <c r="KP78" s="63"/>
      <c r="KQ78" s="64">
        <f t="shared" si="1567"/>
        <v>0</v>
      </c>
      <c r="KR78" s="65"/>
      <c r="KS78" s="63"/>
      <c r="KT78" s="64">
        <f t="shared" si="1568"/>
        <v>0</v>
      </c>
      <c r="KU78" s="66">
        <f t="shared" si="1439"/>
        <v>0</v>
      </c>
      <c r="KV78" s="67">
        <f t="shared" si="1569"/>
        <v>0</v>
      </c>
      <c r="KW78" s="64">
        <f t="shared" si="1570"/>
        <v>0</v>
      </c>
      <c r="KX78" s="72"/>
      <c r="KY78" s="73"/>
      <c r="KZ78" s="74"/>
      <c r="LA78" s="75"/>
      <c r="LB78" s="73"/>
      <c r="LC78" s="74"/>
      <c r="LD78" s="75"/>
      <c r="LE78" s="73"/>
      <c r="LF78" s="74"/>
      <c r="LG78" s="75"/>
      <c r="LH78" s="73"/>
      <c r="LI78" s="74"/>
      <c r="LJ78" s="76"/>
      <c r="LK78" s="77"/>
      <c r="LL78" s="74"/>
      <c r="LM78" s="62"/>
      <c r="LN78" s="63"/>
      <c r="LO78" s="64">
        <f t="shared" si="1571"/>
        <v>0</v>
      </c>
      <c r="LP78" s="65"/>
      <c r="LQ78" s="63"/>
      <c r="LR78" s="64">
        <f t="shared" si="1572"/>
        <v>0</v>
      </c>
      <c r="LS78" s="65"/>
      <c r="LT78" s="63"/>
      <c r="LU78" s="64">
        <f t="shared" si="1573"/>
        <v>0</v>
      </c>
      <c r="LV78" s="65">
        <v>100</v>
      </c>
      <c r="LW78" s="63"/>
      <c r="LX78" s="64">
        <f t="shared" si="1574"/>
        <v>100</v>
      </c>
      <c r="LY78" s="66">
        <f t="shared" si="1575"/>
        <v>100</v>
      </c>
      <c r="LZ78" s="67">
        <f t="shared" si="1576"/>
        <v>0</v>
      </c>
      <c r="MA78" s="64">
        <f t="shared" si="1577"/>
        <v>100</v>
      </c>
      <c r="MB78" s="62"/>
      <c r="MC78" s="63"/>
      <c r="MD78" s="64">
        <f t="shared" si="1578"/>
        <v>0</v>
      </c>
      <c r="ME78" s="65">
        <v>889.11</v>
      </c>
      <c r="MF78" s="63"/>
      <c r="MG78" s="64">
        <f t="shared" si="1579"/>
        <v>889.11</v>
      </c>
      <c r="MH78" s="65"/>
      <c r="MI78" s="63"/>
      <c r="MJ78" s="64">
        <f t="shared" si="1580"/>
        <v>0</v>
      </c>
      <c r="MK78" s="65">
        <v>100</v>
      </c>
      <c r="ML78" s="63"/>
      <c r="MM78" s="64">
        <f t="shared" si="1581"/>
        <v>100</v>
      </c>
      <c r="MN78" s="66">
        <f t="shared" si="1582"/>
        <v>989.11</v>
      </c>
      <c r="MO78" s="67">
        <f t="shared" si="1583"/>
        <v>0</v>
      </c>
      <c r="MP78" s="64">
        <f t="shared" si="1584"/>
        <v>989.11</v>
      </c>
      <c r="MQ78" s="62"/>
      <c r="MR78" s="63"/>
      <c r="MS78" s="64">
        <f t="shared" si="1585"/>
        <v>0</v>
      </c>
      <c r="MT78" s="65"/>
      <c r="MU78" s="63"/>
      <c r="MV78" s="64">
        <f t="shared" si="1586"/>
        <v>0</v>
      </c>
      <c r="MW78" s="65"/>
      <c r="MX78" s="63"/>
      <c r="MY78" s="64">
        <f t="shared" si="1587"/>
        <v>0</v>
      </c>
      <c r="MZ78" s="65"/>
      <c r="NA78" s="63"/>
      <c r="NB78" s="64">
        <f t="shared" si="1588"/>
        <v>0</v>
      </c>
      <c r="NC78" s="66">
        <f t="shared" si="1589"/>
        <v>0</v>
      </c>
      <c r="ND78" s="67">
        <f t="shared" si="1590"/>
        <v>0</v>
      </c>
      <c r="NE78" s="64">
        <f t="shared" si="1591"/>
        <v>0</v>
      </c>
      <c r="NF78" s="62"/>
      <c r="NG78" s="63"/>
      <c r="NH78" s="64">
        <f t="shared" si="1592"/>
        <v>0</v>
      </c>
      <c r="NI78" s="65">
        <v>1164.04</v>
      </c>
      <c r="NJ78" s="63"/>
      <c r="NK78" s="64">
        <f t="shared" si="1593"/>
        <v>1164.04</v>
      </c>
      <c r="NL78" s="65"/>
      <c r="NM78" s="63"/>
      <c r="NN78" s="64">
        <f t="shared" si="1594"/>
        <v>0</v>
      </c>
      <c r="NO78" s="65">
        <v>100</v>
      </c>
      <c r="NP78" s="63"/>
      <c r="NQ78" s="64">
        <f t="shared" si="1595"/>
        <v>100</v>
      </c>
      <c r="NR78" s="66">
        <f t="shared" si="1596"/>
        <v>1264.04</v>
      </c>
      <c r="NS78" s="67">
        <f t="shared" si="1597"/>
        <v>0</v>
      </c>
      <c r="NT78" s="64">
        <f t="shared" si="1598"/>
        <v>1264.04</v>
      </c>
      <c r="NU78" s="62"/>
      <c r="NV78" s="63"/>
      <c r="NW78" s="64">
        <f t="shared" si="1599"/>
        <v>0</v>
      </c>
      <c r="NX78" s="65">
        <v>1152.73</v>
      </c>
      <c r="NY78" s="63"/>
      <c r="NZ78" s="64">
        <f t="shared" si="1600"/>
        <v>1152.73</v>
      </c>
      <c r="OA78" s="65"/>
      <c r="OB78" s="63"/>
      <c r="OC78" s="64">
        <f t="shared" si="1601"/>
        <v>0</v>
      </c>
      <c r="OD78" s="65">
        <v>100</v>
      </c>
      <c r="OE78" s="63"/>
      <c r="OF78" s="64">
        <f t="shared" si="1602"/>
        <v>100</v>
      </c>
      <c r="OG78" s="66">
        <f t="shared" si="1603"/>
        <v>1252.73</v>
      </c>
      <c r="OH78" s="67">
        <f t="shared" si="1604"/>
        <v>0</v>
      </c>
      <c r="OI78" s="64">
        <f t="shared" si="1605"/>
        <v>1252.73</v>
      </c>
      <c r="OJ78" s="62"/>
      <c r="OK78" s="63"/>
      <c r="OL78" s="64">
        <f t="shared" si="1606"/>
        <v>0</v>
      </c>
      <c r="OM78" s="65"/>
      <c r="ON78" s="63"/>
      <c r="OO78" s="64">
        <f t="shared" si="1607"/>
        <v>0</v>
      </c>
      <c r="OP78" s="65"/>
      <c r="OQ78" s="63"/>
      <c r="OR78" s="64">
        <f t="shared" si="1608"/>
        <v>0</v>
      </c>
      <c r="OS78" s="65">
        <v>100</v>
      </c>
      <c r="OT78" s="63"/>
      <c r="OU78" s="64">
        <f t="shared" si="1609"/>
        <v>100</v>
      </c>
      <c r="OV78" s="66">
        <f t="shared" si="1610"/>
        <v>100</v>
      </c>
      <c r="OW78" s="67">
        <f t="shared" si="1611"/>
        <v>0</v>
      </c>
      <c r="OX78" s="64">
        <f t="shared" si="1612"/>
        <v>100</v>
      </c>
      <c r="OY78" s="62"/>
      <c r="OZ78" s="63"/>
      <c r="PA78" s="64">
        <f t="shared" si="1613"/>
        <v>0</v>
      </c>
      <c r="PB78" s="65"/>
      <c r="PC78" s="63"/>
      <c r="PD78" s="64">
        <f t="shared" si="1614"/>
        <v>0</v>
      </c>
      <c r="PE78" s="65"/>
      <c r="PF78" s="63"/>
      <c r="PG78" s="64">
        <f t="shared" si="1615"/>
        <v>0</v>
      </c>
      <c r="PH78" s="65">
        <v>100</v>
      </c>
      <c r="PI78" s="63"/>
      <c r="PJ78" s="64">
        <f t="shared" si="1616"/>
        <v>100</v>
      </c>
      <c r="PK78" s="66">
        <f t="shared" si="1617"/>
        <v>100</v>
      </c>
      <c r="PL78" s="67">
        <f t="shared" si="1618"/>
        <v>0</v>
      </c>
      <c r="PM78" s="64">
        <f t="shared" si="1619"/>
        <v>100</v>
      </c>
      <c r="PN78" s="62">
        <v>1550</v>
      </c>
      <c r="PO78" s="63"/>
      <c r="PP78" s="64">
        <f t="shared" si="1620"/>
        <v>1550</v>
      </c>
      <c r="PQ78" s="65"/>
      <c r="PR78" s="63"/>
      <c r="PS78" s="64">
        <f t="shared" si="1621"/>
        <v>0</v>
      </c>
      <c r="PT78" s="65"/>
      <c r="PU78" s="63"/>
      <c r="PV78" s="64">
        <f t="shared" si="1622"/>
        <v>0</v>
      </c>
      <c r="PW78" s="65">
        <v>100</v>
      </c>
      <c r="PX78" s="63"/>
      <c r="PY78" s="64">
        <f t="shared" si="1623"/>
        <v>100</v>
      </c>
      <c r="PZ78" s="66">
        <f t="shared" si="1624"/>
        <v>1650</v>
      </c>
      <c r="QA78" s="67">
        <f t="shared" si="1625"/>
        <v>0</v>
      </c>
      <c r="QB78" s="64">
        <f t="shared" si="1626"/>
        <v>1650</v>
      </c>
      <c r="QC78" s="62"/>
      <c r="QD78" s="63"/>
      <c r="QE78" s="64">
        <f t="shared" si="1627"/>
        <v>0</v>
      </c>
      <c r="QF78" s="65"/>
      <c r="QG78" s="63"/>
      <c r="QH78" s="64">
        <f t="shared" si="1628"/>
        <v>0</v>
      </c>
      <c r="QI78" s="65"/>
      <c r="QJ78" s="63"/>
      <c r="QK78" s="64">
        <f t="shared" si="1629"/>
        <v>0</v>
      </c>
      <c r="QL78" s="65">
        <v>100</v>
      </c>
      <c r="QM78" s="63"/>
      <c r="QN78" s="64">
        <f t="shared" si="1630"/>
        <v>100</v>
      </c>
      <c r="QO78" s="66">
        <f t="shared" si="1631"/>
        <v>100</v>
      </c>
      <c r="QP78" s="67">
        <f t="shared" si="1632"/>
        <v>0</v>
      </c>
      <c r="QQ78" s="64">
        <f t="shared" si="1633"/>
        <v>100</v>
      </c>
      <c r="QR78" s="74"/>
      <c r="QS78" s="74"/>
      <c r="QT78" s="72"/>
      <c r="QU78" s="73"/>
      <c r="QV78" s="74"/>
      <c r="QW78" s="75"/>
      <c r="QX78" s="73"/>
      <c r="QY78" s="74"/>
      <c r="QZ78" s="75"/>
      <c r="RA78" s="73"/>
      <c r="RB78" s="74"/>
      <c r="RC78" s="75"/>
      <c r="RD78" s="73"/>
      <c r="RE78" s="74"/>
      <c r="RF78" s="74"/>
      <c r="RG78" s="72"/>
      <c r="RH78" s="73"/>
      <c r="RI78" s="74"/>
      <c r="RJ78" s="75"/>
      <c r="RK78" s="73"/>
      <c r="RL78" s="74"/>
      <c r="RM78" s="75"/>
      <c r="RN78" s="73"/>
      <c r="RO78" s="74"/>
      <c r="RP78" s="75"/>
      <c r="RQ78" s="73"/>
      <c r="RR78" s="74"/>
      <c r="RS78" s="76"/>
      <c r="RT78" s="77"/>
      <c r="RU78" s="74"/>
      <c r="RV78" s="74"/>
      <c r="RW78" s="72"/>
      <c r="RX78" s="73"/>
      <c r="RY78" s="74"/>
      <c r="RZ78" s="75"/>
      <c r="SA78" s="73"/>
      <c r="SB78" s="74"/>
      <c r="SC78" s="75"/>
      <c r="SD78" s="73"/>
      <c r="SE78" s="74"/>
      <c r="SF78" s="75"/>
      <c r="SG78" s="73"/>
      <c r="SH78" s="74"/>
      <c r="SI78" s="76"/>
      <c r="SJ78" s="64">
        <f t="shared" si="1634"/>
        <v>0</v>
      </c>
      <c r="SK78" s="62"/>
      <c r="SL78" s="63"/>
      <c r="SM78" s="64">
        <f t="shared" si="1635"/>
        <v>0</v>
      </c>
      <c r="SN78" s="65"/>
      <c r="SO78" s="63"/>
      <c r="SP78" s="64">
        <f t="shared" si="1636"/>
        <v>0</v>
      </c>
      <c r="SQ78" s="65"/>
      <c r="SR78" s="63"/>
      <c r="SS78" s="64">
        <f t="shared" si="1637"/>
        <v>0</v>
      </c>
      <c r="ST78" s="65">
        <v>100</v>
      </c>
      <c r="SU78" s="63"/>
      <c r="SV78" s="64">
        <f t="shared" si="1638"/>
        <v>100</v>
      </c>
      <c r="SW78" s="66">
        <f t="shared" si="1639"/>
        <v>100</v>
      </c>
      <c r="SX78" s="67">
        <f t="shared" si="1640"/>
        <v>0</v>
      </c>
      <c r="SY78" s="64">
        <f t="shared" si="1641"/>
        <v>100</v>
      </c>
      <c r="SZ78" s="62">
        <v>985.33</v>
      </c>
      <c r="TA78" s="63"/>
      <c r="TB78" s="64">
        <f t="shared" si="1642"/>
        <v>985.33</v>
      </c>
      <c r="TC78" s="65">
        <v>700.9</v>
      </c>
      <c r="TD78" s="63"/>
      <c r="TE78" s="64">
        <f t="shared" si="1643"/>
        <v>700.9</v>
      </c>
      <c r="TF78" s="65"/>
      <c r="TG78" s="63"/>
      <c r="TH78" s="64">
        <f t="shared" si="1644"/>
        <v>0</v>
      </c>
      <c r="TI78" s="65">
        <v>100</v>
      </c>
      <c r="TJ78" s="63"/>
      <c r="TK78" s="64">
        <f t="shared" si="1645"/>
        <v>100</v>
      </c>
      <c r="TL78" s="66">
        <f t="shared" si="1646"/>
        <v>1786.23</v>
      </c>
      <c r="TM78" s="67">
        <f t="shared" si="1647"/>
        <v>0</v>
      </c>
      <c r="TN78" s="64">
        <f t="shared" si="1648"/>
        <v>1786.23</v>
      </c>
      <c r="TO78" s="62">
        <v>3875</v>
      </c>
      <c r="TP78" s="63"/>
      <c r="TQ78" s="64">
        <f t="shared" si="1649"/>
        <v>3875</v>
      </c>
      <c r="TR78" s="65"/>
      <c r="TS78" s="63"/>
      <c r="TT78" s="64">
        <f t="shared" si="1650"/>
        <v>0</v>
      </c>
      <c r="TU78" s="65"/>
      <c r="TV78" s="63"/>
      <c r="TW78" s="64">
        <f t="shared" si="1651"/>
        <v>0</v>
      </c>
      <c r="TX78" s="65">
        <v>100</v>
      </c>
      <c r="TY78" s="63"/>
      <c r="TZ78" s="64">
        <f t="shared" si="1652"/>
        <v>100</v>
      </c>
      <c r="UA78" s="66">
        <f t="shared" si="1653"/>
        <v>3975</v>
      </c>
      <c r="UB78" s="67">
        <f t="shared" si="1654"/>
        <v>0</v>
      </c>
      <c r="UC78" s="64">
        <f t="shared" si="1655"/>
        <v>3975</v>
      </c>
      <c r="UD78" s="62"/>
      <c r="UE78" s="63"/>
      <c r="UF78" s="64">
        <f t="shared" si="1656"/>
        <v>0</v>
      </c>
      <c r="UG78" s="65">
        <v>497.04</v>
      </c>
      <c r="UH78" s="63"/>
      <c r="UI78" s="64">
        <f t="shared" si="1657"/>
        <v>497.04</v>
      </c>
      <c r="UJ78" s="65"/>
      <c r="UK78" s="63"/>
      <c r="UL78" s="64">
        <f t="shared" si="1658"/>
        <v>0</v>
      </c>
      <c r="UM78" s="65">
        <v>100</v>
      </c>
      <c r="UN78" s="63"/>
      <c r="UO78" s="64">
        <f t="shared" si="1659"/>
        <v>100</v>
      </c>
      <c r="UP78" s="66">
        <f t="shared" si="1660"/>
        <v>597.04</v>
      </c>
      <c r="UQ78" s="67">
        <f t="shared" si="1661"/>
        <v>0</v>
      </c>
      <c r="UR78" s="64">
        <f t="shared" si="1662"/>
        <v>597.04</v>
      </c>
      <c r="US78" s="74"/>
      <c r="UT78" s="72"/>
      <c r="UU78" s="73"/>
      <c r="UV78" s="74"/>
      <c r="UW78" s="75"/>
      <c r="UX78" s="73"/>
      <c r="UY78" s="74"/>
      <c r="UZ78" s="75"/>
      <c r="VA78" s="73"/>
      <c r="VB78" s="74"/>
      <c r="VC78" s="75"/>
      <c r="VD78" s="73"/>
      <c r="VE78" s="74"/>
      <c r="VF78" s="76"/>
      <c r="VG78" s="77"/>
      <c r="VH78" s="62"/>
      <c r="VI78" s="63"/>
      <c r="VJ78" s="64">
        <f t="shared" si="1663"/>
        <v>0</v>
      </c>
      <c r="VK78" s="65"/>
      <c r="VL78" s="63"/>
      <c r="VM78" s="64">
        <f t="shared" si="1664"/>
        <v>0</v>
      </c>
      <c r="VN78" s="65"/>
      <c r="VO78" s="63"/>
      <c r="VP78" s="64">
        <f t="shared" si="1665"/>
        <v>0</v>
      </c>
      <c r="VQ78" s="65">
        <v>100</v>
      </c>
      <c r="VR78" s="63"/>
      <c r="VS78" s="64">
        <f t="shared" si="1666"/>
        <v>100</v>
      </c>
      <c r="VT78" s="66">
        <f t="shared" si="1667"/>
        <v>100</v>
      </c>
      <c r="VU78" s="67">
        <f t="shared" si="1668"/>
        <v>0</v>
      </c>
      <c r="VV78" s="64">
        <f t="shared" si="1669"/>
        <v>100</v>
      </c>
      <c r="VW78" s="74"/>
      <c r="VX78" s="72"/>
      <c r="VY78" s="73"/>
      <c r="VZ78" s="74"/>
      <c r="WA78" s="75"/>
      <c r="WB78" s="73"/>
      <c r="WC78" s="74"/>
      <c r="WD78" s="75"/>
      <c r="WE78" s="73"/>
      <c r="WF78" s="74"/>
      <c r="WG78" s="75"/>
      <c r="WH78" s="73"/>
      <c r="WI78" s="74"/>
      <c r="WJ78" s="76"/>
      <c r="WK78" s="77"/>
      <c r="WL78" s="74"/>
      <c r="WM78" s="72"/>
      <c r="WN78" s="73"/>
      <c r="WO78" s="74"/>
      <c r="WP78" s="75"/>
      <c r="WQ78" s="73"/>
      <c r="WR78" s="74"/>
      <c r="WS78" s="75"/>
      <c r="WT78" s="73"/>
      <c r="WU78" s="74"/>
      <c r="WV78" s="75"/>
      <c r="WW78" s="73"/>
      <c r="WX78" s="74"/>
      <c r="WY78" s="76"/>
      <c r="WZ78" s="77"/>
      <c r="XA78" s="74"/>
      <c r="XB78" s="72"/>
      <c r="XC78" s="73"/>
      <c r="XD78" s="74"/>
      <c r="XE78" s="75"/>
      <c r="XF78" s="73"/>
      <c r="XG78" s="74"/>
      <c r="XH78" s="75"/>
      <c r="XI78" s="73"/>
      <c r="XJ78" s="74"/>
      <c r="XK78" s="75"/>
      <c r="XL78" s="73"/>
      <c r="XM78" s="74"/>
      <c r="XN78" s="76"/>
      <c r="XO78" s="77"/>
      <c r="XP78" s="62"/>
      <c r="XQ78" s="63"/>
      <c r="XR78" s="64">
        <f t="shared" si="1670"/>
        <v>0</v>
      </c>
      <c r="XS78" s="65">
        <v>844.24</v>
      </c>
      <c r="XT78" s="63"/>
      <c r="XU78" s="64">
        <f t="shared" si="1671"/>
        <v>844.24</v>
      </c>
      <c r="XV78" s="65"/>
      <c r="XW78" s="63"/>
      <c r="XX78" s="64">
        <f t="shared" si="1672"/>
        <v>0</v>
      </c>
      <c r="XY78" s="65">
        <v>100</v>
      </c>
      <c r="XZ78" s="63"/>
      <c r="YA78" s="64">
        <f t="shared" si="1673"/>
        <v>100</v>
      </c>
      <c r="YB78" s="66">
        <f t="shared" si="1674"/>
        <v>944.24</v>
      </c>
      <c r="YC78" s="67">
        <f t="shared" si="1675"/>
        <v>0</v>
      </c>
      <c r="YD78" s="64">
        <f t="shared" si="1676"/>
        <v>944.24</v>
      </c>
      <c r="YE78" s="62"/>
      <c r="YF78" s="63"/>
      <c r="YG78" s="64">
        <f t="shared" si="1677"/>
        <v>0</v>
      </c>
      <c r="YH78" s="65">
        <v>847.85</v>
      </c>
      <c r="YI78" s="63"/>
      <c r="YJ78" s="64">
        <f t="shared" si="1678"/>
        <v>847.85</v>
      </c>
      <c r="YK78" s="65"/>
      <c r="YL78" s="63"/>
      <c r="YM78" s="64">
        <f t="shared" si="1679"/>
        <v>0</v>
      </c>
      <c r="YN78" s="65">
        <v>100</v>
      </c>
      <c r="YO78" s="63"/>
      <c r="YP78" s="64">
        <f t="shared" si="1680"/>
        <v>100</v>
      </c>
      <c r="YQ78" s="66">
        <f t="shared" si="1681"/>
        <v>947.85</v>
      </c>
      <c r="YR78" s="67">
        <f t="shared" si="1682"/>
        <v>0</v>
      </c>
      <c r="YS78" s="64">
        <f t="shared" si="1683"/>
        <v>947.85</v>
      </c>
      <c r="YT78" s="62"/>
      <c r="YU78" s="63"/>
      <c r="YV78" s="64">
        <f t="shared" si="1684"/>
        <v>0</v>
      </c>
      <c r="YW78" s="65">
        <v>695.73</v>
      </c>
      <c r="YX78" s="63"/>
      <c r="YY78" s="64">
        <f t="shared" si="1685"/>
        <v>695.73</v>
      </c>
      <c r="YZ78" s="65"/>
      <c r="ZA78" s="63"/>
      <c r="ZB78" s="64">
        <f t="shared" si="1686"/>
        <v>0</v>
      </c>
      <c r="ZC78" s="65">
        <v>100</v>
      </c>
      <c r="ZD78" s="63"/>
      <c r="ZE78" s="64">
        <f t="shared" si="1687"/>
        <v>100</v>
      </c>
      <c r="ZF78" s="66">
        <f t="shared" si="1688"/>
        <v>795.73</v>
      </c>
      <c r="ZG78" s="67">
        <f t="shared" si="1689"/>
        <v>0</v>
      </c>
      <c r="ZH78" s="74"/>
      <c r="ZI78" s="72"/>
      <c r="ZJ78" s="73"/>
      <c r="ZK78" s="74"/>
      <c r="ZL78" s="75"/>
      <c r="ZM78" s="73"/>
      <c r="ZN78" s="74"/>
      <c r="ZO78" s="75"/>
      <c r="ZP78" s="73"/>
      <c r="ZQ78" s="74"/>
      <c r="ZR78" s="75"/>
      <c r="ZS78" s="73"/>
      <c r="ZT78" s="74"/>
      <c r="ZU78" s="76"/>
      <c r="ZV78" s="77"/>
      <c r="ZW78" s="64">
        <f t="shared" si="1690"/>
        <v>0</v>
      </c>
      <c r="ZX78" s="62">
        <v>24.71</v>
      </c>
      <c r="ZY78" s="63"/>
      <c r="ZZ78" s="64">
        <f t="shared" si="1691"/>
        <v>24.71</v>
      </c>
      <c r="AAA78" s="66">
        <f t="shared" si="1692"/>
        <v>24.71</v>
      </c>
      <c r="AAB78" s="67">
        <f t="shared" si="1692"/>
        <v>0</v>
      </c>
      <c r="AAC78" s="64">
        <f t="shared" si="1693"/>
        <v>24.71</v>
      </c>
      <c r="AAD78" s="85">
        <f t="shared" si="1694"/>
        <v>46741.18</v>
      </c>
      <c r="AAE78" s="86">
        <f t="shared" si="1694"/>
        <v>0</v>
      </c>
      <c r="AAF78" s="87">
        <f t="shared" si="1457"/>
        <v>0</v>
      </c>
      <c r="AAG78" s="88">
        <f t="shared" si="1695"/>
        <v>-46741.18</v>
      </c>
      <c r="AAH78" s="94">
        <f>AAH76/AAH72</f>
        <v>0</v>
      </c>
      <c r="AAI78" s="95"/>
      <c r="AAJ78" s="95"/>
      <c r="AAK78" s="60"/>
    </row>
    <row r="79" spans="1:713" s="83" customFormat="1" ht="20" customHeight="1" x14ac:dyDescent="0.2">
      <c r="A79" s="153"/>
      <c r="B79" s="94"/>
      <c r="C79" s="95"/>
      <c r="D79" s="95"/>
      <c r="E79" s="60"/>
      <c r="F79" s="61">
        <v>46661</v>
      </c>
      <c r="G79" s="62"/>
      <c r="H79" s="63"/>
      <c r="I79" s="64">
        <f t="shared" si="1458"/>
        <v>0</v>
      </c>
      <c r="J79" s="65">
        <v>1991.8</v>
      </c>
      <c r="K79" s="63"/>
      <c r="L79" s="64">
        <f t="shared" si="1459"/>
        <v>1991.8</v>
      </c>
      <c r="M79" s="65">
        <v>2500</v>
      </c>
      <c r="N79" s="63"/>
      <c r="O79" s="64">
        <f t="shared" si="1460"/>
        <v>2500</v>
      </c>
      <c r="P79" s="65">
        <v>1000</v>
      </c>
      <c r="Q79" s="63"/>
      <c r="R79" s="64">
        <f t="shared" si="1461"/>
        <v>1000</v>
      </c>
      <c r="S79" s="65">
        <v>181</v>
      </c>
      <c r="T79" s="63"/>
      <c r="U79" s="64">
        <f t="shared" si="1462"/>
        <v>181</v>
      </c>
      <c r="V79" s="66">
        <f t="shared" si="1463"/>
        <v>5672.8</v>
      </c>
      <c r="W79" s="67">
        <f t="shared" si="1463"/>
        <v>0</v>
      </c>
      <c r="X79" s="64">
        <f t="shared" si="1464"/>
        <v>5672.8</v>
      </c>
      <c r="Y79" s="72"/>
      <c r="Z79" s="73"/>
      <c r="AA79" s="74"/>
      <c r="AB79" s="75"/>
      <c r="AC79" s="73"/>
      <c r="AD79" s="74"/>
      <c r="AE79" s="75"/>
      <c r="AF79" s="73"/>
      <c r="AG79" s="74"/>
      <c r="AH79" s="75"/>
      <c r="AI79" s="73"/>
      <c r="AJ79" s="74"/>
      <c r="AK79" s="76"/>
      <c r="AL79" s="77"/>
      <c r="AM79" s="64">
        <f t="shared" si="1465"/>
        <v>0</v>
      </c>
      <c r="AN79" s="62"/>
      <c r="AO79" s="63"/>
      <c r="AP79" s="64">
        <f t="shared" si="1696"/>
        <v>0</v>
      </c>
      <c r="AQ79" s="65"/>
      <c r="AR79" s="63"/>
      <c r="AS79" s="64">
        <f t="shared" si="1466"/>
        <v>0</v>
      </c>
      <c r="AT79" s="65"/>
      <c r="AU79" s="63"/>
      <c r="AV79" s="64">
        <f t="shared" si="1467"/>
        <v>0</v>
      </c>
      <c r="AW79" s="65"/>
      <c r="AX79" s="63"/>
      <c r="AY79" s="64">
        <f t="shared" si="1468"/>
        <v>0</v>
      </c>
      <c r="AZ79" s="66">
        <f t="shared" si="1469"/>
        <v>0</v>
      </c>
      <c r="BA79" s="67">
        <f t="shared" si="1470"/>
        <v>0</v>
      </c>
      <c r="BB79" s="64">
        <f t="shared" si="1471"/>
        <v>0</v>
      </c>
      <c r="BC79" s="62">
        <v>6150</v>
      </c>
      <c r="BD79" s="63"/>
      <c r="BE79" s="64">
        <f t="shared" si="1472"/>
        <v>6150</v>
      </c>
      <c r="BF79" s="65"/>
      <c r="BG79" s="63"/>
      <c r="BH79" s="64">
        <f t="shared" si="1473"/>
        <v>0</v>
      </c>
      <c r="BI79" s="65"/>
      <c r="BJ79" s="63"/>
      <c r="BK79" s="64">
        <f t="shared" si="1474"/>
        <v>0</v>
      </c>
      <c r="BL79" s="65">
        <v>100</v>
      </c>
      <c r="BM79" s="63"/>
      <c r="BN79" s="64">
        <f t="shared" si="1475"/>
        <v>100</v>
      </c>
      <c r="BO79" s="66">
        <f t="shared" si="1476"/>
        <v>6250</v>
      </c>
      <c r="BP79" s="67">
        <f t="shared" si="1477"/>
        <v>0</v>
      </c>
      <c r="BQ79" s="64">
        <f t="shared" si="1478"/>
        <v>6250</v>
      </c>
      <c r="BR79" s="72"/>
      <c r="BS79" s="73"/>
      <c r="BT79" s="74"/>
      <c r="BU79" s="75"/>
      <c r="BV79" s="73"/>
      <c r="BW79" s="74"/>
      <c r="BX79" s="75"/>
      <c r="BY79" s="73"/>
      <c r="BZ79" s="74"/>
      <c r="CA79" s="75"/>
      <c r="CB79" s="73"/>
      <c r="CC79" s="74"/>
      <c r="CD79" s="76"/>
      <c r="CE79" s="77"/>
      <c r="CF79" s="64">
        <f t="shared" si="1479"/>
        <v>0</v>
      </c>
      <c r="CG79" s="62"/>
      <c r="CH79" s="63"/>
      <c r="CI79" s="64">
        <f t="shared" si="1480"/>
        <v>0</v>
      </c>
      <c r="CJ79" s="65"/>
      <c r="CK79" s="63"/>
      <c r="CL79" s="64">
        <f t="shared" si="1481"/>
        <v>0</v>
      </c>
      <c r="CM79" s="65"/>
      <c r="CN79" s="63"/>
      <c r="CO79" s="64">
        <f t="shared" si="1482"/>
        <v>0</v>
      </c>
      <c r="CP79" s="65"/>
      <c r="CQ79" s="63"/>
      <c r="CR79" s="64">
        <f t="shared" si="1483"/>
        <v>0</v>
      </c>
      <c r="CS79" s="66">
        <f t="shared" si="1484"/>
        <v>0</v>
      </c>
      <c r="CT79" s="67">
        <f t="shared" si="1485"/>
        <v>0</v>
      </c>
      <c r="CU79" s="64">
        <f t="shared" si="1486"/>
        <v>0</v>
      </c>
      <c r="CV79" s="62">
        <v>2916.7</v>
      </c>
      <c r="CW79" s="63"/>
      <c r="CX79" s="64">
        <f t="shared" si="1487"/>
        <v>2916.7</v>
      </c>
      <c r="CY79" s="65">
        <v>429.15</v>
      </c>
      <c r="CZ79" s="63"/>
      <c r="DA79" s="64">
        <f t="shared" si="1488"/>
        <v>429.15</v>
      </c>
      <c r="DB79" s="65"/>
      <c r="DC79" s="63"/>
      <c r="DD79" s="64">
        <f t="shared" si="1489"/>
        <v>0</v>
      </c>
      <c r="DE79" s="65"/>
      <c r="DF79" s="63"/>
      <c r="DG79" s="64">
        <f t="shared" si="1490"/>
        <v>0</v>
      </c>
      <c r="DH79" s="66">
        <f t="shared" si="1491"/>
        <v>3345.85</v>
      </c>
      <c r="DI79" s="67">
        <f t="shared" si="1492"/>
        <v>0</v>
      </c>
      <c r="DJ79" s="64">
        <f t="shared" si="1493"/>
        <v>3345.85</v>
      </c>
      <c r="DK79" s="62">
        <v>2400</v>
      </c>
      <c r="DL79" s="63"/>
      <c r="DM79" s="64">
        <f t="shared" si="1494"/>
        <v>2400</v>
      </c>
      <c r="DN79" s="65">
        <v>913.08</v>
      </c>
      <c r="DO79" s="63"/>
      <c r="DP79" s="64">
        <f t="shared" si="1495"/>
        <v>913.08</v>
      </c>
      <c r="DQ79" s="65"/>
      <c r="DR79" s="63"/>
      <c r="DS79" s="64">
        <f t="shared" si="1496"/>
        <v>0</v>
      </c>
      <c r="DT79" s="65">
        <v>100</v>
      </c>
      <c r="DU79" s="63"/>
      <c r="DV79" s="64">
        <f t="shared" si="1497"/>
        <v>100</v>
      </c>
      <c r="DW79" s="66">
        <f t="shared" si="1498"/>
        <v>3413.08</v>
      </c>
      <c r="DX79" s="67">
        <f t="shared" si="1499"/>
        <v>0</v>
      </c>
      <c r="DY79" s="64">
        <f t="shared" si="1500"/>
        <v>3413.08</v>
      </c>
      <c r="DZ79" s="62"/>
      <c r="EA79" s="63"/>
      <c r="EB79" s="64">
        <f t="shared" si="1501"/>
        <v>0</v>
      </c>
      <c r="EC79" s="65"/>
      <c r="ED79" s="63"/>
      <c r="EE79" s="64">
        <f t="shared" si="1502"/>
        <v>0</v>
      </c>
      <c r="EF79" s="65"/>
      <c r="EG79" s="63"/>
      <c r="EH79" s="64">
        <f t="shared" si="1503"/>
        <v>0</v>
      </c>
      <c r="EI79" s="65">
        <v>100</v>
      </c>
      <c r="EJ79" s="63"/>
      <c r="EK79" s="64">
        <f t="shared" si="1504"/>
        <v>100</v>
      </c>
      <c r="EL79" s="66">
        <f t="shared" si="1505"/>
        <v>100</v>
      </c>
      <c r="EM79" s="67">
        <f t="shared" si="1506"/>
        <v>0</v>
      </c>
      <c r="EN79" s="64">
        <f t="shared" si="1507"/>
        <v>100</v>
      </c>
      <c r="EO79" s="62">
        <v>6150</v>
      </c>
      <c r="EP79" s="63"/>
      <c r="EQ79" s="64">
        <f t="shared" si="1508"/>
        <v>6150</v>
      </c>
      <c r="ER79" s="65"/>
      <c r="ES79" s="63"/>
      <c r="ET79" s="64">
        <f t="shared" si="1509"/>
        <v>0</v>
      </c>
      <c r="EU79" s="65"/>
      <c r="EV79" s="63"/>
      <c r="EW79" s="64">
        <f t="shared" si="1510"/>
        <v>0</v>
      </c>
      <c r="EX79" s="65">
        <v>100</v>
      </c>
      <c r="EY79" s="63"/>
      <c r="EZ79" s="64">
        <f t="shared" si="1511"/>
        <v>100</v>
      </c>
      <c r="FA79" s="66">
        <f t="shared" si="1512"/>
        <v>6250</v>
      </c>
      <c r="FB79" s="67">
        <f t="shared" si="1513"/>
        <v>0</v>
      </c>
      <c r="FC79" s="64">
        <f t="shared" si="1514"/>
        <v>6250</v>
      </c>
      <c r="FD79" s="62">
        <v>6150</v>
      </c>
      <c r="FE79" s="63"/>
      <c r="FF79" s="64">
        <f t="shared" si="1515"/>
        <v>6150</v>
      </c>
      <c r="FG79" s="65"/>
      <c r="FH79" s="63"/>
      <c r="FI79" s="64">
        <f t="shared" si="1516"/>
        <v>0</v>
      </c>
      <c r="FJ79" s="65"/>
      <c r="FK79" s="63"/>
      <c r="FL79" s="64">
        <f t="shared" si="1517"/>
        <v>0</v>
      </c>
      <c r="FM79" s="65">
        <v>100</v>
      </c>
      <c r="FN79" s="63"/>
      <c r="FO79" s="64">
        <f t="shared" si="1518"/>
        <v>100</v>
      </c>
      <c r="FP79" s="66">
        <f t="shared" si="1519"/>
        <v>6250</v>
      </c>
      <c r="FQ79" s="67">
        <f t="shared" si="1520"/>
        <v>0</v>
      </c>
      <c r="FR79" s="64">
        <f t="shared" si="1521"/>
        <v>6250</v>
      </c>
      <c r="FS79" s="62"/>
      <c r="FT79" s="63"/>
      <c r="FU79" s="64">
        <f t="shared" si="1522"/>
        <v>0</v>
      </c>
      <c r="FV79" s="65">
        <v>485.35</v>
      </c>
      <c r="FW79" s="63"/>
      <c r="FX79" s="64">
        <f t="shared" si="1523"/>
        <v>485.35</v>
      </c>
      <c r="FY79" s="65"/>
      <c r="FZ79" s="63"/>
      <c r="GA79" s="64">
        <f t="shared" si="1524"/>
        <v>0</v>
      </c>
      <c r="GB79" s="65"/>
      <c r="GC79" s="63"/>
      <c r="GD79" s="64">
        <f t="shared" si="1525"/>
        <v>0</v>
      </c>
      <c r="GE79" s="66">
        <f t="shared" si="1526"/>
        <v>485.35</v>
      </c>
      <c r="GF79" s="67">
        <f t="shared" si="1527"/>
        <v>0</v>
      </c>
      <c r="GG79" s="64">
        <f t="shared" si="1528"/>
        <v>485.35</v>
      </c>
      <c r="GH79" s="62"/>
      <c r="GI79" s="63"/>
      <c r="GJ79" s="64">
        <f t="shared" si="1529"/>
        <v>0</v>
      </c>
      <c r="GK79" s="65">
        <v>660.33</v>
      </c>
      <c r="GL79" s="63"/>
      <c r="GM79" s="64">
        <f t="shared" si="1530"/>
        <v>660.33</v>
      </c>
      <c r="GN79" s="65"/>
      <c r="GO79" s="63"/>
      <c r="GP79" s="64">
        <f t="shared" si="1531"/>
        <v>0</v>
      </c>
      <c r="GQ79" s="65"/>
      <c r="GR79" s="63"/>
      <c r="GS79" s="64">
        <f t="shared" si="1532"/>
        <v>0</v>
      </c>
      <c r="GT79" s="66">
        <f t="shared" si="1533"/>
        <v>660.33</v>
      </c>
      <c r="GU79" s="67">
        <f t="shared" si="1534"/>
        <v>0</v>
      </c>
      <c r="GV79" s="64">
        <f t="shared" si="1535"/>
        <v>660.33</v>
      </c>
      <c r="GW79" s="62"/>
      <c r="GX79" s="63"/>
      <c r="GY79" s="64">
        <f t="shared" si="1536"/>
        <v>0</v>
      </c>
      <c r="GZ79" s="65">
        <v>568.25</v>
      </c>
      <c r="HA79" s="63"/>
      <c r="HB79" s="64">
        <f t="shared" si="1537"/>
        <v>568.25</v>
      </c>
      <c r="HC79" s="65"/>
      <c r="HD79" s="63"/>
      <c r="HE79" s="64">
        <f t="shared" si="1538"/>
        <v>0</v>
      </c>
      <c r="HF79" s="65">
        <v>100</v>
      </c>
      <c r="HG79" s="63"/>
      <c r="HH79" s="64">
        <f t="shared" si="1539"/>
        <v>100</v>
      </c>
      <c r="HI79" s="66">
        <f t="shared" si="1540"/>
        <v>668.25</v>
      </c>
      <c r="HJ79" s="67">
        <f t="shared" si="1541"/>
        <v>0</v>
      </c>
      <c r="HK79" s="64">
        <f t="shared" si="1542"/>
        <v>668.25</v>
      </c>
      <c r="HL79" s="62">
        <v>6150</v>
      </c>
      <c r="HM79" s="63"/>
      <c r="HN79" s="64">
        <f t="shared" si="1543"/>
        <v>6150</v>
      </c>
      <c r="HO79" s="65"/>
      <c r="HP79" s="63"/>
      <c r="HQ79" s="64">
        <f t="shared" si="1544"/>
        <v>0</v>
      </c>
      <c r="HR79" s="65"/>
      <c r="HS79" s="63"/>
      <c r="HT79" s="64">
        <f t="shared" si="1545"/>
        <v>0</v>
      </c>
      <c r="HU79" s="65">
        <v>100</v>
      </c>
      <c r="HV79" s="63"/>
      <c r="HW79" s="64">
        <f t="shared" si="1546"/>
        <v>100</v>
      </c>
      <c r="HX79" s="66">
        <f t="shared" si="1547"/>
        <v>6250</v>
      </c>
      <c r="HY79" s="67">
        <f t="shared" si="1548"/>
        <v>0</v>
      </c>
      <c r="HZ79" s="64">
        <f t="shared" si="1549"/>
        <v>6250</v>
      </c>
      <c r="IA79" s="62"/>
      <c r="IB79" s="63"/>
      <c r="IC79" s="64">
        <f t="shared" si="1550"/>
        <v>0</v>
      </c>
      <c r="ID79" s="65"/>
      <c r="IE79" s="63"/>
      <c r="IF79" s="64">
        <f t="shared" si="1551"/>
        <v>0</v>
      </c>
      <c r="IG79" s="65"/>
      <c r="IH79" s="63"/>
      <c r="II79" s="64">
        <f t="shared" si="1552"/>
        <v>0</v>
      </c>
      <c r="IJ79" s="65">
        <v>100</v>
      </c>
      <c r="IK79" s="63"/>
      <c r="IL79" s="64">
        <f t="shared" si="1553"/>
        <v>100</v>
      </c>
      <c r="IM79" s="66">
        <f t="shared" si="1554"/>
        <v>100</v>
      </c>
      <c r="IN79" s="67">
        <f t="shared" si="1555"/>
        <v>0</v>
      </c>
      <c r="IO79" s="64">
        <f t="shared" si="1556"/>
        <v>100</v>
      </c>
      <c r="IP79" s="62"/>
      <c r="IQ79" s="63"/>
      <c r="IR79" s="64">
        <f t="shared" si="1557"/>
        <v>0</v>
      </c>
      <c r="IS79" s="65"/>
      <c r="IT79" s="63"/>
      <c r="IU79" s="64">
        <f t="shared" si="1558"/>
        <v>0</v>
      </c>
      <c r="IV79" s="65"/>
      <c r="IW79" s="63"/>
      <c r="IX79" s="64">
        <f t="shared" si="1559"/>
        <v>0</v>
      </c>
      <c r="IY79" s="65"/>
      <c r="IZ79" s="63"/>
      <c r="JA79" s="64">
        <f t="shared" si="1560"/>
        <v>0</v>
      </c>
      <c r="JB79" s="66">
        <f t="shared" si="1561"/>
        <v>0</v>
      </c>
      <c r="JC79" s="67">
        <f t="shared" si="1562"/>
        <v>0</v>
      </c>
      <c r="JD79" s="64">
        <f t="shared" si="1563"/>
        <v>0</v>
      </c>
      <c r="JE79" s="72"/>
      <c r="JF79" s="150"/>
      <c r="JG79" s="74"/>
      <c r="JH79" s="75"/>
      <c r="JI79" s="150"/>
      <c r="JJ79" s="74"/>
      <c r="JK79" s="75"/>
      <c r="JL79" s="150"/>
      <c r="JM79" s="74"/>
      <c r="JN79" s="75"/>
      <c r="JO79" s="150"/>
      <c r="JP79" s="74"/>
      <c r="JQ79" s="76"/>
      <c r="JR79" s="77"/>
      <c r="JS79" s="74"/>
      <c r="JT79" s="72"/>
      <c r="JU79" s="73"/>
      <c r="JV79" s="74"/>
      <c r="JW79" s="75"/>
      <c r="JX79" s="73"/>
      <c r="JY79" s="74"/>
      <c r="JZ79" s="75"/>
      <c r="KA79" s="73"/>
      <c r="KB79" s="74"/>
      <c r="KC79" s="75"/>
      <c r="KD79" s="73"/>
      <c r="KE79" s="74"/>
      <c r="KF79" s="76"/>
      <c r="KG79" s="77"/>
      <c r="KH79" s="64">
        <f t="shared" si="1564"/>
        <v>0</v>
      </c>
      <c r="KI79" s="62"/>
      <c r="KJ79" s="63"/>
      <c r="KK79" s="64">
        <f t="shared" si="1565"/>
        <v>0</v>
      </c>
      <c r="KL79" s="65"/>
      <c r="KM79" s="63"/>
      <c r="KN79" s="64">
        <f t="shared" si="1566"/>
        <v>0</v>
      </c>
      <c r="KO79" s="65"/>
      <c r="KP79" s="63"/>
      <c r="KQ79" s="64">
        <f t="shared" si="1567"/>
        <v>0</v>
      </c>
      <c r="KR79" s="65"/>
      <c r="KS79" s="63"/>
      <c r="KT79" s="64">
        <f t="shared" si="1568"/>
        <v>0</v>
      </c>
      <c r="KU79" s="66">
        <f t="shared" si="1439"/>
        <v>0</v>
      </c>
      <c r="KV79" s="67">
        <f t="shared" si="1569"/>
        <v>0</v>
      </c>
      <c r="KW79" s="64">
        <f t="shared" si="1570"/>
        <v>0</v>
      </c>
      <c r="KX79" s="72"/>
      <c r="KY79" s="73"/>
      <c r="KZ79" s="74"/>
      <c r="LA79" s="75"/>
      <c r="LB79" s="73"/>
      <c r="LC79" s="74"/>
      <c r="LD79" s="75"/>
      <c r="LE79" s="73"/>
      <c r="LF79" s="74"/>
      <c r="LG79" s="75"/>
      <c r="LH79" s="73"/>
      <c r="LI79" s="74"/>
      <c r="LJ79" s="76"/>
      <c r="LK79" s="77"/>
      <c r="LL79" s="74"/>
      <c r="LM79" s="62"/>
      <c r="LN79" s="63"/>
      <c r="LO79" s="64">
        <f t="shared" si="1571"/>
        <v>0</v>
      </c>
      <c r="LP79" s="65"/>
      <c r="LQ79" s="63"/>
      <c r="LR79" s="64">
        <f t="shared" si="1572"/>
        <v>0</v>
      </c>
      <c r="LS79" s="65"/>
      <c r="LT79" s="63"/>
      <c r="LU79" s="64">
        <f t="shared" si="1573"/>
        <v>0</v>
      </c>
      <c r="LV79" s="65">
        <v>100</v>
      </c>
      <c r="LW79" s="63"/>
      <c r="LX79" s="64">
        <f t="shared" si="1574"/>
        <v>100</v>
      </c>
      <c r="LY79" s="66">
        <f t="shared" si="1575"/>
        <v>100</v>
      </c>
      <c r="LZ79" s="67">
        <f t="shared" si="1576"/>
        <v>0</v>
      </c>
      <c r="MA79" s="64">
        <f t="shared" si="1577"/>
        <v>100</v>
      </c>
      <c r="MB79" s="62"/>
      <c r="MC79" s="63"/>
      <c r="MD79" s="64">
        <f t="shared" si="1578"/>
        <v>0</v>
      </c>
      <c r="ME79" s="65">
        <v>889.11</v>
      </c>
      <c r="MF79" s="63"/>
      <c r="MG79" s="64">
        <f t="shared" si="1579"/>
        <v>889.11</v>
      </c>
      <c r="MH79" s="65"/>
      <c r="MI79" s="63"/>
      <c r="MJ79" s="64">
        <f t="shared" si="1580"/>
        <v>0</v>
      </c>
      <c r="MK79" s="65">
        <v>100</v>
      </c>
      <c r="ML79" s="63"/>
      <c r="MM79" s="64">
        <f t="shared" si="1581"/>
        <v>100</v>
      </c>
      <c r="MN79" s="66">
        <f t="shared" si="1582"/>
        <v>989.11</v>
      </c>
      <c r="MO79" s="67">
        <f t="shared" si="1583"/>
        <v>0</v>
      </c>
      <c r="MP79" s="64">
        <f t="shared" si="1584"/>
        <v>989.11</v>
      </c>
      <c r="MQ79" s="62"/>
      <c r="MR79" s="63"/>
      <c r="MS79" s="64">
        <f t="shared" si="1585"/>
        <v>0</v>
      </c>
      <c r="MT79" s="65"/>
      <c r="MU79" s="63"/>
      <c r="MV79" s="64">
        <f t="shared" si="1586"/>
        <v>0</v>
      </c>
      <c r="MW79" s="65"/>
      <c r="MX79" s="63"/>
      <c r="MY79" s="64">
        <f t="shared" si="1587"/>
        <v>0</v>
      </c>
      <c r="MZ79" s="65"/>
      <c r="NA79" s="63"/>
      <c r="NB79" s="64">
        <f t="shared" si="1588"/>
        <v>0</v>
      </c>
      <c r="NC79" s="66">
        <f t="shared" si="1589"/>
        <v>0</v>
      </c>
      <c r="ND79" s="67">
        <f t="shared" si="1590"/>
        <v>0</v>
      </c>
      <c r="NE79" s="64">
        <f t="shared" si="1591"/>
        <v>0</v>
      </c>
      <c r="NF79" s="62"/>
      <c r="NG79" s="63"/>
      <c r="NH79" s="64">
        <f t="shared" si="1592"/>
        <v>0</v>
      </c>
      <c r="NI79" s="65">
        <v>1164.04</v>
      </c>
      <c r="NJ79" s="63"/>
      <c r="NK79" s="64">
        <f t="shared" si="1593"/>
        <v>1164.04</v>
      </c>
      <c r="NL79" s="65"/>
      <c r="NM79" s="63"/>
      <c r="NN79" s="64">
        <f t="shared" si="1594"/>
        <v>0</v>
      </c>
      <c r="NO79" s="65">
        <v>100</v>
      </c>
      <c r="NP79" s="63"/>
      <c r="NQ79" s="64">
        <f t="shared" si="1595"/>
        <v>100</v>
      </c>
      <c r="NR79" s="66">
        <f t="shared" si="1596"/>
        <v>1264.04</v>
      </c>
      <c r="NS79" s="67">
        <f t="shared" si="1597"/>
        <v>0</v>
      </c>
      <c r="NT79" s="64">
        <f t="shared" si="1598"/>
        <v>1264.04</v>
      </c>
      <c r="NU79" s="62"/>
      <c r="NV79" s="63"/>
      <c r="NW79" s="64">
        <f t="shared" si="1599"/>
        <v>0</v>
      </c>
      <c r="NX79" s="65">
        <v>1152.73</v>
      </c>
      <c r="NY79" s="63"/>
      <c r="NZ79" s="64">
        <f t="shared" si="1600"/>
        <v>1152.73</v>
      </c>
      <c r="OA79" s="65"/>
      <c r="OB79" s="63"/>
      <c r="OC79" s="64">
        <f t="shared" si="1601"/>
        <v>0</v>
      </c>
      <c r="OD79" s="65">
        <v>100</v>
      </c>
      <c r="OE79" s="63"/>
      <c r="OF79" s="64">
        <f t="shared" si="1602"/>
        <v>100</v>
      </c>
      <c r="OG79" s="66">
        <f t="shared" si="1603"/>
        <v>1252.73</v>
      </c>
      <c r="OH79" s="67">
        <f t="shared" si="1604"/>
        <v>0</v>
      </c>
      <c r="OI79" s="64">
        <f t="shared" si="1605"/>
        <v>1252.73</v>
      </c>
      <c r="OJ79" s="62"/>
      <c r="OK79" s="63"/>
      <c r="OL79" s="64">
        <f t="shared" si="1606"/>
        <v>0</v>
      </c>
      <c r="OM79" s="65"/>
      <c r="ON79" s="63"/>
      <c r="OO79" s="64">
        <f t="shared" si="1607"/>
        <v>0</v>
      </c>
      <c r="OP79" s="65"/>
      <c r="OQ79" s="63"/>
      <c r="OR79" s="64">
        <f t="shared" si="1608"/>
        <v>0</v>
      </c>
      <c r="OS79" s="65">
        <v>100</v>
      </c>
      <c r="OT79" s="63"/>
      <c r="OU79" s="64">
        <f t="shared" si="1609"/>
        <v>100</v>
      </c>
      <c r="OV79" s="66">
        <f t="shared" si="1610"/>
        <v>100</v>
      </c>
      <c r="OW79" s="67">
        <f t="shared" si="1611"/>
        <v>0</v>
      </c>
      <c r="OX79" s="64">
        <f t="shared" si="1612"/>
        <v>100</v>
      </c>
      <c r="OY79" s="62"/>
      <c r="OZ79" s="63"/>
      <c r="PA79" s="64">
        <f t="shared" si="1613"/>
        <v>0</v>
      </c>
      <c r="PB79" s="65"/>
      <c r="PC79" s="63"/>
      <c r="PD79" s="64">
        <f t="shared" si="1614"/>
        <v>0</v>
      </c>
      <c r="PE79" s="65"/>
      <c r="PF79" s="63"/>
      <c r="PG79" s="64">
        <f t="shared" si="1615"/>
        <v>0</v>
      </c>
      <c r="PH79" s="65">
        <v>100</v>
      </c>
      <c r="PI79" s="63"/>
      <c r="PJ79" s="64">
        <f t="shared" si="1616"/>
        <v>100</v>
      </c>
      <c r="PK79" s="66">
        <f t="shared" si="1617"/>
        <v>100</v>
      </c>
      <c r="PL79" s="67">
        <f t="shared" si="1618"/>
        <v>0</v>
      </c>
      <c r="PM79" s="64">
        <f t="shared" si="1619"/>
        <v>100</v>
      </c>
      <c r="PN79" s="62">
        <v>1550</v>
      </c>
      <c r="PO79" s="63"/>
      <c r="PP79" s="64">
        <f t="shared" si="1620"/>
        <v>1550</v>
      </c>
      <c r="PQ79" s="65"/>
      <c r="PR79" s="63"/>
      <c r="PS79" s="64">
        <f t="shared" si="1621"/>
        <v>0</v>
      </c>
      <c r="PT79" s="65"/>
      <c r="PU79" s="63"/>
      <c r="PV79" s="64">
        <f t="shared" si="1622"/>
        <v>0</v>
      </c>
      <c r="PW79" s="65">
        <v>100</v>
      </c>
      <c r="PX79" s="63"/>
      <c r="PY79" s="64">
        <f t="shared" si="1623"/>
        <v>100</v>
      </c>
      <c r="PZ79" s="66">
        <f t="shared" si="1624"/>
        <v>1650</v>
      </c>
      <c r="QA79" s="67">
        <f t="shared" si="1625"/>
        <v>0</v>
      </c>
      <c r="QB79" s="64">
        <f t="shared" si="1626"/>
        <v>1650</v>
      </c>
      <c r="QC79" s="62"/>
      <c r="QD79" s="63"/>
      <c r="QE79" s="64">
        <f t="shared" si="1627"/>
        <v>0</v>
      </c>
      <c r="QF79" s="65"/>
      <c r="QG79" s="63"/>
      <c r="QH79" s="64">
        <f t="shared" si="1628"/>
        <v>0</v>
      </c>
      <c r="QI79" s="65"/>
      <c r="QJ79" s="63"/>
      <c r="QK79" s="64">
        <f t="shared" si="1629"/>
        <v>0</v>
      </c>
      <c r="QL79" s="65">
        <v>100</v>
      </c>
      <c r="QM79" s="63"/>
      <c r="QN79" s="64">
        <f t="shared" si="1630"/>
        <v>100</v>
      </c>
      <c r="QO79" s="66">
        <f t="shared" si="1631"/>
        <v>100</v>
      </c>
      <c r="QP79" s="67">
        <f t="shared" si="1632"/>
        <v>0</v>
      </c>
      <c r="QQ79" s="64">
        <f t="shared" si="1633"/>
        <v>100</v>
      </c>
      <c r="QR79" s="74"/>
      <c r="QS79" s="74"/>
      <c r="QT79" s="72"/>
      <c r="QU79" s="73"/>
      <c r="QV79" s="74"/>
      <c r="QW79" s="75"/>
      <c r="QX79" s="73"/>
      <c r="QY79" s="74"/>
      <c r="QZ79" s="75"/>
      <c r="RA79" s="73"/>
      <c r="RB79" s="74"/>
      <c r="RC79" s="75"/>
      <c r="RD79" s="73"/>
      <c r="RE79" s="74"/>
      <c r="RF79" s="74"/>
      <c r="RG79" s="72"/>
      <c r="RH79" s="73"/>
      <c r="RI79" s="74"/>
      <c r="RJ79" s="75"/>
      <c r="RK79" s="73"/>
      <c r="RL79" s="74"/>
      <c r="RM79" s="75"/>
      <c r="RN79" s="73"/>
      <c r="RO79" s="74"/>
      <c r="RP79" s="75"/>
      <c r="RQ79" s="73"/>
      <c r="RR79" s="74"/>
      <c r="RS79" s="76"/>
      <c r="RT79" s="77"/>
      <c r="RU79" s="74"/>
      <c r="RV79" s="74"/>
      <c r="RW79" s="72"/>
      <c r="RX79" s="73"/>
      <c r="RY79" s="74"/>
      <c r="RZ79" s="75"/>
      <c r="SA79" s="73"/>
      <c r="SB79" s="74"/>
      <c r="SC79" s="75"/>
      <c r="SD79" s="73"/>
      <c r="SE79" s="74"/>
      <c r="SF79" s="75"/>
      <c r="SG79" s="73"/>
      <c r="SH79" s="74"/>
      <c r="SI79" s="76"/>
      <c r="SJ79" s="64">
        <f t="shared" si="1634"/>
        <v>0</v>
      </c>
      <c r="SK79" s="62"/>
      <c r="SL79" s="63"/>
      <c r="SM79" s="64">
        <f t="shared" si="1635"/>
        <v>0</v>
      </c>
      <c r="SN79" s="65"/>
      <c r="SO79" s="63"/>
      <c r="SP79" s="64">
        <f t="shared" si="1636"/>
        <v>0</v>
      </c>
      <c r="SQ79" s="65"/>
      <c r="SR79" s="63"/>
      <c r="SS79" s="64">
        <f t="shared" si="1637"/>
        <v>0</v>
      </c>
      <c r="ST79" s="65">
        <v>100</v>
      </c>
      <c r="SU79" s="63"/>
      <c r="SV79" s="64">
        <f t="shared" si="1638"/>
        <v>100</v>
      </c>
      <c r="SW79" s="66">
        <f t="shared" si="1639"/>
        <v>100</v>
      </c>
      <c r="SX79" s="67">
        <f t="shared" si="1640"/>
        <v>0</v>
      </c>
      <c r="SY79" s="64">
        <f t="shared" si="1641"/>
        <v>100</v>
      </c>
      <c r="SZ79" s="62">
        <v>985.33</v>
      </c>
      <c r="TA79" s="63"/>
      <c r="TB79" s="64">
        <f t="shared" si="1642"/>
        <v>985.33</v>
      </c>
      <c r="TC79" s="65">
        <v>700.9</v>
      </c>
      <c r="TD79" s="63"/>
      <c r="TE79" s="64">
        <f t="shared" si="1643"/>
        <v>700.9</v>
      </c>
      <c r="TF79" s="65"/>
      <c r="TG79" s="63"/>
      <c r="TH79" s="64">
        <f t="shared" si="1644"/>
        <v>0</v>
      </c>
      <c r="TI79" s="65">
        <v>100</v>
      </c>
      <c r="TJ79" s="63"/>
      <c r="TK79" s="64">
        <f t="shared" si="1645"/>
        <v>100</v>
      </c>
      <c r="TL79" s="66">
        <f t="shared" si="1646"/>
        <v>1786.23</v>
      </c>
      <c r="TM79" s="67">
        <f t="shared" si="1647"/>
        <v>0</v>
      </c>
      <c r="TN79" s="64">
        <f t="shared" si="1648"/>
        <v>1786.23</v>
      </c>
      <c r="TO79" s="62"/>
      <c r="TP79" s="63"/>
      <c r="TQ79" s="64">
        <f t="shared" si="1649"/>
        <v>0</v>
      </c>
      <c r="TR79" s="65"/>
      <c r="TS79" s="63"/>
      <c r="TT79" s="64">
        <f t="shared" si="1650"/>
        <v>0</v>
      </c>
      <c r="TU79" s="65"/>
      <c r="TV79" s="63"/>
      <c r="TW79" s="64">
        <f t="shared" si="1651"/>
        <v>0</v>
      </c>
      <c r="TX79" s="65">
        <v>100</v>
      </c>
      <c r="TY79" s="63"/>
      <c r="TZ79" s="64">
        <f t="shared" si="1652"/>
        <v>100</v>
      </c>
      <c r="UA79" s="66">
        <f t="shared" si="1653"/>
        <v>100</v>
      </c>
      <c r="UB79" s="67">
        <f t="shared" si="1654"/>
        <v>0</v>
      </c>
      <c r="UC79" s="64">
        <f t="shared" si="1655"/>
        <v>100</v>
      </c>
      <c r="UD79" s="62"/>
      <c r="UE79" s="63"/>
      <c r="UF79" s="64">
        <f t="shared" si="1656"/>
        <v>0</v>
      </c>
      <c r="UG79" s="65">
        <v>497.04</v>
      </c>
      <c r="UH79" s="63"/>
      <c r="UI79" s="64">
        <f t="shared" si="1657"/>
        <v>497.04</v>
      </c>
      <c r="UJ79" s="65"/>
      <c r="UK79" s="63"/>
      <c r="UL79" s="64">
        <f t="shared" si="1658"/>
        <v>0</v>
      </c>
      <c r="UM79" s="65">
        <v>100</v>
      </c>
      <c r="UN79" s="63"/>
      <c r="UO79" s="64">
        <f t="shared" si="1659"/>
        <v>100</v>
      </c>
      <c r="UP79" s="66">
        <f t="shared" si="1660"/>
        <v>597.04</v>
      </c>
      <c r="UQ79" s="67">
        <f t="shared" si="1661"/>
        <v>0</v>
      </c>
      <c r="UR79" s="64">
        <f t="shared" si="1662"/>
        <v>597.04</v>
      </c>
      <c r="US79" s="74"/>
      <c r="UT79" s="72"/>
      <c r="UU79" s="73"/>
      <c r="UV79" s="74"/>
      <c r="UW79" s="75"/>
      <c r="UX79" s="73"/>
      <c r="UY79" s="74"/>
      <c r="UZ79" s="75"/>
      <c r="VA79" s="73"/>
      <c r="VB79" s="74"/>
      <c r="VC79" s="75"/>
      <c r="VD79" s="73"/>
      <c r="VE79" s="74"/>
      <c r="VF79" s="76"/>
      <c r="VG79" s="77"/>
      <c r="VH79" s="62"/>
      <c r="VI79" s="63"/>
      <c r="VJ79" s="64">
        <f t="shared" si="1663"/>
        <v>0</v>
      </c>
      <c r="VK79" s="65"/>
      <c r="VL79" s="63"/>
      <c r="VM79" s="64">
        <f t="shared" si="1664"/>
        <v>0</v>
      </c>
      <c r="VN79" s="65"/>
      <c r="VO79" s="63"/>
      <c r="VP79" s="64">
        <f t="shared" si="1665"/>
        <v>0</v>
      </c>
      <c r="VQ79" s="65">
        <v>100</v>
      </c>
      <c r="VR79" s="63"/>
      <c r="VS79" s="64">
        <f t="shared" si="1666"/>
        <v>100</v>
      </c>
      <c r="VT79" s="66">
        <f t="shared" si="1667"/>
        <v>100</v>
      </c>
      <c r="VU79" s="67">
        <f t="shared" si="1668"/>
        <v>0</v>
      </c>
      <c r="VV79" s="64">
        <f t="shared" si="1669"/>
        <v>100</v>
      </c>
      <c r="VW79" s="74"/>
      <c r="VX79" s="72"/>
      <c r="VY79" s="73"/>
      <c r="VZ79" s="74"/>
      <c r="WA79" s="75"/>
      <c r="WB79" s="73"/>
      <c r="WC79" s="74"/>
      <c r="WD79" s="75"/>
      <c r="WE79" s="73"/>
      <c r="WF79" s="74"/>
      <c r="WG79" s="75"/>
      <c r="WH79" s="73"/>
      <c r="WI79" s="74"/>
      <c r="WJ79" s="76"/>
      <c r="WK79" s="77"/>
      <c r="WL79" s="74"/>
      <c r="WM79" s="72"/>
      <c r="WN79" s="73"/>
      <c r="WO79" s="74"/>
      <c r="WP79" s="75"/>
      <c r="WQ79" s="73"/>
      <c r="WR79" s="74"/>
      <c r="WS79" s="75"/>
      <c r="WT79" s="73"/>
      <c r="WU79" s="74"/>
      <c r="WV79" s="75"/>
      <c r="WW79" s="73"/>
      <c r="WX79" s="74"/>
      <c r="WY79" s="76"/>
      <c r="WZ79" s="77"/>
      <c r="XA79" s="74"/>
      <c r="XB79" s="72"/>
      <c r="XC79" s="73"/>
      <c r="XD79" s="74"/>
      <c r="XE79" s="75"/>
      <c r="XF79" s="73"/>
      <c r="XG79" s="74"/>
      <c r="XH79" s="75"/>
      <c r="XI79" s="73"/>
      <c r="XJ79" s="74"/>
      <c r="XK79" s="75"/>
      <c r="XL79" s="73"/>
      <c r="XM79" s="74"/>
      <c r="XN79" s="76"/>
      <c r="XO79" s="77"/>
      <c r="XP79" s="62"/>
      <c r="XQ79" s="63"/>
      <c r="XR79" s="64">
        <f t="shared" si="1670"/>
        <v>0</v>
      </c>
      <c r="XS79" s="65">
        <v>844.24</v>
      </c>
      <c r="XT79" s="63"/>
      <c r="XU79" s="64">
        <f t="shared" si="1671"/>
        <v>844.24</v>
      </c>
      <c r="XV79" s="65"/>
      <c r="XW79" s="63"/>
      <c r="XX79" s="64">
        <f t="shared" si="1672"/>
        <v>0</v>
      </c>
      <c r="XY79" s="65">
        <v>100</v>
      </c>
      <c r="XZ79" s="63"/>
      <c r="YA79" s="64">
        <f t="shared" si="1673"/>
        <v>100</v>
      </c>
      <c r="YB79" s="66">
        <f t="shared" si="1674"/>
        <v>944.24</v>
      </c>
      <c r="YC79" s="67">
        <f t="shared" si="1675"/>
        <v>0</v>
      </c>
      <c r="YD79" s="64">
        <f t="shared" si="1676"/>
        <v>944.24</v>
      </c>
      <c r="YE79" s="62"/>
      <c r="YF79" s="63"/>
      <c r="YG79" s="64">
        <f t="shared" si="1677"/>
        <v>0</v>
      </c>
      <c r="YH79" s="65">
        <v>847.85</v>
      </c>
      <c r="YI79" s="63"/>
      <c r="YJ79" s="64">
        <f t="shared" si="1678"/>
        <v>847.85</v>
      </c>
      <c r="YK79" s="65"/>
      <c r="YL79" s="63"/>
      <c r="YM79" s="64">
        <f t="shared" si="1679"/>
        <v>0</v>
      </c>
      <c r="YN79" s="65">
        <v>100</v>
      </c>
      <c r="YO79" s="63"/>
      <c r="YP79" s="64">
        <f t="shared" si="1680"/>
        <v>100</v>
      </c>
      <c r="YQ79" s="66">
        <f t="shared" si="1681"/>
        <v>947.85</v>
      </c>
      <c r="YR79" s="67">
        <f t="shared" si="1682"/>
        <v>0</v>
      </c>
      <c r="YS79" s="64">
        <f t="shared" si="1683"/>
        <v>947.85</v>
      </c>
      <c r="YT79" s="62"/>
      <c r="YU79" s="63"/>
      <c r="YV79" s="64">
        <f t="shared" si="1684"/>
        <v>0</v>
      </c>
      <c r="YW79" s="65">
        <v>695.73</v>
      </c>
      <c r="YX79" s="63"/>
      <c r="YY79" s="64">
        <f t="shared" si="1685"/>
        <v>695.73</v>
      </c>
      <c r="YZ79" s="65"/>
      <c r="ZA79" s="63"/>
      <c r="ZB79" s="64">
        <f t="shared" si="1686"/>
        <v>0</v>
      </c>
      <c r="ZC79" s="65">
        <v>100</v>
      </c>
      <c r="ZD79" s="63"/>
      <c r="ZE79" s="64">
        <f t="shared" si="1687"/>
        <v>100</v>
      </c>
      <c r="ZF79" s="66">
        <f t="shared" si="1688"/>
        <v>795.73</v>
      </c>
      <c r="ZG79" s="67">
        <f t="shared" si="1689"/>
        <v>0</v>
      </c>
      <c r="ZH79" s="74"/>
      <c r="ZI79" s="72"/>
      <c r="ZJ79" s="73"/>
      <c r="ZK79" s="74"/>
      <c r="ZL79" s="75"/>
      <c r="ZM79" s="73"/>
      <c r="ZN79" s="74"/>
      <c r="ZO79" s="75"/>
      <c r="ZP79" s="73"/>
      <c r="ZQ79" s="74"/>
      <c r="ZR79" s="75"/>
      <c r="ZS79" s="73"/>
      <c r="ZT79" s="74"/>
      <c r="ZU79" s="76"/>
      <c r="ZV79" s="77"/>
      <c r="ZW79" s="64">
        <f t="shared" si="1690"/>
        <v>0</v>
      </c>
      <c r="ZX79" s="62">
        <v>24.71</v>
      </c>
      <c r="ZY79" s="63"/>
      <c r="ZZ79" s="64">
        <f t="shared" si="1691"/>
        <v>24.71</v>
      </c>
      <c r="AAA79" s="66">
        <f t="shared" si="1692"/>
        <v>24.71</v>
      </c>
      <c r="AAB79" s="67">
        <f t="shared" si="1692"/>
        <v>0</v>
      </c>
      <c r="AAC79" s="64">
        <f t="shared" si="1693"/>
        <v>24.71</v>
      </c>
      <c r="AAD79" s="85">
        <f t="shared" si="1694"/>
        <v>50372.630000000005</v>
      </c>
      <c r="AAE79" s="86">
        <f t="shared" si="1694"/>
        <v>0</v>
      </c>
      <c r="AAF79" s="87">
        <f t="shared" si="1457"/>
        <v>0</v>
      </c>
      <c r="AAG79" s="88">
        <f t="shared" si="1695"/>
        <v>-50372.630000000005</v>
      </c>
      <c r="AAH79" s="94"/>
      <c r="AAI79" s="95"/>
      <c r="AAJ79" s="95"/>
      <c r="AAK79" s="60"/>
    </row>
    <row r="80" spans="1:713" s="83" customFormat="1" ht="20" customHeight="1" x14ac:dyDescent="0.2">
      <c r="A80" s="152"/>
      <c r="B80" s="96">
        <f>B76-B72</f>
        <v>-1396140.5599999998</v>
      </c>
      <c r="C80" s="97"/>
      <c r="D80" s="97"/>
      <c r="E80" s="60"/>
      <c r="F80" s="61">
        <v>46692</v>
      </c>
      <c r="G80" s="62"/>
      <c r="H80" s="63"/>
      <c r="I80" s="64">
        <f t="shared" si="1458"/>
        <v>0</v>
      </c>
      <c r="J80" s="65">
        <v>2613.14</v>
      </c>
      <c r="K80" s="63"/>
      <c r="L80" s="64">
        <f t="shared" si="1459"/>
        <v>2613.14</v>
      </c>
      <c r="M80" s="65">
        <v>2500</v>
      </c>
      <c r="N80" s="63"/>
      <c r="O80" s="64">
        <f t="shared" si="1460"/>
        <v>2500</v>
      </c>
      <c r="P80" s="65">
        <v>1000</v>
      </c>
      <c r="Q80" s="63"/>
      <c r="R80" s="64">
        <f t="shared" si="1461"/>
        <v>1000</v>
      </c>
      <c r="S80" s="65">
        <v>181</v>
      </c>
      <c r="T80" s="63"/>
      <c r="U80" s="64">
        <f t="shared" si="1462"/>
        <v>181</v>
      </c>
      <c r="V80" s="66">
        <f t="shared" si="1463"/>
        <v>6294.1399999999994</v>
      </c>
      <c r="W80" s="67">
        <f t="shared" si="1463"/>
        <v>0</v>
      </c>
      <c r="X80" s="64">
        <f t="shared" si="1464"/>
        <v>6294.1399999999994</v>
      </c>
      <c r="Y80" s="72"/>
      <c r="Z80" s="73"/>
      <c r="AA80" s="74"/>
      <c r="AB80" s="75"/>
      <c r="AC80" s="73"/>
      <c r="AD80" s="74"/>
      <c r="AE80" s="75"/>
      <c r="AF80" s="73"/>
      <c r="AG80" s="74"/>
      <c r="AH80" s="75"/>
      <c r="AI80" s="73"/>
      <c r="AJ80" s="74"/>
      <c r="AK80" s="76"/>
      <c r="AL80" s="77"/>
      <c r="AM80" s="64">
        <f t="shared" si="1465"/>
        <v>0</v>
      </c>
      <c r="AN80" s="62"/>
      <c r="AO80" s="63"/>
      <c r="AP80" s="64">
        <f t="shared" si="1696"/>
        <v>0</v>
      </c>
      <c r="AQ80" s="65"/>
      <c r="AR80" s="63"/>
      <c r="AS80" s="64">
        <f t="shared" si="1466"/>
        <v>0</v>
      </c>
      <c r="AT80" s="65"/>
      <c r="AU80" s="63"/>
      <c r="AV80" s="64">
        <f t="shared" si="1467"/>
        <v>0</v>
      </c>
      <c r="AW80" s="65"/>
      <c r="AX80" s="63"/>
      <c r="AY80" s="64">
        <f t="shared" si="1468"/>
        <v>0</v>
      </c>
      <c r="AZ80" s="66">
        <f t="shared" si="1469"/>
        <v>0</v>
      </c>
      <c r="BA80" s="67">
        <f t="shared" si="1470"/>
        <v>0</v>
      </c>
      <c r="BB80" s="64">
        <f t="shared" si="1471"/>
        <v>0</v>
      </c>
      <c r="BC80" s="62"/>
      <c r="BD80" s="63"/>
      <c r="BE80" s="64">
        <f t="shared" si="1472"/>
        <v>0</v>
      </c>
      <c r="BF80" s="65"/>
      <c r="BG80" s="63"/>
      <c r="BH80" s="64">
        <f t="shared" si="1473"/>
        <v>0</v>
      </c>
      <c r="BI80" s="65"/>
      <c r="BJ80" s="63"/>
      <c r="BK80" s="64">
        <f t="shared" si="1474"/>
        <v>0</v>
      </c>
      <c r="BL80" s="65">
        <v>100</v>
      </c>
      <c r="BM80" s="63"/>
      <c r="BN80" s="64">
        <f t="shared" si="1475"/>
        <v>100</v>
      </c>
      <c r="BO80" s="66">
        <f t="shared" si="1476"/>
        <v>100</v>
      </c>
      <c r="BP80" s="67">
        <f t="shared" si="1477"/>
        <v>0</v>
      </c>
      <c r="BQ80" s="64">
        <f t="shared" si="1478"/>
        <v>100</v>
      </c>
      <c r="BR80" s="72"/>
      <c r="BS80" s="73"/>
      <c r="BT80" s="74"/>
      <c r="BU80" s="75"/>
      <c r="BV80" s="73"/>
      <c r="BW80" s="74"/>
      <c r="BX80" s="75"/>
      <c r="BY80" s="73"/>
      <c r="BZ80" s="74"/>
      <c r="CA80" s="75"/>
      <c r="CB80" s="73"/>
      <c r="CC80" s="74"/>
      <c r="CD80" s="76"/>
      <c r="CE80" s="77"/>
      <c r="CF80" s="64">
        <f t="shared" si="1479"/>
        <v>0</v>
      </c>
      <c r="CG80" s="62"/>
      <c r="CH80" s="63"/>
      <c r="CI80" s="64">
        <f t="shared" si="1480"/>
        <v>0</v>
      </c>
      <c r="CJ80" s="65"/>
      <c r="CK80" s="63"/>
      <c r="CL80" s="64">
        <f t="shared" si="1481"/>
        <v>0</v>
      </c>
      <c r="CM80" s="65"/>
      <c r="CN80" s="63"/>
      <c r="CO80" s="64">
        <f t="shared" si="1482"/>
        <v>0</v>
      </c>
      <c r="CP80" s="65"/>
      <c r="CQ80" s="63"/>
      <c r="CR80" s="64">
        <f t="shared" si="1483"/>
        <v>0</v>
      </c>
      <c r="CS80" s="66">
        <f t="shared" si="1484"/>
        <v>0</v>
      </c>
      <c r="CT80" s="67">
        <f t="shared" si="1485"/>
        <v>0</v>
      </c>
      <c r="CU80" s="64">
        <f t="shared" si="1486"/>
        <v>0</v>
      </c>
      <c r="CV80" s="62">
        <v>2916.7</v>
      </c>
      <c r="CW80" s="63"/>
      <c r="CX80" s="64">
        <f t="shared" si="1487"/>
        <v>2916.7</v>
      </c>
      <c r="CY80" s="65">
        <v>429.15</v>
      </c>
      <c r="CZ80" s="63"/>
      <c r="DA80" s="64">
        <f t="shared" si="1488"/>
        <v>429.15</v>
      </c>
      <c r="DB80" s="65"/>
      <c r="DC80" s="63"/>
      <c r="DD80" s="64">
        <f t="shared" si="1489"/>
        <v>0</v>
      </c>
      <c r="DE80" s="65"/>
      <c r="DF80" s="63"/>
      <c r="DG80" s="64">
        <f t="shared" si="1490"/>
        <v>0</v>
      </c>
      <c r="DH80" s="66">
        <f t="shared" si="1491"/>
        <v>3345.85</v>
      </c>
      <c r="DI80" s="67">
        <f t="shared" si="1492"/>
        <v>0</v>
      </c>
      <c r="DJ80" s="64">
        <f t="shared" si="1493"/>
        <v>3345.85</v>
      </c>
      <c r="DK80" s="62">
        <v>2400</v>
      </c>
      <c r="DL80" s="63"/>
      <c r="DM80" s="64">
        <f t="shared" si="1494"/>
        <v>2400</v>
      </c>
      <c r="DN80" s="65">
        <v>913.08</v>
      </c>
      <c r="DO80" s="63"/>
      <c r="DP80" s="64">
        <f t="shared" si="1495"/>
        <v>913.08</v>
      </c>
      <c r="DQ80" s="65"/>
      <c r="DR80" s="63"/>
      <c r="DS80" s="64">
        <f t="shared" si="1496"/>
        <v>0</v>
      </c>
      <c r="DT80" s="65">
        <v>100</v>
      </c>
      <c r="DU80" s="63"/>
      <c r="DV80" s="64">
        <f t="shared" si="1497"/>
        <v>100</v>
      </c>
      <c r="DW80" s="66">
        <f t="shared" si="1498"/>
        <v>3413.08</v>
      </c>
      <c r="DX80" s="67">
        <f t="shared" si="1499"/>
        <v>0</v>
      </c>
      <c r="DY80" s="64">
        <f t="shared" si="1500"/>
        <v>3413.08</v>
      </c>
      <c r="DZ80" s="62"/>
      <c r="EA80" s="63"/>
      <c r="EB80" s="64">
        <f t="shared" si="1501"/>
        <v>0</v>
      </c>
      <c r="EC80" s="65"/>
      <c r="ED80" s="63"/>
      <c r="EE80" s="64">
        <f t="shared" si="1502"/>
        <v>0</v>
      </c>
      <c r="EF80" s="65"/>
      <c r="EG80" s="63"/>
      <c r="EH80" s="64">
        <f t="shared" si="1503"/>
        <v>0</v>
      </c>
      <c r="EI80" s="65">
        <v>100</v>
      </c>
      <c r="EJ80" s="63"/>
      <c r="EK80" s="64">
        <f t="shared" si="1504"/>
        <v>100</v>
      </c>
      <c r="EL80" s="66">
        <f t="shared" si="1505"/>
        <v>100</v>
      </c>
      <c r="EM80" s="67">
        <f t="shared" si="1506"/>
        <v>0</v>
      </c>
      <c r="EN80" s="64">
        <f t="shared" si="1507"/>
        <v>100</v>
      </c>
      <c r="EO80" s="62"/>
      <c r="EP80" s="63"/>
      <c r="EQ80" s="64">
        <f t="shared" si="1508"/>
        <v>0</v>
      </c>
      <c r="ER80" s="65"/>
      <c r="ES80" s="63"/>
      <c r="ET80" s="64">
        <f t="shared" si="1509"/>
        <v>0</v>
      </c>
      <c r="EU80" s="65"/>
      <c r="EV80" s="63"/>
      <c r="EW80" s="64">
        <f t="shared" si="1510"/>
        <v>0</v>
      </c>
      <c r="EX80" s="65">
        <v>100</v>
      </c>
      <c r="EY80" s="63"/>
      <c r="EZ80" s="64">
        <f t="shared" si="1511"/>
        <v>100</v>
      </c>
      <c r="FA80" s="66">
        <f t="shared" si="1512"/>
        <v>100</v>
      </c>
      <c r="FB80" s="67">
        <f t="shared" si="1513"/>
        <v>0</v>
      </c>
      <c r="FC80" s="64">
        <f t="shared" si="1514"/>
        <v>100</v>
      </c>
      <c r="FD80" s="62"/>
      <c r="FE80" s="63"/>
      <c r="FF80" s="64">
        <f t="shared" si="1515"/>
        <v>0</v>
      </c>
      <c r="FG80" s="65"/>
      <c r="FH80" s="63"/>
      <c r="FI80" s="64">
        <f t="shared" si="1516"/>
        <v>0</v>
      </c>
      <c r="FJ80" s="65"/>
      <c r="FK80" s="63"/>
      <c r="FL80" s="64">
        <f t="shared" si="1517"/>
        <v>0</v>
      </c>
      <c r="FM80" s="65">
        <v>100</v>
      </c>
      <c r="FN80" s="63"/>
      <c r="FO80" s="64">
        <f t="shared" si="1518"/>
        <v>100</v>
      </c>
      <c r="FP80" s="66">
        <f t="shared" si="1519"/>
        <v>100</v>
      </c>
      <c r="FQ80" s="67">
        <f t="shared" si="1520"/>
        <v>0</v>
      </c>
      <c r="FR80" s="64">
        <f t="shared" si="1521"/>
        <v>100</v>
      </c>
      <c r="FS80" s="62"/>
      <c r="FT80" s="63"/>
      <c r="FU80" s="64">
        <f t="shared" si="1522"/>
        <v>0</v>
      </c>
      <c r="FV80" s="65">
        <v>485.35</v>
      </c>
      <c r="FW80" s="63"/>
      <c r="FX80" s="64">
        <f t="shared" si="1523"/>
        <v>485.35</v>
      </c>
      <c r="FY80" s="65"/>
      <c r="FZ80" s="63"/>
      <c r="GA80" s="64">
        <f t="shared" si="1524"/>
        <v>0</v>
      </c>
      <c r="GB80" s="65"/>
      <c r="GC80" s="63"/>
      <c r="GD80" s="64">
        <f t="shared" si="1525"/>
        <v>0</v>
      </c>
      <c r="GE80" s="66">
        <f t="shared" si="1526"/>
        <v>485.35</v>
      </c>
      <c r="GF80" s="67">
        <f t="shared" si="1527"/>
        <v>0</v>
      </c>
      <c r="GG80" s="64">
        <f t="shared" si="1528"/>
        <v>485.35</v>
      </c>
      <c r="GH80" s="62"/>
      <c r="GI80" s="63"/>
      <c r="GJ80" s="64">
        <f t="shared" si="1529"/>
        <v>0</v>
      </c>
      <c r="GK80" s="65">
        <v>660.33</v>
      </c>
      <c r="GL80" s="63"/>
      <c r="GM80" s="64">
        <f t="shared" si="1530"/>
        <v>660.33</v>
      </c>
      <c r="GN80" s="65"/>
      <c r="GO80" s="63"/>
      <c r="GP80" s="64">
        <f t="shared" si="1531"/>
        <v>0</v>
      </c>
      <c r="GQ80" s="65"/>
      <c r="GR80" s="63"/>
      <c r="GS80" s="64">
        <f t="shared" si="1532"/>
        <v>0</v>
      </c>
      <c r="GT80" s="66">
        <f t="shared" si="1533"/>
        <v>660.33</v>
      </c>
      <c r="GU80" s="67">
        <f t="shared" si="1534"/>
        <v>0</v>
      </c>
      <c r="GV80" s="64">
        <f t="shared" si="1535"/>
        <v>660.33</v>
      </c>
      <c r="GW80" s="62"/>
      <c r="GX80" s="63"/>
      <c r="GY80" s="64">
        <f t="shared" si="1536"/>
        <v>0</v>
      </c>
      <c r="GZ80" s="65">
        <v>568.25</v>
      </c>
      <c r="HA80" s="63"/>
      <c r="HB80" s="64">
        <f t="shared" si="1537"/>
        <v>568.25</v>
      </c>
      <c r="HC80" s="65"/>
      <c r="HD80" s="63"/>
      <c r="HE80" s="64">
        <f t="shared" si="1538"/>
        <v>0</v>
      </c>
      <c r="HF80" s="65">
        <v>100</v>
      </c>
      <c r="HG80" s="63"/>
      <c r="HH80" s="64">
        <f t="shared" si="1539"/>
        <v>100</v>
      </c>
      <c r="HI80" s="66">
        <f t="shared" si="1540"/>
        <v>668.25</v>
      </c>
      <c r="HJ80" s="67">
        <f t="shared" si="1541"/>
        <v>0</v>
      </c>
      <c r="HK80" s="64">
        <f t="shared" si="1542"/>
        <v>668.25</v>
      </c>
      <c r="HL80" s="62"/>
      <c r="HM80" s="63"/>
      <c r="HN80" s="64">
        <f t="shared" si="1543"/>
        <v>0</v>
      </c>
      <c r="HO80" s="65"/>
      <c r="HP80" s="63"/>
      <c r="HQ80" s="64">
        <f t="shared" si="1544"/>
        <v>0</v>
      </c>
      <c r="HR80" s="65"/>
      <c r="HS80" s="63"/>
      <c r="HT80" s="64">
        <f t="shared" si="1545"/>
        <v>0</v>
      </c>
      <c r="HU80" s="65">
        <v>100</v>
      </c>
      <c r="HV80" s="63"/>
      <c r="HW80" s="64">
        <f t="shared" si="1546"/>
        <v>100</v>
      </c>
      <c r="HX80" s="66">
        <f t="shared" si="1547"/>
        <v>100</v>
      </c>
      <c r="HY80" s="67">
        <f t="shared" si="1548"/>
        <v>0</v>
      </c>
      <c r="HZ80" s="64">
        <f t="shared" si="1549"/>
        <v>100</v>
      </c>
      <c r="IA80" s="62"/>
      <c r="IB80" s="63"/>
      <c r="IC80" s="64">
        <f t="shared" si="1550"/>
        <v>0</v>
      </c>
      <c r="ID80" s="65"/>
      <c r="IE80" s="63"/>
      <c r="IF80" s="64">
        <f t="shared" si="1551"/>
        <v>0</v>
      </c>
      <c r="IG80" s="65"/>
      <c r="IH80" s="63"/>
      <c r="II80" s="64">
        <f t="shared" si="1552"/>
        <v>0</v>
      </c>
      <c r="IJ80" s="65">
        <v>100</v>
      </c>
      <c r="IK80" s="63"/>
      <c r="IL80" s="64">
        <f t="shared" si="1553"/>
        <v>100</v>
      </c>
      <c r="IM80" s="66">
        <f t="shared" si="1554"/>
        <v>100</v>
      </c>
      <c r="IN80" s="67">
        <f t="shared" si="1555"/>
        <v>0</v>
      </c>
      <c r="IO80" s="64">
        <f t="shared" si="1556"/>
        <v>100</v>
      </c>
      <c r="IP80" s="62"/>
      <c r="IQ80" s="63"/>
      <c r="IR80" s="64">
        <f t="shared" si="1557"/>
        <v>0</v>
      </c>
      <c r="IS80" s="65"/>
      <c r="IT80" s="63"/>
      <c r="IU80" s="64">
        <f t="shared" si="1558"/>
        <v>0</v>
      </c>
      <c r="IV80" s="65"/>
      <c r="IW80" s="63"/>
      <c r="IX80" s="64">
        <f t="shared" si="1559"/>
        <v>0</v>
      </c>
      <c r="IY80" s="65"/>
      <c r="IZ80" s="63"/>
      <c r="JA80" s="64">
        <f t="shared" si="1560"/>
        <v>0</v>
      </c>
      <c r="JB80" s="66">
        <f t="shared" si="1561"/>
        <v>0</v>
      </c>
      <c r="JC80" s="67">
        <f t="shared" si="1562"/>
        <v>0</v>
      </c>
      <c r="JD80" s="64">
        <f t="shared" si="1563"/>
        <v>0</v>
      </c>
      <c r="JE80" s="72"/>
      <c r="JF80" s="150"/>
      <c r="JG80" s="74"/>
      <c r="JH80" s="75"/>
      <c r="JI80" s="150"/>
      <c r="JJ80" s="74"/>
      <c r="JK80" s="75"/>
      <c r="JL80" s="150"/>
      <c r="JM80" s="74"/>
      <c r="JN80" s="75"/>
      <c r="JO80" s="150"/>
      <c r="JP80" s="74"/>
      <c r="JQ80" s="76"/>
      <c r="JR80" s="77"/>
      <c r="JS80" s="74"/>
      <c r="JT80" s="72"/>
      <c r="JU80" s="73"/>
      <c r="JV80" s="74"/>
      <c r="JW80" s="75"/>
      <c r="JX80" s="73"/>
      <c r="JY80" s="74"/>
      <c r="JZ80" s="75"/>
      <c r="KA80" s="73"/>
      <c r="KB80" s="74"/>
      <c r="KC80" s="75"/>
      <c r="KD80" s="73"/>
      <c r="KE80" s="74"/>
      <c r="KF80" s="76"/>
      <c r="KG80" s="77"/>
      <c r="KH80" s="64">
        <f t="shared" si="1564"/>
        <v>0</v>
      </c>
      <c r="KI80" s="62"/>
      <c r="KJ80" s="63"/>
      <c r="KK80" s="64">
        <f t="shared" si="1565"/>
        <v>0</v>
      </c>
      <c r="KL80" s="65"/>
      <c r="KM80" s="63"/>
      <c r="KN80" s="64">
        <f t="shared" si="1566"/>
        <v>0</v>
      </c>
      <c r="KO80" s="65"/>
      <c r="KP80" s="63"/>
      <c r="KQ80" s="64">
        <f t="shared" si="1567"/>
        <v>0</v>
      </c>
      <c r="KR80" s="65"/>
      <c r="KS80" s="63"/>
      <c r="KT80" s="64">
        <f t="shared" si="1568"/>
        <v>0</v>
      </c>
      <c r="KU80" s="66">
        <f t="shared" si="1439"/>
        <v>0</v>
      </c>
      <c r="KV80" s="67">
        <f t="shared" si="1569"/>
        <v>0</v>
      </c>
      <c r="KW80" s="64">
        <f t="shared" si="1570"/>
        <v>0</v>
      </c>
      <c r="KX80" s="72"/>
      <c r="KY80" s="73"/>
      <c r="KZ80" s="74"/>
      <c r="LA80" s="75"/>
      <c r="LB80" s="73"/>
      <c r="LC80" s="74"/>
      <c r="LD80" s="75"/>
      <c r="LE80" s="73"/>
      <c r="LF80" s="74"/>
      <c r="LG80" s="75"/>
      <c r="LH80" s="73"/>
      <c r="LI80" s="74"/>
      <c r="LJ80" s="76"/>
      <c r="LK80" s="77"/>
      <c r="LL80" s="74"/>
      <c r="LM80" s="62"/>
      <c r="LN80" s="63"/>
      <c r="LO80" s="64">
        <f t="shared" si="1571"/>
        <v>0</v>
      </c>
      <c r="LP80" s="65"/>
      <c r="LQ80" s="63"/>
      <c r="LR80" s="64">
        <f t="shared" si="1572"/>
        <v>0</v>
      </c>
      <c r="LS80" s="65"/>
      <c r="LT80" s="63"/>
      <c r="LU80" s="64">
        <f t="shared" si="1573"/>
        <v>0</v>
      </c>
      <c r="LV80" s="65">
        <v>100</v>
      </c>
      <c r="LW80" s="63"/>
      <c r="LX80" s="64">
        <f t="shared" si="1574"/>
        <v>100</v>
      </c>
      <c r="LY80" s="66">
        <f t="shared" si="1575"/>
        <v>100</v>
      </c>
      <c r="LZ80" s="67">
        <f t="shared" si="1576"/>
        <v>0</v>
      </c>
      <c r="MA80" s="64">
        <f t="shared" si="1577"/>
        <v>100</v>
      </c>
      <c r="MB80" s="62"/>
      <c r="MC80" s="63"/>
      <c r="MD80" s="64">
        <f t="shared" si="1578"/>
        <v>0</v>
      </c>
      <c r="ME80" s="65">
        <v>889.11</v>
      </c>
      <c r="MF80" s="63"/>
      <c r="MG80" s="64">
        <f t="shared" si="1579"/>
        <v>889.11</v>
      </c>
      <c r="MH80" s="65"/>
      <c r="MI80" s="63"/>
      <c r="MJ80" s="64">
        <f t="shared" si="1580"/>
        <v>0</v>
      </c>
      <c r="MK80" s="65">
        <v>100</v>
      </c>
      <c r="ML80" s="63"/>
      <c r="MM80" s="64">
        <f t="shared" si="1581"/>
        <v>100</v>
      </c>
      <c r="MN80" s="66">
        <f t="shared" si="1582"/>
        <v>989.11</v>
      </c>
      <c r="MO80" s="67">
        <f t="shared" si="1583"/>
        <v>0</v>
      </c>
      <c r="MP80" s="64">
        <f t="shared" si="1584"/>
        <v>989.11</v>
      </c>
      <c r="MQ80" s="62"/>
      <c r="MR80" s="63"/>
      <c r="MS80" s="64">
        <f t="shared" si="1585"/>
        <v>0</v>
      </c>
      <c r="MT80" s="65"/>
      <c r="MU80" s="63"/>
      <c r="MV80" s="64">
        <f t="shared" si="1586"/>
        <v>0</v>
      </c>
      <c r="MW80" s="65"/>
      <c r="MX80" s="63"/>
      <c r="MY80" s="64">
        <f t="shared" si="1587"/>
        <v>0</v>
      </c>
      <c r="MZ80" s="65"/>
      <c r="NA80" s="63"/>
      <c r="NB80" s="64">
        <f t="shared" si="1588"/>
        <v>0</v>
      </c>
      <c r="NC80" s="66">
        <f t="shared" si="1589"/>
        <v>0</v>
      </c>
      <c r="ND80" s="67">
        <f t="shared" si="1590"/>
        <v>0</v>
      </c>
      <c r="NE80" s="64">
        <f t="shared" si="1591"/>
        <v>0</v>
      </c>
      <c r="NF80" s="62"/>
      <c r="NG80" s="63"/>
      <c r="NH80" s="64">
        <f t="shared" si="1592"/>
        <v>0</v>
      </c>
      <c r="NI80" s="65">
        <v>1164.04</v>
      </c>
      <c r="NJ80" s="63"/>
      <c r="NK80" s="64">
        <f t="shared" si="1593"/>
        <v>1164.04</v>
      </c>
      <c r="NL80" s="65"/>
      <c r="NM80" s="63"/>
      <c r="NN80" s="64">
        <f t="shared" si="1594"/>
        <v>0</v>
      </c>
      <c r="NO80" s="65">
        <v>100</v>
      </c>
      <c r="NP80" s="63"/>
      <c r="NQ80" s="64">
        <f t="shared" si="1595"/>
        <v>100</v>
      </c>
      <c r="NR80" s="66">
        <f t="shared" si="1596"/>
        <v>1264.04</v>
      </c>
      <c r="NS80" s="67">
        <f t="shared" si="1597"/>
        <v>0</v>
      </c>
      <c r="NT80" s="64">
        <f t="shared" si="1598"/>
        <v>1264.04</v>
      </c>
      <c r="NU80" s="62"/>
      <c r="NV80" s="63"/>
      <c r="NW80" s="64">
        <f t="shared" si="1599"/>
        <v>0</v>
      </c>
      <c r="NX80" s="65">
        <v>1152.73</v>
      </c>
      <c r="NY80" s="63"/>
      <c r="NZ80" s="64">
        <f t="shared" si="1600"/>
        <v>1152.73</v>
      </c>
      <c r="OA80" s="65"/>
      <c r="OB80" s="63"/>
      <c r="OC80" s="64">
        <f t="shared" si="1601"/>
        <v>0</v>
      </c>
      <c r="OD80" s="65">
        <v>100</v>
      </c>
      <c r="OE80" s="63"/>
      <c r="OF80" s="64">
        <f t="shared" si="1602"/>
        <v>100</v>
      </c>
      <c r="OG80" s="66">
        <f t="shared" si="1603"/>
        <v>1252.73</v>
      </c>
      <c r="OH80" s="67">
        <f t="shared" si="1604"/>
        <v>0</v>
      </c>
      <c r="OI80" s="64">
        <f t="shared" si="1605"/>
        <v>1252.73</v>
      </c>
      <c r="OJ80" s="62">
        <v>17500</v>
      </c>
      <c r="OK80" s="63"/>
      <c r="OL80" s="64">
        <f t="shared" si="1606"/>
        <v>17500</v>
      </c>
      <c r="OM80" s="65"/>
      <c r="ON80" s="63"/>
      <c r="OO80" s="64">
        <f t="shared" si="1607"/>
        <v>0</v>
      </c>
      <c r="OP80" s="65">
        <v>1200</v>
      </c>
      <c r="OQ80" s="63"/>
      <c r="OR80" s="64">
        <f t="shared" si="1608"/>
        <v>1200</v>
      </c>
      <c r="OS80" s="65">
        <v>100</v>
      </c>
      <c r="OT80" s="63"/>
      <c r="OU80" s="64">
        <f t="shared" si="1609"/>
        <v>100</v>
      </c>
      <c r="OV80" s="66">
        <f t="shared" si="1610"/>
        <v>18800</v>
      </c>
      <c r="OW80" s="67">
        <f t="shared" si="1611"/>
        <v>0</v>
      </c>
      <c r="OX80" s="64">
        <f t="shared" si="1612"/>
        <v>18800</v>
      </c>
      <c r="OY80" s="62"/>
      <c r="OZ80" s="63"/>
      <c r="PA80" s="64">
        <f t="shared" si="1613"/>
        <v>0</v>
      </c>
      <c r="PB80" s="65"/>
      <c r="PC80" s="63"/>
      <c r="PD80" s="64">
        <f t="shared" si="1614"/>
        <v>0</v>
      </c>
      <c r="PE80" s="65"/>
      <c r="PF80" s="63"/>
      <c r="PG80" s="64">
        <f t="shared" si="1615"/>
        <v>0</v>
      </c>
      <c r="PH80" s="65">
        <v>100</v>
      </c>
      <c r="PI80" s="63"/>
      <c r="PJ80" s="64">
        <f t="shared" si="1616"/>
        <v>100</v>
      </c>
      <c r="PK80" s="66">
        <f t="shared" si="1617"/>
        <v>100</v>
      </c>
      <c r="PL80" s="67">
        <f t="shared" si="1618"/>
        <v>0</v>
      </c>
      <c r="PM80" s="64">
        <f t="shared" si="1619"/>
        <v>100</v>
      </c>
      <c r="PN80" s="62">
        <v>1550</v>
      </c>
      <c r="PO80" s="63"/>
      <c r="PP80" s="64">
        <f t="shared" si="1620"/>
        <v>1550</v>
      </c>
      <c r="PQ80" s="65"/>
      <c r="PR80" s="63"/>
      <c r="PS80" s="64">
        <f t="shared" si="1621"/>
        <v>0</v>
      </c>
      <c r="PT80" s="65"/>
      <c r="PU80" s="63"/>
      <c r="PV80" s="64">
        <f t="shared" si="1622"/>
        <v>0</v>
      </c>
      <c r="PW80" s="65">
        <v>100</v>
      </c>
      <c r="PX80" s="63"/>
      <c r="PY80" s="64">
        <f t="shared" si="1623"/>
        <v>100</v>
      </c>
      <c r="PZ80" s="66">
        <f t="shared" si="1624"/>
        <v>1650</v>
      </c>
      <c r="QA80" s="67">
        <f t="shared" si="1625"/>
        <v>0</v>
      </c>
      <c r="QB80" s="64">
        <f t="shared" si="1626"/>
        <v>1650</v>
      </c>
      <c r="QC80" s="62"/>
      <c r="QD80" s="63"/>
      <c r="QE80" s="64">
        <f t="shared" si="1627"/>
        <v>0</v>
      </c>
      <c r="QF80" s="65"/>
      <c r="QG80" s="63"/>
      <c r="QH80" s="64">
        <f t="shared" si="1628"/>
        <v>0</v>
      </c>
      <c r="QI80" s="65"/>
      <c r="QJ80" s="63"/>
      <c r="QK80" s="64">
        <f t="shared" si="1629"/>
        <v>0</v>
      </c>
      <c r="QL80" s="65">
        <v>100</v>
      </c>
      <c r="QM80" s="63"/>
      <c r="QN80" s="64">
        <f t="shared" si="1630"/>
        <v>100</v>
      </c>
      <c r="QO80" s="66">
        <f t="shared" si="1631"/>
        <v>100</v>
      </c>
      <c r="QP80" s="67">
        <f t="shared" si="1632"/>
        <v>0</v>
      </c>
      <c r="QQ80" s="64">
        <f t="shared" si="1633"/>
        <v>100</v>
      </c>
      <c r="QR80" s="74"/>
      <c r="QS80" s="74"/>
      <c r="QT80" s="72"/>
      <c r="QU80" s="73"/>
      <c r="QV80" s="74"/>
      <c r="QW80" s="75"/>
      <c r="QX80" s="73"/>
      <c r="QY80" s="74"/>
      <c r="QZ80" s="75"/>
      <c r="RA80" s="73"/>
      <c r="RB80" s="74"/>
      <c r="RC80" s="75"/>
      <c r="RD80" s="73"/>
      <c r="RE80" s="74"/>
      <c r="RF80" s="74"/>
      <c r="RG80" s="72"/>
      <c r="RH80" s="73"/>
      <c r="RI80" s="74"/>
      <c r="RJ80" s="75"/>
      <c r="RK80" s="73"/>
      <c r="RL80" s="74"/>
      <c r="RM80" s="75"/>
      <c r="RN80" s="73"/>
      <c r="RO80" s="74"/>
      <c r="RP80" s="75"/>
      <c r="RQ80" s="73"/>
      <c r="RR80" s="74"/>
      <c r="RS80" s="76"/>
      <c r="RT80" s="77"/>
      <c r="RU80" s="74"/>
      <c r="RV80" s="74"/>
      <c r="RW80" s="72"/>
      <c r="RX80" s="73"/>
      <c r="RY80" s="74"/>
      <c r="RZ80" s="75"/>
      <c r="SA80" s="73"/>
      <c r="SB80" s="74"/>
      <c r="SC80" s="75"/>
      <c r="SD80" s="73"/>
      <c r="SE80" s="74"/>
      <c r="SF80" s="75"/>
      <c r="SG80" s="73"/>
      <c r="SH80" s="74"/>
      <c r="SI80" s="76"/>
      <c r="SJ80" s="64">
        <f t="shared" si="1634"/>
        <v>0</v>
      </c>
      <c r="SK80" s="62"/>
      <c r="SL80" s="63"/>
      <c r="SM80" s="64">
        <f t="shared" si="1635"/>
        <v>0</v>
      </c>
      <c r="SN80" s="65"/>
      <c r="SO80" s="63"/>
      <c r="SP80" s="64">
        <f t="shared" si="1636"/>
        <v>0</v>
      </c>
      <c r="SQ80" s="65"/>
      <c r="SR80" s="63"/>
      <c r="SS80" s="64">
        <f t="shared" si="1637"/>
        <v>0</v>
      </c>
      <c r="ST80" s="65">
        <v>100</v>
      </c>
      <c r="SU80" s="63"/>
      <c r="SV80" s="64">
        <f t="shared" si="1638"/>
        <v>100</v>
      </c>
      <c r="SW80" s="66">
        <f t="shared" si="1639"/>
        <v>100</v>
      </c>
      <c r="SX80" s="67">
        <f t="shared" si="1640"/>
        <v>0</v>
      </c>
      <c r="SY80" s="64">
        <f t="shared" si="1641"/>
        <v>100</v>
      </c>
      <c r="SZ80" s="62">
        <v>985.33</v>
      </c>
      <c r="TA80" s="63"/>
      <c r="TB80" s="64">
        <f t="shared" si="1642"/>
        <v>985.33</v>
      </c>
      <c r="TC80" s="65">
        <v>700.9</v>
      </c>
      <c r="TD80" s="63"/>
      <c r="TE80" s="64">
        <f t="shared" si="1643"/>
        <v>700.9</v>
      </c>
      <c r="TF80" s="65"/>
      <c r="TG80" s="63"/>
      <c r="TH80" s="64">
        <f t="shared" si="1644"/>
        <v>0</v>
      </c>
      <c r="TI80" s="65">
        <v>100</v>
      </c>
      <c r="TJ80" s="63"/>
      <c r="TK80" s="64">
        <f t="shared" si="1645"/>
        <v>100</v>
      </c>
      <c r="TL80" s="66">
        <f t="shared" si="1646"/>
        <v>1786.23</v>
      </c>
      <c r="TM80" s="67">
        <f t="shared" si="1647"/>
        <v>0</v>
      </c>
      <c r="TN80" s="64">
        <f t="shared" si="1648"/>
        <v>1786.23</v>
      </c>
      <c r="TO80" s="62"/>
      <c r="TP80" s="63"/>
      <c r="TQ80" s="64">
        <f t="shared" si="1649"/>
        <v>0</v>
      </c>
      <c r="TR80" s="65"/>
      <c r="TS80" s="63"/>
      <c r="TT80" s="64">
        <f t="shared" si="1650"/>
        <v>0</v>
      </c>
      <c r="TU80" s="65"/>
      <c r="TV80" s="63"/>
      <c r="TW80" s="64">
        <f t="shared" si="1651"/>
        <v>0</v>
      </c>
      <c r="TX80" s="65">
        <v>100</v>
      </c>
      <c r="TY80" s="63"/>
      <c r="TZ80" s="64">
        <f t="shared" si="1652"/>
        <v>100</v>
      </c>
      <c r="UA80" s="66">
        <f t="shared" si="1653"/>
        <v>100</v>
      </c>
      <c r="UB80" s="67">
        <f t="shared" si="1654"/>
        <v>0</v>
      </c>
      <c r="UC80" s="64">
        <f t="shared" si="1655"/>
        <v>100</v>
      </c>
      <c r="UD80" s="62"/>
      <c r="UE80" s="63"/>
      <c r="UF80" s="64">
        <f t="shared" si="1656"/>
        <v>0</v>
      </c>
      <c r="UG80" s="65">
        <v>497.04</v>
      </c>
      <c r="UH80" s="63"/>
      <c r="UI80" s="64">
        <f t="shared" si="1657"/>
        <v>497.04</v>
      </c>
      <c r="UJ80" s="65"/>
      <c r="UK80" s="63"/>
      <c r="UL80" s="64">
        <f t="shared" si="1658"/>
        <v>0</v>
      </c>
      <c r="UM80" s="65">
        <v>100</v>
      </c>
      <c r="UN80" s="63"/>
      <c r="UO80" s="64">
        <f t="shared" si="1659"/>
        <v>100</v>
      </c>
      <c r="UP80" s="66">
        <f t="shared" si="1660"/>
        <v>597.04</v>
      </c>
      <c r="UQ80" s="67">
        <f t="shared" si="1661"/>
        <v>0</v>
      </c>
      <c r="UR80" s="64">
        <f t="shared" si="1662"/>
        <v>597.04</v>
      </c>
      <c r="US80" s="74"/>
      <c r="UT80" s="72"/>
      <c r="UU80" s="73"/>
      <c r="UV80" s="74"/>
      <c r="UW80" s="75"/>
      <c r="UX80" s="73"/>
      <c r="UY80" s="74"/>
      <c r="UZ80" s="75"/>
      <c r="VA80" s="73"/>
      <c r="VB80" s="74"/>
      <c r="VC80" s="75"/>
      <c r="VD80" s="73"/>
      <c r="VE80" s="74"/>
      <c r="VF80" s="76"/>
      <c r="VG80" s="77"/>
      <c r="VH80" s="62"/>
      <c r="VI80" s="63"/>
      <c r="VJ80" s="64">
        <f t="shared" si="1663"/>
        <v>0</v>
      </c>
      <c r="VK80" s="65"/>
      <c r="VL80" s="63"/>
      <c r="VM80" s="64">
        <f t="shared" si="1664"/>
        <v>0</v>
      </c>
      <c r="VN80" s="65"/>
      <c r="VO80" s="63"/>
      <c r="VP80" s="64">
        <f t="shared" si="1665"/>
        <v>0</v>
      </c>
      <c r="VQ80" s="65">
        <v>100</v>
      </c>
      <c r="VR80" s="63"/>
      <c r="VS80" s="64">
        <f t="shared" si="1666"/>
        <v>100</v>
      </c>
      <c r="VT80" s="66">
        <f t="shared" si="1667"/>
        <v>100</v>
      </c>
      <c r="VU80" s="67">
        <f t="shared" si="1668"/>
        <v>0</v>
      </c>
      <c r="VV80" s="64">
        <f t="shared" si="1669"/>
        <v>100</v>
      </c>
      <c r="VW80" s="74"/>
      <c r="VX80" s="72"/>
      <c r="VY80" s="73"/>
      <c r="VZ80" s="74"/>
      <c r="WA80" s="75"/>
      <c r="WB80" s="73"/>
      <c r="WC80" s="74"/>
      <c r="WD80" s="75"/>
      <c r="WE80" s="73"/>
      <c r="WF80" s="74"/>
      <c r="WG80" s="75"/>
      <c r="WH80" s="73"/>
      <c r="WI80" s="74"/>
      <c r="WJ80" s="76"/>
      <c r="WK80" s="77"/>
      <c r="WL80" s="74"/>
      <c r="WM80" s="72"/>
      <c r="WN80" s="73"/>
      <c r="WO80" s="74"/>
      <c r="WP80" s="75"/>
      <c r="WQ80" s="73"/>
      <c r="WR80" s="74"/>
      <c r="WS80" s="75"/>
      <c r="WT80" s="73"/>
      <c r="WU80" s="74"/>
      <c r="WV80" s="75"/>
      <c r="WW80" s="73"/>
      <c r="WX80" s="74"/>
      <c r="WY80" s="76"/>
      <c r="WZ80" s="77"/>
      <c r="XA80" s="74"/>
      <c r="XB80" s="72"/>
      <c r="XC80" s="73"/>
      <c r="XD80" s="74"/>
      <c r="XE80" s="75"/>
      <c r="XF80" s="73"/>
      <c r="XG80" s="74"/>
      <c r="XH80" s="75"/>
      <c r="XI80" s="73"/>
      <c r="XJ80" s="74"/>
      <c r="XK80" s="75"/>
      <c r="XL80" s="73"/>
      <c r="XM80" s="74"/>
      <c r="XN80" s="76"/>
      <c r="XO80" s="77"/>
      <c r="XP80" s="62"/>
      <c r="XQ80" s="63"/>
      <c r="XR80" s="64">
        <f t="shared" si="1670"/>
        <v>0</v>
      </c>
      <c r="XS80" s="65">
        <v>844.24</v>
      </c>
      <c r="XT80" s="63"/>
      <c r="XU80" s="64">
        <f t="shared" si="1671"/>
        <v>844.24</v>
      </c>
      <c r="XV80" s="65"/>
      <c r="XW80" s="63"/>
      <c r="XX80" s="64">
        <f t="shared" si="1672"/>
        <v>0</v>
      </c>
      <c r="XY80" s="65">
        <v>100</v>
      </c>
      <c r="XZ80" s="63"/>
      <c r="YA80" s="64">
        <f t="shared" si="1673"/>
        <v>100</v>
      </c>
      <c r="YB80" s="66">
        <f t="shared" si="1674"/>
        <v>944.24</v>
      </c>
      <c r="YC80" s="67">
        <f t="shared" si="1675"/>
        <v>0</v>
      </c>
      <c r="YD80" s="64">
        <f t="shared" si="1676"/>
        <v>944.24</v>
      </c>
      <c r="YE80" s="62"/>
      <c r="YF80" s="63"/>
      <c r="YG80" s="64">
        <f t="shared" si="1677"/>
        <v>0</v>
      </c>
      <c r="YH80" s="65">
        <v>847.85</v>
      </c>
      <c r="YI80" s="63"/>
      <c r="YJ80" s="64">
        <f t="shared" si="1678"/>
        <v>847.85</v>
      </c>
      <c r="YK80" s="65"/>
      <c r="YL80" s="63"/>
      <c r="YM80" s="64">
        <f t="shared" si="1679"/>
        <v>0</v>
      </c>
      <c r="YN80" s="65">
        <v>100</v>
      </c>
      <c r="YO80" s="63"/>
      <c r="YP80" s="64">
        <f t="shared" si="1680"/>
        <v>100</v>
      </c>
      <c r="YQ80" s="66">
        <f t="shared" si="1681"/>
        <v>947.85</v>
      </c>
      <c r="YR80" s="67">
        <f t="shared" si="1682"/>
        <v>0</v>
      </c>
      <c r="YS80" s="64">
        <f t="shared" si="1683"/>
        <v>947.85</v>
      </c>
      <c r="YT80" s="62"/>
      <c r="YU80" s="63"/>
      <c r="YV80" s="64">
        <f t="shared" si="1684"/>
        <v>0</v>
      </c>
      <c r="YW80" s="65">
        <v>695.73</v>
      </c>
      <c r="YX80" s="63"/>
      <c r="YY80" s="64">
        <f t="shared" si="1685"/>
        <v>695.73</v>
      </c>
      <c r="YZ80" s="65"/>
      <c r="ZA80" s="63"/>
      <c r="ZB80" s="64">
        <f t="shared" si="1686"/>
        <v>0</v>
      </c>
      <c r="ZC80" s="65">
        <v>100</v>
      </c>
      <c r="ZD80" s="63"/>
      <c r="ZE80" s="64">
        <f t="shared" si="1687"/>
        <v>100</v>
      </c>
      <c r="ZF80" s="66">
        <f t="shared" si="1688"/>
        <v>795.73</v>
      </c>
      <c r="ZG80" s="67">
        <f t="shared" si="1689"/>
        <v>0</v>
      </c>
      <c r="ZH80" s="74"/>
      <c r="ZI80" s="72"/>
      <c r="ZJ80" s="73"/>
      <c r="ZK80" s="74"/>
      <c r="ZL80" s="75"/>
      <c r="ZM80" s="73"/>
      <c r="ZN80" s="74"/>
      <c r="ZO80" s="75"/>
      <c r="ZP80" s="73"/>
      <c r="ZQ80" s="74"/>
      <c r="ZR80" s="75"/>
      <c r="ZS80" s="73"/>
      <c r="ZT80" s="74"/>
      <c r="ZU80" s="76"/>
      <c r="ZV80" s="77"/>
      <c r="ZW80" s="64">
        <f t="shared" si="1690"/>
        <v>0</v>
      </c>
      <c r="ZX80" s="62">
        <v>24.71</v>
      </c>
      <c r="ZY80" s="63"/>
      <c r="ZZ80" s="64">
        <f t="shared" si="1691"/>
        <v>24.71</v>
      </c>
      <c r="AAA80" s="66">
        <f t="shared" si="1692"/>
        <v>24.71</v>
      </c>
      <c r="AAB80" s="67">
        <f t="shared" si="1692"/>
        <v>0</v>
      </c>
      <c r="AAC80" s="64">
        <f t="shared" si="1693"/>
        <v>24.71</v>
      </c>
      <c r="AAD80" s="85">
        <f t="shared" si="1694"/>
        <v>45093.97</v>
      </c>
      <c r="AAE80" s="86">
        <f t="shared" si="1694"/>
        <v>0</v>
      </c>
      <c r="AAF80" s="87">
        <f t="shared" si="1457"/>
        <v>0</v>
      </c>
      <c r="AAG80" s="88">
        <f t="shared" si="1695"/>
        <v>-45093.97</v>
      </c>
      <c r="AAH80" s="96">
        <f>AAH76-AAH72</f>
        <v>-1396140.5599999998</v>
      </c>
      <c r="AAI80" s="97"/>
      <c r="AAJ80" s="97"/>
      <c r="AAK80" s="60"/>
    </row>
    <row r="81" spans="1:713" s="83" customFormat="1" ht="20" customHeight="1" thickBot="1" x14ac:dyDescent="0.25">
      <c r="A81" s="153"/>
      <c r="B81" s="96"/>
      <c r="C81" s="97"/>
      <c r="D81" s="97"/>
      <c r="E81" s="60"/>
      <c r="F81" s="61">
        <v>46722</v>
      </c>
      <c r="G81" s="62"/>
      <c r="H81" s="63"/>
      <c r="I81" s="64">
        <f t="shared" si="1458"/>
        <v>0</v>
      </c>
      <c r="J81" s="65">
        <v>3486.88</v>
      </c>
      <c r="K81" s="63"/>
      <c r="L81" s="64">
        <f t="shared" si="1459"/>
        <v>3486.88</v>
      </c>
      <c r="M81" s="65">
        <v>2500</v>
      </c>
      <c r="N81" s="63"/>
      <c r="O81" s="64">
        <f t="shared" si="1460"/>
        <v>2500</v>
      </c>
      <c r="P81" s="65">
        <v>1000</v>
      </c>
      <c r="Q81" s="63"/>
      <c r="R81" s="64">
        <f t="shared" si="1461"/>
        <v>1000</v>
      </c>
      <c r="S81" s="65">
        <v>181</v>
      </c>
      <c r="T81" s="63"/>
      <c r="U81" s="64">
        <f t="shared" si="1462"/>
        <v>181</v>
      </c>
      <c r="V81" s="66">
        <f t="shared" si="1463"/>
        <v>7167.88</v>
      </c>
      <c r="W81" s="67">
        <f t="shared" si="1463"/>
        <v>0</v>
      </c>
      <c r="X81" s="64">
        <f t="shared" si="1464"/>
        <v>7167.88</v>
      </c>
      <c r="Y81" s="72"/>
      <c r="Z81" s="73"/>
      <c r="AA81" s="74"/>
      <c r="AB81" s="75"/>
      <c r="AC81" s="73"/>
      <c r="AD81" s="74"/>
      <c r="AE81" s="75"/>
      <c r="AF81" s="73"/>
      <c r="AG81" s="74"/>
      <c r="AH81" s="75"/>
      <c r="AI81" s="73"/>
      <c r="AJ81" s="74"/>
      <c r="AK81" s="76"/>
      <c r="AL81" s="77"/>
      <c r="AM81" s="64">
        <f t="shared" si="1465"/>
        <v>0</v>
      </c>
      <c r="AN81" s="62"/>
      <c r="AO81" s="63"/>
      <c r="AP81" s="64">
        <f t="shared" si="1696"/>
        <v>0</v>
      </c>
      <c r="AQ81" s="65"/>
      <c r="AR81" s="63"/>
      <c r="AS81" s="64">
        <f t="shared" si="1466"/>
        <v>0</v>
      </c>
      <c r="AT81" s="65"/>
      <c r="AU81" s="63"/>
      <c r="AV81" s="64">
        <f t="shared" si="1467"/>
        <v>0</v>
      </c>
      <c r="AW81" s="65"/>
      <c r="AX81" s="63"/>
      <c r="AY81" s="64">
        <f t="shared" si="1468"/>
        <v>0</v>
      </c>
      <c r="AZ81" s="66">
        <f t="shared" si="1469"/>
        <v>0</v>
      </c>
      <c r="BA81" s="67">
        <f t="shared" si="1470"/>
        <v>0</v>
      </c>
      <c r="BB81" s="64">
        <f t="shared" si="1471"/>
        <v>0</v>
      </c>
      <c r="BC81" s="62">
        <v>6150</v>
      </c>
      <c r="BD81" s="63"/>
      <c r="BE81" s="64">
        <f t="shared" si="1472"/>
        <v>6150</v>
      </c>
      <c r="BF81" s="65"/>
      <c r="BG81" s="63"/>
      <c r="BH81" s="64">
        <f t="shared" si="1473"/>
        <v>0</v>
      </c>
      <c r="BI81" s="65"/>
      <c r="BJ81" s="63"/>
      <c r="BK81" s="64">
        <f t="shared" si="1474"/>
        <v>0</v>
      </c>
      <c r="BL81" s="65">
        <v>100</v>
      </c>
      <c r="BM81" s="63"/>
      <c r="BN81" s="64">
        <f t="shared" si="1475"/>
        <v>100</v>
      </c>
      <c r="BO81" s="66">
        <f t="shared" si="1476"/>
        <v>6250</v>
      </c>
      <c r="BP81" s="67">
        <f t="shared" si="1477"/>
        <v>0</v>
      </c>
      <c r="BQ81" s="64">
        <f t="shared" si="1478"/>
        <v>6250</v>
      </c>
      <c r="BR81" s="72"/>
      <c r="BS81" s="73"/>
      <c r="BT81" s="74"/>
      <c r="BU81" s="75"/>
      <c r="BV81" s="73"/>
      <c r="BW81" s="74"/>
      <c r="BX81" s="75"/>
      <c r="BY81" s="73"/>
      <c r="BZ81" s="74"/>
      <c r="CA81" s="75"/>
      <c r="CB81" s="73"/>
      <c r="CC81" s="74"/>
      <c r="CD81" s="76"/>
      <c r="CE81" s="77"/>
      <c r="CF81" s="64">
        <f t="shared" si="1479"/>
        <v>0</v>
      </c>
      <c r="CG81" s="62"/>
      <c r="CH81" s="63"/>
      <c r="CI81" s="64">
        <f t="shared" si="1480"/>
        <v>0</v>
      </c>
      <c r="CJ81" s="65"/>
      <c r="CK81" s="63"/>
      <c r="CL81" s="64">
        <f t="shared" si="1481"/>
        <v>0</v>
      </c>
      <c r="CM81" s="65"/>
      <c r="CN81" s="63"/>
      <c r="CO81" s="64">
        <f t="shared" si="1482"/>
        <v>0</v>
      </c>
      <c r="CP81" s="65"/>
      <c r="CQ81" s="63"/>
      <c r="CR81" s="64">
        <f t="shared" si="1483"/>
        <v>0</v>
      </c>
      <c r="CS81" s="66">
        <f t="shared" si="1484"/>
        <v>0</v>
      </c>
      <c r="CT81" s="67">
        <f t="shared" si="1485"/>
        <v>0</v>
      </c>
      <c r="CU81" s="64">
        <f t="shared" si="1486"/>
        <v>0</v>
      </c>
      <c r="CV81" s="62">
        <v>2916.7</v>
      </c>
      <c r="CW81" s="63"/>
      <c r="CX81" s="64">
        <f t="shared" si="1487"/>
        <v>2916.7</v>
      </c>
      <c r="CY81" s="65">
        <v>429.15</v>
      </c>
      <c r="CZ81" s="63"/>
      <c r="DA81" s="64">
        <f t="shared" si="1488"/>
        <v>429.15</v>
      </c>
      <c r="DB81" s="65"/>
      <c r="DC81" s="63"/>
      <c r="DD81" s="64">
        <f t="shared" si="1489"/>
        <v>0</v>
      </c>
      <c r="DE81" s="65"/>
      <c r="DF81" s="63"/>
      <c r="DG81" s="64">
        <f t="shared" si="1490"/>
        <v>0</v>
      </c>
      <c r="DH81" s="66">
        <f t="shared" si="1491"/>
        <v>3345.85</v>
      </c>
      <c r="DI81" s="67">
        <f t="shared" si="1492"/>
        <v>0</v>
      </c>
      <c r="DJ81" s="64">
        <f t="shared" si="1493"/>
        <v>3345.85</v>
      </c>
      <c r="DK81" s="62">
        <v>2400</v>
      </c>
      <c r="DL81" s="63"/>
      <c r="DM81" s="64">
        <f t="shared" si="1494"/>
        <v>2400</v>
      </c>
      <c r="DN81" s="65">
        <v>913.08</v>
      </c>
      <c r="DO81" s="63"/>
      <c r="DP81" s="64">
        <f t="shared" si="1495"/>
        <v>913.08</v>
      </c>
      <c r="DQ81" s="65"/>
      <c r="DR81" s="63"/>
      <c r="DS81" s="64">
        <f t="shared" si="1496"/>
        <v>0</v>
      </c>
      <c r="DT81" s="65">
        <v>100</v>
      </c>
      <c r="DU81" s="63"/>
      <c r="DV81" s="64">
        <f t="shared" si="1497"/>
        <v>100</v>
      </c>
      <c r="DW81" s="66">
        <f t="shared" si="1498"/>
        <v>3413.08</v>
      </c>
      <c r="DX81" s="67">
        <f t="shared" si="1499"/>
        <v>0</v>
      </c>
      <c r="DY81" s="64">
        <f t="shared" si="1500"/>
        <v>3413.08</v>
      </c>
      <c r="DZ81" s="62"/>
      <c r="EA81" s="63"/>
      <c r="EB81" s="64">
        <f t="shared" si="1501"/>
        <v>0</v>
      </c>
      <c r="EC81" s="65"/>
      <c r="ED81" s="63"/>
      <c r="EE81" s="64">
        <f t="shared" si="1502"/>
        <v>0</v>
      </c>
      <c r="EF81" s="65"/>
      <c r="EG81" s="63"/>
      <c r="EH81" s="64">
        <f t="shared" si="1503"/>
        <v>0</v>
      </c>
      <c r="EI81" s="65">
        <v>100</v>
      </c>
      <c r="EJ81" s="63"/>
      <c r="EK81" s="64">
        <f t="shared" si="1504"/>
        <v>100</v>
      </c>
      <c r="EL81" s="66">
        <f t="shared" si="1505"/>
        <v>100</v>
      </c>
      <c r="EM81" s="67">
        <f t="shared" si="1506"/>
        <v>0</v>
      </c>
      <c r="EN81" s="64">
        <f t="shared" si="1507"/>
        <v>100</v>
      </c>
      <c r="EO81" s="62">
        <v>6150</v>
      </c>
      <c r="EP81" s="63"/>
      <c r="EQ81" s="64">
        <f t="shared" si="1508"/>
        <v>6150</v>
      </c>
      <c r="ER81" s="65"/>
      <c r="ES81" s="63"/>
      <c r="ET81" s="64">
        <f t="shared" si="1509"/>
        <v>0</v>
      </c>
      <c r="EU81" s="65"/>
      <c r="EV81" s="63"/>
      <c r="EW81" s="64">
        <f t="shared" si="1510"/>
        <v>0</v>
      </c>
      <c r="EX81" s="65">
        <v>100</v>
      </c>
      <c r="EY81" s="63"/>
      <c r="EZ81" s="64">
        <f t="shared" si="1511"/>
        <v>100</v>
      </c>
      <c r="FA81" s="66">
        <f t="shared" si="1512"/>
        <v>6250</v>
      </c>
      <c r="FB81" s="67">
        <f t="shared" si="1513"/>
        <v>0</v>
      </c>
      <c r="FC81" s="64">
        <f t="shared" si="1514"/>
        <v>6250</v>
      </c>
      <c r="FD81" s="62">
        <v>6150</v>
      </c>
      <c r="FE81" s="63"/>
      <c r="FF81" s="64">
        <f t="shared" si="1515"/>
        <v>6150</v>
      </c>
      <c r="FG81" s="65"/>
      <c r="FH81" s="63"/>
      <c r="FI81" s="64">
        <f t="shared" si="1516"/>
        <v>0</v>
      </c>
      <c r="FJ81" s="65"/>
      <c r="FK81" s="63"/>
      <c r="FL81" s="64">
        <f t="shared" si="1517"/>
        <v>0</v>
      </c>
      <c r="FM81" s="65">
        <v>100</v>
      </c>
      <c r="FN81" s="63"/>
      <c r="FO81" s="64">
        <f t="shared" si="1518"/>
        <v>100</v>
      </c>
      <c r="FP81" s="66">
        <f t="shared" si="1519"/>
        <v>6250</v>
      </c>
      <c r="FQ81" s="67">
        <f t="shared" si="1520"/>
        <v>0</v>
      </c>
      <c r="FR81" s="64">
        <f t="shared" si="1521"/>
        <v>6250</v>
      </c>
      <c r="FS81" s="62"/>
      <c r="FT81" s="63"/>
      <c r="FU81" s="64">
        <f t="shared" si="1522"/>
        <v>0</v>
      </c>
      <c r="FV81" s="65">
        <v>485.35</v>
      </c>
      <c r="FW81" s="63"/>
      <c r="FX81" s="64">
        <f t="shared" si="1523"/>
        <v>485.35</v>
      </c>
      <c r="FY81" s="65"/>
      <c r="FZ81" s="63"/>
      <c r="GA81" s="64">
        <f t="shared" si="1524"/>
        <v>0</v>
      </c>
      <c r="GB81" s="65"/>
      <c r="GC81" s="63"/>
      <c r="GD81" s="64">
        <f t="shared" si="1525"/>
        <v>0</v>
      </c>
      <c r="GE81" s="66">
        <f t="shared" si="1526"/>
        <v>485.35</v>
      </c>
      <c r="GF81" s="67">
        <f t="shared" si="1527"/>
        <v>0</v>
      </c>
      <c r="GG81" s="64">
        <f t="shared" si="1528"/>
        <v>485.35</v>
      </c>
      <c r="GH81" s="62"/>
      <c r="GI81" s="63"/>
      <c r="GJ81" s="64">
        <f t="shared" si="1529"/>
        <v>0</v>
      </c>
      <c r="GK81" s="65">
        <v>660.33</v>
      </c>
      <c r="GL81" s="63"/>
      <c r="GM81" s="64">
        <f t="shared" si="1530"/>
        <v>660.33</v>
      </c>
      <c r="GN81" s="65"/>
      <c r="GO81" s="63"/>
      <c r="GP81" s="64">
        <f t="shared" si="1531"/>
        <v>0</v>
      </c>
      <c r="GQ81" s="65"/>
      <c r="GR81" s="63"/>
      <c r="GS81" s="64">
        <f t="shared" si="1532"/>
        <v>0</v>
      </c>
      <c r="GT81" s="66">
        <f t="shared" si="1533"/>
        <v>660.33</v>
      </c>
      <c r="GU81" s="67">
        <f t="shared" si="1534"/>
        <v>0</v>
      </c>
      <c r="GV81" s="64">
        <f t="shared" si="1535"/>
        <v>660.33</v>
      </c>
      <c r="GW81" s="62"/>
      <c r="GX81" s="63"/>
      <c r="GY81" s="64">
        <f t="shared" si="1536"/>
        <v>0</v>
      </c>
      <c r="GZ81" s="65">
        <v>568.25</v>
      </c>
      <c r="HA81" s="63"/>
      <c r="HB81" s="64">
        <f t="shared" si="1537"/>
        <v>568.25</v>
      </c>
      <c r="HC81" s="65"/>
      <c r="HD81" s="63"/>
      <c r="HE81" s="64">
        <f t="shared" si="1538"/>
        <v>0</v>
      </c>
      <c r="HF81" s="65">
        <v>100</v>
      </c>
      <c r="HG81" s="63"/>
      <c r="HH81" s="64">
        <f t="shared" si="1539"/>
        <v>100</v>
      </c>
      <c r="HI81" s="66">
        <f t="shared" si="1540"/>
        <v>668.25</v>
      </c>
      <c r="HJ81" s="67">
        <f t="shared" si="1541"/>
        <v>0</v>
      </c>
      <c r="HK81" s="64">
        <f t="shared" si="1542"/>
        <v>668.25</v>
      </c>
      <c r="HL81" s="62">
        <v>6150</v>
      </c>
      <c r="HM81" s="63"/>
      <c r="HN81" s="64">
        <f t="shared" si="1543"/>
        <v>6150</v>
      </c>
      <c r="HO81" s="65"/>
      <c r="HP81" s="63"/>
      <c r="HQ81" s="64">
        <f t="shared" si="1544"/>
        <v>0</v>
      </c>
      <c r="HR81" s="65"/>
      <c r="HS81" s="63"/>
      <c r="HT81" s="64">
        <f t="shared" si="1545"/>
        <v>0</v>
      </c>
      <c r="HU81" s="65">
        <v>100</v>
      </c>
      <c r="HV81" s="63"/>
      <c r="HW81" s="64">
        <f t="shared" si="1546"/>
        <v>100</v>
      </c>
      <c r="HX81" s="66">
        <f t="shared" si="1547"/>
        <v>6250</v>
      </c>
      <c r="HY81" s="67">
        <f t="shared" si="1548"/>
        <v>0</v>
      </c>
      <c r="HZ81" s="64">
        <f t="shared" si="1549"/>
        <v>6250</v>
      </c>
      <c r="IA81" s="62"/>
      <c r="IB81" s="63"/>
      <c r="IC81" s="64">
        <f t="shared" si="1550"/>
        <v>0</v>
      </c>
      <c r="ID81" s="65"/>
      <c r="IE81" s="63"/>
      <c r="IF81" s="64">
        <f t="shared" si="1551"/>
        <v>0</v>
      </c>
      <c r="IG81" s="65"/>
      <c r="IH81" s="63"/>
      <c r="II81" s="64">
        <f t="shared" si="1552"/>
        <v>0</v>
      </c>
      <c r="IJ81" s="65">
        <v>100</v>
      </c>
      <c r="IK81" s="63"/>
      <c r="IL81" s="64">
        <f t="shared" si="1553"/>
        <v>100</v>
      </c>
      <c r="IM81" s="66">
        <f t="shared" si="1554"/>
        <v>100</v>
      </c>
      <c r="IN81" s="67">
        <f t="shared" si="1555"/>
        <v>0</v>
      </c>
      <c r="IO81" s="64">
        <f t="shared" si="1556"/>
        <v>100</v>
      </c>
      <c r="IP81" s="62"/>
      <c r="IQ81" s="63"/>
      <c r="IR81" s="64">
        <f t="shared" si="1557"/>
        <v>0</v>
      </c>
      <c r="IS81" s="65"/>
      <c r="IT81" s="63"/>
      <c r="IU81" s="64">
        <f t="shared" si="1558"/>
        <v>0</v>
      </c>
      <c r="IV81" s="65"/>
      <c r="IW81" s="63"/>
      <c r="IX81" s="64">
        <f t="shared" si="1559"/>
        <v>0</v>
      </c>
      <c r="IY81" s="65"/>
      <c r="IZ81" s="63"/>
      <c r="JA81" s="64">
        <f t="shared" si="1560"/>
        <v>0</v>
      </c>
      <c r="JB81" s="66">
        <f t="shared" si="1561"/>
        <v>0</v>
      </c>
      <c r="JC81" s="67">
        <f t="shared" si="1562"/>
        <v>0</v>
      </c>
      <c r="JD81" s="64">
        <f t="shared" si="1563"/>
        <v>0</v>
      </c>
      <c r="JE81" s="72"/>
      <c r="JF81" s="150"/>
      <c r="JG81" s="74"/>
      <c r="JH81" s="75"/>
      <c r="JI81" s="150"/>
      <c r="JJ81" s="74"/>
      <c r="JK81" s="75"/>
      <c r="JL81" s="150"/>
      <c r="JM81" s="74"/>
      <c r="JN81" s="75"/>
      <c r="JO81" s="150"/>
      <c r="JP81" s="74"/>
      <c r="JQ81" s="76"/>
      <c r="JR81" s="77"/>
      <c r="JS81" s="74"/>
      <c r="JT81" s="72"/>
      <c r="JU81" s="73"/>
      <c r="JV81" s="74"/>
      <c r="JW81" s="75"/>
      <c r="JX81" s="73"/>
      <c r="JY81" s="74"/>
      <c r="JZ81" s="75"/>
      <c r="KA81" s="73"/>
      <c r="KB81" s="74"/>
      <c r="KC81" s="75"/>
      <c r="KD81" s="73"/>
      <c r="KE81" s="74"/>
      <c r="KF81" s="76"/>
      <c r="KG81" s="77"/>
      <c r="KH81" s="64">
        <f t="shared" si="1564"/>
        <v>0</v>
      </c>
      <c r="KI81" s="62"/>
      <c r="KJ81" s="63"/>
      <c r="KK81" s="64">
        <f t="shared" si="1565"/>
        <v>0</v>
      </c>
      <c r="KL81" s="65"/>
      <c r="KM81" s="63"/>
      <c r="KN81" s="64">
        <f t="shared" si="1566"/>
        <v>0</v>
      </c>
      <c r="KO81" s="65"/>
      <c r="KP81" s="63"/>
      <c r="KQ81" s="64">
        <f t="shared" si="1567"/>
        <v>0</v>
      </c>
      <c r="KR81" s="65"/>
      <c r="KS81" s="63"/>
      <c r="KT81" s="64">
        <f t="shared" si="1568"/>
        <v>0</v>
      </c>
      <c r="KU81" s="66">
        <f t="shared" si="1439"/>
        <v>0</v>
      </c>
      <c r="KV81" s="67">
        <f t="shared" si="1569"/>
        <v>0</v>
      </c>
      <c r="KW81" s="64">
        <f t="shared" si="1570"/>
        <v>0</v>
      </c>
      <c r="KX81" s="72"/>
      <c r="KY81" s="73"/>
      <c r="KZ81" s="74"/>
      <c r="LA81" s="75"/>
      <c r="LB81" s="73"/>
      <c r="LC81" s="74"/>
      <c r="LD81" s="75"/>
      <c r="LE81" s="73"/>
      <c r="LF81" s="74"/>
      <c r="LG81" s="75"/>
      <c r="LH81" s="73"/>
      <c r="LI81" s="74"/>
      <c r="LJ81" s="76"/>
      <c r="LK81" s="77"/>
      <c r="LL81" s="74"/>
      <c r="LM81" s="62"/>
      <c r="LN81" s="63"/>
      <c r="LO81" s="64">
        <f t="shared" si="1571"/>
        <v>0</v>
      </c>
      <c r="LP81" s="65"/>
      <c r="LQ81" s="63"/>
      <c r="LR81" s="64">
        <f t="shared" si="1572"/>
        <v>0</v>
      </c>
      <c r="LS81" s="65"/>
      <c r="LT81" s="63"/>
      <c r="LU81" s="64">
        <f t="shared" si="1573"/>
        <v>0</v>
      </c>
      <c r="LV81" s="65">
        <v>100</v>
      </c>
      <c r="LW81" s="63"/>
      <c r="LX81" s="64">
        <f t="shared" si="1574"/>
        <v>100</v>
      </c>
      <c r="LY81" s="66">
        <f t="shared" si="1575"/>
        <v>100</v>
      </c>
      <c r="LZ81" s="67">
        <f t="shared" si="1576"/>
        <v>0</v>
      </c>
      <c r="MA81" s="64">
        <f t="shared" si="1577"/>
        <v>100</v>
      </c>
      <c r="MB81" s="62"/>
      <c r="MC81" s="63"/>
      <c r="MD81" s="64">
        <f t="shared" si="1578"/>
        <v>0</v>
      </c>
      <c r="ME81" s="65">
        <v>889.11</v>
      </c>
      <c r="MF81" s="63"/>
      <c r="MG81" s="64">
        <f t="shared" si="1579"/>
        <v>889.11</v>
      </c>
      <c r="MH81" s="65"/>
      <c r="MI81" s="63"/>
      <c r="MJ81" s="64">
        <f t="shared" si="1580"/>
        <v>0</v>
      </c>
      <c r="MK81" s="65">
        <v>100</v>
      </c>
      <c r="ML81" s="63"/>
      <c r="MM81" s="64">
        <f t="shared" si="1581"/>
        <v>100</v>
      </c>
      <c r="MN81" s="66">
        <f t="shared" si="1582"/>
        <v>989.11</v>
      </c>
      <c r="MO81" s="67">
        <f t="shared" si="1583"/>
        <v>0</v>
      </c>
      <c r="MP81" s="64">
        <f t="shared" si="1584"/>
        <v>989.11</v>
      </c>
      <c r="MQ81" s="62"/>
      <c r="MR81" s="63"/>
      <c r="MS81" s="64">
        <f t="shared" si="1585"/>
        <v>0</v>
      </c>
      <c r="MT81" s="65"/>
      <c r="MU81" s="63"/>
      <c r="MV81" s="64">
        <f t="shared" si="1586"/>
        <v>0</v>
      </c>
      <c r="MW81" s="65"/>
      <c r="MX81" s="63"/>
      <c r="MY81" s="64">
        <f t="shared" si="1587"/>
        <v>0</v>
      </c>
      <c r="MZ81" s="65"/>
      <c r="NA81" s="63"/>
      <c r="NB81" s="64">
        <f t="shared" si="1588"/>
        <v>0</v>
      </c>
      <c r="NC81" s="66">
        <f t="shared" si="1589"/>
        <v>0</v>
      </c>
      <c r="ND81" s="67">
        <f t="shared" si="1590"/>
        <v>0</v>
      </c>
      <c r="NE81" s="64">
        <f t="shared" si="1591"/>
        <v>0</v>
      </c>
      <c r="NF81" s="62"/>
      <c r="NG81" s="63"/>
      <c r="NH81" s="64">
        <f t="shared" si="1592"/>
        <v>0</v>
      </c>
      <c r="NI81" s="65">
        <v>1164.04</v>
      </c>
      <c r="NJ81" s="63"/>
      <c r="NK81" s="64">
        <f t="shared" si="1593"/>
        <v>1164.04</v>
      </c>
      <c r="NL81" s="65"/>
      <c r="NM81" s="63"/>
      <c r="NN81" s="64">
        <f t="shared" si="1594"/>
        <v>0</v>
      </c>
      <c r="NO81" s="65">
        <v>100</v>
      </c>
      <c r="NP81" s="63"/>
      <c r="NQ81" s="64">
        <f t="shared" si="1595"/>
        <v>100</v>
      </c>
      <c r="NR81" s="66">
        <f t="shared" si="1596"/>
        <v>1264.04</v>
      </c>
      <c r="NS81" s="67">
        <f t="shared" si="1597"/>
        <v>0</v>
      </c>
      <c r="NT81" s="64">
        <f t="shared" si="1598"/>
        <v>1264.04</v>
      </c>
      <c r="NU81" s="62"/>
      <c r="NV81" s="63"/>
      <c r="NW81" s="64">
        <f t="shared" si="1599"/>
        <v>0</v>
      </c>
      <c r="NX81" s="65">
        <v>1152.73</v>
      </c>
      <c r="NY81" s="63"/>
      <c r="NZ81" s="64">
        <f t="shared" si="1600"/>
        <v>1152.73</v>
      </c>
      <c r="OA81" s="65"/>
      <c r="OB81" s="63"/>
      <c r="OC81" s="64">
        <f t="shared" si="1601"/>
        <v>0</v>
      </c>
      <c r="OD81" s="65">
        <v>100</v>
      </c>
      <c r="OE81" s="63"/>
      <c r="OF81" s="64">
        <f t="shared" si="1602"/>
        <v>100</v>
      </c>
      <c r="OG81" s="66">
        <f t="shared" si="1603"/>
        <v>1252.73</v>
      </c>
      <c r="OH81" s="67">
        <f t="shared" si="1604"/>
        <v>0</v>
      </c>
      <c r="OI81" s="64">
        <f t="shared" si="1605"/>
        <v>1252.73</v>
      </c>
      <c r="OJ81" s="62"/>
      <c r="OK81" s="63"/>
      <c r="OL81" s="64">
        <f t="shared" si="1606"/>
        <v>0</v>
      </c>
      <c r="OM81" s="65"/>
      <c r="ON81" s="63"/>
      <c r="OO81" s="64">
        <f t="shared" si="1607"/>
        <v>0</v>
      </c>
      <c r="OP81" s="65"/>
      <c r="OQ81" s="63"/>
      <c r="OR81" s="64">
        <f t="shared" si="1608"/>
        <v>0</v>
      </c>
      <c r="OS81" s="65">
        <v>100</v>
      </c>
      <c r="OT81" s="63"/>
      <c r="OU81" s="64">
        <f t="shared" si="1609"/>
        <v>100</v>
      </c>
      <c r="OV81" s="66">
        <f t="shared" si="1610"/>
        <v>100</v>
      </c>
      <c r="OW81" s="67">
        <f t="shared" si="1611"/>
        <v>0</v>
      </c>
      <c r="OX81" s="64">
        <f t="shared" si="1612"/>
        <v>100</v>
      </c>
      <c r="OY81" s="62"/>
      <c r="OZ81" s="63"/>
      <c r="PA81" s="64">
        <f t="shared" si="1613"/>
        <v>0</v>
      </c>
      <c r="PB81" s="65"/>
      <c r="PC81" s="63"/>
      <c r="PD81" s="64">
        <f t="shared" si="1614"/>
        <v>0</v>
      </c>
      <c r="PE81" s="65"/>
      <c r="PF81" s="63"/>
      <c r="PG81" s="64">
        <f t="shared" si="1615"/>
        <v>0</v>
      </c>
      <c r="PH81" s="65">
        <v>100</v>
      </c>
      <c r="PI81" s="63"/>
      <c r="PJ81" s="64">
        <f t="shared" si="1616"/>
        <v>100</v>
      </c>
      <c r="PK81" s="66">
        <f t="shared" si="1617"/>
        <v>100</v>
      </c>
      <c r="PL81" s="67">
        <f t="shared" si="1618"/>
        <v>0</v>
      </c>
      <c r="PM81" s="64">
        <f t="shared" si="1619"/>
        <v>100</v>
      </c>
      <c r="PN81" s="62">
        <v>1550</v>
      </c>
      <c r="PO81" s="63"/>
      <c r="PP81" s="64">
        <f t="shared" si="1620"/>
        <v>1550</v>
      </c>
      <c r="PQ81" s="65"/>
      <c r="PR81" s="63"/>
      <c r="PS81" s="64">
        <f t="shared" si="1621"/>
        <v>0</v>
      </c>
      <c r="PT81" s="65"/>
      <c r="PU81" s="63"/>
      <c r="PV81" s="64">
        <f t="shared" si="1622"/>
        <v>0</v>
      </c>
      <c r="PW81" s="65">
        <v>100</v>
      </c>
      <c r="PX81" s="63"/>
      <c r="PY81" s="64">
        <f t="shared" si="1623"/>
        <v>100</v>
      </c>
      <c r="PZ81" s="66">
        <f t="shared" si="1624"/>
        <v>1650</v>
      </c>
      <c r="QA81" s="67">
        <f t="shared" si="1625"/>
        <v>0</v>
      </c>
      <c r="QB81" s="64">
        <f t="shared" si="1626"/>
        <v>1650</v>
      </c>
      <c r="QC81" s="62"/>
      <c r="QD81" s="63"/>
      <c r="QE81" s="64">
        <f t="shared" si="1627"/>
        <v>0</v>
      </c>
      <c r="QF81" s="65"/>
      <c r="QG81" s="63"/>
      <c r="QH81" s="64">
        <f t="shared" si="1628"/>
        <v>0</v>
      </c>
      <c r="QI81" s="65"/>
      <c r="QJ81" s="63"/>
      <c r="QK81" s="64">
        <f t="shared" si="1629"/>
        <v>0</v>
      </c>
      <c r="QL81" s="65">
        <v>100</v>
      </c>
      <c r="QM81" s="63"/>
      <c r="QN81" s="64">
        <f t="shared" si="1630"/>
        <v>100</v>
      </c>
      <c r="QO81" s="66">
        <f t="shared" si="1631"/>
        <v>100</v>
      </c>
      <c r="QP81" s="67">
        <f t="shared" si="1632"/>
        <v>0</v>
      </c>
      <c r="QQ81" s="64">
        <f t="shared" si="1633"/>
        <v>100</v>
      </c>
      <c r="QR81" s="74"/>
      <c r="QS81" s="74"/>
      <c r="QT81" s="72"/>
      <c r="QU81" s="73"/>
      <c r="QV81" s="74"/>
      <c r="QW81" s="75"/>
      <c r="QX81" s="73"/>
      <c r="QY81" s="74"/>
      <c r="QZ81" s="75"/>
      <c r="RA81" s="73"/>
      <c r="RB81" s="74"/>
      <c r="RC81" s="75"/>
      <c r="RD81" s="73"/>
      <c r="RE81" s="74"/>
      <c r="RF81" s="74"/>
      <c r="RG81" s="72"/>
      <c r="RH81" s="73"/>
      <c r="RI81" s="74"/>
      <c r="RJ81" s="75"/>
      <c r="RK81" s="73"/>
      <c r="RL81" s="74"/>
      <c r="RM81" s="75"/>
      <c r="RN81" s="73"/>
      <c r="RO81" s="74"/>
      <c r="RP81" s="75"/>
      <c r="RQ81" s="73"/>
      <c r="RR81" s="74"/>
      <c r="RS81" s="76"/>
      <c r="RT81" s="77"/>
      <c r="RU81" s="74"/>
      <c r="RV81" s="74"/>
      <c r="RW81" s="72"/>
      <c r="RX81" s="73"/>
      <c r="RY81" s="74"/>
      <c r="RZ81" s="75"/>
      <c r="SA81" s="73"/>
      <c r="SB81" s="74"/>
      <c r="SC81" s="75"/>
      <c r="SD81" s="73"/>
      <c r="SE81" s="74"/>
      <c r="SF81" s="75"/>
      <c r="SG81" s="73"/>
      <c r="SH81" s="74"/>
      <c r="SI81" s="76"/>
      <c r="SJ81" s="64">
        <f t="shared" si="1634"/>
        <v>0</v>
      </c>
      <c r="SK81" s="62"/>
      <c r="SL81" s="63"/>
      <c r="SM81" s="64">
        <f t="shared" si="1635"/>
        <v>0</v>
      </c>
      <c r="SN81" s="65"/>
      <c r="SO81" s="63"/>
      <c r="SP81" s="64">
        <f t="shared" si="1636"/>
        <v>0</v>
      </c>
      <c r="SQ81" s="65"/>
      <c r="SR81" s="63"/>
      <c r="SS81" s="64">
        <f t="shared" si="1637"/>
        <v>0</v>
      </c>
      <c r="ST81" s="65">
        <v>100</v>
      </c>
      <c r="SU81" s="63"/>
      <c r="SV81" s="64">
        <f t="shared" si="1638"/>
        <v>100</v>
      </c>
      <c r="SW81" s="66">
        <f t="shared" si="1639"/>
        <v>100</v>
      </c>
      <c r="SX81" s="67">
        <f t="shared" si="1640"/>
        <v>0</v>
      </c>
      <c r="SY81" s="64">
        <f t="shared" si="1641"/>
        <v>100</v>
      </c>
      <c r="SZ81" s="62">
        <v>985.33</v>
      </c>
      <c r="TA81" s="63"/>
      <c r="TB81" s="64">
        <f t="shared" si="1642"/>
        <v>985.33</v>
      </c>
      <c r="TC81" s="65">
        <v>700.9</v>
      </c>
      <c r="TD81" s="63"/>
      <c r="TE81" s="64">
        <f t="shared" si="1643"/>
        <v>700.9</v>
      </c>
      <c r="TF81" s="65"/>
      <c r="TG81" s="63"/>
      <c r="TH81" s="64">
        <f t="shared" si="1644"/>
        <v>0</v>
      </c>
      <c r="TI81" s="65">
        <v>100</v>
      </c>
      <c r="TJ81" s="63"/>
      <c r="TK81" s="64">
        <f t="shared" si="1645"/>
        <v>100</v>
      </c>
      <c r="TL81" s="66">
        <f t="shared" si="1646"/>
        <v>1786.23</v>
      </c>
      <c r="TM81" s="67">
        <f t="shared" si="1647"/>
        <v>0</v>
      </c>
      <c r="TN81" s="64">
        <f t="shared" si="1648"/>
        <v>1786.23</v>
      </c>
      <c r="TO81" s="62">
        <v>3875</v>
      </c>
      <c r="TP81" s="63"/>
      <c r="TQ81" s="64">
        <f t="shared" si="1649"/>
        <v>3875</v>
      </c>
      <c r="TR81" s="65"/>
      <c r="TS81" s="63"/>
      <c r="TT81" s="64">
        <f t="shared" si="1650"/>
        <v>0</v>
      </c>
      <c r="TU81" s="65"/>
      <c r="TV81" s="63"/>
      <c r="TW81" s="64">
        <f t="shared" si="1651"/>
        <v>0</v>
      </c>
      <c r="TX81" s="65">
        <v>100</v>
      </c>
      <c r="TY81" s="63"/>
      <c r="TZ81" s="64">
        <f t="shared" si="1652"/>
        <v>100</v>
      </c>
      <c r="UA81" s="66">
        <f t="shared" si="1653"/>
        <v>3975</v>
      </c>
      <c r="UB81" s="67">
        <f t="shared" si="1654"/>
        <v>0</v>
      </c>
      <c r="UC81" s="64">
        <f t="shared" si="1655"/>
        <v>3975</v>
      </c>
      <c r="UD81" s="62"/>
      <c r="UE81" s="63"/>
      <c r="UF81" s="64">
        <f t="shared" si="1656"/>
        <v>0</v>
      </c>
      <c r="UG81" s="65">
        <v>497.04</v>
      </c>
      <c r="UH81" s="63"/>
      <c r="UI81" s="64">
        <f t="shared" si="1657"/>
        <v>497.04</v>
      </c>
      <c r="UJ81" s="65"/>
      <c r="UK81" s="63"/>
      <c r="UL81" s="64">
        <f t="shared" si="1658"/>
        <v>0</v>
      </c>
      <c r="UM81" s="65">
        <v>100</v>
      </c>
      <c r="UN81" s="63"/>
      <c r="UO81" s="64">
        <f t="shared" si="1659"/>
        <v>100</v>
      </c>
      <c r="UP81" s="66">
        <f t="shared" si="1660"/>
        <v>597.04</v>
      </c>
      <c r="UQ81" s="67">
        <f t="shared" si="1661"/>
        <v>0</v>
      </c>
      <c r="UR81" s="64">
        <f t="shared" si="1662"/>
        <v>597.04</v>
      </c>
      <c r="US81" s="74"/>
      <c r="UT81" s="72"/>
      <c r="UU81" s="73"/>
      <c r="UV81" s="74"/>
      <c r="UW81" s="75"/>
      <c r="UX81" s="73"/>
      <c r="UY81" s="74"/>
      <c r="UZ81" s="75"/>
      <c r="VA81" s="73"/>
      <c r="VB81" s="74"/>
      <c r="VC81" s="75"/>
      <c r="VD81" s="73"/>
      <c r="VE81" s="74"/>
      <c r="VF81" s="76"/>
      <c r="VG81" s="77"/>
      <c r="VH81" s="62"/>
      <c r="VI81" s="63"/>
      <c r="VJ81" s="64">
        <f t="shared" si="1663"/>
        <v>0</v>
      </c>
      <c r="VK81" s="65"/>
      <c r="VL81" s="63"/>
      <c r="VM81" s="64">
        <f t="shared" si="1664"/>
        <v>0</v>
      </c>
      <c r="VN81" s="65"/>
      <c r="VO81" s="63"/>
      <c r="VP81" s="64">
        <f t="shared" si="1665"/>
        <v>0</v>
      </c>
      <c r="VQ81" s="65">
        <v>100</v>
      </c>
      <c r="VR81" s="63"/>
      <c r="VS81" s="64">
        <f t="shared" si="1666"/>
        <v>100</v>
      </c>
      <c r="VT81" s="66">
        <f t="shared" si="1667"/>
        <v>100</v>
      </c>
      <c r="VU81" s="67">
        <f t="shared" si="1668"/>
        <v>0</v>
      </c>
      <c r="VV81" s="64">
        <f t="shared" si="1669"/>
        <v>100</v>
      </c>
      <c r="VW81" s="74"/>
      <c r="VX81" s="72"/>
      <c r="VY81" s="73"/>
      <c r="VZ81" s="74"/>
      <c r="WA81" s="75"/>
      <c r="WB81" s="73"/>
      <c r="WC81" s="74"/>
      <c r="WD81" s="75"/>
      <c r="WE81" s="73"/>
      <c r="WF81" s="74"/>
      <c r="WG81" s="75"/>
      <c r="WH81" s="73"/>
      <c r="WI81" s="74"/>
      <c r="WJ81" s="76"/>
      <c r="WK81" s="77"/>
      <c r="WL81" s="74"/>
      <c r="WM81" s="72"/>
      <c r="WN81" s="73"/>
      <c r="WO81" s="74"/>
      <c r="WP81" s="75"/>
      <c r="WQ81" s="73"/>
      <c r="WR81" s="74"/>
      <c r="WS81" s="75"/>
      <c r="WT81" s="73"/>
      <c r="WU81" s="74"/>
      <c r="WV81" s="75"/>
      <c r="WW81" s="73"/>
      <c r="WX81" s="74"/>
      <c r="WY81" s="76"/>
      <c r="WZ81" s="77"/>
      <c r="XA81" s="74"/>
      <c r="XB81" s="72"/>
      <c r="XC81" s="73"/>
      <c r="XD81" s="74"/>
      <c r="XE81" s="75"/>
      <c r="XF81" s="73"/>
      <c r="XG81" s="74"/>
      <c r="XH81" s="75"/>
      <c r="XI81" s="73"/>
      <c r="XJ81" s="74"/>
      <c r="XK81" s="75"/>
      <c r="XL81" s="73"/>
      <c r="XM81" s="74"/>
      <c r="XN81" s="76"/>
      <c r="XO81" s="77"/>
      <c r="XP81" s="62"/>
      <c r="XQ81" s="63"/>
      <c r="XR81" s="64">
        <f t="shared" si="1670"/>
        <v>0</v>
      </c>
      <c r="XS81" s="65">
        <v>844.24</v>
      </c>
      <c r="XT81" s="63"/>
      <c r="XU81" s="64">
        <f t="shared" si="1671"/>
        <v>844.24</v>
      </c>
      <c r="XV81" s="65"/>
      <c r="XW81" s="63"/>
      <c r="XX81" s="64">
        <f t="shared" si="1672"/>
        <v>0</v>
      </c>
      <c r="XY81" s="65">
        <v>100</v>
      </c>
      <c r="XZ81" s="63"/>
      <c r="YA81" s="64">
        <f t="shared" si="1673"/>
        <v>100</v>
      </c>
      <c r="YB81" s="66">
        <f t="shared" si="1674"/>
        <v>944.24</v>
      </c>
      <c r="YC81" s="67">
        <f t="shared" si="1675"/>
        <v>0</v>
      </c>
      <c r="YD81" s="64">
        <f t="shared" si="1676"/>
        <v>944.24</v>
      </c>
      <c r="YE81" s="62"/>
      <c r="YF81" s="63"/>
      <c r="YG81" s="64">
        <f t="shared" si="1677"/>
        <v>0</v>
      </c>
      <c r="YH81" s="65">
        <v>847.85</v>
      </c>
      <c r="YI81" s="63"/>
      <c r="YJ81" s="64">
        <f t="shared" si="1678"/>
        <v>847.85</v>
      </c>
      <c r="YK81" s="65"/>
      <c r="YL81" s="63"/>
      <c r="YM81" s="64">
        <f t="shared" si="1679"/>
        <v>0</v>
      </c>
      <c r="YN81" s="65">
        <v>100</v>
      </c>
      <c r="YO81" s="63"/>
      <c r="YP81" s="64">
        <f t="shared" si="1680"/>
        <v>100</v>
      </c>
      <c r="YQ81" s="66">
        <f t="shared" si="1681"/>
        <v>947.85</v>
      </c>
      <c r="YR81" s="67">
        <f t="shared" si="1682"/>
        <v>0</v>
      </c>
      <c r="YS81" s="64">
        <f t="shared" si="1683"/>
        <v>947.85</v>
      </c>
      <c r="YT81" s="62"/>
      <c r="YU81" s="63"/>
      <c r="YV81" s="64">
        <f t="shared" si="1684"/>
        <v>0</v>
      </c>
      <c r="YW81" s="65">
        <v>695.73</v>
      </c>
      <c r="YX81" s="63"/>
      <c r="YY81" s="64">
        <f t="shared" si="1685"/>
        <v>695.73</v>
      </c>
      <c r="YZ81" s="65"/>
      <c r="ZA81" s="63"/>
      <c r="ZB81" s="64">
        <f t="shared" si="1686"/>
        <v>0</v>
      </c>
      <c r="ZC81" s="65">
        <v>100</v>
      </c>
      <c r="ZD81" s="63"/>
      <c r="ZE81" s="64">
        <f t="shared" si="1687"/>
        <v>100</v>
      </c>
      <c r="ZF81" s="66">
        <f t="shared" si="1688"/>
        <v>795.73</v>
      </c>
      <c r="ZG81" s="67">
        <f t="shared" si="1689"/>
        <v>0</v>
      </c>
      <c r="ZH81" s="74"/>
      <c r="ZI81" s="72"/>
      <c r="ZJ81" s="73"/>
      <c r="ZK81" s="74"/>
      <c r="ZL81" s="75"/>
      <c r="ZM81" s="73"/>
      <c r="ZN81" s="74"/>
      <c r="ZO81" s="75"/>
      <c r="ZP81" s="73"/>
      <c r="ZQ81" s="74"/>
      <c r="ZR81" s="75"/>
      <c r="ZS81" s="73"/>
      <c r="ZT81" s="74"/>
      <c r="ZU81" s="76"/>
      <c r="ZV81" s="77"/>
      <c r="ZW81" s="64">
        <f t="shared" si="1690"/>
        <v>0</v>
      </c>
      <c r="ZX81" s="62">
        <v>24.71</v>
      </c>
      <c r="ZY81" s="63"/>
      <c r="ZZ81" s="64">
        <f t="shared" si="1691"/>
        <v>24.71</v>
      </c>
      <c r="AAA81" s="66">
        <f t="shared" si="1692"/>
        <v>24.71</v>
      </c>
      <c r="AAB81" s="67">
        <f t="shared" si="1692"/>
        <v>0</v>
      </c>
      <c r="AAC81" s="64">
        <f t="shared" si="1693"/>
        <v>24.71</v>
      </c>
      <c r="AAD81" s="85">
        <f t="shared" si="1694"/>
        <v>55742.71</v>
      </c>
      <c r="AAE81" s="98">
        <f t="shared" si="1694"/>
        <v>0</v>
      </c>
      <c r="AAF81" s="99">
        <f t="shared" si="1457"/>
        <v>0</v>
      </c>
      <c r="AAG81" s="100">
        <f t="shared" si="1695"/>
        <v>-55742.71</v>
      </c>
      <c r="AAH81" s="96"/>
      <c r="AAI81" s="97"/>
      <c r="AAJ81" s="97"/>
      <c r="AAK81" s="60"/>
    </row>
    <row r="82" spans="1:713" s="83" customFormat="1" ht="20" customHeight="1" thickBot="1" x14ac:dyDescent="0.25">
      <c r="A82" s="152"/>
      <c r="F82" s="101" t="s">
        <v>166</v>
      </c>
      <c r="G82" s="102">
        <f t="shared" ref="G82:X82" si="1697">SUM(G70:G81)</f>
        <v>371675.99</v>
      </c>
      <c r="H82" s="103">
        <f t="shared" si="1697"/>
        <v>0</v>
      </c>
      <c r="I82" s="104">
        <f t="shared" si="1697"/>
        <v>371675.99</v>
      </c>
      <c r="J82" s="103">
        <f t="shared" si="1697"/>
        <v>37095.769999999997</v>
      </c>
      <c r="K82" s="105">
        <f t="shared" si="1697"/>
        <v>0</v>
      </c>
      <c r="L82" s="104">
        <f t="shared" si="1697"/>
        <v>37095.769999999997</v>
      </c>
      <c r="M82" s="103">
        <f t="shared" si="1697"/>
        <v>30000</v>
      </c>
      <c r="N82" s="105">
        <f t="shared" si="1697"/>
        <v>0</v>
      </c>
      <c r="O82" s="104">
        <f t="shared" si="1697"/>
        <v>30000</v>
      </c>
      <c r="P82" s="103">
        <f t="shared" si="1697"/>
        <v>11000</v>
      </c>
      <c r="Q82" s="105">
        <f t="shared" si="1697"/>
        <v>0</v>
      </c>
      <c r="R82" s="104">
        <f t="shared" si="1697"/>
        <v>11000</v>
      </c>
      <c r="S82" s="103">
        <f t="shared" si="1697"/>
        <v>2896</v>
      </c>
      <c r="T82" s="105">
        <f t="shared" si="1697"/>
        <v>0</v>
      </c>
      <c r="U82" s="104">
        <f t="shared" si="1697"/>
        <v>2896</v>
      </c>
      <c r="V82" s="103">
        <f t="shared" si="1697"/>
        <v>452667.75999999995</v>
      </c>
      <c r="W82" s="106">
        <f t="shared" si="1697"/>
        <v>0</v>
      </c>
      <c r="X82" s="104">
        <f t="shared" si="1697"/>
        <v>452667.75999999995</v>
      </c>
      <c r="Y82" s="107"/>
      <c r="Z82" s="108"/>
      <c r="AA82" s="109"/>
      <c r="AB82" s="108"/>
      <c r="AC82" s="110"/>
      <c r="AD82" s="109"/>
      <c r="AE82" s="108"/>
      <c r="AF82" s="110"/>
      <c r="AG82" s="109"/>
      <c r="AH82" s="108"/>
      <c r="AI82" s="110"/>
      <c r="AJ82" s="109"/>
      <c r="AK82" s="108"/>
      <c r="AL82" s="111"/>
      <c r="AM82" s="104">
        <f>SUM(AM70:AM81)</f>
        <v>0</v>
      </c>
      <c r="AN82" s="102">
        <f t="shared" ref="AN82:AX82" si="1698">SUM(AN70:AN81)</f>
        <v>25000</v>
      </c>
      <c r="AO82" s="103">
        <f t="shared" si="1698"/>
        <v>0</v>
      </c>
      <c r="AP82" s="104">
        <f t="shared" si="1698"/>
        <v>25000</v>
      </c>
      <c r="AQ82" s="103">
        <f t="shared" si="1698"/>
        <v>0</v>
      </c>
      <c r="AR82" s="105">
        <f t="shared" si="1698"/>
        <v>0</v>
      </c>
      <c r="AS82" s="104">
        <f t="shared" si="1698"/>
        <v>0</v>
      </c>
      <c r="AT82" s="103">
        <f t="shared" si="1698"/>
        <v>2745.49</v>
      </c>
      <c r="AU82" s="105">
        <f t="shared" si="1698"/>
        <v>0</v>
      </c>
      <c r="AV82" s="104">
        <f t="shared" si="1698"/>
        <v>2745.49</v>
      </c>
      <c r="AW82" s="103">
        <f t="shared" si="1698"/>
        <v>0</v>
      </c>
      <c r="AX82" s="105">
        <f t="shared" si="1698"/>
        <v>0</v>
      </c>
      <c r="AY82" s="104">
        <f>SUM(AY70:AY81)</f>
        <v>0</v>
      </c>
      <c r="AZ82" s="103">
        <f t="shared" si="1469"/>
        <v>27745.489999999998</v>
      </c>
      <c r="BA82" s="106">
        <f>SUM(BA70:BA81)</f>
        <v>0</v>
      </c>
      <c r="BB82" s="104">
        <f t="shared" ref="BB82:BN82" si="1699">SUM(BB70:BB81)</f>
        <v>27745.489999999998</v>
      </c>
      <c r="BC82" s="102">
        <f t="shared" si="1699"/>
        <v>36900</v>
      </c>
      <c r="BD82" s="103">
        <f t="shared" si="1699"/>
        <v>0</v>
      </c>
      <c r="BE82" s="104">
        <f t="shared" si="1699"/>
        <v>36900</v>
      </c>
      <c r="BF82" s="103">
        <f t="shared" si="1699"/>
        <v>0</v>
      </c>
      <c r="BG82" s="105">
        <f t="shared" si="1699"/>
        <v>0</v>
      </c>
      <c r="BH82" s="104">
        <f t="shared" si="1699"/>
        <v>0</v>
      </c>
      <c r="BI82" s="103">
        <f t="shared" si="1699"/>
        <v>8000</v>
      </c>
      <c r="BJ82" s="105">
        <f t="shared" si="1699"/>
        <v>0</v>
      </c>
      <c r="BK82" s="104">
        <f t="shared" si="1699"/>
        <v>8000</v>
      </c>
      <c r="BL82" s="103">
        <f t="shared" si="1699"/>
        <v>1200</v>
      </c>
      <c r="BM82" s="105">
        <f t="shared" si="1699"/>
        <v>0</v>
      </c>
      <c r="BN82" s="104">
        <f t="shared" si="1699"/>
        <v>1200</v>
      </c>
      <c r="BO82" s="103">
        <f t="shared" si="1476"/>
        <v>46100</v>
      </c>
      <c r="BP82" s="106">
        <f>SUM(BP70:BP81)</f>
        <v>0</v>
      </c>
      <c r="BQ82" s="104">
        <f>SUM(BQ70:BQ81)</f>
        <v>46100</v>
      </c>
      <c r="BR82" s="107"/>
      <c r="BS82" s="108"/>
      <c r="BT82" s="109"/>
      <c r="BU82" s="108"/>
      <c r="BV82" s="110"/>
      <c r="BW82" s="109"/>
      <c r="BX82" s="108"/>
      <c r="BY82" s="110"/>
      <c r="BZ82" s="109"/>
      <c r="CA82" s="108"/>
      <c r="CB82" s="110"/>
      <c r="CC82" s="109"/>
      <c r="CD82" s="108"/>
      <c r="CE82" s="111"/>
      <c r="CF82" s="104">
        <f t="shared" ref="CF82:CR82" si="1700">SUM(CF70:CF81)</f>
        <v>0</v>
      </c>
      <c r="CG82" s="102">
        <f t="shared" si="1700"/>
        <v>20000</v>
      </c>
      <c r="CH82" s="103">
        <f t="shared" si="1700"/>
        <v>0</v>
      </c>
      <c r="CI82" s="104">
        <f t="shared" si="1700"/>
        <v>20000</v>
      </c>
      <c r="CJ82" s="103">
        <f t="shared" si="1700"/>
        <v>0</v>
      </c>
      <c r="CK82" s="105">
        <f t="shared" si="1700"/>
        <v>0</v>
      </c>
      <c r="CL82" s="104">
        <f t="shared" si="1700"/>
        <v>0</v>
      </c>
      <c r="CM82" s="103">
        <f t="shared" si="1700"/>
        <v>2739.5</v>
      </c>
      <c r="CN82" s="105">
        <f t="shared" si="1700"/>
        <v>0</v>
      </c>
      <c r="CO82" s="104">
        <f t="shared" si="1700"/>
        <v>2739.5</v>
      </c>
      <c r="CP82" s="103">
        <f t="shared" si="1700"/>
        <v>0</v>
      </c>
      <c r="CQ82" s="105">
        <f t="shared" si="1700"/>
        <v>0</v>
      </c>
      <c r="CR82" s="104">
        <f t="shared" si="1700"/>
        <v>0</v>
      </c>
      <c r="CS82" s="103">
        <f t="shared" si="1484"/>
        <v>22739.5</v>
      </c>
      <c r="CT82" s="106">
        <f>SUM(CT70:CT81)</f>
        <v>0</v>
      </c>
      <c r="CU82" s="104">
        <f t="shared" ref="CU82:DG82" si="1701">SUM(CU70:CU81)</f>
        <v>22739.5</v>
      </c>
      <c r="CV82" s="102">
        <f t="shared" si="1701"/>
        <v>35000.400000000001</v>
      </c>
      <c r="CW82" s="103">
        <f t="shared" si="1701"/>
        <v>0</v>
      </c>
      <c r="CX82" s="104">
        <f t="shared" si="1701"/>
        <v>35000.400000000001</v>
      </c>
      <c r="CY82" s="103">
        <f t="shared" si="1701"/>
        <v>5149.7999999999993</v>
      </c>
      <c r="CZ82" s="105">
        <f t="shared" si="1701"/>
        <v>0</v>
      </c>
      <c r="DA82" s="104">
        <f t="shared" si="1701"/>
        <v>5149.7999999999993</v>
      </c>
      <c r="DB82" s="103">
        <f t="shared" si="1701"/>
        <v>3000</v>
      </c>
      <c r="DC82" s="105">
        <f t="shared" si="1701"/>
        <v>0</v>
      </c>
      <c r="DD82" s="104">
        <f t="shared" si="1701"/>
        <v>3000</v>
      </c>
      <c r="DE82" s="103">
        <f t="shared" si="1701"/>
        <v>0</v>
      </c>
      <c r="DF82" s="105">
        <f t="shared" si="1701"/>
        <v>0</v>
      </c>
      <c r="DG82" s="104">
        <f t="shared" si="1701"/>
        <v>0</v>
      </c>
      <c r="DH82" s="103">
        <f t="shared" si="1491"/>
        <v>43150.2</v>
      </c>
      <c r="DI82" s="106">
        <f>SUM(DI70:DI81)</f>
        <v>0</v>
      </c>
      <c r="DJ82" s="104">
        <f t="shared" ref="DJ82:DV82" si="1702">SUM(DJ70:DJ81)</f>
        <v>43150.19999999999</v>
      </c>
      <c r="DK82" s="102">
        <f t="shared" si="1702"/>
        <v>28800</v>
      </c>
      <c r="DL82" s="103">
        <f t="shared" si="1702"/>
        <v>0</v>
      </c>
      <c r="DM82" s="104">
        <f t="shared" si="1702"/>
        <v>28800</v>
      </c>
      <c r="DN82" s="103">
        <f t="shared" si="1702"/>
        <v>10956.960000000001</v>
      </c>
      <c r="DO82" s="105">
        <f t="shared" si="1702"/>
        <v>0</v>
      </c>
      <c r="DP82" s="104">
        <f t="shared" si="1702"/>
        <v>10956.960000000001</v>
      </c>
      <c r="DQ82" s="103">
        <f t="shared" si="1702"/>
        <v>0</v>
      </c>
      <c r="DR82" s="105">
        <f t="shared" si="1702"/>
        <v>0</v>
      </c>
      <c r="DS82" s="104">
        <f t="shared" si="1702"/>
        <v>0</v>
      </c>
      <c r="DT82" s="103">
        <f t="shared" si="1702"/>
        <v>1200</v>
      </c>
      <c r="DU82" s="105">
        <f t="shared" si="1702"/>
        <v>0</v>
      </c>
      <c r="DV82" s="104">
        <f t="shared" si="1702"/>
        <v>1200</v>
      </c>
      <c r="DW82" s="103">
        <f t="shared" si="1498"/>
        <v>40956.959999999999</v>
      </c>
      <c r="DX82" s="106">
        <f>SUM(DX70:DX81)</f>
        <v>0</v>
      </c>
      <c r="DY82" s="104">
        <f t="shared" ref="DY82:EK82" si="1703">SUM(DY70:DY81)</f>
        <v>40956.960000000014</v>
      </c>
      <c r="DZ82" s="102">
        <f t="shared" si="1703"/>
        <v>24000</v>
      </c>
      <c r="EA82" s="103">
        <f t="shared" si="1703"/>
        <v>0</v>
      </c>
      <c r="EB82" s="104">
        <f t="shared" si="1703"/>
        <v>24000</v>
      </c>
      <c r="EC82" s="103">
        <f t="shared" si="1703"/>
        <v>0</v>
      </c>
      <c r="ED82" s="105">
        <f t="shared" si="1703"/>
        <v>0</v>
      </c>
      <c r="EE82" s="104">
        <f t="shared" si="1703"/>
        <v>0</v>
      </c>
      <c r="EF82" s="103">
        <f t="shared" si="1703"/>
        <v>0</v>
      </c>
      <c r="EG82" s="105">
        <f t="shared" si="1703"/>
        <v>0</v>
      </c>
      <c r="EH82" s="104">
        <f t="shared" si="1703"/>
        <v>0</v>
      </c>
      <c r="EI82" s="103">
        <f t="shared" si="1703"/>
        <v>1200</v>
      </c>
      <c r="EJ82" s="105">
        <f t="shared" si="1703"/>
        <v>0</v>
      </c>
      <c r="EK82" s="104">
        <f t="shared" si="1703"/>
        <v>1200</v>
      </c>
      <c r="EL82" s="103">
        <f t="shared" si="1505"/>
        <v>25200</v>
      </c>
      <c r="EM82" s="106">
        <f>SUM(EM70:EM81)</f>
        <v>0</v>
      </c>
      <c r="EN82" s="104">
        <f t="shared" ref="EN82:EZ82" si="1704">SUM(EN70:EN81)</f>
        <v>25200</v>
      </c>
      <c r="EO82" s="102">
        <f t="shared" si="1704"/>
        <v>36900</v>
      </c>
      <c r="EP82" s="103">
        <f t="shared" si="1704"/>
        <v>0</v>
      </c>
      <c r="EQ82" s="104">
        <f t="shared" si="1704"/>
        <v>36900</v>
      </c>
      <c r="ER82" s="103">
        <f t="shared" si="1704"/>
        <v>3600</v>
      </c>
      <c r="ES82" s="105">
        <f t="shared" si="1704"/>
        <v>0</v>
      </c>
      <c r="ET82" s="104">
        <f t="shared" si="1704"/>
        <v>3600</v>
      </c>
      <c r="EU82" s="103">
        <f t="shared" si="1704"/>
        <v>4500</v>
      </c>
      <c r="EV82" s="105">
        <f t="shared" si="1704"/>
        <v>0</v>
      </c>
      <c r="EW82" s="104">
        <f t="shared" si="1704"/>
        <v>4500</v>
      </c>
      <c r="EX82" s="103">
        <f t="shared" si="1704"/>
        <v>1200</v>
      </c>
      <c r="EY82" s="105">
        <f t="shared" si="1704"/>
        <v>0</v>
      </c>
      <c r="EZ82" s="104">
        <f t="shared" si="1704"/>
        <v>1200</v>
      </c>
      <c r="FA82" s="103">
        <f t="shared" si="1512"/>
        <v>46200</v>
      </c>
      <c r="FB82" s="106">
        <f>SUM(FB70:FB81)</f>
        <v>0</v>
      </c>
      <c r="FC82" s="104">
        <f t="shared" ref="FC82:FO82" si="1705">SUM(FC70:FC81)</f>
        <v>46200</v>
      </c>
      <c r="FD82" s="102">
        <f t="shared" si="1705"/>
        <v>36900</v>
      </c>
      <c r="FE82" s="103">
        <f t="shared" si="1705"/>
        <v>0</v>
      </c>
      <c r="FF82" s="104">
        <f t="shared" si="1705"/>
        <v>36900</v>
      </c>
      <c r="FG82" s="103">
        <f t="shared" si="1705"/>
        <v>3600</v>
      </c>
      <c r="FH82" s="105">
        <f t="shared" si="1705"/>
        <v>0</v>
      </c>
      <c r="FI82" s="104">
        <f t="shared" si="1705"/>
        <v>3600</v>
      </c>
      <c r="FJ82" s="103">
        <f t="shared" si="1705"/>
        <v>4500</v>
      </c>
      <c r="FK82" s="105">
        <f t="shared" si="1705"/>
        <v>0</v>
      </c>
      <c r="FL82" s="104">
        <f t="shared" si="1705"/>
        <v>4500</v>
      </c>
      <c r="FM82" s="103">
        <f t="shared" si="1705"/>
        <v>1200</v>
      </c>
      <c r="FN82" s="105">
        <f t="shared" si="1705"/>
        <v>0</v>
      </c>
      <c r="FO82" s="104">
        <f t="shared" si="1705"/>
        <v>1200</v>
      </c>
      <c r="FP82" s="103">
        <f t="shared" si="1519"/>
        <v>46200</v>
      </c>
      <c r="FQ82" s="106">
        <f>SUM(FQ70:FQ81)</f>
        <v>0</v>
      </c>
      <c r="FR82" s="104">
        <f t="shared" ref="FR82:GD82" si="1706">SUM(FR70:FR81)</f>
        <v>46200</v>
      </c>
      <c r="FS82" s="102">
        <f t="shared" si="1706"/>
        <v>18000</v>
      </c>
      <c r="FT82" s="103">
        <f t="shared" si="1706"/>
        <v>0</v>
      </c>
      <c r="FU82" s="104">
        <f t="shared" si="1706"/>
        <v>18000</v>
      </c>
      <c r="FV82" s="103">
        <f t="shared" si="1706"/>
        <v>5824.2000000000007</v>
      </c>
      <c r="FW82" s="105">
        <f t="shared" si="1706"/>
        <v>0</v>
      </c>
      <c r="FX82" s="104">
        <f t="shared" si="1706"/>
        <v>5824.2000000000007</v>
      </c>
      <c r="FY82" s="103">
        <f t="shared" si="1706"/>
        <v>3650</v>
      </c>
      <c r="FZ82" s="105">
        <f t="shared" si="1706"/>
        <v>0</v>
      </c>
      <c r="GA82" s="104">
        <f t="shared" si="1706"/>
        <v>3650</v>
      </c>
      <c r="GB82" s="103">
        <f t="shared" si="1706"/>
        <v>0</v>
      </c>
      <c r="GC82" s="105">
        <f t="shared" si="1706"/>
        <v>0</v>
      </c>
      <c r="GD82" s="104">
        <f t="shared" si="1706"/>
        <v>0</v>
      </c>
      <c r="GE82" s="103">
        <f t="shared" si="1526"/>
        <v>27474.2</v>
      </c>
      <c r="GF82" s="106">
        <f>SUM(GF70:GF81)</f>
        <v>0</v>
      </c>
      <c r="GG82" s="104">
        <f t="shared" ref="GG82:GS82" si="1707">SUM(GG70:GG81)</f>
        <v>27474.199999999993</v>
      </c>
      <c r="GH82" s="102">
        <f t="shared" si="1707"/>
        <v>18000</v>
      </c>
      <c r="GI82" s="103">
        <f t="shared" si="1707"/>
        <v>0</v>
      </c>
      <c r="GJ82" s="104">
        <f t="shared" si="1707"/>
        <v>18000</v>
      </c>
      <c r="GK82" s="103">
        <f t="shared" si="1707"/>
        <v>7923.96</v>
      </c>
      <c r="GL82" s="105">
        <f t="shared" si="1707"/>
        <v>0</v>
      </c>
      <c r="GM82" s="104">
        <f t="shared" si="1707"/>
        <v>7923.96</v>
      </c>
      <c r="GN82" s="103">
        <f t="shared" si="1707"/>
        <v>3650</v>
      </c>
      <c r="GO82" s="105">
        <f t="shared" si="1707"/>
        <v>0</v>
      </c>
      <c r="GP82" s="104">
        <f t="shared" si="1707"/>
        <v>3650</v>
      </c>
      <c r="GQ82" s="103">
        <f t="shared" si="1707"/>
        <v>0</v>
      </c>
      <c r="GR82" s="105">
        <f t="shared" si="1707"/>
        <v>0</v>
      </c>
      <c r="GS82" s="104">
        <f t="shared" si="1707"/>
        <v>0</v>
      </c>
      <c r="GT82" s="103">
        <f t="shared" si="1533"/>
        <v>29573.96</v>
      </c>
      <c r="GU82" s="106">
        <f>SUM(GU70:GU81)</f>
        <v>0</v>
      </c>
      <c r="GV82" s="104">
        <f t="shared" ref="GV82:HH82" si="1708">SUM(GV70:GV81)</f>
        <v>29573.96000000001</v>
      </c>
      <c r="GW82" s="102">
        <f t="shared" si="1708"/>
        <v>26700</v>
      </c>
      <c r="GX82" s="103">
        <f t="shared" si="1708"/>
        <v>0</v>
      </c>
      <c r="GY82" s="104">
        <f t="shared" si="1708"/>
        <v>26700</v>
      </c>
      <c r="GZ82" s="103">
        <f t="shared" si="1708"/>
        <v>6819</v>
      </c>
      <c r="HA82" s="105">
        <f t="shared" si="1708"/>
        <v>0</v>
      </c>
      <c r="HB82" s="104">
        <f t="shared" si="1708"/>
        <v>6819</v>
      </c>
      <c r="HC82" s="103">
        <f t="shared" si="1708"/>
        <v>0</v>
      </c>
      <c r="HD82" s="105">
        <f t="shared" si="1708"/>
        <v>0</v>
      </c>
      <c r="HE82" s="104">
        <f t="shared" si="1708"/>
        <v>0</v>
      </c>
      <c r="HF82" s="103">
        <f t="shared" si="1708"/>
        <v>1200</v>
      </c>
      <c r="HG82" s="105">
        <f t="shared" si="1708"/>
        <v>0</v>
      </c>
      <c r="HH82" s="104">
        <f t="shared" si="1708"/>
        <v>1200</v>
      </c>
      <c r="HI82" s="103">
        <f t="shared" si="1540"/>
        <v>34719</v>
      </c>
      <c r="HJ82" s="106">
        <f>SUM(HJ70:HJ81)</f>
        <v>0</v>
      </c>
      <c r="HK82" s="104">
        <f t="shared" ref="HK82:HW82" si="1709">SUM(HK70:HK81)</f>
        <v>34719</v>
      </c>
      <c r="HL82" s="102">
        <f t="shared" si="1709"/>
        <v>36900</v>
      </c>
      <c r="HM82" s="103">
        <f t="shared" si="1709"/>
        <v>0</v>
      </c>
      <c r="HN82" s="104">
        <f t="shared" si="1709"/>
        <v>36900</v>
      </c>
      <c r="HO82" s="103">
        <f t="shared" si="1709"/>
        <v>4400</v>
      </c>
      <c r="HP82" s="105">
        <f t="shared" si="1709"/>
        <v>0</v>
      </c>
      <c r="HQ82" s="104">
        <f t="shared" si="1709"/>
        <v>4400</v>
      </c>
      <c r="HR82" s="103">
        <f t="shared" si="1709"/>
        <v>4800</v>
      </c>
      <c r="HS82" s="105">
        <f t="shared" si="1709"/>
        <v>0</v>
      </c>
      <c r="HT82" s="104">
        <f t="shared" si="1709"/>
        <v>4800</v>
      </c>
      <c r="HU82" s="103">
        <f t="shared" si="1709"/>
        <v>1200</v>
      </c>
      <c r="HV82" s="105">
        <f t="shared" si="1709"/>
        <v>0</v>
      </c>
      <c r="HW82" s="104">
        <f t="shared" si="1709"/>
        <v>1200</v>
      </c>
      <c r="HX82" s="103">
        <f t="shared" si="1547"/>
        <v>47300</v>
      </c>
      <c r="HY82" s="106">
        <f>SUM(HY70:HY81)</f>
        <v>0</v>
      </c>
      <c r="HZ82" s="104">
        <f t="shared" ref="HZ82:IL82" si="1710">SUM(HZ70:HZ81)</f>
        <v>47300</v>
      </c>
      <c r="IA82" s="102">
        <f t="shared" si="1710"/>
        <v>19729</v>
      </c>
      <c r="IB82" s="103">
        <f t="shared" si="1710"/>
        <v>0</v>
      </c>
      <c r="IC82" s="104">
        <f t="shared" si="1710"/>
        <v>19729</v>
      </c>
      <c r="ID82" s="103">
        <f t="shared" si="1710"/>
        <v>0</v>
      </c>
      <c r="IE82" s="105">
        <f t="shared" si="1710"/>
        <v>0</v>
      </c>
      <c r="IF82" s="104">
        <f t="shared" si="1710"/>
        <v>0</v>
      </c>
      <c r="IG82" s="103">
        <f t="shared" si="1710"/>
        <v>9701.0400000000009</v>
      </c>
      <c r="IH82" s="105">
        <f t="shared" si="1710"/>
        <v>0</v>
      </c>
      <c r="II82" s="104">
        <f t="shared" si="1710"/>
        <v>9701.0400000000009</v>
      </c>
      <c r="IJ82" s="103">
        <f t="shared" si="1710"/>
        <v>1200</v>
      </c>
      <c r="IK82" s="105">
        <f t="shared" si="1710"/>
        <v>0</v>
      </c>
      <c r="IL82" s="104">
        <f t="shared" si="1710"/>
        <v>1200</v>
      </c>
      <c r="IM82" s="103">
        <f t="shared" si="1554"/>
        <v>30630.04</v>
      </c>
      <c r="IN82" s="106">
        <f>SUM(IN70:IN81)</f>
        <v>0</v>
      </c>
      <c r="IO82" s="104">
        <f t="shared" ref="IO82:JA82" si="1711">SUM(IO70:IO81)</f>
        <v>30630.04</v>
      </c>
      <c r="IP82" s="102">
        <f t="shared" si="1711"/>
        <v>20000</v>
      </c>
      <c r="IQ82" s="103">
        <f t="shared" si="1711"/>
        <v>0</v>
      </c>
      <c r="IR82" s="104">
        <f t="shared" si="1711"/>
        <v>20000</v>
      </c>
      <c r="IS82" s="103">
        <f t="shared" si="1711"/>
        <v>0</v>
      </c>
      <c r="IT82" s="105">
        <f t="shared" si="1711"/>
        <v>0</v>
      </c>
      <c r="IU82" s="104">
        <f t="shared" si="1711"/>
        <v>0</v>
      </c>
      <c r="IV82" s="103">
        <f t="shared" si="1711"/>
        <v>2739.5</v>
      </c>
      <c r="IW82" s="105">
        <f t="shared" si="1711"/>
        <v>0</v>
      </c>
      <c r="IX82" s="104">
        <f t="shared" si="1711"/>
        <v>2739.5</v>
      </c>
      <c r="IY82" s="103">
        <f t="shared" si="1711"/>
        <v>0</v>
      </c>
      <c r="IZ82" s="105">
        <f t="shared" si="1711"/>
        <v>0</v>
      </c>
      <c r="JA82" s="104">
        <f t="shared" si="1711"/>
        <v>0</v>
      </c>
      <c r="JB82" s="103">
        <f t="shared" si="1561"/>
        <v>22739.5</v>
      </c>
      <c r="JC82" s="106">
        <f>SUM(JC70:JC81)</f>
        <v>0</v>
      </c>
      <c r="JD82" s="104">
        <f>SUM(JD70:JD81)</f>
        <v>22739.5</v>
      </c>
      <c r="JE82" s="107"/>
      <c r="JF82" s="108"/>
      <c r="JG82" s="109"/>
      <c r="JH82" s="108"/>
      <c r="JI82" s="110"/>
      <c r="JJ82" s="109"/>
      <c r="JK82" s="108"/>
      <c r="JL82" s="110"/>
      <c r="JM82" s="109"/>
      <c r="JN82" s="108"/>
      <c r="JO82" s="110"/>
      <c r="JP82" s="109"/>
      <c r="JQ82" s="108"/>
      <c r="JR82" s="111"/>
      <c r="JS82" s="109"/>
      <c r="JT82" s="107"/>
      <c r="JU82" s="108"/>
      <c r="JV82" s="109"/>
      <c r="JW82" s="108"/>
      <c r="JX82" s="110"/>
      <c r="JY82" s="109"/>
      <c r="JZ82" s="108"/>
      <c r="KA82" s="110"/>
      <c r="KB82" s="109"/>
      <c r="KC82" s="108"/>
      <c r="KD82" s="110"/>
      <c r="KE82" s="109"/>
      <c r="KF82" s="108"/>
      <c r="KG82" s="111"/>
      <c r="KH82" s="104">
        <f t="shared" ref="KH82:KT82" si="1712">SUM(KH70:KH81)</f>
        <v>0</v>
      </c>
      <c r="KI82" s="102">
        <f t="shared" si="1712"/>
        <v>100000</v>
      </c>
      <c r="KJ82" s="103">
        <f t="shared" si="1712"/>
        <v>0</v>
      </c>
      <c r="KK82" s="104">
        <f t="shared" si="1712"/>
        <v>100000</v>
      </c>
      <c r="KL82" s="103">
        <f t="shared" si="1712"/>
        <v>0</v>
      </c>
      <c r="KM82" s="105">
        <f t="shared" si="1712"/>
        <v>0</v>
      </c>
      <c r="KN82" s="104">
        <f t="shared" si="1712"/>
        <v>0</v>
      </c>
      <c r="KO82" s="103">
        <f t="shared" si="1712"/>
        <v>0</v>
      </c>
      <c r="KP82" s="105">
        <f t="shared" si="1712"/>
        <v>0</v>
      </c>
      <c r="KQ82" s="104">
        <f t="shared" si="1712"/>
        <v>0</v>
      </c>
      <c r="KR82" s="103">
        <f t="shared" si="1712"/>
        <v>0</v>
      </c>
      <c r="KS82" s="105">
        <f t="shared" si="1712"/>
        <v>0</v>
      </c>
      <c r="KT82" s="104">
        <f t="shared" si="1712"/>
        <v>0</v>
      </c>
      <c r="KU82" s="103">
        <f t="shared" si="1439"/>
        <v>100000</v>
      </c>
      <c r="KV82" s="106">
        <f>SUM(KV70:KV81)</f>
        <v>0</v>
      </c>
      <c r="KW82" s="104">
        <f>SUM(KW70:KW81)</f>
        <v>100000</v>
      </c>
      <c r="KX82" s="122"/>
      <c r="KY82" s="123"/>
      <c r="KZ82" s="124"/>
      <c r="LA82" s="123"/>
      <c r="LB82" s="125"/>
      <c r="LC82" s="124"/>
      <c r="LD82" s="123"/>
      <c r="LE82" s="125"/>
      <c r="LF82" s="124"/>
      <c r="LG82" s="123"/>
      <c r="LH82" s="125"/>
      <c r="LI82" s="109"/>
      <c r="LJ82" s="108"/>
      <c r="LK82" s="111"/>
      <c r="LL82" s="109"/>
      <c r="LM82" s="102">
        <f t="shared" ref="LM82:LX82" si="1713">SUM(LM70:LM81)</f>
        <v>18600</v>
      </c>
      <c r="LN82" s="103">
        <f t="shared" si="1713"/>
        <v>0</v>
      </c>
      <c r="LO82" s="104">
        <f t="shared" si="1713"/>
        <v>18600</v>
      </c>
      <c r="LP82" s="103">
        <f t="shared" si="1713"/>
        <v>0</v>
      </c>
      <c r="LQ82" s="105">
        <f t="shared" si="1713"/>
        <v>0</v>
      </c>
      <c r="LR82" s="104">
        <f t="shared" si="1713"/>
        <v>0</v>
      </c>
      <c r="LS82" s="103">
        <f t="shared" si="1713"/>
        <v>0</v>
      </c>
      <c r="LT82" s="105">
        <f t="shared" si="1713"/>
        <v>0</v>
      </c>
      <c r="LU82" s="104">
        <f t="shared" si="1713"/>
        <v>0</v>
      </c>
      <c r="LV82" s="103">
        <f t="shared" si="1713"/>
        <v>1200</v>
      </c>
      <c r="LW82" s="105">
        <f t="shared" si="1713"/>
        <v>0</v>
      </c>
      <c r="LX82" s="104">
        <f t="shared" si="1713"/>
        <v>1200</v>
      </c>
      <c r="LY82" s="103">
        <f t="shared" si="1575"/>
        <v>19800</v>
      </c>
      <c r="LZ82" s="106">
        <f>SUM(LZ70:LZ81)</f>
        <v>0</v>
      </c>
      <c r="MA82" s="104">
        <f t="shared" ref="MA82:MM82" si="1714">SUM(MA70:MA81)</f>
        <v>19800</v>
      </c>
      <c r="MB82" s="102">
        <f t="shared" si="1714"/>
        <v>7800</v>
      </c>
      <c r="MC82" s="103">
        <f t="shared" si="1714"/>
        <v>0</v>
      </c>
      <c r="MD82" s="104">
        <f t="shared" si="1714"/>
        <v>7800</v>
      </c>
      <c r="ME82" s="103">
        <f t="shared" si="1714"/>
        <v>10669.32</v>
      </c>
      <c r="MF82" s="105">
        <f t="shared" si="1714"/>
        <v>0</v>
      </c>
      <c r="MG82" s="104">
        <f t="shared" si="1714"/>
        <v>10669.32</v>
      </c>
      <c r="MH82" s="103">
        <f t="shared" si="1714"/>
        <v>0</v>
      </c>
      <c r="MI82" s="105">
        <f t="shared" si="1714"/>
        <v>0</v>
      </c>
      <c r="MJ82" s="104">
        <f t="shared" si="1714"/>
        <v>0</v>
      </c>
      <c r="MK82" s="103">
        <f t="shared" si="1714"/>
        <v>1200</v>
      </c>
      <c r="ML82" s="105">
        <f t="shared" si="1714"/>
        <v>0</v>
      </c>
      <c r="MM82" s="104">
        <f t="shared" si="1714"/>
        <v>1200</v>
      </c>
      <c r="MN82" s="103">
        <f t="shared" si="1582"/>
        <v>19669.32</v>
      </c>
      <c r="MO82" s="106">
        <f>SUM(MO70:MO81)</f>
        <v>0</v>
      </c>
      <c r="MP82" s="104">
        <f t="shared" ref="MP82:NB82" si="1715">SUM(MP70:MP81)</f>
        <v>19669.320000000003</v>
      </c>
      <c r="MQ82" s="102">
        <f t="shared" si="1715"/>
        <v>18200</v>
      </c>
      <c r="MR82" s="103">
        <f t="shared" si="1715"/>
        <v>0</v>
      </c>
      <c r="MS82" s="104">
        <f t="shared" si="1715"/>
        <v>18200</v>
      </c>
      <c r="MT82" s="103">
        <f t="shared" si="1715"/>
        <v>0</v>
      </c>
      <c r="MU82" s="105">
        <f t="shared" si="1715"/>
        <v>0</v>
      </c>
      <c r="MV82" s="104">
        <f t="shared" si="1715"/>
        <v>0</v>
      </c>
      <c r="MW82" s="103">
        <f t="shared" si="1715"/>
        <v>0</v>
      </c>
      <c r="MX82" s="105">
        <f t="shared" si="1715"/>
        <v>0</v>
      </c>
      <c r="MY82" s="104">
        <f t="shared" si="1715"/>
        <v>0</v>
      </c>
      <c r="MZ82" s="103">
        <f t="shared" si="1715"/>
        <v>0</v>
      </c>
      <c r="NA82" s="105">
        <f t="shared" si="1715"/>
        <v>0</v>
      </c>
      <c r="NB82" s="104">
        <f t="shared" si="1715"/>
        <v>0</v>
      </c>
      <c r="NC82" s="103">
        <f t="shared" si="1589"/>
        <v>18200</v>
      </c>
      <c r="ND82" s="106">
        <f>SUM(ND70:ND81)</f>
        <v>0</v>
      </c>
      <c r="NE82" s="104">
        <f t="shared" ref="NE82:NQ82" si="1716">SUM(NE70:NE81)</f>
        <v>18200</v>
      </c>
      <c r="NF82" s="102">
        <f t="shared" si="1716"/>
        <v>12000</v>
      </c>
      <c r="NG82" s="103">
        <f t="shared" si="1716"/>
        <v>0</v>
      </c>
      <c r="NH82" s="104">
        <f t="shared" si="1716"/>
        <v>12000</v>
      </c>
      <c r="NI82" s="103">
        <f t="shared" si="1716"/>
        <v>13968.480000000003</v>
      </c>
      <c r="NJ82" s="105">
        <f t="shared" si="1716"/>
        <v>0</v>
      </c>
      <c r="NK82" s="104">
        <f t="shared" si="1716"/>
        <v>13968.480000000003</v>
      </c>
      <c r="NL82" s="103">
        <f t="shared" si="1716"/>
        <v>0</v>
      </c>
      <c r="NM82" s="105">
        <f t="shared" si="1716"/>
        <v>0</v>
      </c>
      <c r="NN82" s="104">
        <f t="shared" si="1716"/>
        <v>0</v>
      </c>
      <c r="NO82" s="103">
        <f t="shared" si="1716"/>
        <v>1200</v>
      </c>
      <c r="NP82" s="105">
        <f t="shared" si="1716"/>
        <v>0</v>
      </c>
      <c r="NQ82" s="104">
        <f t="shared" si="1716"/>
        <v>1200</v>
      </c>
      <c r="NR82" s="103">
        <f t="shared" si="1596"/>
        <v>27168.480000000003</v>
      </c>
      <c r="NS82" s="106">
        <f>SUM(NS70:NS81)</f>
        <v>0</v>
      </c>
      <c r="NT82" s="104">
        <f t="shared" ref="NT82:OF82" si="1717">SUM(NT70:NT81)</f>
        <v>27168.480000000003</v>
      </c>
      <c r="NU82" s="102">
        <f t="shared" si="1717"/>
        <v>10368</v>
      </c>
      <c r="NV82" s="103">
        <f t="shared" si="1717"/>
        <v>0</v>
      </c>
      <c r="NW82" s="104">
        <f t="shared" si="1717"/>
        <v>10368</v>
      </c>
      <c r="NX82" s="103">
        <f t="shared" si="1717"/>
        <v>13832.759999999997</v>
      </c>
      <c r="NY82" s="105">
        <f t="shared" si="1717"/>
        <v>0</v>
      </c>
      <c r="NZ82" s="104">
        <f t="shared" si="1717"/>
        <v>13832.759999999997</v>
      </c>
      <c r="OA82" s="103">
        <f t="shared" si="1717"/>
        <v>884.31</v>
      </c>
      <c r="OB82" s="105">
        <f t="shared" si="1717"/>
        <v>0</v>
      </c>
      <c r="OC82" s="104">
        <f t="shared" si="1717"/>
        <v>884.31</v>
      </c>
      <c r="OD82" s="103">
        <f t="shared" si="1717"/>
        <v>1200</v>
      </c>
      <c r="OE82" s="105">
        <f t="shared" si="1717"/>
        <v>0</v>
      </c>
      <c r="OF82" s="104">
        <f t="shared" si="1717"/>
        <v>1200</v>
      </c>
      <c r="OG82" s="103">
        <f t="shared" si="1603"/>
        <v>26285.069999999996</v>
      </c>
      <c r="OH82" s="106">
        <f>SUM(OH70:OH81)</f>
        <v>0</v>
      </c>
      <c r="OI82" s="104">
        <f t="shared" ref="OI82:OU82" si="1718">SUM(OI70:OI81)</f>
        <v>26285.069999999996</v>
      </c>
      <c r="OJ82" s="102">
        <f t="shared" si="1718"/>
        <v>17500</v>
      </c>
      <c r="OK82" s="103">
        <f t="shared" si="1718"/>
        <v>0</v>
      </c>
      <c r="OL82" s="104">
        <f t="shared" si="1718"/>
        <v>17500</v>
      </c>
      <c r="OM82" s="103">
        <f t="shared" si="1718"/>
        <v>0</v>
      </c>
      <c r="ON82" s="105">
        <f t="shared" si="1718"/>
        <v>0</v>
      </c>
      <c r="OO82" s="104">
        <f t="shared" si="1718"/>
        <v>0</v>
      </c>
      <c r="OP82" s="103">
        <f t="shared" si="1718"/>
        <v>1200</v>
      </c>
      <c r="OQ82" s="105">
        <f t="shared" si="1718"/>
        <v>0</v>
      </c>
      <c r="OR82" s="104">
        <f t="shared" si="1718"/>
        <v>1200</v>
      </c>
      <c r="OS82" s="103">
        <f t="shared" si="1718"/>
        <v>1200</v>
      </c>
      <c r="OT82" s="105">
        <f t="shared" si="1718"/>
        <v>0</v>
      </c>
      <c r="OU82" s="104">
        <f t="shared" si="1718"/>
        <v>1200</v>
      </c>
      <c r="OV82" s="103">
        <f t="shared" si="1610"/>
        <v>19900</v>
      </c>
      <c r="OW82" s="106">
        <f>SUM(OW70:OW81)</f>
        <v>0</v>
      </c>
      <c r="OX82" s="104">
        <f t="shared" ref="OX82:PJ82" si="1719">SUM(OX70:OX81)</f>
        <v>19900</v>
      </c>
      <c r="OY82" s="102">
        <f t="shared" si="1719"/>
        <v>15800</v>
      </c>
      <c r="OZ82" s="103">
        <f t="shared" si="1719"/>
        <v>0</v>
      </c>
      <c r="PA82" s="104">
        <f t="shared" si="1719"/>
        <v>15800</v>
      </c>
      <c r="PB82" s="103">
        <f t="shared" si="1719"/>
        <v>600</v>
      </c>
      <c r="PC82" s="105">
        <f t="shared" si="1719"/>
        <v>0</v>
      </c>
      <c r="PD82" s="104">
        <f t="shared" si="1719"/>
        <v>600</v>
      </c>
      <c r="PE82" s="103">
        <f t="shared" si="1719"/>
        <v>0</v>
      </c>
      <c r="PF82" s="105">
        <f t="shared" si="1719"/>
        <v>0</v>
      </c>
      <c r="PG82" s="104">
        <f t="shared" si="1719"/>
        <v>0</v>
      </c>
      <c r="PH82" s="103">
        <f t="shared" si="1719"/>
        <v>1200</v>
      </c>
      <c r="PI82" s="105">
        <f t="shared" si="1719"/>
        <v>0</v>
      </c>
      <c r="PJ82" s="104">
        <f t="shared" si="1719"/>
        <v>1200</v>
      </c>
      <c r="PK82" s="103">
        <f t="shared" si="1617"/>
        <v>17600</v>
      </c>
      <c r="PL82" s="106">
        <f>SUM(PL70:PL81)</f>
        <v>0</v>
      </c>
      <c r="PM82" s="104">
        <f t="shared" ref="PM82:PY82" si="1720">SUM(PM70:PM81)</f>
        <v>17600</v>
      </c>
      <c r="PN82" s="102">
        <f t="shared" si="1720"/>
        <v>18600</v>
      </c>
      <c r="PO82" s="103">
        <f t="shared" si="1720"/>
        <v>0</v>
      </c>
      <c r="PP82" s="104">
        <f t="shared" si="1720"/>
        <v>18600</v>
      </c>
      <c r="PQ82" s="103">
        <f t="shared" si="1720"/>
        <v>0</v>
      </c>
      <c r="PR82" s="105">
        <f t="shared" si="1720"/>
        <v>0</v>
      </c>
      <c r="PS82" s="104">
        <f t="shared" si="1720"/>
        <v>0</v>
      </c>
      <c r="PT82" s="103">
        <f t="shared" si="1720"/>
        <v>0</v>
      </c>
      <c r="PU82" s="105">
        <f t="shared" si="1720"/>
        <v>0</v>
      </c>
      <c r="PV82" s="104">
        <f t="shared" si="1720"/>
        <v>0</v>
      </c>
      <c r="PW82" s="103">
        <f t="shared" si="1720"/>
        <v>1200</v>
      </c>
      <c r="PX82" s="105">
        <f t="shared" si="1720"/>
        <v>0</v>
      </c>
      <c r="PY82" s="104">
        <f t="shared" si="1720"/>
        <v>1200</v>
      </c>
      <c r="PZ82" s="103">
        <f t="shared" si="1624"/>
        <v>19800</v>
      </c>
      <c r="QA82" s="106">
        <f>SUM(QA70:QA81)</f>
        <v>0</v>
      </c>
      <c r="QB82" s="104">
        <f t="shared" ref="QB82:QN82" si="1721">SUM(QB70:QB81)</f>
        <v>19800</v>
      </c>
      <c r="QC82" s="102">
        <f t="shared" si="1721"/>
        <v>18000</v>
      </c>
      <c r="QD82" s="103">
        <f t="shared" si="1721"/>
        <v>0</v>
      </c>
      <c r="QE82" s="104">
        <f t="shared" si="1721"/>
        <v>18000</v>
      </c>
      <c r="QF82" s="103">
        <f t="shared" si="1721"/>
        <v>0</v>
      </c>
      <c r="QG82" s="105">
        <f t="shared" si="1721"/>
        <v>0</v>
      </c>
      <c r="QH82" s="104">
        <f t="shared" si="1721"/>
        <v>0</v>
      </c>
      <c r="QI82" s="103">
        <f t="shared" si="1721"/>
        <v>0</v>
      </c>
      <c r="QJ82" s="105">
        <f t="shared" si="1721"/>
        <v>0</v>
      </c>
      <c r="QK82" s="104">
        <f t="shared" si="1721"/>
        <v>0</v>
      </c>
      <c r="QL82" s="103">
        <f t="shared" si="1721"/>
        <v>1200</v>
      </c>
      <c r="QM82" s="105">
        <f t="shared" si="1721"/>
        <v>0</v>
      </c>
      <c r="QN82" s="104">
        <f t="shared" si="1721"/>
        <v>1200</v>
      </c>
      <c r="QO82" s="103">
        <f t="shared" si="1631"/>
        <v>19200</v>
      </c>
      <c r="QP82" s="106">
        <f>SUM(QP70:QP81)</f>
        <v>0</v>
      </c>
      <c r="QQ82" s="104">
        <f>SUM(QQ70:QQ81)</f>
        <v>19200</v>
      </c>
      <c r="QR82" s="109"/>
      <c r="QS82" s="109"/>
      <c r="QT82" s="107"/>
      <c r="QU82" s="108"/>
      <c r="QV82" s="109"/>
      <c r="QW82" s="108"/>
      <c r="QX82" s="110"/>
      <c r="QY82" s="109"/>
      <c r="QZ82" s="108"/>
      <c r="RA82" s="110"/>
      <c r="RB82" s="109"/>
      <c r="RC82" s="108"/>
      <c r="RD82" s="110"/>
      <c r="RE82" s="109"/>
      <c r="RF82" s="109"/>
      <c r="RG82" s="107"/>
      <c r="RH82" s="108"/>
      <c r="RI82" s="109"/>
      <c r="RJ82" s="108"/>
      <c r="RK82" s="110"/>
      <c r="RL82" s="109"/>
      <c r="RM82" s="108"/>
      <c r="RN82" s="110"/>
      <c r="RO82" s="109"/>
      <c r="RP82" s="108"/>
      <c r="RQ82" s="110"/>
      <c r="RR82" s="109"/>
      <c r="RS82" s="108"/>
      <c r="RT82" s="111"/>
      <c r="RU82" s="109"/>
      <c r="RV82" s="109"/>
      <c r="RW82" s="107"/>
      <c r="RX82" s="108"/>
      <c r="RY82" s="109"/>
      <c r="RZ82" s="108"/>
      <c r="SA82" s="110"/>
      <c r="SB82" s="109"/>
      <c r="SC82" s="108"/>
      <c r="SD82" s="110"/>
      <c r="SE82" s="109"/>
      <c r="SF82" s="108"/>
      <c r="SG82" s="110"/>
      <c r="SH82" s="109"/>
      <c r="SI82" s="108"/>
      <c r="SJ82" s="104">
        <f t="shared" ref="SJ82:SV82" si="1722">SUM(SJ70:SJ81)</f>
        <v>0</v>
      </c>
      <c r="SK82" s="102">
        <f t="shared" si="1722"/>
        <v>17000</v>
      </c>
      <c r="SL82" s="103">
        <f t="shared" si="1722"/>
        <v>0</v>
      </c>
      <c r="SM82" s="104">
        <f t="shared" si="1722"/>
        <v>17000</v>
      </c>
      <c r="SN82" s="103">
        <f t="shared" si="1722"/>
        <v>0</v>
      </c>
      <c r="SO82" s="105">
        <f t="shared" si="1722"/>
        <v>0</v>
      </c>
      <c r="SP82" s="104">
        <f t="shared" si="1722"/>
        <v>0</v>
      </c>
      <c r="SQ82" s="103">
        <f t="shared" si="1722"/>
        <v>0</v>
      </c>
      <c r="SR82" s="105">
        <f t="shared" si="1722"/>
        <v>0</v>
      </c>
      <c r="SS82" s="104">
        <f t="shared" si="1722"/>
        <v>0</v>
      </c>
      <c r="ST82" s="103">
        <f t="shared" si="1722"/>
        <v>1200</v>
      </c>
      <c r="SU82" s="105">
        <f t="shared" si="1722"/>
        <v>0</v>
      </c>
      <c r="SV82" s="104">
        <f t="shared" si="1722"/>
        <v>1200</v>
      </c>
      <c r="SW82" s="103">
        <f t="shared" si="1639"/>
        <v>18200</v>
      </c>
      <c r="SX82" s="106">
        <f>SUM(SX70:SX81)</f>
        <v>0</v>
      </c>
      <c r="SY82" s="104">
        <f t="shared" ref="SY82:TK82" si="1723">SUM(SY70:SY81)</f>
        <v>18200</v>
      </c>
      <c r="SZ82" s="102">
        <f t="shared" si="1723"/>
        <v>11823.960000000001</v>
      </c>
      <c r="TA82" s="103">
        <f t="shared" si="1723"/>
        <v>0</v>
      </c>
      <c r="TB82" s="104">
        <f t="shared" si="1723"/>
        <v>11823.960000000001</v>
      </c>
      <c r="TC82" s="103">
        <f t="shared" si="1723"/>
        <v>8410.7999999999975</v>
      </c>
      <c r="TD82" s="105">
        <f t="shared" si="1723"/>
        <v>0</v>
      </c>
      <c r="TE82" s="104">
        <f t="shared" si="1723"/>
        <v>8410.7999999999975</v>
      </c>
      <c r="TF82" s="103">
        <f t="shared" si="1723"/>
        <v>1800</v>
      </c>
      <c r="TG82" s="105">
        <f t="shared" si="1723"/>
        <v>0</v>
      </c>
      <c r="TH82" s="104">
        <f t="shared" si="1723"/>
        <v>1800</v>
      </c>
      <c r="TI82" s="103">
        <f t="shared" si="1723"/>
        <v>1200</v>
      </c>
      <c r="TJ82" s="105">
        <f t="shared" si="1723"/>
        <v>0</v>
      </c>
      <c r="TK82" s="104">
        <f t="shared" si="1723"/>
        <v>1200</v>
      </c>
      <c r="TL82" s="103">
        <f t="shared" si="1646"/>
        <v>23234.76</v>
      </c>
      <c r="TM82" s="106">
        <f>SUM(TM70:TM81)</f>
        <v>0</v>
      </c>
      <c r="TN82" s="104">
        <f t="shared" ref="TN82:TZ82" si="1724">SUM(TN70:TN81)</f>
        <v>23234.76</v>
      </c>
      <c r="TO82" s="102">
        <f t="shared" si="1724"/>
        <v>15500</v>
      </c>
      <c r="TP82" s="103">
        <f t="shared" si="1724"/>
        <v>0</v>
      </c>
      <c r="TQ82" s="104">
        <f t="shared" si="1724"/>
        <v>15500</v>
      </c>
      <c r="TR82" s="103">
        <f t="shared" si="1724"/>
        <v>0</v>
      </c>
      <c r="TS82" s="105">
        <f t="shared" si="1724"/>
        <v>0</v>
      </c>
      <c r="TT82" s="104">
        <f t="shared" si="1724"/>
        <v>0</v>
      </c>
      <c r="TU82" s="103">
        <f t="shared" si="1724"/>
        <v>0</v>
      </c>
      <c r="TV82" s="105">
        <f t="shared" si="1724"/>
        <v>0</v>
      </c>
      <c r="TW82" s="104">
        <f t="shared" si="1724"/>
        <v>0</v>
      </c>
      <c r="TX82" s="103">
        <f t="shared" si="1724"/>
        <v>1200</v>
      </c>
      <c r="TY82" s="105">
        <f t="shared" si="1724"/>
        <v>0</v>
      </c>
      <c r="TZ82" s="104">
        <f t="shared" si="1724"/>
        <v>1200</v>
      </c>
      <c r="UA82" s="103">
        <f t="shared" si="1653"/>
        <v>16700</v>
      </c>
      <c r="UB82" s="106">
        <f>SUM(UB70:UB81)</f>
        <v>0</v>
      </c>
      <c r="UC82" s="104">
        <f t="shared" ref="UC82:UO82" si="1725">SUM(UC70:UC81)</f>
        <v>16700</v>
      </c>
      <c r="UD82" s="102">
        <f t="shared" si="1725"/>
        <v>13500</v>
      </c>
      <c r="UE82" s="103">
        <f t="shared" si="1725"/>
        <v>0</v>
      </c>
      <c r="UF82" s="104">
        <f t="shared" si="1725"/>
        <v>13500</v>
      </c>
      <c r="UG82" s="103">
        <f t="shared" si="1725"/>
        <v>5964.4800000000005</v>
      </c>
      <c r="UH82" s="105">
        <f t="shared" si="1725"/>
        <v>0</v>
      </c>
      <c r="UI82" s="104">
        <f t="shared" si="1725"/>
        <v>5964.4800000000005</v>
      </c>
      <c r="UJ82" s="103">
        <f t="shared" si="1725"/>
        <v>0</v>
      </c>
      <c r="UK82" s="105">
        <f t="shared" si="1725"/>
        <v>0</v>
      </c>
      <c r="UL82" s="104">
        <f t="shared" si="1725"/>
        <v>0</v>
      </c>
      <c r="UM82" s="103">
        <f t="shared" si="1725"/>
        <v>1200</v>
      </c>
      <c r="UN82" s="105">
        <f t="shared" si="1725"/>
        <v>0</v>
      </c>
      <c r="UO82" s="104">
        <f t="shared" si="1725"/>
        <v>1200</v>
      </c>
      <c r="UP82" s="103">
        <f t="shared" si="1660"/>
        <v>20664.48</v>
      </c>
      <c r="UQ82" s="106">
        <f>SUM(UQ70:UQ81)</f>
        <v>0</v>
      </c>
      <c r="UR82" s="104">
        <f>SUM(UR70:UR81)</f>
        <v>20664.480000000007</v>
      </c>
      <c r="US82" s="109"/>
      <c r="UT82" s="107"/>
      <c r="UU82" s="108"/>
      <c r="UV82" s="109"/>
      <c r="UW82" s="108"/>
      <c r="UX82" s="110"/>
      <c r="UY82" s="109"/>
      <c r="UZ82" s="108"/>
      <c r="VA82" s="110"/>
      <c r="VB82" s="109"/>
      <c r="VC82" s="108"/>
      <c r="VD82" s="110"/>
      <c r="VE82" s="109"/>
      <c r="VF82" s="108"/>
      <c r="VG82" s="111"/>
      <c r="VH82" s="102">
        <f t="shared" ref="VH82:VS82" si="1726">SUM(VH70:VH81)</f>
        <v>18600</v>
      </c>
      <c r="VI82" s="103">
        <f t="shared" si="1726"/>
        <v>0</v>
      </c>
      <c r="VJ82" s="104">
        <f t="shared" si="1726"/>
        <v>18600</v>
      </c>
      <c r="VK82" s="103">
        <f t="shared" si="1726"/>
        <v>0</v>
      </c>
      <c r="VL82" s="105">
        <f t="shared" si="1726"/>
        <v>0</v>
      </c>
      <c r="VM82" s="104">
        <f t="shared" si="1726"/>
        <v>0</v>
      </c>
      <c r="VN82" s="103">
        <f t="shared" si="1726"/>
        <v>0</v>
      </c>
      <c r="VO82" s="105">
        <f t="shared" si="1726"/>
        <v>0</v>
      </c>
      <c r="VP82" s="104">
        <f t="shared" si="1726"/>
        <v>0</v>
      </c>
      <c r="VQ82" s="103">
        <f t="shared" si="1726"/>
        <v>1200</v>
      </c>
      <c r="VR82" s="105">
        <f t="shared" si="1726"/>
        <v>0</v>
      </c>
      <c r="VS82" s="104">
        <f t="shared" si="1726"/>
        <v>1200</v>
      </c>
      <c r="VT82" s="103">
        <f t="shared" si="1667"/>
        <v>19800</v>
      </c>
      <c r="VU82" s="106">
        <f>SUM(VU70:VU81)</f>
        <v>0</v>
      </c>
      <c r="VV82" s="104">
        <f>SUM(VV70:VV81)</f>
        <v>19800</v>
      </c>
      <c r="VW82" s="109"/>
      <c r="VX82" s="107"/>
      <c r="VY82" s="108"/>
      <c r="VZ82" s="109"/>
      <c r="WA82" s="108"/>
      <c r="WB82" s="110"/>
      <c r="WC82" s="109"/>
      <c r="WD82" s="108"/>
      <c r="WE82" s="110"/>
      <c r="WF82" s="109"/>
      <c r="WG82" s="108"/>
      <c r="WH82" s="110"/>
      <c r="WI82" s="109"/>
      <c r="WJ82" s="108"/>
      <c r="WK82" s="111"/>
      <c r="WL82" s="109"/>
      <c r="WM82" s="107"/>
      <c r="WN82" s="108"/>
      <c r="WO82" s="109"/>
      <c r="WP82" s="108"/>
      <c r="WQ82" s="110"/>
      <c r="WR82" s="109"/>
      <c r="WS82" s="108"/>
      <c r="WT82" s="110"/>
      <c r="WU82" s="109"/>
      <c r="WV82" s="108"/>
      <c r="WW82" s="110"/>
      <c r="WX82" s="109"/>
      <c r="WY82" s="108"/>
      <c r="WZ82" s="111"/>
      <c r="XA82" s="109"/>
      <c r="XB82" s="107"/>
      <c r="XC82" s="108"/>
      <c r="XD82" s="109"/>
      <c r="XE82" s="108"/>
      <c r="XF82" s="110"/>
      <c r="XG82" s="109"/>
      <c r="XH82" s="108"/>
      <c r="XI82" s="110"/>
      <c r="XJ82" s="109"/>
      <c r="XK82" s="108"/>
      <c r="XL82" s="110"/>
      <c r="XM82" s="109"/>
      <c r="XN82" s="108"/>
      <c r="XO82" s="111"/>
      <c r="XP82" s="102">
        <f t="shared" ref="XP82:YA82" si="1727">SUM(XP70:XP81)</f>
        <v>10404</v>
      </c>
      <c r="XQ82" s="103">
        <f t="shared" si="1727"/>
        <v>0</v>
      </c>
      <c r="XR82" s="104">
        <f t="shared" si="1727"/>
        <v>10404</v>
      </c>
      <c r="XS82" s="103">
        <f t="shared" si="1727"/>
        <v>10130.879999999999</v>
      </c>
      <c r="XT82" s="105">
        <f t="shared" si="1727"/>
        <v>0</v>
      </c>
      <c r="XU82" s="104">
        <f t="shared" si="1727"/>
        <v>10130.879999999999</v>
      </c>
      <c r="XV82" s="103">
        <f t="shared" si="1727"/>
        <v>0</v>
      </c>
      <c r="XW82" s="105">
        <f t="shared" si="1727"/>
        <v>0</v>
      </c>
      <c r="XX82" s="104">
        <f t="shared" si="1727"/>
        <v>0</v>
      </c>
      <c r="XY82" s="103">
        <f t="shared" si="1727"/>
        <v>1200</v>
      </c>
      <c r="XZ82" s="105">
        <f t="shared" si="1727"/>
        <v>0</v>
      </c>
      <c r="YA82" s="104">
        <f t="shared" si="1727"/>
        <v>1200</v>
      </c>
      <c r="YB82" s="103">
        <f t="shared" si="1674"/>
        <v>21734.879999999997</v>
      </c>
      <c r="YC82" s="106">
        <f>SUM(YC70:YC81)</f>
        <v>0</v>
      </c>
      <c r="YD82" s="104">
        <f t="shared" ref="YD82:YP82" si="1728">SUM(YD70:YD81)</f>
        <v>21734.880000000008</v>
      </c>
      <c r="YE82" s="102">
        <f t="shared" si="1728"/>
        <v>10680</v>
      </c>
      <c r="YF82" s="103">
        <f t="shared" si="1728"/>
        <v>0</v>
      </c>
      <c r="YG82" s="104">
        <f t="shared" si="1728"/>
        <v>10680</v>
      </c>
      <c r="YH82" s="103">
        <f t="shared" si="1728"/>
        <v>10174.200000000003</v>
      </c>
      <c r="YI82" s="105">
        <f t="shared" si="1728"/>
        <v>0</v>
      </c>
      <c r="YJ82" s="104">
        <f t="shared" si="1728"/>
        <v>10174.200000000003</v>
      </c>
      <c r="YK82" s="103">
        <f t="shared" si="1728"/>
        <v>1000</v>
      </c>
      <c r="YL82" s="105">
        <f t="shared" si="1728"/>
        <v>0</v>
      </c>
      <c r="YM82" s="104">
        <f t="shared" si="1728"/>
        <v>1000</v>
      </c>
      <c r="YN82" s="103">
        <f t="shared" si="1728"/>
        <v>1200</v>
      </c>
      <c r="YO82" s="105">
        <f t="shared" si="1728"/>
        <v>0</v>
      </c>
      <c r="YP82" s="104">
        <f t="shared" si="1728"/>
        <v>1200</v>
      </c>
      <c r="YQ82" s="103">
        <f t="shared" si="1681"/>
        <v>23054.200000000004</v>
      </c>
      <c r="YR82" s="106">
        <f>SUM(YR70:YR81)</f>
        <v>0</v>
      </c>
      <c r="YS82" s="104">
        <f t="shared" ref="YS82:ZE82" si="1729">SUM(YS70:YS81)</f>
        <v>23054.199999999997</v>
      </c>
      <c r="YT82" s="102">
        <f t="shared" si="1729"/>
        <v>11184</v>
      </c>
      <c r="YU82" s="103">
        <f t="shared" si="1729"/>
        <v>0</v>
      </c>
      <c r="YV82" s="104">
        <f t="shared" si="1729"/>
        <v>11184</v>
      </c>
      <c r="YW82" s="103">
        <f t="shared" si="1729"/>
        <v>8348.7599999999984</v>
      </c>
      <c r="YX82" s="105">
        <f t="shared" si="1729"/>
        <v>0</v>
      </c>
      <c r="YY82" s="104">
        <f t="shared" si="1729"/>
        <v>8348.7599999999984</v>
      </c>
      <c r="YZ82" s="103">
        <f t="shared" si="1729"/>
        <v>1000</v>
      </c>
      <c r="ZA82" s="105">
        <f t="shared" si="1729"/>
        <v>0</v>
      </c>
      <c r="ZB82" s="104">
        <f t="shared" si="1729"/>
        <v>1000</v>
      </c>
      <c r="ZC82" s="103">
        <f t="shared" si="1729"/>
        <v>1200</v>
      </c>
      <c r="ZD82" s="105">
        <f t="shared" si="1729"/>
        <v>0</v>
      </c>
      <c r="ZE82" s="104">
        <f t="shared" si="1729"/>
        <v>1200</v>
      </c>
      <c r="ZF82" s="103">
        <f t="shared" si="1688"/>
        <v>21732.76</v>
      </c>
      <c r="ZG82" s="106">
        <f>SUM(ZG70:ZG81)</f>
        <v>0</v>
      </c>
      <c r="ZH82" s="109"/>
      <c r="ZI82" s="107"/>
      <c r="ZJ82" s="108"/>
      <c r="ZK82" s="109"/>
      <c r="ZL82" s="108"/>
      <c r="ZM82" s="110"/>
      <c r="ZN82" s="109"/>
      <c r="ZO82" s="108"/>
      <c r="ZP82" s="110"/>
      <c r="ZQ82" s="109"/>
      <c r="ZR82" s="108"/>
      <c r="ZS82" s="110"/>
      <c r="ZT82" s="109"/>
      <c r="ZU82" s="108"/>
      <c r="ZV82" s="111"/>
      <c r="ZW82" s="104">
        <f>SUM(ZW70:ZW81)</f>
        <v>0</v>
      </c>
      <c r="ZX82" s="102">
        <f>SUM(ZX70:ZX81)</f>
        <v>296.52000000000004</v>
      </c>
      <c r="ZY82" s="103">
        <f>SUM(ZY70:ZY81)</f>
        <v>0</v>
      </c>
      <c r="ZZ82" s="104">
        <f>SUM(ZZ70:ZZ81)</f>
        <v>296.52000000000004</v>
      </c>
      <c r="AAA82" s="103">
        <f t="shared" si="1692"/>
        <v>296.52000000000004</v>
      </c>
      <c r="AAB82" s="106">
        <f t="shared" si="1692"/>
        <v>0</v>
      </c>
      <c r="AAC82" s="104">
        <f>SUM(AAC70:AAC81)</f>
        <v>296.52000000000004</v>
      </c>
      <c r="AAD82" s="112">
        <f t="shared" si="1694"/>
        <v>1396140.5599999998</v>
      </c>
      <c r="AAE82" s="113">
        <f t="shared" si="1694"/>
        <v>0</v>
      </c>
      <c r="AAF82" s="114">
        <f t="shared" si="1457"/>
        <v>0</v>
      </c>
      <c r="AAG82" s="113">
        <f>SUM(AAG70:AAG81)</f>
        <v>-1396140.5599999998</v>
      </c>
    </row>
    <row r="83" spans="1:713" s="83" customFormat="1" ht="20" customHeight="1" x14ac:dyDescent="0.2">
      <c r="A83" s="153"/>
      <c r="B83" s="58" t="s">
        <v>136</v>
      </c>
      <c r="C83" s="59"/>
      <c r="D83" s="59"/>
      <c r="E83" s="60">
        <v>2028</v>
      </c>
      <c r="F83" s="61">
        <v>46753</v>
      </c>
      <c r="G83" s="62"/>
      <c r="H83" s="63"/>
      <c r="I83" s="64">
        <f t="shared" ref="I83:I94" si="1730">G83-H83</f>
        <v>0</v>
      </c>
      <c r="J83" s="65">
        <v>4812.04</v>
      </c>
      <c r="K83" s="63"/>
      <c r="L83" s="64">
        <f t="shared" ref="L83:L94" si="1731">J83-K83</f>
        <v>4812.04</v>
      </c>
      <c r="M83" s="65">
        <v>2500</v>
      </c>
      <c r="N83" s="63"/>
      <c r="O83" s="64">
        <f t="shared" ref="O83:O94" si="1732">M83-N83</f>
        <v>2500</v>
      </c>
      <c r="P83" s="65">
        <v>500</v>
      </c>
      <c r="Q83" s="63"/>
      <c r="R83" s="64">
        <f t="shared" ref="R83:R94" si="1733">P83-Q83</f>
        <v>500</v>
      </c>
      <c r="S83" s="65">
        <v>181</v>
      </c>
      <c r="T83" s="63"/>
      <c r="U83" s="64">
        <f t="shared" ref="U83:U94" si="1734">S83-T83</f>
        <v>181</v>
      </c>
      <c r="V83" s="66">
        <f t="shared" ref="V83:W94" si="1735">G83+J83+M83+P83+S83</f>
        <v>7993.04</v>
      </c>
      <c r="W83" s="67">
        <f t="shared" si="1735"/>
        <v>0</v>
      </c>
      <c r="X83" s="64">
        <f t="shared" ref="X83:X94" si="1736">V83-W83</f>
        <v>7993.04</v>
      </c>
      <c r="Y83" s="72"/>
      <c r="Z83" s="73"/>
      <c r="AA83" s="74"/>
      <c r="AB83" s="75"/>
      <c r="AC83" s="73"/>
      <c r="AD83" s="74"/>
      <c r="AE83" s="75"/>
      <c r="AF83" s="73"/>
      <c r="AG83" s="74"/>
      <c r="AH83" s="75"/>
      <c r="AI83" s="73"/>
      <c r="AJ83" s="74"/>
      <c r="AK83" s="76"/>
      <c r="AL83" s="77"/>
      <c r="AM83" s="64">
        <f t="shared" ref="AM83:AM94" si="1737">AK83-AL83</f>
        <v>0</v>
      </c>
      <c r="AN83" s="62"/>
      <c r="AO83" s="63"/>
      <c r="AP83" s="64">
        <f>AN83-AO83</f>
        <v>0</v>
      </c>
      <c r="AQ83" s="65"/>
      <c r="AR83" s="63"/>
      <c r="AS83" s="64">
        <f t="shared" ref="AS83:AS94" si="1738">AQ83-AR83</f>
        <v>0</v>
      </c>
      <c r="AT83" s="65"/>
      <c r="AU83" s="63"/>
      <c r="AV83" s="64">
        <f t="shared" ref="AV83:AV94" si="1739">AT83-AU83</f>
        <v>0</v>
      </c>
      <c r="AW83" s="65"/>
      <c r="AX83" s="63"/>
      <c r="AY83" s="64">
        <f t="shared" ref="AY83:AY94" si="1740">AW83-AX83</f>
        <v>0</v>
      </c>
      <c r="AZ83" s="66">
        <f t="shared" si="1469"/>
        <v>0</v>
      </c>
      <c r="BA83" s="67">
        <f t="shared" ref="BA83:BA94" si="1741">AO83+AR83+AU83++AX83</f>
        <v>0</v>
      </c>
      <c r="BB83" s="64">
        <f t="shared" ref="BB83:BB94" si="1742">AZ83-BA83</f>
        <v>0</v>
      </c>
      <c r="BC83" s="62"/>
      <c r="BD83" s="63"/>
      <c r="BE83" s="64">
        <f t="shared" ref="BE83:BE94" si="1743">BC83-BD83</f>
        <v>0</v>
      </c>
      <c r="BF83" s="65"/>
      <c r="BG83" s="63"/>
      <c r="BH83" s="64">
        <f t="shared" ref="BH83:BH94" si="1744">BF83-BG83</f>
        <v>0</v>
      </c>
      <c r="BI83" s="65"/>
      <c r="BJ83" s="63"/>
      <c r="BK83" s="64">
        <f t="shared" ref="BK83:BK94" si="1745">BI83-BJ83</f>
        <v>0</v>
      </c>
      <c r="BL83" s="65">
        <v>100</v>
      </c>
      <c r="BM83" s="63"/>
      <c r="BN83" s="64">
        <f t="shared" ref="BN83:BN94" si="1746">BL83-BM83</f>
        <v>100</v>
      </c>
      <c r="BO83" s="66">
        <f t="shared" si="1476"/>
        <v>100</v>
      </c>
      <c r="BP83" s="67">
        <f t="shared" ref="BP83:BP94" si="1747">BD83+BG83+BJ83++BM83</f>
        <v>0</v>
      </c>
      <c r="BQ83" s="64">
        <f t="shared" ref="BQ83:BQ94" si="1748">BO83-BP83</f>
        <v>100</v>
      </c>
      <c r="BR83" s="72"/>
      <c r="BS83" s="73"/>
      <c r="BT83" s="74"/>
      <c r="BU83" s="75"/>
      <c r="BV83" s="73"/>
      <c r="BW83" s="74"/>
      <c r="BX83" s="75"/>
      <c r="BY83" s="73"/>
      <c r="BZ83" s="74"/>
      <c r="CA83" s="75"/>
      <c r="CB83" s="73"/>
      <c r="CC83" s="74"/>
      <c r="CD83" s="76"/>
      <c r="CE83" s="77"/>
      <c r="CF83" s="64">
        <f t="shared" ref="CF83:CF94" si="1749">CD83-CE83</f>
        <v>0</v>
      </c>
      <c r="CG83" s="62"/>
      <c r="CH83" s="63"/>
      <c r="CI83" s="64">
        <f t="shared" ref="CI83:CI94" si="1750">CG83-CH83</f>
        <v>0</v>
      </c>
      <c r="CJ83" s="65"/>
      <c r="CK83" s="63"/>
      <c r="CL83" s="64">
        <f t="shared" ref="CL83:CL94" si="1751">CJ83-CK83</f>
        <v>0</v>
      </c>
      <c r="CM83" s="65"/>
      <c r="CN83" s="63"/>
      <c r="CO83" s="64">
        <f t="shared" ref="CO83:CO94" si="1752">CM83-CN83</f>
        <v>0</v>
      </c>
      <c r="CP83" s="65"/>
      <c r="CQ83" s="63"/>
      <c r="CR83" s="64">
        <f t="shared" ref="CR83:CR94" si="1753">CP83-CQ83</f>
        <v>0</v>
      </c>
      <c r="CS83" s="66">
        <f t="shared" si="1484"/>
        <v>0</v>
      </c>
      <c r="CT83" s="67">
        <f t="shared" ref="CT83:CT94" si="1754">CH83+CK83+CN83++CQ83</f>
        <v>0</v>
      </c>
      <c r="CU83" s="64">
        <f t="shared" ref="CU83:CU94" si="1755">CS83-CT83</f>
        <v>0</v>
      </c>
      <c r="CV83" s="62">
        <v>2916.7</v>
      </c>
      <c r="CW83" s="63"/>
      <c r="CX83" s="64">
        <f t="shared" ref="CX83:CX94" si="1756">CV83-CW83</f>
        <v>2916.7</v>
      </c>
      <c r="CY83" s="65">
        <v>429.15</v>
      </c>
      <c r="CZ83" s="63"/>
      <c r="DA83" s="64">
        <f t="shared" ref="DA83:DA94" si="1757">CY83-CZ83</f>
        <v>429.15</v>
      </c>
      <c r="DB83" s="65"/>
      <c r="DC83" s="63"/>
      <c r="DD83" s="64">
        <f t="shared" ref="DD83:DD94" si="1758">DB83-DC83</f>
        <v>0</v>
      </c>
      <c r="DE83" s="65"/>
      <c r="DF83" s="63"/>
      <c r="DG83" s="64">
        <f t="shared" ref="DG83:DG94" si="1759">DE83-DF83</f>
        <v>0</v>
      </c>
      <c r="DH83" s="66">
        <f t="shared" si="1491"/>
        <v>3345.85</v>
      </c>
      <c r="DI83" s="67">
        <f t="shared" ref="DI83:DI94" si="1760">CW83+CZ83+DC83++DF83</f>
        <v>0</v>
      </c>
      <c r="DJ83" s="64">
        <f t="shared" ref="DJ83:DJ94" si="1761">DH83-DI83</f>
        <v>3345.85</v>
      </c>
      <c r="DK83" s="62">
        <v>2400</v>
      </c>
      <c r="DL83" s="63"/>
      <c r="DM83" s="64">
        <f t="shared" ref="DM83:DM94" si="1762">DK83-DL83</f>
        <v>2400</v>
      </c>
      <c r="DN83" s="65">
        <v>913.08</v>
      </c>
      <c r="DO83" s="63"/>
      <c r="DP83" s="64">
        <f t="shared" ref="DP83:DP94" si="1763">DN83-DO83</f>
        <v>913.08</v>
      </c>
      <c r="DQ83" s="65"/>
      <c r="DR83" s="63"/>
      <c r="DS83" s="64">
        <f t="shared" ref="DS83:DS94" si="1764">DQ83-DR83</f>
        <v>0</v>
      </c>
      <c r="DT83" s="65">
        <v>100</v>
      </c>
      <c r="DU83" s="63"/>
      <c r="DV83" s="64">
        <f t="shared" ref="DV83:DV94" si="1765">DT83-DU83</f>
        <v>100</v>
      </c>
      <c r="DW83" s="66">
        <f t="shared" si="1498"/>
        <v>3413.08</v>
      </c>
      <c r="DX83" s="67">
        <f t="shared" ref="DX83:DX94" si="1766">DL83+DO83+DR83++DU83</f>
        <v>0</v>
      </c>
      <c r="DY83" s="64">
        <f t="shared" ref="DY83:DY94" si="1767">DW83-DX83</f>
        <v>3413.08</v>
      </c>
      <c r="DZ83" s="62"/>
      <c r="EA83" s="63"/>
      <c r="EB83" s="64">
        <f t="shared" ref="EB83:EB94" si="1768">DZ83-EA83</f>
        <v>0</v>
      </c>
      <c r="EC83" s="65"/>
      <c r="ED83" s="63"/>
      <c r="EE83" s="64">
        <f t="shared" ref="EE83:EE94" si="1769">EC83-ED83</f>
        <v>0</v>
      </c>
      <c r="EF83" s="65"/>
      <c r="EG83" s="63"/>
      <c r="EH83" s="64">
        <f t="shared" ref="EH83:EH94" si="1770">EF83-EG83</f>
        <v>0</v>
      </c>
      <c r="EI83" s="65">
        <v>100</v>
      </c>
      <c r="EJ83" s="63"/>
      <c r="EK83" s="64">
        <f t="shared" ref="EK83:EK94" si="1771">EI83-EJ83</f>
        <v>100</v>
      </c>
      <c r="EL83" s="66">
        <f t="shared" si="1505"/>
        <v>100</v>
      </c>
      <c r="EM83" s="67">
        <f t="shared" ref="EM83:EM94" si="1772">EA83+ED83+EG83++EJ83</f>
        <v>0</v>
      </c>
      <c r="EN83" s="64">
        <f t="shared" ref="EN83:EN94" si="1773">EL83-EM83</f>
        <v>100</v>
      </c>
      <c r="EO83" s="62"/>
      <c r="EP83" s="63"/>
      <c r="EQ83" s="64">
        <f t="shared" ref="EQ83:EQ94" si="1774">EO83-EP83</f>
        <v>0</v>
      </c>
      <c r="ER83" s="65"/>
      <c r="ES83" s="63"/>
      <c r="ET83" s="64">
        <f t="shared" ref="ET83:ET94" si="1775">ER83-ES83</f>
        <v>0</v>
      </c>
      <c r="EU83" s="65"/>
      <c r="EV83" s="63"/>
      <c r="EW83" s="64">
        <f t="shared" ref="EW83:EW94" si="1776">EU83-EV83</f>
        <v>0</v>
      </c>
      <c r="EX83" s="65">
        <v>100</v>
      </c>
      <c r="EY83" s="63"/>
      <c r="EZ83" s="64">
        <f t="shared" ref="EZ83:EZ94" si="1777">EX83-EY83</f>
        <v>100</v>
      </c>
      <c r="FA83" s="66">
        <f t="shared" si="1512"/>
        <v>100</v>
      </c>
      <c r="FB83" s="67">
        <f t="shared" ref="FB83:FB94" si="1778">EP83+ES83+EV83++EY83</f>
        <v>0</v>
      </c>
      <c r="FC83" s="64">
        <f t="shared" ref="FC83:FC94" si="1779">FA83-FB83</f>
        <v>100</v>
      </c>
      <c r="FD83" s="62"/>
      <c r="FE83" s="63"/>
      <c r="FF83" s="64">
        <f t="shared" ref="FF83:FF94" si="1780">FD83-FE83</f>
        <v>0</v>
      </c>
      <c r="FG83" s="65"/>
      <c r="FH83" s="63"/>
      <c r="FI83" s="64">
        <f t="shared" ref="FI83:FI94" si="1781">FG83-FH83</f>
        <v>0</v>
      </c>
      <c r="FJ83" s="65"/>
      <c r="FK83" s="63"/>
      <c r="FL83" s="64">
        <f t="shared" ref="FL83:FL94" si="1782">FJ83-FK83</f>
        <v>0</v>
      </c>
      <c r="FM83" s="65">
        <v>100</v>
      </c>
      <c r="FN83" s="63"/>
      <c r="FO83" s="64">
        <f t="shared" ref="FO83:FO94" si="1783">FM83-FN83</f>
        <v>100</v>
      </c>
      <c r="FP83" s="66">
        <f t="shared" si="1519"/>
        <v>100</v>
      </c>
      <c r="FQ83" s="67">
        <f t="shared" ref="FQ83:FQ94" si="1784">FE83+FH83+FK83++FN83</f>
        <v>0</v>
      </c>
      <c r="FR83" s="64">
        <f t="shared" ref="FR83:FR94" si="1785">FP83-FQ83</f>
        <v>100</v>
      </c>
      <c r="FS83" s="62"/>
      <c r="FT83" s="63"/>
      <c r="FU83" s="64">
        <f t="shared" ref="FU83:FU94" si="1786">FS83-FT83</f>
        <v>0</v>
      </c>
      <c r="FV83" s="65">
        <v>485.35</v>
      </c>
      <c r="FW83" s="63"/>
      <c r="FX83" s="64">
        <f t="shared" ref="FX83:FX94" si="1787">FV83-FW83</f>
        <v>485.35</v>
      </c>
      <c r="FY83" s="65"/>
      <c r="FZ83" s="63"/>
      <c r="GA83" s="64">
        <f t="shared" ref="GA83:GA94" si="1788">FY83-FZ83</f>
        <v>0</v>
      </c>
      <c r="GB83" s="65"/>
      <c r="GC83" s="63"/>
      <c r="GD83" s="64">
        <f t="shared" ref="GD83:GD94" si="1789">GB83-GC83</f>
        <v>0</v>
      </c>
      <c r="GE83" s="66">
        <f t="shared" si="1526"/>
        <v>485.35</v>
      </c>
      <c r="GF83" s="67">
        <f t="shared" ref="GF83:GF94" si="1790">FT83+FW83+FZ83++GC83</f>
        <v>0</v>
      </c>
      <c r="GG83" s="64">
        <f t="shared" ref="GG83:GG94" si="1791">GE83-GF83</f>
        <v>485.35</v>
      </c>
      <c r="GH83" s="62"/>
      <c r="GI83" s="63"/>
      <c r="GJ83" s="64">
        <f t="shared" ref="GJ83:GJ94" si="1792">GH83-GI83</f>
        <v>0</v>
      </c>
      <c r="GK83" s="65">
        <v>660.33</v>
      </c>
      <c r="GL83" s="63"/>
      <c r="GM83" s="64">
        <f t="shared" ref="GM83:GM94" si="1793">GK83-GL83</f>
        <v>660.33</v>
      </c>
      <c r="GN83" s="65"/>
      <c r="GO83" s="63"/>
      <c r="GP83" s="64">
        <f t="shared" ref="GP83:GP94" si="1794">GN83-GO83</f>
        <v>0</v>
      </c>
      <c r="GQ83" s="65"/>
      <c r="GR83" s="63"/>
      <c r="GS83" s="64">
        <f t="shared" ref="GS83:GS94" si="1795">GQ83-GR83</f>
        <v>0</v>
      </c>
      <c r="GT83" s="66">
        <f t="shared" si="1533"/>
        <v>660.33</v>
      </c>
      <c r="GU83" s="67">
        <f t="shared" ref="GU83:GU94" si="1796">GI83+GL83+GO83++GR83</f>
        <v>0</v>
      </c>
      <c r="GV83" s="64">
        <f t="shared" ref="GV83:GV94" si="1797">GT83-GU83</f>
        <v>660.33</v>
      </c>
      <c r="GW83" s="62"/>
      <c r="GX83" s="63"/>
      <c r="GY83" s="64">
        <f t="shared" ref="GY83:GY94" si="1798">GW83-GX83</f>
        <v>0</v>
      </c>
      <c r="GZ83" s="65">
        <v>568.25</v>
      </c>
      <c r="HA83" s="63"/>
      <c r="HB83" s="64">
        <f t="shared" ref="HB83:HB94" si="1799">GZ83-HA83</f>
        <v>568.25</v>
      </c>
      <c r="HC83" s="65"/>
      <c r="HD83" s="63"/>
      <c r="HE83" s="64">
        <f t="shared" ref="HE83:HE94" si="1800">HC83-HD83</f>
        <v>0</v>
      </c>
      <c r="HF83" s="65">
        <v>100</v>
      </c>
      <c r="HG83" s="63"/>
      <c r="HH83" s="64">
        <f t="shared" ref="HH83:HH94" si="1801">HF83-HG83</f>
        <v>100</v>
      </c>
      <c r="HI83" s="66">
        <f t="shared" si="1540"/>
        <v>668.25</v>
      </c>
      <c r="HJ83" s="67">
        <f t="shared" ref="HJ83:HJ94" si="1802">GX83+HA83+HD83++HG83</f>
        <v>0</v>
      </c>
      <c r="HK83" s="64">
        <f t="shared" ref="HK83:HK94" si="1803">HI83-HJ83</f>
        <v>668.25</v>
      </c>
      <c r="HL83" s="62"/>
      <c r="HM83" s="63"/>
      <c r="HN83" s="64">
        <f t="shared" ref="HN83:HN94" si="1804">HL83-HM83</f>
        <v>0</v>
      </c>
      <c r="HO83" s="65"/>
      <c r="HP83" s="63"/>
      <c r="HQ83" s="64">
        <f t="shared" ref="HQ83:HQ94" si="1805">HO83-HP83</f>
        <v>0</v>
      </c>
      <c r="HR83" s="65"/>
      <c r="HS83" s="63"/>
      <c r="HT83" s="64">
        <f t="shared" ref="HT83:HT94" si="1806">HR83-HS83</f>
        <v>0</v>
      </c>
      <c r="HU83" s="65">
        <v>100</v>
      </c>
      <c r="HV83" s="63"/>
      <c r="HW83" s="64">
        <f t="shared" ref="HW83:HW94" si="1807">HU83-HV83</f>
        <v>100</v>
      </c>
      <c r="HX83" s="66">
        <f t="shared" si="1547"/>
        <v>100</v>
      </c>
      <c r="HY83" s="67">
        <f t="shared" ref="HY83:HY94" si="1808">HM83+HP83+HS83++HV83</f>
        <v>0</v>
      </c>
      <c r="HZ83" s="64">
        <f t="shared" ref="HZ83:HZ94" si="1809">HX83-HY83</f>
        <v>100</v>
      </c>
      <c r="IA83" s="62"/>
      <c r="IB83" s="63"/>
      <c r="IC83" s="64">
        <f t="shared" ref="IC83:IC94" si="1810">IA83-IB83</f>
        <v>0</v>
      </c>
      <c r="ID83" s="65"/>
      <c r="IE83" s="63"/>
      <c r="IF83" s="64">
        <f t="shared" ref="IF83:IF94" si="1811">ID83-IE83</f>
        <v>0</v>
      </c>
      <c r="IG83" s="65"/>
      <c r="IH83" s="63"/>
      <c r="II83" s="64">
        <f t="shared" ref="II83:II94" si="1812">IG83-IH83</f>
        <v>0</v>
      </c>
      <c r="IJ83" s="65">
        <v>100</v>
      </c>
      <c r="IK83" s="63"/>
      <c r="IL83" s="64">
        <f t="shared" ref="IL83:IL94" si="1813">IJ83-IK83</f>
        <v>100</v>
      </c>
      <c r="IM83" s="66">
        <f t="shared" si="1554"/>
        <v>100</v>
      </c>
      <c r="IN83" s="67">
        <f t="shared" ref="IN83:IN94" si="1814">IB83+IE83+IH83++IK83</f>
        <v>0</v>
      </c>
      <c r="IO83" s="64">
        <f t="shared" ref="IO83:IO94" si="1815">IM83-IN83</f>
        <v>100</v>
      </c>
      <c r="IP83" s="62"/>
      <c r="IQ83" s="63"/>
      <c r="IR83" s="64">
        <f t="shared" ref="IR83:IR94" si="1816">IP83-IQ83</f>
        <v>0</v>
      </c>
      <c r="IS83" s="65"/>
      <c r="IT83" s="63"/>
      <c r="IU83" s="64">
        <f t="shared" ref="IU83:IU94" si="1817">IS83-IT83</f>
        <v>0</v>
      </c>
      <c r="IV83" s="65"/>
      <c r="IW83" s="63"/>
      <c r="IX83" s="64">
        <f t="shared" ref="IX83:IX94" si="1818">IV83-IW83</f>
        <v>0</v>
      </c>
      <c r="IY83" s="65"/>
      <c r="IZ83" s="63"/>
      <c r="JA83" s="64">
        <f t="shared" ref="JA83:JA94" si="1819">IY83-IZ83</f>
        <v>0</v>
      </c>
      <c r="JB83" s="66">
        <f t="shared" si="1561"/>
        <v>0</v>
      </c>
      <c r="JC83" s="67">
        <f t="shared" ref="JC83:JC94" si="1820">IQ83+IT83+IW83++IZ83</f>
        <v>0</v>
      </c>
      <c r="JD83" s="64">
        <f t="shared" ref="JD83:JD94" si="1821">JB83-JC83</f>
        <v>0</v>
      </c>
      <c r="JE83" s="72"/>
      <c r="JF83" s="150"/>
      <c r="JG83" s="74"/>
      <c r="JH83" s="75"/>
      <c r="JI83" s="150"/>
      <c r="JJ83" s="74"/>
      <c r="JK83" s="75"/>
      <c r="JL83" s="150"/>
      <c r="JM83" s="74"/>
      <c r="JN83" s="75"/>
      <c r="JO83" s="150"/>
      <c r="JP83" s="74"/>
      <c r="JQ83" s="76"/>
      <c r="JR83" s="77"/>
      <c r="JS83" s="74"/>
      <c r="JT83" s="72"/>
      <c r="JU83" s="73"/>
      <c r="JV83" s="74"/>
      <c r="JW83" s="75"/>
      <c r="JX83" s="73"/>
      <c r="JY83" s="74"/>
      <c r="JZ83" s="75"/>
      <c r="KA83" s="73"/>
      <c r="KB83" s="74"/>
      <c r="KC83" s="75"/>
      <c r="KD83" s="73"/>
      <c r="KE83" s="74"/>
      <c r="KF83" s="76"/>
      <c r="KG83" s="77"/>
      <c r="KH83" s="64">
        <f t="shared" ref="KH83:KH94" si="1822">KF83-KG83</f>
        <v>0</v>
      </c>
      <c r="KI83" s="62"/>
      <c r="KJ83" s="63"/>
      <c r="KK83" s="64">
        <f t="shared" ref="KK83:KK94" si="1823">KI83-KJ83</f>
        <v>0</v>
      </c>
      <c r="KL83" s="65"/>
      <c r="KM83" s="63"/>
      <c r="KN83" s="64">
        <f t="shared" ref="KN83:KN94" si="1824">KL83-KM83</f>
        <v>0</v>
      </c>
      <c r="KO83" s="65"/>
      <c r="KP83" s="63"/>
      <c r="KQ83" s="64">
        <f t="shared" ref="KQ83:KQ94" si="1825">KO83-KP83</f>
        <v>0</v>
      </c>
      <c r="KR83" s="65"/>
      <c r="KS83" s="63"/>
      <c r="KT83" s="64">
        <f t="shared" ref="KT83:KT94" si="1826">KR83-KS83</f>
        <v>0</v>
      </c>
      <c r="KU83" s="66">
        <f t="shared" si="1439"/>
        <v>0</v>
      </c>
      <c r="KV83" s="67">
        <f t="shared" ref="KV83:KV94" si="1827">KJ83+KM83+KP83++KS83</f>
        <v>0</v>
      </c>
      <c r="KW83" s="64">
        <f t="shared" ref="KW83:KW94" si="1828">KU83-KV83</f>
        <v>0</v>
      </c>
      <c r="KX83" s="72"/>
      <c r="KY83" s="73"/>
      <c r="KZ83" s="74"/>
      <c r="LA83" s="75"/>
      <c r="LB83" s="73"/>
      <c r="LC83" s="74"/>
      <c r="LD83" s="75"/>
      <c r="LE83" s="73"/>
      <c r="LF83" s="74"/>
      <c r="LG83" s="75"/>
      <c r="LH83" s="73"/>
      <c r="LI83" s="74"/>
      <c r="LJ83" s="76"/>
      <c r="LK83" s="77"/>
      <c r="LL83" s="74"/>
      <c r="LM83" s="62"/>
      <c r="LN83" s="63"/>
      <c r="LO83" s="64">
        <f t="shared" ref="LO83:LO94" si="1829">LM83-LN83</f>
        <v>0</v>
      </c>
      <c r="LP83" s="65"/>
      <c r="LQ83" s="63"/>
      <c r="LR83" s="64">
        <f t="shared" ref="LR83:LR94" si="1830">LP83-LQ83</f>
        <v>0</v>
      </c>
      <c r="LS83" s="65"/>
      <c r="LT83" s="63"/>
      <c r="LU83" s="64">
        <f t="shared" ref="LU83:LU94" si="1831">LS83-LT83</f>
        <v>0</v>
      </c>
      <c r="LV83" s="65">
        <v>100</v>
      </c>
      <c r="LW83" s="63"/>
      <c r="LX83" s="64">
        <f t="shared" ref="LX83:LX94" si="1832">LV83-LW83</f>
        <v>100</v>
      </c>
      <c r="LY83" s="66">
        <f t="shared" si="1575"/>
        <v>100</v>
      </c>
      <c r="LZ83" s="67">
        <f t="shared" ref="LZ83:LZ94" si="1833">LN83+LQ83+LT83++LW83</f>
        <v>0</v>
      </c>
      <c r="MA83" s="64">
        <f t="shared" ref="MA83:MA94" si="1834">LY83-LZ83</f>
        <v>100</v>
      </c>
      <c r="MB83" s="62"/>
      <c r="MC83" s="63"/>
      <c r="MD83" s="64">
        <f t="shared" ref="MD83:MD94" si="1835">MB83-MC83</f>
        <v>0</v>
      </c>
      <c r="ME83" s="65">
        <v>889.11</v>
      </c>
      <c r="MF83" s="63"/>
      <c r="MG83" s="64">
        <f t="shared" ref="MG83:MG94" si="1836">ME83-MF83</f>
        <v>889.11</v>
      </c>
      <c r="MH83" s="65"/>
      <c r="MI83" s="63"/>
      <c r="MJ83" s="64">
        <f t="shared" ref="MJ83:MJ94" si="1837">MH83-MI83</f>
        <v>0</v>
      </c>
      <c r="MK83" s="65">
        <v>100</v>
      </c>
      <c r="ML83" s="63"/>
      <c r="MM83" s="64">
        <f t="shared" ref="MM83:MM94" si="1838">MK83-ML83</f>
        <v>100</v>
      </c>
      <c r="MN83" s="66">
        <f t="shared" si="1582"/>
        <v>989.11</v>
      </c>
      <c r="MO83" s="67">
        <f t="shared" ref="MO83:MO94" si="1839">MC83+MF83+MI83++ML83</f>
        <v>0</v>
      </c>
      <c r="MP83" s="64">
        <f t="shared" ref="MP83:MP94" si="1840">MN83-MO83</f>
        <v>989.11</v>
      </c>
      <c r="MQ83" s="62"/>
      <c r="MR83" s="63"/>
      <c r="MS83" s="64">
        <f t="shared" ref="MS83:MS94" si="1841">MQ83-MR83</f>
        <v>0</v>
      </c>
      <c r="MT83" s="65"/>
      <c r="MU83" s="63"/>
      <c r="MV83" s="64">
        <f t="shared" ref="MV83:MV94" si="1842">MT83-MU83</f>
        <v>0</v>
      </c>
      <c r="MW83" s="65"/>
      <c r="MX83" s="63"/>
      <c r="MY83" s="64">
        <f t="shared" ref="MY83:MY94" si="1843">MW83-MX83</f>
        <v>0</v>
      </c>
      <c r="MZ83" s="65"/>
      <c r="NA83" s="63"/>
      <c r="NB83" s="64">
        <f t="shared" ref="NB83:NB94" si="1844">MZ83-NA83</f>
        <v>0</v>
      </c>
      <c r="NC83" s="66">
        <f t="shared" si="1589"/>
        <v>0</v>
      </c>
      <c r="ND83" s="67">
        <f t="shared" ref="ND83:ND94" si="1845">MR83+MU83+MX83++NA83</f>
        <v>0</v>
      </c>
      <c r="NE83" s="64">
        <f t="shared" ref="NE83:NE94" si="1846">NC83-ND83</f>
        <v>0</v>
      </c>
      <c r="NF83" s="62"/>
      <c r="NG83" s="63"/>
      <c r="NH83" s="64">
        <f t="shared" ref="NH83:NH94" si="1847">NF83-NG83</f>
        <v>0</v>
      </c>
      <c r="NI83" s="65">
        <v>1164.04</v>
      </c>
      <c r="NJ83" s="63"/>
      <c r="NK83" s="64">
        <f t="shared" ref="NK83:NK94" si="1848">NI83-NJ83</f>
        <v>1164.04</v>
      </c>
      <c r="NL83" s="65"/>
      <c r="NM83" s="63"/>
      <c r="NN83" s="64">
        <f t="shared" ref="NN83:NN94" si="1849">NL83-NM83</f>
        <v>0</v>
      </c>
      <c r="NO83" s="65">
        <v>100</v>
      </c>
      <c r="NP83" s="63"/>
      <c r="NQ83" s="64">
        <f t="shared" ref="NQ83:NQ94" si="1850">NO83-NP83</f>
        <v>100</v>
      </c>
      <c r="NR83" s="66">
        <f t="shared" si="1596"/>
        <v>1264.04</v>
      </c>
      <c r="NS83" s="67">
        <f t="shared" ref="NS83:NS94" si="1851">NG83+NJ83+NM83++NP83</f>
        <v>0</v>
      </c>
      <c r="NT83" s="64">
        <f t="shared" ref="NT83:NT94" si="1852">NR83-NS83</f>
        <v>1264.04</v>
      </c>
      <c r="NU83" s="62"/>
      <c r="NV83" s="63"/>
      <c r="NW83" s="64">
        <f t="shared" ref="NW83:NW94" si="1853">NU83-NV83</f>
        <v>0</v>
      </c>
      <c r="NX83" s="65">
        <v>1152.73</v>
      </c>
      <c r="NY83" s="63"/>
      <c r="NZ83" s="64">
        <f t="shared" ref="NZ83:NZ94" si="1854">NX83-NY83</f>
        <v>1152.73</v>
      </c>
      <c r="OA83" s="65"/>
      <c r="OB83" s="63"/>
      <c r="OC83" s="64">
        <f t="shared" ref="OC83:OC94" si="1855">OA83-OB83</f>
        <v>0</v>
      </c>
      <c r="OD83" s="65">
        <v>100</v>
      </c>
      <c r="OE83" s="63"/>
      <c r="OF83" s="64">
        <f t="shared" ref="OF83:OF94" si="1856">OD83-OE83</f>
        <v>100</v>
      </c>
      <c r="OG83" s="66">
        <f t="shared" si="1603"/>
        <v>1252.73</v>
      </c>
      <c r="OH83" s="67">
        <f t="shared" ref="OH83:OH94" si="1857">NV83+NY83+OB83++OE83</f>
        <v>0</v>
      </c>
      <c r="OI83" s="64">
        <f t="shared" ref="OI83:OI94" si="1858">OG83-OH83</f>
        <v>1252.73</v>
      </c>
      <c r="OJ83" s="62"/>
      <c r="OK83" s="63"/>
      <c r="OL83" s="64">
        <f t="shared" ref="OL83:OL94" si="1859">OJ83-OK83</f>
        <v>0</v>
      </c>
      <c r="OM83" s="65"/>
      <c r="ON83" s="63"/>
      <c r="OO83" s="64">
        <f t="shared" ref="OO83:OO94" si="1860">OM83-ON83</f>
        <v>0</v>
      </c>
      <c r="OP83" s="65"/>
      <c r="OQ83" s="63"/>
      <c r="OR83" s="64">
        <f t="shared" ref="OR83:OR94" si="1861">OP83-OQ83</f>
        <v>0</v>
      </c>
      <c r="OS83" s="65">
        <v>100</v>
      </c>
      <c r="OT83" s="63"/>
      <c r="OU83" s="64">
        <f t="shared" ref="OU83:OU94" si="1862">OS83-OT83</f>
        <v>100</v>
      </c>
      <c r="OV83" s="66">
        <f t="shared" si="1610"/>
        <v>100</v>
      </c>
      <c r="OW83" s="67">
        <f t="shared" ref="OW83:OW94" si="1863">OK83+ON83+OQ83++OT83</f>
        <v>0</v>
      </c>
      <c r="OX83" s="64">
        <f t="shared" ref="OX83:OX94" si="1864">OV83-OW83</f>
        <v>100</v>
      </c>
      <c r="OY83" s="62"/>
      <c r="OZ83" s="63"/>
      <c r="PA83" s="64">
        <f t="shared" ref="PA83:PA94" si="1865">OY83-OZ83</f>
        <v>0</v>
      </c>
      <c r="PB83" s="65"/>
      <c r="PC83" s="63"/>
      <c r="PD83" s="64">
        <f t="shared" ref="PD83:PD94" si="1866">PB83-PC83</f>
        <v>0</v>
      </c>
      <c r="PE83" s="65"/>
      <c r="PF83" s="63"/>
      <c r="PG83" s="64">
        <f t="shared" ref="PG83:PG94" si="1867">PE83-PF83</f>
        <v>0</v>
      </c>
      <c r="PH83" s="65">
        <v>100</v>
      </c>
      <c r="PI83" s="63"/>
      <c r="PJ83" s="64">
        <f t="shared" ref="PJ83:PJ94" si="1868">PH83-PI83</f>
        <v>100</v>
      </c>
      <c r="PK83" s="66">
        <f t="shared" si="1617"/>
        <v>100</v>
      </c>
      <c r="PL83" s="67">
        <f t="shared" ref="PL83:PL94" si="1869">OZ83+PC83+PF83++PI83</f>
        <v>0</v>
      </c>
      <c r="PM83" s="64">
        <f t="shared" ref="PM83:PM94" si="1870">PK83-PL83</f>
        <v>100</v>
      </c>
      <c r="PN83" s="62">
        <v>1550</v>
      </c>
      <c r="PO83" s="63"/>
      <c r="PP83" s="64">
        <f t="shared" ref="PP83:PP94" si="1871">PN83-PO83</f>
        <v>1550</v>
      </c>
      <c r="PQ83" s="65"/>
      <c r="PR83" s="63"/>
      <c r="PS83" s="64">
        <f t="shared" ref="PS83:PS94" si="1872">PQ83-PR83</f>
        <v>0</v>
      </c>
      <c r="PT83" s="65"/>
      <c r="PU83" s="63"/>
      <c r="PV83" s="64">
        <f t="shared" ref="PV83:PV94" si="1873">PT83-PU83</f>
        <v>0</v>
      </c>
      <c r="PW83" s="65">
        <v>100</v>
      </c>
      <c r="PX83" s="63"/>
      <c r="PY83" s="64">
        <f t="shared" ref="PY83:PY94" si="1874">PW83-PX83</f>
        <v>100</v>
      </c>
      <c r="PZ83" s="66">
        <f t="shared" si="1624"/>
        <v>1650</v>
      </c>
      <c r="QA83" s="67">
        <f t="shared" ref="QA83:QA94" si="1875">PO83+PR83+PU83++PX83</f>
        <v>0</v>
      </c>
      <c r="QB83" s="64">
        <f t="shared" ref="QB83:QB94" si="1876">PZ83-QA83</f>
        <v>1650</v>
      </c>
      <c r="QC83" s="62"/>
      <c r="QD83" s="63"/>
      <c r="QE83" s="64">
        <f t="shared" ref="QE83:QE94" si="1877">QC83-QD83</f>
        <v>0</v>
      </c>
      <c r="QF83" s="65"/>
      <c r="QG83" s="63"/>
      <c r="QH83" s="64">
        <f t="shared" ref="QH83:QH94" si="1878">QF83-QG83</f>
        <v>0</v>
      </c>
      <c r="QI83" s="65"/>
      <c r="QJ83" s="63"/>
      <c r="QK83" s="64">
        <f t="shared" ref="QK83:QK94" si="1879">QI83-QJ83</f>
        <v>0</v>
      </c>
      <c r="QL83" s="65">
        <v>100</v>
      </c>
      <c r="QM83" s="63"/>
      <c r="QN83" s="64">
        <f t="shared" ref="QN83:QN94" si="1880">QL83-QM83</f>
        <v>100</v>
      </c>
      <c r="QO83" s="66">
        <f t="shared" si="1631"/>
        <v>100</v>
      </c>
      <c r="QP83" s="67">
        <f t="shared" ref="QP83:QP94" si="1881">QD83+QG83+QJ83++QM83</f>
        <v>0</v>
      </c>
      <c r="QQ83" s="64">
        <f t="shared" ref="QQ83:QQ94" si="1882">QO83-QP83</f>
        <v>100</v>
      </c>
      <c r="QR83" s="74"/>
      <c r="QS83" s="74"/>
      <c r="QT83" s="72"/>
      <c r="QU83" s="73"/>
      <c r="QV83" s="74"/>
      <c r="QW83" s="75"/>
      <c r="QX83" s="73"/>
      <c r="QY83" s="74"/>
      <c r="QZ83" s="75"/>
      <c r="RA83" s="73"/>
      <c r="RB83" s="74"/>
      <c r="RC83" s="75"/>
      <c r="RD83" s="73"/>
      <c r="RE83" s="74"/>
      <c r="RF83" s="74"/>
      <c r="RG83" s="72"/>
      <c r="RH83" s="73"/>
      <c r="RI83" s="74"/>
      <c r="RJ83" s="75"/>
      <c r="RK83" s="73"/>
      <c r="RL83" s="74"/>
      <c r="RM83" s="75"/>
      <c r="RN83" s="73"/>
      <c r="RO83" s="74"/>
      <c r="RP83" s="75"/>
      <c r="RQ83" s="73"/>
      <c r="RR83" s="74"/>
      <c r="RS83" s="76"/>
      <c r="RT83" s="77"/>
      <c r="RU83" s="74"/>
      <c r="RV83" s="74"/>
      <c r="RW83" s="72"/>
      <c r="RX83" s="73"/>
      <c r="RY83" s="74"/>
      <c r="RZ83" s="75"/>
      <c r="SA83" s="73"/>
      <c r="SB83" s="74"/>
      <c r="SC83" s="75"/>
      <c r="SD83" s="73"/>
      <c r="SE83" s="74"/>
      <c r="SF83" s="75"/>
      <c r="SG83" s="73"/>
      <c r="SH83" s="74"/>
      <c r="SI83" s="76"/>
      <c r="SJ83" s="64">
        <f t="shared" ref="SJ83:SJ94" si="1883">SH83-SI83</f>
        <v>0</v>
      </c>
      <c r="SK83" s="62"/>
      <c r="SL83" s="63"/>
      <c r="SM83" s="64">
        <f t="shared" ref="SM83:SM94" si="1884">SK83-SL83</f>
        <v>0</v>
      </c>
      <c r="SN83" s="65"/>
      <c r="SO83" s="63"/>
      <c r="SP83" s="64">
        <f t="shared" ref="SP83:SP94" si="1885">SN83-SO83</f>
        <v>0</v>
      </c>
      <c r="SQ83" s="65"/>
      <c r="SR83" s="63"/>
      <c r="SS83" s="64">
        <f t="shared" ref="SS83:SS94" si="1886">SQ83-SR83</f>
        <v>0</v>
      </c>
      <c r="ST83" s="65">
        <v>100</v>
      </c>
      <c r="SU83" s="63"/>
      <c r="SV83" s="64">
        <f t="shared" ref="SV83:SV94" si="1887">ST83-SU83</f>
        <v>100</v>
      </c>
      <c r="SW83" s="66">
        <f t="shared" si="1639"/>
        <v>100</v>
      </c>
      <c r="SX83" s="67">
        <f t="shared" ref="SX83:SX94" si="1888">SL83+SO83+SR83++SU83</f>
        <v>0</v>
      </c>
      <c r="SY83" s="64">
        <f t="shared" ref="SY83:SY94" si="1889">SW83-SX83</f>
        <v>100</v>
      </c>
      <c r="SZ83" s="62">
        <v>985.33</v>
      </c>
      <c r="TA83" s="63"/>
      <c r="TB83" s="64">
        <f t="shared" ref="TB83:TB94" si="1890">SZ83-TA83</f>
        <v>985.33</v>
      </c>
      <c r="TC83" s="65">
        <v>700.9</v>
      </c>
      <c r="TD83" s="63"/>
      <c r="TE83" s="64">
        <f t="shared" ref="TE83:TE94" si="1891">TC83-TD83</f>
        <v>700.9</v>
      </c>
      <c r="TF83" s="65"/>
      <c r="TG83" s="63"/>
      <c r="TH83" s="64">
        <f t="shared" ref="TH83:TH94" si="1892">TF83-TG83</f>
        <v>0</v>
      </c>
      <c r="TI83" s="65">
        <v>100</v>
      </c>
      <c r="TJ83" s="63"/>
      <c r="TK83" s="64">
        <f t="shared" ref="TK83:TK94" si="1893">TI83-TJ83</f>
        <v>100</v>
      </c>
      <c r="TL83" s="66">
        <f t="shared" si="1646"/>
        <v>1786.23</v>
      </c>
      <c r="TM83" s="67">
        <f t="shared" ref="TM83:TM94" si="1894">TA83+TD83+TG83++TJ83</f>
        <v>0</v>
      </c>
      <c r="TN83" s="64">
        <f t="shared" ref="TN83:TN94" si="1895">TL83-TM83</f>
        <v>1786.23</v>
      </c>
      <c r="TO83" s="62"/>
      <c r="TP83" s="63"/>
      <c r="TQ83" s="64">
        <f t="shared" ref="TQ83:TQ94" si="1896">TO83-TP83</f>
        <v>0</v>
      </c>
      <c r="TR83" s="65"/>
      <c r="TS83" s="63"/>
      <c r="TT83" s="64">
        <f t="shared" ref="TT83:TT94" si="1897">TR83-TS83</f>
        <v>0</v>
      </c>
      <c r="TU83" s="65"/>
      <c r="TV83" s="63"/>
      <c r="TW83" s="64">
        <f t="shared" ref="TW83:TW94" si="1898">TU83-TV83</f>
        <v>0</v>
      </c>
      <c r="TX83" s="65">
        <v>100</v>
      </c>
      <c r="TY83" s="63"/>
      <c r="TZ83" s="64">
        <f t="shared" ref="TZ83:TZ94" si="1899">TX83-TY83</f>
        <v>100</v>
      </c>
      <c r="UA83" s="66">
        <f t="shared" si="1653"/>
        <v>100</v>
      </c>
      <c r="UB83" s="67">
        <f t="shared" ref="UB83:UB94" si="1900">TP83+TS83+TV83++TY83</f>
        <v>0</v>
      </c>
      <c r="UC83" s="64">
        <f t="shared" ref="UC83:UC94" si="1901">UA83-UB83</f>
        <v>100</v>
      </c>
      <c r="UD83" s="62">
        <v>1125</v>
      </c>
      <c r="UE83" s="63"/>
      <c r="UF83" s="64">
        <f t="shared" ref="UF83:UF94" si="1902">UD83-UE83</f>
        <v>1125</v>
      </c>
      <c r="UG83" s="65">
        <v>497.04</v>
      </c>
      <c r="UH83" s="63"/>
      <c r="UI83" s="64">
        <f t="shared" ref="UI83:UI94" si="1903">UG83-UH83</f>
        <v>497.04</v>
      </c>
      <c r="UJ83" s="65"/>
      <c r="UK83" s="63"/>
      <c r="UL83" s="64">
        <f t="shared" ref="UL83:UL94" si="1904">UJ83-UK83</f>
        <v>0</v>
      </c>
      <c r="UM83" s="65">
        <v>100</v>
      </c>
      <c r="UN83" s="63"/>
      <c r="UO83" s="64">
        <f t="shared" ref="UO83:UO94" si="1905">UM83-UN83</f>
        <v>100</v>
      </c>
      <c r="UP83" s="66">
        <f t="shared" si="1660"/>
        <v>1722.04</v>
      </c>
      <c r="UQ83" s="67">
        <f t="shared" ref="UQ83:UQ94" si="1906">UE83+UH83+UK83++UN83</f>
        <v>0</v>
      </c>
      <c r="UR83" s="64">
        <f t="shared" ref="UR83:UR94" si="1907">UP83-UQ83</f>
        <v>1722.04</v>
      </c>
      <c r="US83" s="74"/>
      <c r="UT83" s="72"/>
      <c r="UU83" s="73"/>
      <c r="UV83" s="74"/>
      <c r="UW83" s="75"/>
      <c r="UX83" s="73"/>
      <c r="UY83" s="74"/>
      <c r="UZ83" s="75"/>
      <c r="VA83" s="73"/>
      <c r="VB83" s="74"/>
      <c r="VC83" s="75"/>
      <c r="VD83" s="73"/>
      <c r="VE83" s="74"/>
      <c r="VF83" s="76"/>
      <c r="VG83" s="77"/>
      <c r="VH83" s="62"/>
      <c r="VI83" s="63"/>
      <c r="VJ83" s="64">
        <f t="shared" ref="VJ83:VJ94" si="1908">VH83-VI83</f>
        <v>0</v>
      </c>
      <c r="VK83" s="65"/>
      <c r="VL83" s="63"/>
      <c r="VM83" s="64">
        <f t="shared" ref="VM83:VM94" si="1909">VK83-VL83</f>
        <v>0</v>
      </c>
      <c r="VN83" s="65"/>
      <c r="VO83" s="63"/>
      <c r="VP83" s="64">
        <f t="shared" ref="VP83:VP94" si="1910">VN83-VO83</f>
        <v>0</v>
      </c>
      <c r="VQ83" s="65">
        <v>100</v>
      </c>
      <c r="VR83" s="63"/>
      <c r="VS83" s="64">
        <f t="shared" ref="VS83:VS94" si="1911">VQ83-VR83</f>
        <v>100</v>
      </c>
      <c r="VT83" s="66">
        <f t="shared" si="1667"/>
        <v>100</v>
      </c>
      <c r="VU83" s="67">
        <f t="shared" ref="VU83:VU94" si="1912">VI83+VL83+VO83++VR83</f>
        <v>0</v>
      </c>
      <c r="VV83" s="64">
        <f t="shared" ref="VV83:VV94" si="1913">VT83-VU83</f>
        <v>100</v>
      </c>
      <c r="VW83" s="74"/>
      <c r="VX83" s="72"/>
      <c r="VY83" s="73"/>
      <c r="VZ83" s="74"/>
      <c r="WA83" s="75"/>
      <c r="WB83" s="73"/>
      <c r="WC83" s="74"/>
      <c r="WD83" s="75"/>
      <c r="WE83" s="73"/>
      <c r="WF83" s="74"/>
      <c r="WG83" s="75"/>
      <c r="WH83" s="73"/>
      <c r="WI83" s="74"/>
      <c r="WJ83" s="76"/>
      <c r="WK83" s="77"/>
      <c r="WL83" s="74"/>
      <c r="WM83" s="72"/>
      <c r="WN83" s="73"/>
      <c r="WO83" s="74"/>
      <c r="WP83" s="75"/>
      <c r="WQ83" s="73"/>
      <c r="WR83" s="74"/>
      <c r="WS83" s="75"/>
      <c r="WT83" s="73"/>
      <c r="WU83" s="74"/>
      <c r="WV83" s="75"/>
      <c r="WW83" s="73"/>
      <c r="WX83" s="74"/>
      <c r="WY83" s="76"/>
      <c r="WZ83" s="77"/>
      <c r="XA83" s="74"/>
      <c r="XB83" s="72"/>
      <c r="XC83" s="73"/>
      <c r="XD83" s="74"/>
      <c r="XE83" s="75"/>
      <c r="XF83" s="73"/>
      <c r="XG83" s="74"/>
      <c r="XH83" s="75"/>
      <c r="XI83" s="73"/>
      <c r="XJ83" s="74"/>
      <c r="XK83" s="75"/>
      <c r="XL83" s="73"/>
      <c r="XM83" s="74"/>
      <c r="XN83" s="76"/>
      <c r="XO83" s="77"/>
      <c r="XP83" s="62"/>
      <c r="XQ83" s="63"/>
      <c r="XR83" s="64">
        <f t="shared" ref="XR83:XR94" si="1914">XP83-XQ83</f>
        <v>0</v>
      </c>
      <c r="XS83" s="65">
        <v>844.24</v>
      </c>
      <c r="XT83" s="63"/>
      <c r="XU83" s="64">
        <f t="shared" ref="XU83:XU94" si="1915">XS83-XT83</f>
        <v>844.24</v>
      </c>
      <c r="XV83" s="65"/>
      <c r="XW83" s="63"/>
      <c r="XX83" s="64">
        <f t="shared" ref="XX83:XX94" si="1916">XV83-XW83</f>
        <v>0</v>
      </c>
      <c r="XY83" s="65">
        <v>100</v>
      </c>
      <c r="XZ83" s="63"/>
      <c r="YA83" s="64">
        <f t="shared" ref="YA83:YA94" si="1917">XY83-XZ83</f>
        <v>100</v>
      </c>
      <c r="YB83" s="66">
        <f t="shared" si="1674"/>
        <v>944.24</v>
      </c>
      <c r="YC83" s="67">
        <f t="shared" ref="YC83:YC94" si="1918">XQ83+XT83+XW83++XZ83</f>
        <v>0</v>
      </c>
      <c r="YD83" s="64">
        <f t="shared" ref="YD83:YD94" si="1919">YB83-YC83</f>
        <v>944.24</v>
      </c>
      <c r="YE83" s="62"/>
      <c r="YF83" s="63"/>
      <c r="YG83" s="64">
        <f t="shared" ref="YG83:YG94" si="1920">YE83-YF83</f>
        <v>0</v>
      </c>
      <c r="YH83" s="65">
        <v>847.85</v>
      </c>
      <c r="YI83" s="63"/>
      <c r="YJ83" s="64">
        <f t="shared" ref="YJ83:YJ94" si="1921">YH83-YI83</f>
        <v>847.85</v>
      </c>
      <c r="YK83" s="65"/>
      <c r="YL83" s="63"/>
      <c r="YM83" s="64">
        <f t="shared" ref="YM83:YM94" si="1922">YK83-YL83</f>
        <v>0</v>
      </c>
      <c r="YN83" s="65">
        <v>100</v>
      </c>
      <c r="YO83" s="63"/>
      <c r="YP83" s="64">
        <f t="shared" ref="YP83:YP94" si="1923">YN83-YO83</f>
        <v>100</v>
      </c>
      <c r="YQ83" s="66">
        <f t="shared" si="1681"/>
        <v>947.85</v>
      </c>
      <c r="YR83" s="67">
        <f t="shared" ref="YR83:YR94" si="1924">YF83+YI83+YL83++YO83</f>
        <v>0</v>
      </c>
      <c r="YS83" s="64">
        <f t="shared" ref="YS83:YS94" si="1925">YQ83-YR83</f>
        <v>947.85</v>
      </c>
      <c r="YT83" s="62"/>
      <c r="YU83" s="63"/>
      <c r="YV83" s="64">
        <f t="shared" ref="YV83:YV94" si="1926">YT83-YU83</f>
        <v>0</v>
      </c>
      <c r="YW83" s="65">
        <v>695.73</v>
      </c>
      <c r="YX83" s="63"/>
      <c r="YY83" s="64">
        <f t="shared" ref="YY83:YY94" si="1927">YW83-YX83</f>
        <v>695.73</v>
      </c>
      <c r="YZ83" s="65"/>
      <c r="ZA83" s="63"/>
      <c r="ZB83" s="64">
        <f t="shared" ref="ZB83:ZB94" si="1928">YZ83-ZA83</f>
        <v>0</v>
      </c>
      <c r="ZC83" s="65">
        <v>100</v>
      </c>
      <c r="ZD83" s="63"/>
      <c r="ZE83" s="64">
        <f t="shared" ref="ZE83:ZE94" si="1929">ZC83-ZD83</f>
        <v>100</v>
      </c>
      <c r="ZF83" s="66">
        <f t="shared" si="1688"/>
        <v>795.73</v>
      </c>
      <c r="ZG83" s="67">
        <f t="shared" ref="ZG83:ZG94" si="1930">YU83+YX83+ZA83++ZD83</f>
        <v>0</v>
      </c>
      <c r="ZH83" s="74"/>
      <c r="ZI83" s="72"/>
      <c r="ZJ83" s="73"/>
      <c r="ZK83" s="74"/>
      <c r="ZL83" s="75"/>
      <c r="ZM83" s="73"/>
      <c r="ZN83" s="74"/>
      <c r="ZO83" s="75"/>
      <c r="ZP83" s="73"/>
      <c r="ZQ83" s="74"/>
      <c r="ZR83" s="75"/>
      <c r="ZS83" s="73"/>
      <c r="ZT83" s="74"/>
      <c r="ZU83" s="76"/>
      <c r="ZV83" s="77"/>
      <c r="ZW83" s="64">
        <f t="shared" ref="ZW83:ZW94" si="1931">ZU83-ZV83</f>
        <v>0</v>
      </c>
      <c r="ZX83" s="62">
        <v>24.71</v>
      </c>
      <c r="ZY83" s="63"/>
      <c r="ZZ83" s="64">
        <f t="shared" ref="ZZ83:ZZ94" si="1932">ZX83-ZY83</f>
        <v>24.71</v>
      </c>
      <c r="AAA83" s="66">
        <f t="shared" si="1692"/>
        <v>24.71</v>
      </c>
      <c r="AAB83" s="67">
        <f t="shared" si="1692"/>
        <v>0</v>
      </c>
      <c r="AAC83" s="64">
        <f t="shared" ref="AAC83:AAC94" si="1933">AAA83-AAB83</f>
        <v>24.71</v>
      </c>
      <c r="AAD83" s="78">
        <f t="shared" si="1694"/>
        <v>29217.870000000003</v>
      </c>
      <c r="AAE83" s="79">
        <f t="shared" si="1694"/>
        <v>0</v>
      </c>
      <c r="AAF83" s="80">
        <f t="shared" si="1457"/>
        <v>0</v>
      </c>
      <c r="AAG83" s="81">
        <f t="shared" ref="AAG83:AAG94" si="1934">AAE83-AAD83</f>
        <v>-29217.870000000003</v>
      </c>
      <c r="AAH83" s="58" t="s">
        <v>136</v>
      </c>
      <c r="AAI83" s="59"/>
      <c r="AAJ83" s="59"/>
      <c r="AAK83" s="60">
        <v>2028</v>
      </c>
    </row>
    <row r="84" spans="1:713" s="83" customFormat="1" ht="20" customHeight="1" x14ac:dyDescent="0.2">
      <c r="A84" s="152"/>
      <c r="B84" s="58"/>
      <c r="C84" s="59"/>
      <c r="D84" s="59"/>
      <c r="E84" s="60"/>
      <c r="F84" s="61">
        <v>46784</v>
      </c>
      <c r="G84" s="62"/>
      <c r="H84" s="63"/>
      <c r="I84" s="64">
        <f t="shared" si="1730"/>
        <v>0</v>
      </c>
      <c r="J84" s="65">
        <v>4160.16</v>
      </c>
      <c r="K84" s="63"/>
      <c r="L84" s="64">
        <f t="shared" si="1731"/>
        <v>4160.16</v>
      </c>
      <c r="M84" s="65">
        <v>2500</v>
      </c>
      <c r="N84" s="63"/>
      <c r="O84" s="64">
        <f t="shared" si="1732"/>
        <v>2500</v>
      </c>
      <c r="P84" s="65">
        <v>500</v>
      </c>
      <c r="Q84" s="63"/>
      <c r="R84" s="64">
        <f t="shared" si="1733"/>
        <v>500</v>
      </c>
      <c r="S84" s="65">
        <v>181</v>
      </c>
      <c r="T84" s="63"/>
      <c r="U84" s="64">
        <f t="shared" si="1734"/>
        <v>181</v>
      </c>
      <c r="V84" s="66">
        <f t="shared" si="1735"/>
        <v>7341.16</v>
      </c>
      <c r="W84" s="67">
        <f t="shared" si="1735"/>
        <v>0</v>
      </c>
      <c r="X84" s="64">
        <f t="shared" si="1736"/>
        <v>7341.16</v>
      </c>
      <c r="Y84" s="72"/>
      <c r="Z84" s="73"/>
      <c r="AA84" s="74"/>
      <c r="AB84" s="75"/>
      <c r="AC84" s="73"/>
      <c r="AD84" s="74"/>
      <c r="AE84" s="75"/>
      <c r="AF84" s="73"/>
      <c r="AG84" s="74"/>
      <c r="AH84" s="75"/>
      <c r="AI84" s="73"/>
      <c r="AJ84" s="74"/>
      <c r="AK84" s="76"/>
      <c r="AL84" s="77"/>
      <c r="AM84" s="64">
        <f t="shared" si="1737"/>
        <v>0</v>
      </c>
      <c r="AN84" s="62"/>
      <c r="AO84" s="63"/>
      <c r="AP84" s="64">
        <f t="shared" ref="AP84:AP94" si="1935">AN84-AO84</f>
        <v>0</v>
      </c>
      <c r="AQ84" s="65"/>
      <c r="AR84" s="63"/>
      <c r="AS84" s="64">
        <f t="shared" si="1738"/>
        <v>0</v>
      </c>
      <c r="AT84" s="65"/>
      <c r="AU84" s="63"/>
      <c r="AV84" s="64">
        <f t="shared" si="1739"/>
        <v>0</v>
      </c>
      <c r="AW84" s="65"/>
      <c r="AX84" s="63"/>
      <c r="AY84" s="64">
        <f t="shared" si="1740"/>
        <v>0</v>
      </c>
      <c r="AZ84" s="66">
        <f t="shared" si="1469"/>
        <v>0</v>
      </c>
      <c r="BA84" s="67">
        <f t="shared" si="1741"/>
        <v>0</v>
      </c>
      <c r="BB84" s="64">
        <f t="shared" si="1742"/>
        <v>0</v>
      </c>
      <c r="BC84" s="62">
        <v>6150</v>
      </c>
      <c r="BD84" s="63"/>
      <c r="BE84" s="64">
        <f t="shared" si="1743"/>
        <v>6150</v>
      </c>
      <c r="BF84" s="65"/>
      <c r="BG84" s="63"/>
      <c r="BH84" s="64">
        <f t="shared" si="1744"/>
        <v>0</v>
      </c>
      <c r="BI84" s="65"/>
      <c r="BJ84" s="63"/>
      <c r="BK84" s="64">
        <f t="shared" si="1745"/>
        <v>0</v>
      </c>
      <c r="BL84" s="65">
        <v>100</v>
      </c>
      <c r="BM84" s="63"/>
      <c r="BN84" s="64">
        <f t="shared" si="1746"/>
        <v>100</v>
      </c>
      <c r="BO84" s="66">
        <f t="shared" si="1476"/>
        <v>6250</v>
      </c>
      <c r="BP84" s="67">
        <f t="shared" si="1747"/>
        <v>0</v>
      </c>
      <c r="BQ84" s="64">
        <f t="shared" si="1748"/>
        <v>6250</v>
      </c>
      <c r="BR84" s="72"/>
      <c r="BS84" s="73"/>
      <c r="BT84" s="74"/>
      <c r="BU84" s="75"/>
      <c r="BV84" s="73"/>
      <c r="BW84" s="74"/>
      <c r="BX84" s="75"/>
      <c r="BY84" s="73"/>
      <c r="BZ84" s="74"/>
      <c r="CA84" s="75"/>
      <c r="CB84" s="73"/>
      <c r="CC84" s="74"/>
      <c r="CD84" s="76"/>
      <c r="CE84" s="77"/>
      <c r="CF84" s="64">
        <f t="shared" si="1749"/>
        <v>0</v>
      </c>
      <c r="CG84" s="62"/>
      <c r="CH84" s="63"/>
      <c r="CI84" s="64">
        <f t="shared" si="1750"/>
        <v>0</v>
      </c>
      <c r="CJ84" s="65"/>
      <c r="CK84" s="63"/>
      <c r="CL84" s="64">
        <f t="shared" si="1751"/>
        <v>0</v>
      </c>
      <c r="CM84" s="65"/>
      <c r="CN84" s="63"/>
      <c r="CO84" s="64">
        <f t="shared" si="1752"/>
        <v>0</v>
      </c>
      <c r="CP84" s="65"/>
      <c r="CQ84" s="63"/>
      <c r="CR84" s="64">
        <f t="shared" si="1753"/>
        <v>0</v>
      </c>
      <c r="CS84" s="66">
        <f t="shared" si="1484"/>
        <v>0</v>
      </c>
      <c r="CT84" s="67">
        <f t="shared" si="1754"/>
        <v>0</v>
      </c>
      <c r="CU84" s="64">
        <f t="shared" si="1755"/>
        <v>0</v>
      </c>
      <c r="CV84" s="62">
        <v>2916.7</v>
      </c>
      <c r="CW84" s="63"/>
      <c r="CX84" s="64">
        <f t="shared" si="1756"/>
        <v>2916.7</v>
      </c>
      <c r="CY84" s="65">
        <v>429.15</v>
      </c>
      <c r="CZ84" s="63"/>
      <c r="DA84" s="64">
        <f t="shared" si="1757"/>
        <v>429.15</v>
      </c>
      <c r="DB84" s="65"/>
      <c r="DC84" s="63"/>
      <c r="DD84" s="64">
        <f t="shared" si="1758"/>
        <v>0</v>
      </c>
      <c r="DE84" s="65"/>
      <c r="DF84" s="63"/>
      <c r="DG84" s="64">
        <f t="shared" si="1759"/>
        <v>0</v>
      </c>
      <c r="DH84" s="66">
        <f t="shared" si="1491"/>
        <v>3345.85</v>
      </c>
      <c r="DI84" s="67">
        <f t="shared" si="1760"/>
        <v>0</v>
      </c>
      <c r="DJ84" s="64">
        <f t="shared" si="1761"/>
        <v>3345.85</v>
      </c>
      <c r="DK84" s="62">
        <v>2400</v>
      </c>
      <c r="DL84" s="63"/>
      <c r="DM84" s="64">
        <f t="shared" si="1762"/>
        <v>2400</v>
      </c>
      <c r="DN84" s="65">
        <v>913.08</v>
      </c>
      <c r="DO84" s="63"/>
      <c r="DP84" s="64">
        <f t="shared" si="1763"/>
        <v>913.08</v>
      </c>
      <c r="DQ84" s="65"/>
      <c r="DR84" s="63"/>
      <c r="DS84" s="64">
        <f t="shared" si="1764"/>
        <v>0</v>
      </c>
      <c r="DT84" s="65">
        <v>100</v>
      </c>
      <c r="DU84" s="63"/>
      <c r="DV84" s="64">
        <f t="shared" si="1765"/>
        <v>100</v>
      </c>
      <c r="DW84" s="66">
        <f t="shared" si="1498"/>
        <v>3413.08</v>
      </c>
      <c r="DX84" s="67">
        <f t="shared" si="1766"/>
        <v>0</v>
      </c>
      <c r="DY84" s="64">
        <f t="shared" si="1767"/>
        <v>3413.08</v>
      </c>
      <c r="DZ84" s="62"/>
      <c r="EA84" s="63"/>
      <c r="EB84" s="64">
        <f t="shared" si="1768"/>
        <v>0</v>
      </c>
      <c r="EC84" s="65"/>
      <c r="ED84" s="63"/>
      <c r="EE84" s="64">
        <f t="shared" si="1769"/>
        <v>0</v>
      </c>
      <c r="EF84" s="65"/>
      <c r="EG84" s="63"/>
      <c r="EH84" s="64">
        <f t="shared" si="1770"/>
        <v>0</v>
      </c>
      <c r="EI84" s="65">
        <v>100</v>
      </c>
      <c r="EJ84" s="63"/>
      <c r="EK84" s="64">
        <f t="shared" si="1771"/>
        <v>100</v>
      </c>
      <c r="EL84" s="66">
        <f t="shared" si="1505"/>
        <v>100</v>
      </c>
      <c r="EM84" s="67">
        <f t="shared" si="1772"/>
        <v>0</v>
      </c>
      <c r="EN84" s="64">
        <f t="shared" si="1773"/>
        <v>100</v>
      </c>
      <c r="EO84" s="62">
        <v>6150</v>
      </c>
      <c r="EP84" s="63"/>
      <c r="EQ84" s="64">
        <f t="shared" si="1774"/>
        <v>6150</v>
      </c>
      <c r="ER84" s="65"/>
      <c r="ES84" s="63"/>
      <c r="ET84" s="64">
        <f t="shared" si="1775"/>
        <v>0</v>
      </c>
      <c r="EU84" s="65"/>
      <c r="EV84" s="63"/>
      <c r="EW84" s="64">
        <f t="shared" si="1776"/>
        <v>0</v>
      </c>
      <c r="EX84" s="65">
        <v>100</v>
      </c>
      <c r="EY84" s="63"/>
      <c r="EZ84" s="64">
        <f t="shared" si="1777"/>
        <v>100</v>
      </c>
      <c r="FA84" s="66">
        <f t="shared" si="1512"/>
        <v>6250</v>
      </c>
      <c r="FB84" s="67">
        <f t="shared" si="1778"/>
        <v>0</v>
      </c>
      <c r="FC84" s="64">
        <f t="shared" si="1779"/>
        <v>6250</v>
      </c>
      <c r="FD84" s="62">
        <v>6150</v>
      </c>
      <c r="FE84" s="63"/>
      <c r="FF84" s="64">
        <f t="shared" si="1780"/>
        <v>6150</v>
      </c>
      <c r="FG84" s="65"/>
      <c r="FH84" s="63"/>
      <c r="FI84" s="64">
        <f t="shared" si="1781"/>
        <v>0</v>
      </c>
      <c r="FJ84" s="65"/>
      <c r="FK84" s="63"/>
      <c r="FL84" s="64">
        <f t="shared" si="1782"/>
        <v>0</v>
      </c>
      <c r="FM84" s="65">
        <v>100</v>
      </c>
      <c r="FN84" s="63"/>
      <c r="FO84" s="64">
        <f t="shared" si="1783"/>
        <v>100</v>
      </c>
      <c r="FP84" s="66">
        <f t="shared" si="1519"/>
        <v>6250</v>
      </c>
      <c r="FQ84" s="67">
        <f t="shared" si="1784"/>
        <v>0</v>
      </c>
      <c r="FR84" s="64">
        <f t="shared" si="1785"/>
        <v>6250</v>
      </c>
      <c r="FS84" s="62"/>
      <c r="FT84" s="63"/>
      <c r="FU84" s="64">
        <f t="shared" si="1786"/>
        <v>0</v>
      </c>
      <c r="FV84" s="65">
        <v>485.35</v>
      </c>
      <c r="FW84" s="63"/>
      <c r="FX84" s="64">
        <f t="shared" si="1787"/>
        <v>485.35</v>
      </c>
      <c r="FY84" s="65"/>
      <c r="FZ84" s="63"/>
      <c r="GA84" s="64">
        <f t="shared" si="1788"/>
        <v>0</v>
      </c>
      <c r="GB84" s="65"/>
      <c r="GC84" s="63"/>
      <c r="GD84" s="64">
        <f t="shared" si="1789"/>
        <v>0</v>
      </c>
      <c r="GE84" s="66">
        <f t="shared" si="1526"/>
        <v>485.35</v>
      </c>
      <c r="GF84" s="67">
        <f t="shared" si="1790"/>
        <v>0</v>
      </c>
      <c r="GG84" s="64">
        <f t="shared" si="1791"/>
        <v>485.35</v>
      </c>
      <c r="GH84" s="62"/>
      <c r="GI84" s="63"/>
      <c r="GJ84" s="64">
        <f t="shared" si="1792"/>
        <v>0</v>
      </c>
      <c r="GK84" s="65">
        <v>660.33</v>
      </c>
      <c r="GL84" s="63"/>
      <c r="GM84" s="64">
        <f t="shared" si="1793"/>
        <v>660.33</v>
      </c>
      <c r="GN84" s="65"/>
      <c r="GO84" s="63"/>
      <c r="GP84" s="64">
        <f t="shared" si="1794"/>
        <v>0</v>
      </c>
      <c r="GQ84" s="65"/>
      <c r="GR84" s="63"/>
      <c r="GS84" s="64">
        <f t="shared" si="1795"/>
        <v>0</v>
      </c>
      <c r="GT84" s="66">
        <f t="shared" si="1533"/>
        <v>660.33</v>
      </c>
      <c r="GU84" s="67">
        <f t="shared" si="1796"/>
        <v>0</v>
      </c>
      <c r="GV84" s="64">
        <f t="shared" si="1797"/>
        <v>660.33</v>
      </c>
      <c r="GW84" s="62"/>
      <c r="GX84" s="63"/>
      <c r="GY84" s="64">
        <f t="shared" si="1798"/>
        <v>0</v>
      </c>
      <c r="GZ84" s="65">
        <v>568.25</v>
      </c>
      <c r="HA84" s="63"/>
      <c r="HB84" s="64">
        <f t="shared" si="1799"/>
        <v>568.25</v>
      </c>
      <c r="HC84" s="65"/>
      <c r="HD84" s="63"/>
      <c r="HE84" s="64">
        <f t="shared" si="1800"/>
        <v>0</v>
      </c>
      <c r="HF84" s="65">
        <v>100</v>
      </c>
      <c r="HG84" s="63"/>
      <c r="HH84" s="64">
        <f t="shared" si="1801"/>
        <v>100</v>
      </c>
      <c r="HI84" s="66">
        <f t="shared" si="1540"/>
        <v>668.25</v>
      </c>
      <c r="HJ84" s="67">
        <f t="shared" si="1802"/>
        <v>0</v>
      </c>
      <c r="HK84" s="64">
        <f t="shared" si="1803"/>
        <v>668.25</v>
      </c>
      <c r="HL84" s="62">
        <v>6150</v>
      </c>
      <c r="HM84" s="63"/>
      <c r="HN84" s="64">
        <f t="shared" si="1804"/>
        <v>6150</v>
      </c>
      <c r="HO84" s="65"/>
      <c r="HP84" s="63"/>
      <c r="HQ84" s="64">
        <f t="shared" si="1805"/>
        <v>0</v>
      </c>
      <c r="HR84" s="65"/>
      <c r="HS84" s="63"/>
      <c r="HT84" s="64">
        <f t="shared" si="1806"/>
        <v>0</v>
      </c>
      <c r="HU84" s="65">
        <v>100</v>
      </c>
      <c r="HV84" s="63"/>
      <c r="HW84" s="64">
        <f t="shared" si="1807"/>
        <v>100</v>
      </c>
      <c r="HX84" s="66">
        <f t="shared" si="1547"/>
        <v>6250</v>
      </c>
      <c r="HY84" s="67">
        <f t="shared" si="1808"/>
        <v>0</v>
      </c>
      <c r="HZ84" s="64">
        <f t="shared" si="1809"/>
        <v>6250</v>
      </c>
      <c r="IA84" s="62"/>
      <c r="IB84" s="63"/>
      <c r="IC84" s="64">
        <f t="shared" si="1810"/>
        <v>0</v>
      </c>
      <c r="ID84" s="65"/>
      <c r="IE84" s="63"/>
      <c r="IF84" s="64">
        <f t="shared" si="1811"/>
        <v>0</v>
      </c>
      <c r="IG84" s="65"/>
      <c r="IH84" s="63"/>
      <c r="II84" s="64">
        <f t="shared" si="1812"/>
        <v>0</v>
      </c>
      <c r="IJ84" s="65">
        <v>100</v>
      </c>
      <c r="IK84" s="63"/>
      <c r="IL84" s="64">
        <f t="shared" si="1813"/>
        <v>100</v>
      </c>
      <c r="IM84" s="66">
        <f t="shared" si="1554"/>
        <v>100</v>
      </c>
      <c r="IN84" s="67">
        <f t="shared" si="1814"/>
        <v>0</v>
      </c>
      <c r="IO84" s="64">
        <f t="shared" si="1815"/>
        <v>100</v>
      </c>
      <c r="IP84" s="62"/>
      <c r="IQ84" s="63"/>
      <c r="IR84" s="64">
        <f t="shared" si="1816"/>
        <v>0</v>
      </c>
      <c r="IS84" s="65"/>
      <c r="IT84" s="63"/>
      <c r="IU84" s="64">
        <f t="shared" si="1817"/>
        <v>0</v>
      </c>
      <c r="IV84" s="65"/>
      <c r="IW84" s="63"/>
      <c r="IX84" s="64">
        <f t="shared" si="1818"/>
        <v>0</v>
      </c>
      <c r="IY84" s="65"/>
      <c r="IZ84" s="63"/>
      <c r="JA84" s="64">
        <f t="shared" si="1819"/>
        <v>0</v>
      </c>
      <c r="JB84" s="66">
        <f t="shared" si="1561"/>
        <v>0</v>
      </c>
      <c r="JC84" s="67">
        <f t="shared" si="1820"/>
        <v>0</v>
      </c>
      <c r="JD84" s="64">
        <f t="shared" si="1821"/>
        <v>0</v>
      </c>
      <c r="JE84" s="72"/>
      <c r="JF84" s="150"/>
      <c r="JG84" s="74"/>
      <c r="JH84" s="75"/>
      <c r="JI84" s="150"/>
      <c r="JJ84" s="74"/>
      <c r="JK84" s="75"/>
      <c r="JL84" s="150"/>
      <c r="JM84" s="74"/>
      <c r="JN84" s="75"/>
      <c r="JO84" s="150"/>
      <c r="JP84" s="74"/>
      <c r="JQ84" s="76"/>
      <c r="JR84" s="77"/>
      <c r="JS84" s="74"/>
      <c r="JT84" s="72"/>
      <c r="JU84" s="73"/>
      <c r="JV84" s="74"/>
      <c r="JW84" s="75"/>
      <c r="JX84" s="73"/>
      <c r="JY84" s="74"/>
      <c r="JZ84" s="75"/>
      <c r="KA84" s="73"/>
      <c r="KB84" s="74"/>
      <c r="KC84" s="75"/>
      <c r="KD84" s="73"/>
      <c r="KE84" s="74"/>
      <c r="KF84" s="76"/>
      <c r="KG84" s="77"/>
      <c r="KH84" s="64">
        <f t="shared" si="1822"/>
        <v>0</v>
      </c>
      <c r="KI84" s="62"/>
      <c r="KJ84" s="63"/>
      <c r="KK84" s="64">
        <f t="shared" si="1823"/>
        <v>0</v>
      </c>
      <c r="KL84" s="65"/>
      <c r="KM84" s="63"/>
      <c r="KN84" s="64">
        <f t="shared" si="1824"/>
        <v>0</v>
      </c>
      <c r="KO84" s="65"/>
      <c r="KP84" s="63"/>
      <c r="KQ84" s="64">
        <f t="shared" si="1825"/>
        <v>0</v>
      </c>
      <c r="KR84" s="65"/>
      <c r="KS84" s="63"/>
      <c r="KT84" s="64">
        <f t="shared" si="1826"/>
        <v>0</v>
      </c>
      <c r="KU84" s="66">
        <f t="shared" si="1439"/>
        <v>0</v>
      </c>
      <c r="KV84" s="67">
        <f t="shared" si="1827"/>
        <v>0</v>
      </c>
      <c r="KW84" s="64">
        <f t="shared" si="1828"/>
        <v>0</v>
      </c>
      <c r="KX84" s="72"/>
      <c r="KY84" s="73"/>
      <c r="KZ84" s="74"/>
      <c r="LA84" s="75"/>
      <c r="LB84" s="73"/>
      <c r="LC84" s="74"/>
      <c r="LD84" s="75"/>
      <c r="LE84" s="73"/>
      <c r="LF84" s="74"/>
      <c r="LG84" s="75"/>
      <c r="LH84" s="73"/>
      <c r="LI84" s="74"/>
      <c r="LJ84" s="76"/>
      <c r="LK84" s="77"/>
      <c r="LL84" s="74"/>
      <c r="LM84" s="62"/>
      <c r="LN84" s="63"/>
      <c r="LO84" s="64">
        <f t="shared" si="1829"/>
        <v>0</v>
      </c>
      <c r="LP84" s="65"/>
      <c r="LQ84" s="63"/>
      <c r="LR84" s="64">
        <f t="shared" si="1830"/>
        <v>0</v>
      </c>
      <c r="LS84" s="65"/>
      <c r="LT84" s="63"/>
      <c r="LU84" s="64">
        <f t="shared" si="1831"/>
        <v>0</v>
      </c>
      <c r="LV84" s="65">
        <v>100</v>
      </c>
      <c r="LW84" s="63"/>
      <c r="LX84" s="64">
        <f t="shared" si="1832"/>
        <v>100</v>
      </c>
      <c r="LY84" s="66">
        <f t="shared" si="1575"/>
        <v>100</v>
      </c>
      <c r="LZ84" s="67">
        <f t="shared" si="1833"/>
        <v>0</v>
      </c>
      <c r="MA84" s="64">
        <f t="shared" si="1834"/>
        <v>100</v>
      </c>
      <c r="MB84" s="62"/>
      <c r="MC84" s="63"/>
      <c r="MD84" s="64">
        <f t="shared" si="1835"/>
        <v>0</v>
      </c>
      <c r="ME84" s="65">
        <v>889.11</v>
      </c>
      <c r="MF84" s="63"/>
      <c r="MG84" s="64">
        <f t="shared" si="1836"/>
        <v>889.11</v>
      </c>
      <c r="MH84" s="65"/>
      <c r="MI84" s="63"/>
      <c r="MJ84" s="64">
        <f t="shared" si="1837"/>
        <v>0</v>
      </c>
      <c r="MK84" s="65">
        <v>100</v>
      </c>
      <c r="ML84" s="63"/>
      <c r="MM84" s="64">
        <f t="shared" si="1838"/>
        <v>100</v>
      </c>
      <c r="MN84" s="66">
        <f t="shared" si="1582"/>
        <v>989.11</v>
      </c>
      <c r="MO84" s="67">
        <f t="shared" si="1839"/>
        <v>0</v>
      </c>
      <c r="MP84" s="64">
        <f t="shared" si="1840"/>
        <v>989.11</v>
      </c>
      <c r="MQ84" s="62"/>
      <c r="MR84" s="63"/>
      <c r="MS84" s="64">
        <f t="shared" si="1841"/>
        <v>0</v>
      </c>
      <c r="MT84" s="65"/>
      <c r="MU84" s="63"/>
      <c r="MV84" s="64">
        <f t="shared" si="1842"/>
        <v>0</v>
      </c>
      <c r="MW84" s="65"/>
      <c r="MX84" s="63"/>
      <c r="MY84" s="64">
        <f t="shared" si="1843"/>
        <v>0</v>
      </c>
      <c r="MZ84" s="65"/>
      <c r="NA84" s="63"/>
      <c r="NB84" s="64">
        <f t="shared" si="1844"/>
        <v>0</v>
      </c>
      <c r="NC84" s="66">
        <f t="shared" si="1589"/>
        <v>0</v>
      </c>
      <c r="ND84" s="67">
        <f t="shared" si="1845"/>
        <v>0</v>
      </c>
      <c r="NE84" s="64">
        <f t="shared" si="1846"/>
        <v>0</v>
      </c>
      <c r="NF84" s="62"/>
      <c r="NG84" s="63"/>
      <c r="NH84" s="64">
        <f t="shared" si="1847"/>
        <v>0</v>
      </c>
      <c r="NI84" s="65">
        <v>1164.04</v>
      </c>
      <c r="NJ84" s="63"/>
      <c r="NK84" s="64">
        <f t="shared" si="1848"/>
        <v>1164.04</v>
      </c>
      <c r="NL84" s="65"/>
      <c r="NM84" s="63"/>
      <c r="NN84" s="64">
        <f t="shared" si="1849"/>
        <v>0</v>
      </c>
      <c r="NO84" s="65">
        <v>100</v>
      </c>
      <c r="NP84" s="63"/>
      <c r="NQ84" s="64">
        <f t="shared" si="1850"/>
        <v>100</v>
      </c>
      <c r="NR84" s="66">
        <f t="shared" si="1596"/>
        <v>1264.04</v>
      </c>
      <c r="NS84" s="67">
        <f t="shared" si="1851"/>
        <v>0</v>
      </c>
      <c r="NT84" s="64">
        <f t="shared" si="1852"/>
        <v>1264.04</v>
      </c>
      <c r="NU84" s="62"/>
      <c r="NV84" s="63"/>
      <c r="NW84" s="64">
        <f t="shared" si="1853"/>
        <v>0</v>
      </c>
      <c r="NX84" s="65">
        <v>1152.73</v>
      </c>
      <c r="NY84" s="63"/>
      <c r="NZ84" s="64">
        <f t="shared" si="1854"/>
        <v>1152.73</v>
      </c>
      <c r="OA84" s="65"/>
      <c r="OB84" s="63"/>
      <c r="OC84" s="64">
        <f t="shared" si="1855"/>
        <v>0</v>
      </c>
      <c r="OD84" s="65">
        <v>100</v>
      </c>
      <c r="OE84" s="63"/>
      <c r="OF84" s="64">
        <f t="shared" si="1856"/>
        <v>100</v>
      </c>
      <c r="OG84" s="66">
        <f t="shared" si="1603"/>
        <v>1252.73</v>
      </c>
      <c r="OH84" s="67">
        <f t="shared" si="1857"/>
        <v>0</v>
      </c>
      <c r="OI84" s="64">
        <f t="shared" si="1858"/>
        <v>1252.73</v>
      </c>
      <c r="OJ84" s="62"/>
      <c r="OK84" s="63"/>
      <c r="OL84" s="64">
        <f t="shared" si="1859"/>
        <v>0</v>
      </c>
      <c r="OM84" s="65"/>
      <c r="ON84" s="63"/>
      <c r="OO84" s="64">
        <f t="shared" si="1860"/>
        <v>0</v>
      </c>
      <c r="OP84" s="65"/>
      <c r="OQ84" s="63"/>
      <c r="OR84" s="64">
        <f t="shared" si="1861"/>
        <v>0</v>
      </c>
      <c r="OS84" s="65">
        <v>100</v>
      </c>
      <c r="OT84" s="63"/>
      <c r="OU84" s="64">
        <f t="shared" si="1862"/>
        <v>100</v>
      </c>
      <c r="OV84" s="66">
        <f t="shared" si="1610"/>
        <v>100</v>
      </c>
      <c r="OW84" s="67">
        <f t="shared" si="1863"/>
        <v>0</v>
      </c>
      <c r="OX84" s="64">
        <f t="shared" si="1864"/>
        <v>100</v>
      </c>
      <c r="OY84" s="62"/>
      <c r="OZ84" s="63"/>
      <c r="PA84" s="64">
        <f t="shared" si="1865"/>
        <v>0</v>
      </c>
      <c r="PB84" s="65"/>
      <c r="PC84" s="63"/>
      <c r="PD84" s="64">
        <f t="shared" si="1866"/>
        <v>0</v>
      </c>
      <c r="PE84" s="65"/>
      <c r="PF84" s="63"/>
      <c r="PG84" s="64">
        <f t="shared" si="1867"/>
        <v>0</v>
      </c>
      <c r="PH84" s="65">
        <v>100</v>
      </c>
      <c r="PI84" s="63"/>
      <c r="PJ84" s="64">
        <f t="shared" si="1868"/>
        <v>100</v>
      </c>
      <c r="PK84" s="66">
        <f t="shared" si="1617"/>
        <v>100</v>
      </c>
      <c r="PL84" s="67">
        <f t="shared" si="1869"/>
        <v>0</v>
      </c>
      <c r="PM84" s="64">
        <f t="shared" si="1870"/>
        <v>100</v>
      </c>
      <c r="PN84" s="62">
        <v>1550</v>
      </c>
      <c r="PO84" s="63"/>
      <c r="PP84" s="64">
        <f t="shared" si="1871"/>
        <v>1550</v>
      </c>
      <c r="PQ84" s="65"/>
      <c r="PR84" s="63"/>
      <c r="PS84" s="64">
        <f t="shared" si="1872"/>
        <v>0</v>
      </c>
      <c r="PT84" s="65"/>
      <c r="PU84" s="63"/>
      <c r="PV84" s="64">
        <f t="shared" si="1873"/>
        <v>0</v>
      </c>
      <c r="PW84" s="65">
        <v>100</v>
      </c>
      <c r="PX84" s="63"/>
      <c r="PY84" s="64">
        <f t="shared" si="1874"/>
        <v>100</v>
      </c>
      <c r="PZ84" s="66">
        <f t="shared" si="1624"/>
        <v>1650</v>
      </c>
      <c r="QA84" s="67">
        <f t="shared" si="1875"/>
        <v>0</v>
      </c>
      <c r="QB84" s="64">
        <f t="shared" si="1876"/>
        <v>1650</v>
      </c>
      <c r="QC84" s="62"/>
      <c r="QD84" s="63"/>
      <c r="QE84" s="64">
        <f t="shared" si="1877"/>
        <v>0</v>
      </c>
      <c r="QF84" s="65"/>
      <c r="QG84" s="63"/>
      <c r="QH84" s="64">
        <f t="shared" si="1878"/>
        <v>0</v>
      </c>
      <c r="QI84" s="65"/>
      <c r="QJ84" s="63"/>
      <c r="QK84" s="64">
        <f t="shared" si="1879"/>
        <v>0</v>
      </c>
      <c r="QL84" s="65">
        <v>100</v>
      </c>
      <c r="QM84" s="63"/>
      <c r="QN84" s="64">
        <f t="shared" si="1880"/>
        <v>100</v>
      </c>
      <c r="QO84" s="66">
        <f t="shared" si="1631"/>
        <v>100</v>
      </c>
      <c r="QP84" s="67">
        <f t="shared" si="1881"/>
        <v>0</v>
      </c>
      <c r="QQ84" s="64">
        <f t="shared" si="1882"/>
        <v>100</v>
      </c>
      <c r="QR84" s="74"/>
      <c r="QS84" s="74"/>
      <c r="QT84" s="72"/>
      <c r="QU84" s="73"/>
      <c r="QV84" s="74"/>
      <c r="QW84" s="75"/>
      <c r="QX84" s="73"/>
      <c r="QY84" s="74"/>
      <c r="QZ84" s="75"/>
      <c r="RA84" s="73"/>
      <c r="RB84" s="74"/>
      <c r="RC84" s="75"/>
      <c r="RD84" s="73"/>
      <c r="RE84" s="74"/>
      <c r="RF84" s="74"/>
      <c r="RG84" s="72"/>
      <c r="RH84" s="73"/>
      <c r="RI84" s="74"/>
      <c r="RJ84" s="75"/>
      <c r="RK84" s="73"/>
      <c r="RL84" s="74"/>
      <c r="RM84" s="75"/>
      <c r="RN84" s="73"/>
      <c r="RO84" s="74"/>
      <c r="RP84" s="75"/>
      <c r="RQ84" s="73"/>
      <c r="RR84" s="74"/>
      <c r="RS84" s="76"/>
      <c r="RT84" s="77"/>
      <c r="RU84" s="74"/>
      <c r="RV84" s="74"/>
      <c r="RW84" s="72"/>
      <c r="RX84" s="73"/>
      <c r="RY84" s="74"/>
      <c r="RZ84" s="75"/>
      <c r="SA84" s="73"/>
      <c r="SB84" s="74"/>
      <c r="SC84" s="75"/>
      <c r="SD84" s="73"/>
      <c r="SE84" s="74"/>
      <c r="SF84" s="75"/>
      <c r="SG84" s="73"/>
      <c r="SH84" s="74"/>
      <c r="SI84" s="76"/>
      <c r="SJ84" s="64">
        <f t="shared" si="1883"/>
        <v>0</v>
      </c>
      <c r="SK84" s="62"/>
      <c r="SL84" s="63"/>
      <c r="SM84" s="64">
        <f t="shared" si="1884"/>
        <v>0</v>
      </c>
      <c r="SN84" s="65"/>
      <c r="SO84" s="63"/>
      <c r="SP84" s="64">
        <f t="shared" si="1885"/>
        <v>0</v>
      </c>
      <c r="SQ84" s="65"/>
      <c r="SR84" s="63"/>
      <c r="SS84" s="64">
        <f t="shared" si="1886"/>
        <v>0</v>
      </c>
      <c r="ST84" s="65">
        <v>100</v>
      </c>
      <c r="SU84" s="63"/>
      <c r="SV84" s="64">
        <f t="shared" si="1887"/>
        <v>100</v>
      </c>
      <c r="SW84" s="66">
        <f t="shared" si="1639"/>
        <v>100</v>
      </c>
      <c r="SX84" s="67">
        <f t="shared" si="1888"/>
        <v>0</v>
      </c>
      <c r="SY84" s="64">
        <f t="shared" si="1889"/>
        <v>100</v>
      </c>
      <c r="SZ84" s="62">
        <v>985.33</v>
      </c>
      <c r="TA84" s="63"/>
      <c r="TB84" s="64">
        <f t="shared" si="1890"/>
        <v>985.33</v>
      </c>
      <c r="TC84" s="65">
        <v>700.9</v>
      </c>
      <c r="TD84" s="63"/>
      <c r="TE84" s="64">
        <f t="shared" si="1891"/>
        <v>700.9</v>
      </c>
      <c r="TF84" s="65">
        <v>1800</v>
      </c>
      <c r="TG84" s="63"/>
      <c r="TH84" s="64">
        <f t="shared" si="1892"/>
        <v>1800</v>
      </c>
      <c r="TI84" s="65">
        <v>100</v>
      </c>
      <c r="TJ84" s="63"/>
      <c r="TK84" s="64">
        <f t="shared" si="1893"/>
        <v>100</v>
      </c>
      <c r="TL84" s="66">
        <f t="shared" si="1646"/>
        <v>3586.23</v>
      </c>
      <c r="TM84" s="67">
        <f t="shared" si="1894"/>
        <v>0</v>
      </c>
      <c r="TN84" s="64">
        <f t="shared" si="1895"/>
        <v>3586.23</v>
      </c>
      <c r="TO84" s="62"/>
      <c r="TP84" s="63"/>
      <c r="TQ84" s="64">
        <f t="shared" si="1896"/>
        <v>0</v>
      </c>
      <c r="TR84" s="65"/>
      <c r="TS84" s="63"/>
      <c r="TT84" s="64">
        <f t="shared" si="1897"/>
        <v>0</v>
      </c>
      <c r="TU84" s="65"/>
      <c r="TV84" s="63"/>
      <c r="TW84" s="64">
        <f t="shared" si="1898"/>
        <v>0</v>
      </c>
      <c r="TX84" s="65">
        <v>100</v>
      </c>
      <c r="TY84" s="63"/>
      <c r="TZ84" s="64">
        <f t="shared" si="1899"/>
        <v>100</v>
      </c>
      <c r="UA84" s="66">
        <f t="shared" si="1653"/>
        <v>100</v>
      </c>
      <c r="UB84" s="67">
        <f t="shared" si="1900"/>
        <v>0</v>
      </c>
      <c r="UC84" s="64">
        <f t="shared" si="1901"/>
        <v>100</v>
      </c>
      <c r="UD84" s="62">
        <v>1125</v>
      </c>
      <c r="UE84" s="63"/>
      <c r="UF84" s="64">
        <f t="shared" si="1902"/>
        <v>1125</v>
      </c>
      <c r="UG84" s="65">
        <v>497.04</v>
      </c>
      <c r="UH84" s="63"/>
      <c r="UI84" s="64">
        <f t="shared" si="1903"/>
        <v>497.04</v>
      </c>
      <c r="UJ84" s="65"/>
      <c r="UK84" s="63"/>
      <c r="UL84" s="64">
        <f t="shared" si="1904"/>
        <v>0</v>
      </c>
      <c r="UM84" s="65">
        <v>100</v>
      </c>
      <c r="UN84" s="63"/>
      <c r="UO84" s="64">
        <f t="shared" si="1905"/>
        <v>100</v>
      </c>
      <c r="UP84" s="66">
        <f t="shared" si="1660"/>
        <v>1722.04</v>
      </c>
      <c r="UQ84" s="67">
        <f t="shared" si="1906"/>
        <v>0</v>
      </c>
      <c r="UR84" s="64">
        <f t="shared" si="1907"/>
        <v>1722.04</v>
      </c>
      <c r="US84" s="74"/>
      <c r="UT84" s="72"/>
      <c r="UU84" s="73"/>
      <c r="UV84" s="74"/>
      <c r="UW84" s="75"/>
      <c r="UX84" s="73"/>
      <c r="UY84" s="74"/>
      <c r="UZ84" s="75"/>
      <c r="VA84" s="73"/>
      <c r="VB84" s="74"/>
      <c r="VC84" s="75"/>
      <c r="VD84" s="73"/>
      <c r="VE84" s="74"/>
      <c r="VF84" s="76"/>
      <c r="VG84" s="77"/>
      <c r="VH84" s="62"/>
      <c r="VI84" s="63"/>
      <c r="VJ84" s="64">
        <f t="shared" si="1908"/>
        <v>0</v>
      </c>
      <c r="VK84" s="65"/>
      <c r="VL84" s="63"/>
      <c r="VM84" s="64">
        <f t="shared" si="1909"/>
        <v>0</v>
      </c>
      <c r="VN84" s="65"/>
      <c r="VO84" s="63"/>
      <c r="VP84" s="64">
        <f t="shared" si="1910"/>
        <v>0</v>
      </c>
      <c r="VQ84" s="65">
        <v>100</v>
      </c>
      <c r="VR84" s="63"/>
      <c r="VS84" s="64">
        <f t="shared" si="1911"/>
        <v>100</v>
      </c>
      <c r="VT84" s="66">
        <f t="shared" si="1667"/>
        <v>100</v>
      </c>
      <c r="VU84" s="67">
        <f t="shared" si="1912"/>
        <v>0</v>
      </c>
      <c r="VV84" s="64">
        <f t="shared" si="1913"/>
        <v>100</v>
      </c>
      <c r="VW84" s="74"/>
      <c r="VX84" s="72"/>
      <c r="VY84" s="73"/>
      <c r="VZ84" s="74"/>
      <c r="WA84" s="75"/>
      <c r="WB84" s="73"/>
      <c r="WC84" s="74"/>
      <c r="WD84" s="75"/>
      <c r="WE84" s="73"/>
      <c r="WF84" s="74"/>
      <c r="WG84" s="75"/>
      <c r="WH84" s="73"/>
      <c r="WI84" s="74"/>
      <c r="WJ84" s="76"/>
      <c r="WK84" s="77"/>
      <c r="WL84" s="74"/>
      <c r="WM84" s="72"/>
      <c r="WN84" s="73"/>
      <c r="WO84" s="74"/>
      <c r="WP84" s="75"/>
      <c r="WQ84" s="73"/>
      <c r="WR84" s="74"/>
      <c r="WS84" s="75"/>
      <c r="WT84" s="73"/>
      <c r="WU84" s="74"/>
      <c r="WV84" s="75"/>
      <c r="WW84" s="73"/>
      <c r="WX84" s="74"/>
      <c r="WY84" s="76"/>
      <c r="WZ84" s="77"/>
      <c r="XA84" s="74"/>
      <c r="XB84" s="72"/>
      <c r="XC84" s="73"/>
      <c r="XD84" s="74"/>
      <c r="XE84" s="75"/>
      <c r="XF84" s="73"/>
      <c r="XG84" s="74"/>
      <c r="XH84" s="75"/>
      <c r="XI84" s="73"/>
      <c r="XJ84" s="74"/>
      <c r="XK84" s="75"/>
      <c r="XL84" s="73"/>
      <c r="XM84" s="74"/>
      <c r="XN84" s="76"/>
      <c r="XO84" s="77"/>
      <c r="XP84" s="62"/>
      <c r="XQ84" s="63"/>
      <c r="XR84" s="64">
        <f t="shared" si="1914"/>
        <v>0</v>
      </c>
      <c r="XS84" s="65">
        <v>844.24</v>
      </c>
      <c r="XT84" s="63"/>
      <c r="XU84" s="64">
        <f t="shared" si="1915"/>
        <v>844.24</v>
      </c>
      <c r="XV84" s="65"/>
      <c r="XW84" s="63"/>
      <c r="XX84" s="64">
        <f t="shared" si="1916"/>
        <v>0</v>
      </c>
      <c r="XY84" s="65">
        <v>100</v>
      </c>
      <c r="XZ84" s="63"/>
      <c r="YA84" s="64">
        <f t="shared" si="1917"/>
        <v>100</v>
      </c>
      <c r="YB84" s="66">
        <f t="shared" si="1674"/>
        <v>944.24</v>
      </c>
      <c r="YC84" s="67">
        <f t="shared" si="1918"/>
        <v>0</v>
      </c>
      <c r="YD84" s="64">
        <f t="shared" si="1919"/>
        <v>944.24</v>
      </c>
      <c r="YE84" s="62"/>
      <c r="YF84" s="63"/>
      <c r="YG84" s="64">
        <f t="shared" si="1920"/>
        <v>0</v>
      </c>
      <c r="YH84" s="65">
        <v>847.85</v>
      </c>
      <c r="YI84" s="63"/>
      <c r="YJ84" s="64">
        <f t="shared" si="1921"/>
        <v>847.85</v>
      </c>
      <c r="YK84" s="65"/>
      <c r="YL84" s="63"/>
      <c r="YM84" s="64">
        <f t="shared" si="1922"/>
        <v>0</v>
      </c>
      <c r="YN84" s="65">
        <v>100</v>
      </c>
      <c r="YO84" s="63"/>
      <c r="YP84" s="64">
        <f t="shared" si="1923"/>
        <v>100</v>
      </c>
      <c r="YQ84" s="66">
        <f t="shared" si="1681"/>
        <v>947.85</v>
      </c>
      <c r="YR84" s="67">
        <f t="shared" si="1924"/>
        <v>0</v>
      </c>
      <c r="YS84" s="64">
        <f t="shared" si="1925"/>
        <v>947.85</v>
      </c>
      <c r="YT84" s="62"/>
      <c r="YU84" s="63"/>
      <c r="YV84" s="64">
        <f t="shared" si="1926"/>
        <v>0</v>
      </c>
      <c r="YW84" s="65">
        <v>695.73</v>
      </c>
      <c r="YX84" s="63"/>
      <c r="YY84" s="64">
        <f t="shared" si="1927"/>
        <v>695.73</v>
      </c>
      <c r="YZ84" s="65"/>
      <c r="ZA84" s="63"/>
      <c r="ZB84" s="64">
        <f t="shared" si="1928"/>
        <v>0</v>
      </c>
      <c r="ZC84" s="65">
        <v>100</v>
      </c>
      <c r="ZD84" s="63"/>
      <c r="ZE84" s="64">
        <f t="shared" si="1929"/>
        <v>100</v>
      </c>
      <c r="ZF84" s="66">
        <f t="shared" si="1688"/>
        <v>795.73</v>
      </c>
      <c r="ZG84" s="67">
        <f t="shared" si="1930"/>
        <v>0</v>
      </c>
      <c r="ZH84" s="74"/>
      <c r="ZI84" s="72"/>
      <c r="ZJ84" s="73"/>
      <c r="ZK84" s="74"/>
      <c r="ZL84" s="75"/>
      <c r="ZM84" s="73"/>
      <c r="ZN84" s="74"/>
      <c r="ZO84" s="75"/>
      <c r="ZP84" s="73"/>
      <c r="ZQ84" s="74"/>
      <c r="ZR84" s="75"/>
      <c r="ZS84" s="73"/>
      <c r="ZT84" s="74"/>
      <c r="ZU84" s="76"/>
      <c r="ZV84" s="77"/>
      <c r="ZW84" s="64">
        <f t="shared" si="1931"/>
        <v>0</v>
      </c>
      <c r="ZX84" s="62">
        <v>24.71</v>
      </c>
      <c r="ZY84" s="63"/>
      <c r="ZZ84" s="64">
        <f t="shared" si="1932"/>
        <v>24.71</v>
      </c>
      <c r="AAA84" s="66">
        <f t="shared" si="1692"/>
        <v>24.71</v>
      </c>
      <c r="AAB84" s="67">
        <f t="shared" si="1692"/>
        <v>0</v>
      </c>
      <c r="AAC84" s="64">
        <f t="shared" si="1933"/>
        <v>24.71</v>
      </c>
      <c r="AAD84" s="85">
        <f t="shared" si="1694"/>
        <v>54965.990000000005</v>
      </c>
      <c r="AAE84" s="86">
        <f t="shared" si="1694"/>
        <v>0</v>
      </c>
      <c r="AAF84" s="87">
        <f t="shared" si="1457"/>
        <v>0</v>
      </c>
      <c r="AAG84" s="88">
        <f t="shared" si="1934"/>
        <v>-54965.990000000005</v>
      </c>
      <c r="AAH84" s="58"/>
      <c r="AAI84" s="59"/>
      <c r="AAJ84" s="59"/>
      <c r="AAK84" s="60"/>
    </row>
    <row r="85" spans="1:713" s="83" customFormat="1" ht="20" customHeight="1" x14ac:dyDescent="0.2">
      <c r="A85" s="153"/>
      <c r="B85" s="89">
        <f>AAH85</f>
        <v>1396140.5599999998</v>
      </c>
      <c r="C85" s="90"/>
      <c r="D85" s="90"/>
      <c r="E85" s="60"/>
      <c r="F85" s="61">
        <v>46813</v>
      </c>
      <c r="G85" s="62"/>
      <c r="H85" s="63"/>
      <c r="I85" s="64">
        <f t="shared" si="1730"/>
        <v>0</v>
      </c>
      <c r="J85" s="65">
        <v>4134.46</v>
      </c>
      <c r="K85" s="63"/>
      <c r="L85" s="64">
        <f t="shared" si="1731"/>
        <v>4134.46</v>
      </c>
      <c r="M85" s="65">
        <v>2500</v>
      </c>
      <c r="N85" s="63"/>
      <c r="O85" s="64">
        <f t="shared" si="1732"/>
        <v>2500</v>
      </c>
      <c r="P85" s="65">
        <v>500</v>
      </c>
      <c r="Q85" s="63"/>
      <c r="R85" s="64">
        <f t="shared" si="1733"/>
        <v>500</v>
      </c>
      <c r="S85" s="65">
        <v>181</v>
      </c>
      <c r="T85" s="63"/>
      <c r="U85" s="64">
        <f t="shared" si="1734"/>
        <v>181</v>
      </c>
      <c r="V85" s="66">
        <f t="shared" si="1735"/>
        <v>7315.46</v>
      </c>
      <c r="W85" s="67">
        <f t="shared" si="1735"/>
        <v>0</v>
      </c>
      <c r="X85" s="64">
        <f t="shared" si="1736"/>
        <v>7315.46</v>
      </c>
      <c r="Y85" s="72"/>
      <c r="Z85" s="73"/>
      <c r="AA85" s="74"/>
      <c r="AB85" s="75"/>
      <c r="AC85" s="73"/>
      <c r="AD85" s="74"/>
      <c r="AE85" s="75"/>
      <c r="AF85" s="73"/>
      <c r="AG85" s="74"/>
      <c r="AH85" s="75"/>
      <c r="AI85" s="73"/>
      <c r="AJ85" s="74"/>
      <c r="AK85" s="76"/>
      <c r="AL85" s="77"/>
      <c r="AM85" s="64">
        <f t="shared" si="1737"/>
        <v>0</v>
      </c>
      <c r="AN85" s="62"/>
      <c r="AO85" s="63"/>
      <c r="AP85" s="64">
        <f t="shared" si="1935"/>
        <v>0</v>
      </c>
      <c r="AQ85" s="65"/>
      <c r="AR85" s="63"/>
      <c r="AS85" s="64">
        <f t="shared" si="1738"/>
        <v>0</v>
      </c>
      <c r="AT85" s="65"/>
      <c r="AU85" s="63"/>
      <c r="AV85" s="64">
        <f t="shared" si="1739"/>
        <v>0</v>
      </c>
      <c r="AW85" s="65"/>
      <c r="AX85" s="63"/>
      <c r="AY85" s="64">
        <f t="shared" si="1740"/>
        <v>0</v>
      </c>
      <c r="AZ85" s="66">
        <f t="shared" si="1469"/>
        <v>0</v>
      </c>
      <c r="BA85" s="67">
        <f t="shared" si="1741"/>
        <v>0</v>
      </c>
      <c r="BB85" s="64">
        <f t="shared" si="1742"/>
        <v>0</v>
      </c>
      <c r="BC85" s="62"/>
      <c r="BD85" s="63"/>
      <c r="BE85" s="64">
        <f t="shared" si="1743"/>
        <v>0</v>
      </c>
      <c r="BF85" s="65"/>
      <c r="BG85" s="63"/>
      <c r="BH85" s="64">
        <f t="shared" si="1744"/>
        <v>0</v>
      </c>
      <c r="BI85" s="65"/>
      <c r="BJ85" s="63"/>
      <c r="BK85" s="64">
        <f t="shared" si="1745"/>
        <v>0</v>
      </c>
      <c r="BL85" s="65">
        <v>100</v>
      </c>
      <c r="BM85" s="63"/>
      <c r="BN85" s="64">
        <f t="shared" si="1746"/>
        <v>100</v>
      </c>
      <c r="BO85" s="66">
        <f t="shared" si="1476"/>
        <v>100</v>
      </c>
      <c r="BP85" s="67">
        <f t="shared" si="1747"/>
        <v>0</v>
      </c>
      <c r="BQ85" s="64">
        <f t="shared" si="1748"/>
        <v>100</v>
      </c>
      <c r="BR85" s="72"/>
      <c r="BS85" s="73"/>
      <c r="BT85" s="74"/>
      <c r="BU85" s="75"/>
      <c r="BV85" s="73"/>
      <c r="BW85" s="74"/>
      <c r="BX85" s="75"/>
      <c r="BY85" s="73"/>
      <c r="BZ85" s="74"/>
      <c r="CA85" s="75"/>
      <c r="CB85" s="73"/>
      <c r="CC85" s="74"/>
      <c r="CD85" s="76"/>
      <c r="CE85" s="77"/>
      <c r="CF85" s="64">
        <f t="shared" si="1749"/>
        <v>0</v>
      </c>
      <c r="CG85" s="62"/>
      <c r="CH85" s="63"/>
      <c r="CI85" s="64">
        <f t="shared" si="1750"/>
        <v>0</v>
      </c>
      <c r="CJ85" s="65"/>
      <c r="CK85" s="63"/>
      <c r="CL85" s="64">
        <f t="shared" si="1751"/>
        <v>0</v>
      </c>
      <c r="CM85" s="65"/>
      <c r="CN85" s="63"/>
      <c r="CO85" s="64">
        <f t="shared" si="1752"/>
        <v>0</v>
      </c>
      <c r="CP85" s="65"/>
      <c r="CQ85" s="63"/>
      <c r="CR85" s="64">
        <f t="shared" si="1753"/>
        <v>0</v>
      </c>
      <c r="CS85" s="66">
        <f t="shared" si="1484"/>
        <v>0</v>
      </c>
      <c r="CT85" s="67">
        <f t="shared" si="1754"/>
        <v>0</v>
      </c>
      <c r="CU85" s="64">
        <f t="shared" si="1755"/>
        <v>0</v>
      </c>
      <c r="CV85" s="62">
        <v>2916.7</v>
      </c>
      <c r="CW85" s="63"/>
      <c r="CX85" s="64">
        <f t="shared" si="1756"/>
        <v>2916.7</v>
      </c>
      <c r="CY85" s="65">
        <v>429.15</v>
      </c>
      <c r="CZ85" s="63"/>
      <c r="DA85" s="64">
        <f t="shared" si="1757"/>
        <v>429.15</v>
      </c>
      <c r="DB85" s="65"/>
      <c r="DC85" s="63"/>
      <c r="DD85" s="64">
        <f t="shared" si="1758"/>
        <v>0</v>
      </c>
      <c r="DE85" s="65"/>
      <c r="DF85" s="63"/>
      <c r="DG85" s="64">
        <f t="shared" si="1759"/>
        <v>0</v>
      </c>
      <c r="DH85" s="66">
        <f t="shared" si="1491"/>
        <v>3345.85</v>
      </c>
      <c r="DI85" s="67">
        <f t="shared" si="1760"/>
        <v>0</v>
      </c>
      <c r="DJ85" s="64">
        <f t="shared" si="1761"/>
        <v>3345.85</v>
      </c>
      <c r="DK85" s="62">
        <v>2400</v>
      </c>
      <c r="DL85" s="63"/>
      <c r="DM85" s="64">
        <f t="shared" si="1762"/>
        <v>2400</v>
      </c>
      <c r="DN85" s="65">
        <v>913.08</v>
      </c>
      <c r="DO85" s="63"/>
      <c r="DP85" s="64">
        <f t="shared" si="1763"/>
        <v>913.08</v>
      </c>
      <c r="DQ85" s="65"/>
      <c r="DR85" s="63"/>
      <c r="DS85" s="64">
        <f t="shared" si="1764"/>
        <v>0</v>
      </c>
      <c r="DT85" s="65">
        <v>100</v>
      </c>
      <c r="DU85" s="63"/>
      <c r="DV85" s="64">
        <f t="shared" si="1765"/>
        <v>100</v>
      </c>
      <c r="DW85" s="66">
        <f t="shared" si="1498"/>
        <v>3413.08</v>
      </c>
      <c r="DX85" s="67">
        <f t="shared" si="1766"/>
        <v>0</v>
      </c>
      <c r="DY85" s="64">
        <f t="shared" si="1767"/>
        <v>3413.08</v>
      </c>
      <c r="DZ85" s="62"/>
      <c r="EA85" s="63"/>
      <c r="EB85" s="64">
        <f t="shared" si="1768"/>
        <v>0</v>
      </c>
      <c r="EC85" s="65"/>
      <c r="ED85" s="63"/>
      <c r="EE85" s="64">
        <f t="shared" si="1769"/>
        <v>0</v>
      </c>
      <c r="EF85" s="65"/>
      <c r="EG85" s="63"/>
      <c r="EH85" s="64">
        <f t="shared" si="1770"/>
        <v>0</v>
      </c>
      <c r="EI85" s="65">
        <v>100</v>
      </c>
      <c r="EJ85" s="63"/>
      <c r="EK85" s="64">
        <f t="shared" si="1771"/>
        <v>100</v>
      </c>
      <c r="EL85" s="66">
        <f t="shared" si="1505"/>
        <v>100</v>
      </c>
      <c r="EM85" s="67">
        <f t="shared" si="1772"/>
        <v>0</v>
      </c>
      <c r="EN85" s="64">
        <f t="shared" si="1773"/>
        <v>100</v>
      </c>
      <c r="EO85" s="62"/>
      <c r="EP85" s="63"/>
      <c r="EQ85" s="64">
        <f t="shared" si="1774"/>
        <v>0</v>
      </c>
      <c r="ER85" s="65"/>
      <c r="ES85" s="63"/>
      <c r="ET85" s="64">
        <f t="shared" si="1775"/>
        <v>0</v>
      </c>
      <c r="EU85" s="65"/>
      <c r="EV85" s="63"/>
      <c r="EW85" s="64">
        <f t="shared" si="1776"/>
        <v>0</v>
      </c>
      <c r="EX85" s="65">
        <v>100</v>
      </c>
      <c r="EY85" s="63"/>
      <c r="EZ85" s="64">
        <f t="shared" si="1777"/>
        <v>100</v>
      </c>
      <c r="FA85" s="66">
        <f t="shared" si="1512"/>
        <v>100</v>
      </c>
      <c r="FB85" s="67">
        <f t="shared" si="1778"/>
        <v>0</v>
      </c>
      <c r="FC85" s="64">
        <f t="shared" si="1779"/>
        <v>100</v>
      </c>
      <c r="FD85" s="62"/>
      <c r="FE85" s="63"/>
      <c r="FF85" s="64">
        <f t="shared" si="1780"/>
        <v>0</v>
      </c>
      <c r="FG85" s="65"/>
      <c r="FH85" s="63"/>
      <c r="FI85" s="64">
        <f t="shared" si="1781"/>
        <v>0</v>
      </c>
      <c r="FJ85" s="65"/>
      <c r="FK85" s="63"/>
      <c r="FL85" s="64">
        <f t="shared" si="1782"/>
        <v>0</v>
      </c>
      <c r="FM85" s="65">
        <v>100</v>
      </c>
      <c r="FN85" s="63"/>
      <c r="FO85" s="64">
        <f t="shared" si="1783"/>
        <v>100</v>
      </c>
      <c r="FP85" s="66">
        <f t="shared" si="1519"/>
        <v>100</v>
      </c>
      <c r="FQ85" s="67">
        <f t="shared" si="1784"/>
        <v>0</v>
      </c>
      <c r="FR85" s="64">
        <f t="shared" si="1785"/>
        <v>100</v>
      </c>
      <c r="FS85" s="62"/>
      <c r="FT85" s="63"/>
      <c r="FU85" s="64">
        <f t="shared" si="1786"/>
        <v>0</v>
      </c>
      <c r="FV85" s="65">
        <v>485.35</v>
      </c>
      <c r="FW85" s="63"/>
      <c r="FX85" s="64">
        <f t="shared" si="1787"/>
        <v>485.35</v>
      </c>
      <c r="FY85" s="65">
        <v>3650</v>
      </c>
      <c r="FZ85" s="63"/>
      <c r="GA85" s="64">
        <f t="shared" si="1788"/>
        <v>3650</v>
      </c>
      <c r="GB85" s="65"/>
      <c r="GC85" s="63"/>
      <c r="GD85" s="64">
        <f t="shared" si="1789"/>
        <v>0</v>
      </c>
      <c r="GE85" s="66">
        <f t="shared" si="1526"/>
        <v>4135.3500000000004</v>
      </c>
      <c r="GF85" s="67">
        <f t="shared" si="1790"/>
        <v>0</v>
      </c>
      <c r="GG85" s="64">
        <f t="shared" si="1791"/>
        <v>4135.3500000000004</v>
      </c>
      <c r="GH85" s="62"/>
      <c r="GI85" s="63"/>
      <c r="GJ85" s="64">
        <f t="shared" si="1792"/>
        <v>0</v>
      </c>
      <c r="GK85" s="65">
        <v>660.33</v>
      </c>
      <c r="GL85" s="63"/>
      <c r="GM85" s="64">
        <f t="shared" si="1793"/>
        <v>660.33</v>
      </c>
      <c r="GN85" s="65">
        <v>3650</v>
      </c>
      <c r="GO85" s="63"/>
      <c r="GP85" s="64">
        <f t="shared" si="1794"/>
        <v>3650</v>
      </c>
      <c r="GQ85" s="65"/>
      <c r="GR85" s="63"/>
      <c r="GS85" s="64">
        <f t="shared" si="1795"/>
        <v>0</v>
      </c>
      <c r="GT85" s="66">
        <f t="shared" si="1533"/>
        <v>4310.33</v>
      </c>
      <c r="GU85" s="67">
        <f t="shared" si="1796"/>
        <v>0</v>
      </c>
      <c r="GV85" s="64">
        <f t="shared" si="1797"/>
        <v>4310.33</v>
      </c>
      <c r="GW85" s="62"/>
      <c r="GX85" s="63"/>
      <c r="GY85" s="64">
        <f t="shared" si="1798"/>
        <v>0</v>
      </c>
      <c r="GZ85" s="65">
        <v>568.25</v>
      </c>
      <c r="HA85" s="63"/>
      <c r="HB85" s="64">
        <f t="shared" si="1799"/>
        <v>568.25</v>
      </c>
      <c r="HC85" s="65"/>
      <c r="HD85" s="63"/>
      <c r="HE85" s="64">
        <f t="shared" si="1800"/>
        <v>0</v>
      </c>
      <c r="HF85" s="65">
        <v>100</v>
      </c>
      <c r="HG85" s="63"/>
      <c r="HH85" s="64">
        <f t="shared" si="1801"/>
        <v>100</v>
      </c>
      <c r="HI85" s="66">
        <f t="shared" si="1540"/>
        <v>668.25</v>
      </c>
      <c r="HJ85" s="67">
        <f t="shared" si="1802"/>
        <v>0</v>
      </c>
      <c r="HK85" s="64">
        <f t="shared" si="1803"/>
        <v>668.25</v>
      </c>
      <c r="HL85" s="62"/>
      <c r="HM85" s="63"/>
      <c r="HN85" s="64">
        <f t="shared" si="1804"/>
        <v>0</v>
      </c>
      <c r="HO85" s="65"/>
      <c r="HP85" s="63"/>
      <c r="HQ85" s="64">
        <f t="shared" si="1805"/>
        <v>0</v>
      </c>
      <c r="HR85" s="65"/>
      <c r="HS85" s="63"/>
      <c r="HT85" s="64">
        <f t="shared" si="1806"/>
        <v>0</v>
      </c>
      <c r="HU85" s="65">
        <v>100</v>
      </c>
      <c r="HV85" s="63"/>
      <c r="HW85" s="64">
        <f t="shared" si="1807"/>
        <v>100</v>
      </c>
      <c r="HX85" s="66">
        <f t="shared" si="1547"/>
        <v>100</v>
      </c>
      <c r="HY85" s="67">
        <f t="shared" si="1808"/>
        <v>0</v>
      </c>
      <c r="HZ85" s="64">
        <f t="shared" si="1809"/>
        <v>100</v>
      </c>
      <c r="IA85" s="62"/>
      <c r="IB85" s="63"/>
      <c r="IC85" s="64">
        <f t="shared" si="1810"/>
        <v>0</v>
      </c>
      <c r="ID85" s="65"/>
      <c r="IE85" s="63"/>
      <c r="IF85" s="64">
        <f t="shared" si="1811"/>
        <v>0</v>
      </c>
      <c r="IG85" s="65"/>
      <c r="IH85" s="63"/>
      <c r="II85" s="64">
        <f t="shared" si="1812"/>
        <v>0</v>
      </c>
      <c r="IJ85" s="65">
        <v>100</v>
      </c>
      <c r="IK85" s="63"/>
      <c r="IL85" s="64">
        <f t="shared" si="1813"/>
        <v>100</v>
      </c>
      <c r="IM85" s="66">
        <f t="shared" si="1554"/>
        <v>100</v>
      </c>
      <c r="IN85" s="67">
        <f t="shared" si="1814"/>
        <v>0</v>
      </c>
      <c r="IO85" s="64">
        <f t="shared" si="1815"/>
        <v>100</v>
      </c>
      <c r="IP85" s="62"/>
      <c r="IQ85" s="63"/>
      <c r="IR85" s="64">
        <f t="shared" si="1816"/>
        <v>0</v>
      </c>
      <c r="IS85" s="65"/>
      <c r="IT85" s="63"/>
      <c r="IU85" s="64">
        <f t="shared" si="1817"/>
        <v>0</v>
      </c>
      <c r="IV85" s="65"/>
      <c r="IW85" s="63"/>
      <c r="IX85" s="64">
        <f t="shared" si="1818"/>
        <v>0</v>
      </c>
      <c r="IY85" s="65"/>
      <c r="IZ85" s="63"/>
      <c r="JA85" s="64">
        <f t="shared" si="1819"/>
        <v>0</v>
      </c>
      <c r="JB85" s="66">
        <f t="shared" si="1561"/>
        <v>0</v>
      </c>
      <c r="JC85" s="67">
        <f t="shared" si="1820"/>
        <v>0</v>
      </c>
      <c r="JD85" s="64">
        <f t="shared" si="1821"/>
        <v>0</v>
      </c>
      <c r="JE85" s="72"/>
      <c r="JF85" s="150"/>
      <c r="JG85" s="74"/>
      <c r="JH85" s="75"/>
      <c r="JI85" s="150"/>
      <c r="JJ85" s="74"/>
      <c r="JK85" s="75"/>
      <c r="JL85" s="150"/>
      <c r="JM85" s="74"/>
      <c r="JN85" s="75"/>
      <c r="JO85" s="150"/>
      <c r="JP85" s="74"/>
      <c r="JQ85" s="76"/>
      <c r="JR85" s="77"/>
      <c r="JS85" s="74"/>
      <c r="JT85" s="72"/>
      <c r="JU85" s="73"/>
      <c r="JV85" s="74"/>
      <c r="JW85" s="75"/>
      <c r="JX85" s="73"/>
      <c r="JY85" s="74"/>
      <c r="JZ85" s="75"/>
      <c r="KA85" s="73"/>
      <c r="KB85" s="74"/>
      <c r="KC85" s="75"/>
      <c r="KD85" s="73"/>
      <c r="KE85" s="74"/>
      <c r="KF85" s="76"/>
      <c r="KG85" s="77"/>
      <c r="KH85" s="64">
        <f t="shared" si="1822"/>
        <v>0</v>
      </c>
      <c r="KI85" s="62"/>
      <c r="KJ85" s="63"/>
      <c r="KK85" s="64">
        <f t="shared" si="1823"/>
        <v>0</v>
      </c>
      <c r="KL85" s="65"/>
      <c r="KM85" s="63"/>
      <c r="KN85" s="64">
        <f t="shared" si="1824"/>
        <v>0</v>
      </c>
      <c r="KO85" s="65"/>
      <c r="KP85" s="63"/>
      <c r="KQ85" s="64">
        <f t="shared" si="1825"/>
        <v>0</v>
      </c>
      <c r="KR85" s="65"/>
      <c r="KS85" s="63"/>
      <c r="KT85" s="64">
        <f t="shared" si="1826"/>
        <v>0</v>
      </c>
      <c r="KU85" s="66">
        <f t="shared" si="1439"/>
        <v>0</v>
      </c>
      <c r="KV85" s="67">
        <f t="shared" si="1827"/>
        <v>0</v>
      </c>
      <c r="KW85" s="64">
        <f t="shared" si="1828"/>
        <v>0</v>
      </c>
      <c r="KX85" s="72"/>
      <c r="KY85" s="73"/>
      <c r="KZ85" s="74"/>
      <c r="LA85" s="75"/>
      <c r="LB85" s="73"/>
      <c r="LC85" s="74"/>
      <c r="LD85" s="75"/>
      <c r="LE85" s="73"/>
      <c r="LF85" s="74"/>
      <c r="LG85" s="75"/>
      <c r="LH85" s="73"/>
      <c r="LI85" s="74"/>
      <c r="LJ85" s="76"/>
      <c r="LK85" s="77"/>
      <c r="LL85" s="74"/>
      <c r="LM85" s="62"/>
      <c r="LN85" s="63"/>
      <c r="LO85" s="64">
        <f t="shared" si="1829"/>
        <v>0</v>
      </c>
      <c r="LP85" s="65"/>
      <c r="LQ85" s="63"/>
      <c r="LR85" s="64">
        <f t="shared" si="1830"/>
        <v>0</v>
      </c>
      <c r="LS85" s="65"/>
      <c r="LT85" s="63"/>
      <c r="LU85" s="64">
        <f t="shared" si="1831"/>
        <v>0</v>
      </c>
      <c r="LV85" s="65">
        <v>100</v>
      </c>
      <c r="LW85" s="63"/>
      <c r="LX85" s="64">
        <f t="shared" si="1832"/>
        <v>100</v>
      </c>
      <c r="LY85" s="66">
        <f t="shared" si="1575"/>
        <v>100</v>
      </c>
      <c r="LZ85" s="67">
        <f t="shared" si="1833"/>
        <v>0</v>
      </c>
      <c r="MA85" s="64">
        <f t="shared" si="1834"/>
        <v>100</v>
      </c>
      <c r="MB85" s="62"/>
      <c r="MC85" s="63"/>
      <c r="MD85" s="64">
        <f t="shared" si="1835"/>
        <v>0</v>
      </c>
      <c r="ME85" s="65">
        <v>889.11</v>
      </c>
      <c r="MF85" s="63"/>
      <c r="MG85" s="64">
        <f t="shared" si="1836"/>
        <v>889.11</v>
      </c>
      <c r="MH85" s="65"/>
      <c r="MI85" s="63"/>
      <c r="MJ85" s="64">
        <f t="shared" si="1837"/>
        <v>0</v>
      </c>
      <c r="MK85" s="65">
        <v>100</v>
      </c>
      <c r="ML85" s="63"/>
      <c r="MM85" s="64">
        <f t="shared" si="1838"/>
        <v>100</v>
      </c>
      <c r="MN85" s="66">
        <f t="shared" si="1582"/>
        <v>989.11</v>
      </c>
      <c r="MO85" s="67">
        <f t="shared" si="1839"/>
        <v>0</v>
      </c>
      <c r="MP85" s="64">
        <f t="shared" si="1840"/>
        <v>989.11</v>
      </c>
      <c r="MQ85" s="62"/>
      <c r="MR85" s="63"/>
      <c r="MS85" s="64">
        <f t="shared" si="1841"/>
        <v>0</v>
      </c>
      <c r="MT85" s="65"/>
      <c r="MU85" s="63"/>
      <c r="MV85" s="64">
        <f t="shared" si="1842"/>
        <v>0</v>
      </c>
      <c r="MW85" s="65"/>
      <c r="MX85" s="63"/>
      <c r="MY85" s="64">
        <f t="shared" si="1843"/>
        <v>0</v>
      </c>
      <c r="MZ85" s="65"/>
      <c r="NA85" s="63"/>
      <c r="NB85" s="64">
        <f t="shared" si="1844"/>
        <v>0</v>
      </c>
      <c r="NC85" s="66">
        <f t="shared" si="1589"/>
        <v>0</v>
      </c>
      <c r="ND85" s="67">
        <f t="shared" si="1845"/>
        <v>0</v>
      </c>
      <c r="NE85" s="64">
        <f t="shared" si="1846"/>
        <v>0</v>
      </c>
      <c r="NF85" s="62"/>
      <c r="NG85" s="63"/>
      <c r="NH85" s="64">
        <f t="shared" si="1847"/>
        <v>0</v>
      </c>
      <c r="NI85" s="65">
        <v>1164.04</v>
      </c>
      <c r="NJ85" s="63"/>
      <c r="NK85" s="64">
        <f t="shared" si="1848"/>
        <v>1164.04</v>
      </c>
      <c r="NL85" s="65"/>
      <c r="NM85" s="63"/>
      <c r="NN85" s="64">
        <f t="shared" si="1849"/>
        <v>0</v>
      </c>
      <c r="NO85" s="65">
        <v>100</v>
      </c>
      <c r="NP85" s="63"/>
      <c r="NQ85" s="64">
        <f t="shared" si="1850"/>
        <v>100</v>
      </c>
      <c r="NR85" s="66">
        <f t="shared" si="1596"/>
        <v>1264.04</v>
      </c>
      <c r="NS85" s="67">
        <f t="shared" si="1851"/>
        <v>0</v>
      </c>
      <c r="NT85" s="64">
        <f t="shared" si="1852"/>
        <v>1264.04</v>
      </c>
      <c r="NU85" s="62"/>
      <c r="NV85" s="63"/>
      <c r="NW85" s="64">
        <f t="shared" si="1853"/>
        <v>0</v>
      </c>
      <c r="NX85" s="65">
        <v>1152.73</v>
      </c>
      <c r="NY85" s="63"/>
      <c r="NZ85" s="64">
        <f t="shared" si="1854"/>
        <v>1152.73</v>
      </c>
      <c r="OA85" s="65">
        <v>884.31</v>
      </c>
      <c r="OB85" s="63"/>
      <c r="OC85" s="64">
        <f t="shared" si="1855"/>
        <v>884.31</v>
      </c>
      <c r="OD85" s="65">
        <v>100</v>
      </c>
      <c r="OE85" s="63"/>
      <c r="OF85" s="64">
        <f t="shared" si="1856"/>
        <v>100</v>
      </c>
      <c r="OG85" s="66">
        <f t="shared" si="1603"/>
        <v>2137.04</v>
      </c>
      <c r="OH85" s="67">
        <f t="shared" si="1857"/>
        <v>0</v>
      </c>
      <c r="OI85" s="64">
        <f t="shared" si="1858"/>
        <v>2137.04</v>
      </c>
      <c r="OJ85" s="62"/>
      <c r="OK85" s="63"/>
      <c r="OL85" s="64">
        <f t="shared" si="1859"/>
        <v>0</v>
      </c>
      <c r="OM85" s="65"/>
      <c r="ON85" s="63"/>
      <c r="OO85" s="64">
        <f t="shared" si="1860"/>
        <v>0</v>
      </c>
      <c r="OP85" s="65"/>
      <c r="OQ85" s="63"/>
      <c r="OR85" s="64">
        <f t="shared" si="1861"/>
        <v>0</v>
      </c>
      <c r="OS85" s="65">
        <v>100</v>
      </c>
      <c r="OT85" s="63"/>
      <c r="OU85" s="64">
        <f t="shared" si="1862"/>
        <v>100</v>
      </c>
      <c r="OV85" s="66">
        <f t="shared" si="1610"/>
        <v>100</v>
      </c>
      <c r="OW85" s="67">
        <f t="shared" si="1863"/>
        <v>0</v>
      </c>
      <c r="OX85" s="64">
        <f t="shared" si="1864"/>
        <v>100</v>
      </c>
      <c r="OY85" s="62"/>
      <c r="OZ85" s="63"/>
      <c r="PA85" s="64">
        <f t="shared" si="1865"/>
        <v>0</v>
      </c>
      <c r="PB85" s="65"/>
      <c r="PC85" s="63"/>
      <c r="PD85" s="64">
        <f t="shared" si="1866"/>
        <v>0</v>
      </c>
      <c r="PE85" s="65"/>
      <c r="PF85" s="63"/>
      <c r="PG85" s="64">
        <f t="shared" si="1867"/>
        <v>0</v>
      </c>
      <c r="PH85" s="65">
        <v>100</v>
      </c>
      <c r="PI85" s="63"/>
      <c r="PJ85" s="64">
        <f t="shared" si="1868"/>
        <v>100</v>
      </c>
      <c r="PK85" s="66">
        <f t="shared" si="1617"/>
        <v>100</v>
      </c>
      <c r="PL85" s="67">
        <f t="shared" si="1869"/>
        <v>0</v>
      </c>
      <c r="PM85" s="64">
        <f t="shared" si="1870"/>
        <v>100</v>
      </c>
      <c r="PN85" s="62">
        <v>1550</v>
      </c>
      <c r="PO85" s="63"/>
      <c r="PP85" s="64">
        <f t="shared" si="1871"/>
        <v>1550</v>
      </c>
      <c r="PQ85" s="65"/>
      <c r="PR85" s="63"/>
      <c r="PS85" s="64">
        <f t="shared" si="1872"/>
        <v>0</v>
      </c>
      <c r="PT85" s="65"/>
      <c r="PU85" s="63"/>
      <c r="PV85" s="64">
        <f t="shared" si="1873"/>
        <v>0</v>
      </c>
      <c r="PW85" s="65">
        <v>100</v>
      </c>
      <c r="PX85" s="63"/>
      <c r="PY85" s="64">
        <f t="shared" si="1874"/>
        <v>100</v>
      </c>
      <c r="PZ85" s="66">
        <f t="shared" si="1624"/>
        <v>1650</v>
      </c>
      <c r="QA85" s="67">
        <f t="shared" si="1875"/>
        <v>0</v>
      </c>
      <c r="QB85" s="64">
        <f t="shared" si="1876"/>
        <v>1650</v>
      </c>
      <c r="QC85" s="62"/>
      <c r="QD85" s="63"/>
      <c r="QE85" s="64">
        <f t="shared" si="1877"/>
        <v>0</v>
      </c>
      <c r="QF85" s="65"/>
      <c r="QG85" s="63"/>
      <c r="QH85" s="64">
        <f t="shared" si="1878"/>
        <v>0</v>
      </c>
      <c r="QI85" s="65"/>
      <c r="QJ85" s="63"/>
      <c r="QK85" s="64">
        <f t="shared" si="1879"/>
        <v>0</v>
      </c>
      <c r="QL85" s="65">
        <v>100</v>
      </c>
      <c r="QM85" s="63"/>
      <c r="QN85" s="64">
        <f t="shared" si="1880"/>
        <v>100</v>
      </c>
      <c r="QO85" s="66">
        <f t="shared" si="1631"/>
        <v>100</v>
      </c>
      <c r="QP85" s="67">
        <f t="shared" si="1881"/>
        <v>0</v>
      </c>
      <c r="QQ85" s="64">
        <f t="shared" si="1882"/>
        <v>100</v>
      </c>
      <c r="QR85" s="74"/>
      <c r="QS85" s="74"/>
      <c r="QT85" s="72"/>
      <c r="QU85" s="73"/>
      <c r="QV85" s="74"/>
      <c r="QW85" s="75"/>
      <c r="QX85" s="73"/>
      <c r="QY85" s="74"/>
      <c r="QZ85" s="75"/>
      <c r="RA85" s="73"/>
      <c r="RB85" s="74"/>
      <c r="RC85" s="75"/>
      <c r="RD85" s="73"/>
      <c r="RE85" s="74"/>
      <c r="RF85" s="74"/>
      <c r="RG85" s="72"/>
      <c r="RH85" s="73"/>
      <c r="RI85" s="74"/>
      <c r="RJ85" s="75"/>
      <c r="RK85" s="73"/>
      <c r="RL85" s="74"/>
      <c r="RM85" s="75"/>
      <c r="RN85" s="73"/>
      <c r="RO85" s="74"/>
      <c r="RP85" s="75"/>
      <c r="RQ85" s="73"/>
      <c r="RR85" s="74"/>
      <c r="RS85" s="76"/>
      <c r="RT85" s="77"/>
      <c r="RU85" s="74"/>
      <c r="RV85" s="74"/>
      <c r="RW85" s="72"/>
      <c r="RX85" s="73"/>
      <c r="RY85" s="74"/>
      <c r="RZ85" s="75"/>
      <c r="SA85" s="73"/>
      <c r="SB85" s="74"/>
      <c r="SC85" s="75"/>
      <c r="SD85" s="73"/>
      <c r="SE85" s="74"/>
      <c r="SF85" s="75"/>
      <c r="SG85" s="73"/>
      <c r="SH85" s="74"/>
      <c r="SI85" s="76"/>
      <c r="SJ85" s="64">
        <f t="shared" si="1883"/>
        <v>0</v>
      </c>
      <c r="SK85" s="62"/>
      <c r="SL85" s="63"/>
      <c r="SM85" s="64">
        <f t="shared" si="1884"/>
        <v>0</v>
      </c>
      <c r="SN85" s="65"/>
      <c r="SO85" s="63"/>
      <c r="SP85" s="64">
        <f t="shared" si="1885"/>
        <v>0</v>
      </c>
      <c r="SQ85" s="65"/>
      <c r="SR85" s="63"/>
      <c r="SS85" s="64">
        <f t="shared" si="1886"/>
        <v>0</v>
      </c>
      <c r="ST85" s="65">
        <v>100</v>
      </c>
      <c r="SU85" s="63"/>
      <c r="SV85" s="64">
        <f t="shared" si="1887"/>
        <v>100</v>
      </c>
      <c r="SW85" s="66">
        <f t="shared" si="1639"/>
        <v>100</v>
      </c>
      <c r="SX85" s="67">
        <f t="shared" si="1888"/>
        <v>0</v>
      </c>
      <c r="SY85" s="64">
        <f t="shared" si="1889"/>
        <v>100</v>
      </c>
      <c r="SZ85" s="62">
        <v>985.33</v>
      </c>
      <c r="TA85" s="63"/>
      <c r="TB85" s="64">
        <f t="shared" si="1890"/>
        <v>985.33</v>
      </c>
      <c r="TC85" s="65">
        <v>700.9</v>
      </c>
      <c r="TD85" s="63"/>
      <c r="TE85" s="64">
        <f t="shared" si="1891"/>
        <v>700.9</v>
      </c>
      <c r="TF85" s="65"/>
      <c r="TG85" s="63"/>
      <c r="TH85" s="64">
        <f t="shared" si="1892"/>
        <v>0</v>
      </c>
      <c r="TI85" s="65">
        <v>100</v>
      </c>
      <c r="TJ85" s="63"/>
      <c r="TK85" s="64">
        <f t="shared" si="1893"/>
        <v>100</v>
      </c>
      <c r="TL85" s="66">
        <f t="shared" si="1646"/>
        <v>1786.23</v>
      </c>
      <c r="TM85" s="67">
        <f t="shared" si="1894"/>
        <v>0</v>
      </c>
      <c r="TN85" s="64">
        <f t="shared" si="1895"/>
        <v>1786.23</v>
      </c>
      <c r="TO85" s="62">
        <v>3875</v>
      </c>
      <c r="TP85" s="63"/>
      <c r="TQ85" s="64">
        <f t="shared" si="1896"/>
        <v>3875</v>
      </c>
      <c r="TR85" s="65"/>
      <c r="TS85" s="63"/>
      <c r="TT85" s="64">
        <f t="shared" si="1897"/>
        <v>0</v>
      </c>
      <c r="TU85" s="65"/>
      <c r="TV85" s="63"/>
      <c r="TW85" s="64">
        <f t="shared" si="1898"/>
        <v>0</v>
      </c>
      <c r="TX85" s="65">
        <v>100</v>
      </c>
      <c r="TY85" s="63"/>
      <c r="TZ85" s="64">
        <f t="shared" si="1899"/>
        <v>100</v>
      </c>
      <c r="UA85" s="66">
        <f t="shared" si="1653"/>
        <v>3975</v>
      </c>
      <c r="UB85" s="67">
        <f t="shared" si="1900"/>
        <v>0</v>
      </c>
      <c r="UC85" s="64">
        <f t="shared" si="1901"/>
        <v>3975</v>
      </c>
      <c r="UD85" s="62">
        <v>1125</v>
      </c>
      <c r="UE85" s="63"/>
      <c r="UF85" s="64">
        <f t="shared" si="1902"/>
        <v>1125</v>
      </c>
      <c r="UG85" s="65">
        <v>497.04</v>
      </c>
      <c r="UH85" s="63"/>
      <c r="UI85" s="64">
        <f t="shared" si="1903"/>
        <v>497.04</v>
      </c>
      <c r="UJ85" s="65"/>
      <c r="UK85" s="63"/>
      <c r="UL85" s="64">
        <f t="shared" si="1904"/>
        <v>0</v>
      </c>
      <c r="UM85" s="65">
        <v>100</v>
      </c>
      <c r="UN85" s="63"/>
      <c r="UO85" s="64">
        <f t="shared" si="1905"/>
        <v>100</v>
      </c>
      <c r="UP85" s="66">
        <f t="shared" si="1660"/>
        <v>1722.04</v>
      </c>
      <c r="UQ85" s="67">
        <f t="shared" si="1906"/>
        <v>0</v>
      </c>
      <c r="UR85" s="64">
        <f t="shared" si="1907"/>
        <v>1722.04</v>
      </c>
      <c r="US85" s="74"/>
      <c r="UT85" s="72"/>
      <c r="UU85" s="73"/>
      <c r="UV85" s="74"/>
      <c r="UW85" s="75"/>
      <c r="UX85" s="73"/>
      <c r="UY85" s="74"/>
      <c r="UZ85" s="75"/>
      <c r="VA85" s="73"/>
      <c r="VB85" s="74"/>
      <c r="VC85" s="75"/>
      <c r="VD85" s="73"/>
      <c r="VE85" s="74"/>
      <c r="VF85" s="76"/>
      <c r="VG85" s="77"/>
      <c r="VH85" s="62"/>
      <c r="VI85" s="63"/>
      <c r="VJ85" s="64">
        <f t="shared" si="1908"/>
        <v>0</v>
      </c>
      <c r="VK85" s="65"/>
      <c r="VL85" s="63"/>
      <c r="VM85" s="64">
        <f t="shared" si="1909"/>
        <v>0</v>
      </c>
      <c r="VN85" s="65"/>
      <c r="VO85" s="63"/>
      <c r="VP85" s="64">
        <f t="shared" si="1910"/>
        <v>0</v>
      </c>
      <c r="VQ85" s="65">
        <v>100</v>
      </c>
      <c r="VR85" s="63"/>
      <c r="VS85" s="64">
        <f t="shared" si="1911"/>
        <v>100</v>
      </c>
      <c r="VT85" s="66">
        <f t="shared" si="1667"/>
        <v>100</v>
      </c>
      <c r="VU85" s="67">
        <f t="shared" si="1912"/>
        <v>0</v>
      </c>
      <c r="VV85" s="64">
        <f t="shared" si="1913"/>
        <v>100</v>
      </c>
      <c r="VW85" s="74"/>
      <c r="VX85" s="72"/>
      <c r="VY85" s="73"/>
      <c r="VZ85" s="74"/>
      <c r="WA85" s="75"/>
      <c r="WB85" s="73"/>
      <c r="WC85" s="74"/>
      <c r="WD85" s="75"/>
      <c r="WE85" s="73"/>
      <c r="WF85" s="74"/>
      <c r="WG85" s="75"/>
      <c r="WH85" s="73"/>
      <c r="WI85" s="74"/>
      <c r="WJ85" s="76"/>
      <c r="WK85" s="77"/>
      <c r="WL85" s="74"/>
      <c r="WM85" s="72"/>
      <c r="WN85" s="73"/>
      <c r="WO85" s="74"/>
      <c r="WP85" s="75"/>
      <c r="WQ85" s="73"/>
      <c r="WR85" s="74"/>
      <c r="WS85" s="75"/>
      <c r="WT85" s="73"/>
      <c r="WU85" s="74"/>
      <c r="WV85" s="75"/>
      <c r="WW85" s="73"/>
      <c r="WX85" s="74"/>
      <c r="WY85" s="76"/>
      <c r="WZ85" s="77"/>
      <c r="XA85" s="74"/>
      <c r="XB85" s="72"/>
      <c r="XC85" s="73"/>
      <c r="XD85" s="74"/>
      <c r="XE85" s="75"/>
      <c r="XF85" s="73"/>
      <c r="XG85" s="74"/>
      <c r="XH85" s="75"/>
      <c r="XI85" s="73"/>
      <c r="XJ85" s="74"/>
      <c r="XK85" s="75"/>
      <c r="XL85" s="73"/>
      <c r="XM85" s="74"/>
      <c r="XN85" s="76"/>
      <c r="XO85" s="77"/>
      <c r="XP85" s="62"/>
      <c r="XQ85" s="63"/>
      <c r="XR85" s="64">
        <f t="shared" si="1914"/>
        <v>0</v>
      </c>
      <c r="XS85" s="65">
        <v>844.24</v>
      </c>
      <c r="XT85" s="63"/>
      <c r="XU85" s="64">
        <f t="shared" si="1915"/>
        <v>844.24</v>
      </c>
      <c r="XV85" s="65"/>
      <c r="XW85" s="63"/>
      <c r="XX85" s="64">
        <f t="shared" si="1916"/>
        <v>0</v>
      </c>
      <c r="XY85" s="65">
        <v>100</v>
      </c>
      <c r="XZ85" s="63"/>
      <c r="YA85" s="64">
        <f t="shared" si="1917"/>
        <v>100</v>
      </c>
      <c r="YB85" s="66">
        <f t="shared" si="1674"/>
        <v>944.24</v>
      </c>
      <c r="YC85" s="67">
        <f t="shared" si="1918"/>
        <v>0</v>
      </c>
      <c r="YD85" s="64">
        <f t="shared" si="1919"/>
        <v>944.24</v>
      </c>
      <c r="YE85" s="62"/>
      <c r="YF85" s="63"/>
      <c r="YG85" s="64">
        <f t="shared" si="1920"/>
        <v>0</v>
      </c>
      <c r="YH85" s="65">
        <v>847.85</v>
      </c>
      <c r="YI85" s="63"/>
      <c r="YJ85" s="64">
        <f t="shared" si="1921"/>
        <v>847.85</v>
      </c>
      <c r="YK85" s="65">
        <v>1000</v>
      </c>
      <c r="YL85" s="63"/>
      <c r="YM85" s="64">
        <f t="shared" si="1922"/>
        <v>1000</v>
      </c>
      <c r="YN85" s="65">
        <v>100</v>
      </c>
      <c r="YO85" s="63"/>
      <c r="YP85" s="64">
        <f t="shared" si="1923"/>
        <v>100</v>
      </c>
      <c r="YQ85" s="66">
        <f t="shared" si="1681"/>
        <v>1947.85</v>
      </c>
      <c r="YR85" s="67">
        <f t="shared" si="1924"/>
        <v>0</v>
      </c>
      <c r="YS85" s="64">
        <f t="shared" si="1925"/>
        <v>1947.85</v>
      </c>
      <c r="YT85" s="62"/>
      <c r="YU85" s="63"/>
      <c r="YV85" s="64">
        <f t="shared" si="1926"/>
        <v>0</v>
      </c>
      <c r="YW85" s="65">
        <v>695.73</v>
      </c>
      <c r="YX85" s="63"/>
      <c r="YY85" s="64">
        <f t="shared" si="1927"/>
        <v>695.73</v>
      </c>
      <c r="YZ85" s="65">
        <v>1000</v>
      </c>
      <c r="ZA85" s="63"/>
      <c r="ZB85" s="64">
        <f t="shared" si="1928"/>
        <v>1000</v>
      </c>
      <c r="ZC85" s="65">
        <v>100</v>
      </c>
      <c r="ZD85" s="63"/>
      <c r="ZE85" s="64">
        <f t="shared" si="1929"/>
        <v>100</v>
      </c>
      <c r="ZF85" s="66">
        <f t="shared" si="1688"/>
        <v>1795.73</v>
      </c>
      <c r="ZG85" s="67">
        <f t="shared" si="1930"/>
        <v>0</v>
      </c>
      <c r="ZH85" s="74"/>
      <c r="ZI85" s="72"/>
      <c r="ZJ85" s="73"/>
      <c r="ZK85" s="74"/>
      <c r="ZL85" s="75"/>
      <c r="ZM85" s="73"/>
      <c r="ZN85" s="74"/>
      <c r="ZO85" s="75"/>
      <c r="ZP85" s="73"/>
      <c r="ZQ85" s="74"/>
      <c r="ZR85" s="75"/>
      <c r="ZS85" s="73"/>
      <c r="ZT85" s="74"/>
      <c r="ZU85" s="76"/>
      <c r="ZV85" s="77"/>
      <c r="ZW85" s="64">
        <f t="shared" si="1931"/>
        <v>0</v>
      </c>
      <c r="ZX85" s="62">
        <v>24.71</v>
      </c>
      <c r="ZY85" s="63"/>
      <c r="ZZ85" s="64">
        <f t="shared" si="1932"/>
        <v>24.71</v>
      </c>
      <c r="AAA85" s="66">
        <f t="shared" si="1692"/>
        <v>24.71</v>
      </c>
      <c r="AAB85" s="67">
        <f t="shared" si="1692"/>
        <v>0</v>
      </c>
      <c r="AAC85" s="64">
        <f t="shared" si="1933"/>
        <v>24.71</v>
      </c>
      <c r="AAD85" s="85">
        <f t="shared" si="1694"/>
        <v>42599.6</v>
      </c>
      <c r="AAE85" s="86">
        <f t="shared" si="1694"/>
        <v>0</v>
      </c>
      <c r="AAF85" s="87">
        <f t="shared" si="1457"/>
        <v>0</v>
      </c>
      <c r="AAG85" s="88">
        <f t="shared" si="1934"/>
        <v>-42599.6</v>
      </c>
      <c r="AAH85" s="91">
        <f>AAD95</f>
        <v>1396140.5599999998</v>
      </c>
      <c r="AAI85" s="92"/>
      <c r="AAJ85" s="92"/>
      <c r="AAK85" s="60"/>
    </row>
    <row r="86" spans="1:713" s="83" customFormat="1" ht="20" customHeight="1" x14ac:dyDescent="0.2">
      <c r="A86" s="152"/>
      <c r="B86" s="93"/>
      <c r="C86" s="90"/>
      <c r="D86" s="90"/>
      <c r="E86" s="60"/>
      <c r="F86" s="61">
        <v>46844</v>
      </c>
      <c r="G86" s="62"/>
      <c r="H86" s="63"/>
      <c r="I86" s="64">
        <f t="shared" si="1730"/>
        <v>0</v>
      </c>
      <c r="J86" s="65">
        <v>3418.12</v>
      </c>
      <c r="K86" s="63"/>
      <c r="L86" s="64">
        <f t="shared" si="1731"/>
        <v>3418.12</v>
      </c>
      <c r="M86" s="65">
        <v>2500</v>
      </c>
      <c r="N86" s="63"/>
      <c r="O86" s="64">
        <f t="shared" si="1732"/>
        <v>2500</v>
      </c>
      <c r="P86" s="65">
        <v>500</v>
      </c>
      <c r="Q86" s="63"/>
      <c r="R86" s="64">
        <f t="shared" si="1733"/>
        <v>500</v>
      </c>
      <c r="S86" s="65">
        <v>181</v>
      </c>
      <c r="T86" s="63"/>
      <c r="U86" s="64">
        <f t="shared" si="1734"/>
        <v>181</v>
      </c>
      <c r="V86" s="66">
        <f t="shared" si="1735"/>
        <v>6599.12</v>
      </c>
      <c r="W86" s="67">
        <f t="shared" si="1735"/>
        <v>0</v>
      </c>
      <c r="X86" s="64">
        <f t="shared" si="1736"/>
        <v>6599.12</v>
      </c>
      <c r="Y86" s="72"/>
      <c r="Z86" s="73"/>
      <c r="AA86" s="74"/>
      <c r="AB86" s="75"/>
      <c r="AC86" s="73"/>
      <c r="AD86" s="74"/>
      <c r="AE86" s="75"/>
      <c r="AF86" s="73"/>
      <c r="AG86" s="74"/>
      <c r="AH86" s="75"/>
      <c r="AI86" s="73"/>
      <c r="AJ86" s="74"/>
      <c r="AK86" s="76"/>
      <c r="AL86" s="77"/>
      <c r="AM86" s="64">
        <f t="shared" si="1737"/>
        <v>0</v>
      </c>
      <c r="AN86" s="62"/>
      <c r="AO86" s="63"/>
      <c r="AP86" s="64">
        <f t="shared" si="1935"/>
        <v>0</v>
      </c>
      <c r="AQ86" s="65"/>
      <c r="AR86" s="63"/>
      <c r="AS86" s="64">
        <f t="shared" si="1738"/>
        <v>0</v>
      </c>
      <c r="AT86" s="65"/>
      <c r="AU86" s="63"/>
      <c r="AV86" s="64">
        <f t="shared" si="1739"/>
        <v>0</v>
      </c>
      <c r="AW86" s="65"/>
      <c r="AX86" s="63"/>
      <c r="AY86" s="64">
        <f t="shared" si="1740"/>
        <v>0</v>
      </c>
      <c r="AZ86" s="66">
        <f t="shared" si="1469"/>
        <v>0</v>
      </c>
      <c r="BA86" s="67">
        <f t="shared" si="1741"/>
        <v>0</v>
      </c>
      <c r="BB86" s="64">
        <f t="shared" si="1742"/>
        <v>0</v>
      </c>
      <c r="BC86" s="62">
        <v>6150</v>
      </c>
      <c r="BD86" s="63"/>
      <c r="BE86" s="64">
        <f t="shared" si="1743"/>
        <v>6150</v>
      </c>
      <c r="BF86" s="65"/>
      <c r="BG86" s="63"/>
      <c r="BH86" s="64">
        <f t="shared" si="1744"/>
        <v>0</v>
      </c>
      <c r="BI86" s="65">
        <v>8000</v>
      </c>
      <c r="BJ86" s="63"/>
      <c r="BK86" s="64">
        <f t="shared" si="1745"/>
        <v>8000</v>
      </c>
      <c r="BL86" s="65">
        <v>100</v>
      </c>
      <c r="BM86" s="63"/>
      <c r="BN86" s="64">
        <f t="shared" si="1746"/>
        <v>100</v>
      </c>
      <c r="BO86" s="66">
        <f t="shared" si="1476"/>
        <v>14250</v>
      </c>
      <c r="BP86" s="67">
        <f t="shared" si="1747"/>
        <v>0</v>
      </c>
      <c r="BQ86" s="64">
        <f t="shared" si="1748"/>
        <v>14250</v>
      </c>
      <c r="BR86" s="72"/>
      <c r="BS86" s="73"/>
      <c r="BT86" s="74"/>
      <c r="BU86" s="75"/>
      <c r="BV86" s="73"/>
      <c r="BW86" s="74"/>
      <c r="BX86" s="75"/>
      <c r="BY86" s="73"/>
      <c r="BZ86" s="74"/>
      <c r="CA86" s="75"/>
      <c r="CB86" s="73"/>
      <c r="CC86" s="74"/>
      <c r="CD86" s="76"/>
      <c r="CE86" s="77"/>
      <c r="CF86" s="64">
        <f t="shared" si="1749"/>
        <v>0</v>
      </c>
      <c r="CG86" s="62"/>
      <c r="CH86" s="63"/>
      <c r="CI86" s="64">
        <f t="shared" si="1750"/>
        <v>0</v>
      </c>
      <c r="CJ86" s="65"/>
      <c r="CK86" s="63"/>
      <c r="CL86" s="64">
        <f t="shared" si="1751"/>
        <v>0</v>
      </c>
      <c r="CM86" s="65"/>
      <c r="CN86" s="63"/>
      <c r="CO86" s="64">
        <f t="shared" si="1752"/>
        <v>0</v>
      </c>
      <c r="CP86" s="65"/>
      <c r="CQ86" s="63"/>
      <c r="CR86" s="64">
        <f t="shared" si="1753"/>
        <v>0</v>
      </c>
      <c r="CS86" s="66">
        <f t="shared" si="1484"/>
        <v>0</v>
      </c>
      <c r="CT86" s="67">
        <f t="shared" si="1754"/>
        <v>0</v>
      </c>
      <c r="CU86" s="64">
        <f t="shared" si="1755"/>
        <v>0</v>
      </c>
      <c r="CV86" s="62">
        <v>2916.7</v>
      </c>
      <c r="CW86" s="63"/>
      <c r="CX86" s="64">
        <f t="shared" si="1756"/>
        <v>2916.7</v>
      </c>
      <c r="CY86" s="65">
        <v>429.15</v>
      </c>
      <c r="CZ86" s="63"/>
      <c r="DA86" s="64">
        <f t="shared" si="1757"/>
        <v>429.15</v>
      </c>
      <c r="DB86" s="65">
        <v>3000</v>
      </c>
      <c r="DC86" s="63"/>
      <c r="DD86" s="64">
        <f t="shared" si="1758"/>
        <v>3000</v>
      </c>
      <c r="DE86" s="65"/>
      <c r="DF86" s="63"/>
      <c r="DG86" s="64">
        <f t="shared" si="1759"/>
        <v>0</v>
      </c>
      <c r="DH86" s="66">
        <f t="shared" si="1491"/>
        <v>6345.85</v>
      </c>
      <c r="DI86" s="67">
        <f t="shared" si="1760"/>
        <v>0</v>
      </c>
      <c r="DJ86" s="64">
        <f t="shared" si="1761"/>
        <v>6345.85</v>
      </c>
      <c r="DK86" s="62">
        <v>2400</v>
      </c>
      <c r="DL86" s="63"/>
      <c r="DM86" s="64">
        <f t="shared" si="1762"/>
        <v>2400</v>
      </c>
      <c r="DN86" s="65">
        <v>913.08</v>
      </c>
      <c r="DO86" s="63"/>
      <c r="DP86" s="64">
        <f t="shared" si="1763"/>
        <v>913.08</v>
      </c>
      <c r="DQ86" s="65"/>
      <c r="DR86" s="63"/>
      <c r="DS86" s="64">
        <f t="shared" si="1764"/>
        <v>0</v>
      </c>
      <c r="DT86" s="65">
        <v>100</v>
      </c>
      <c r="DU86" s="63"/>
      <c r="DV86" s="64">
        <f t="shared" si="1765"/>
        <v>100</v>
      </c>
      <c r="DW86" s="66">
        <f t="shared" si="1498"/>
        <v>3413.08</v>
      </c>
      <c r="DX86" s="67">
        <f t="shared" si="1766"/>
        <v>0</v>
      </c>
      <c r="DY86" s="64">
        <f t="shared" si="1767"/>
        <v>3413.08</v>
      </c>
      <c r="DZ86" s="62"/>
      <c r="EA86" s="63"/>
      <c r="EB86" s="64">
        <f t="shared" si="1768"/>
        <v>0</v>
      </c>
      <c r="EC86" s="65"/>
      <c r="ED86" s="63"/>
      <c r="EE86" s="64">
        <f t="shared" si="1769"/>
        <v>0</v>
      </c>
      <c r="EF86" s="65"/>
      <c r="EG86" s="63"/>
      <c r="EH86" s="64">
        <f t="shared" si="1770"/>
        <v>0</v>
      </c>
      <c r="EI86" s="65">
        <v>100</v>
      </c>
      <c r="EJ86" s="63"/>
      <c r="EK86" s="64">
        <f t="shared" si="1771"/>
        <v>100</v>
      </c>
      <c r="EL86" s="66">
        <f t="shared" si="1505"/>
        <v>100</v>
      </c>
      <c r="EM86" s="67">
        <f t="shared" si="1772"/>
        <v>0</v>
      </c>
      <c r="EN86" s="64">
        <f t="shared" si="1773"/>
        <v>100</v>
      </c>
      <c r="EO86" s="62">
        <v>6150</v>
      </c>
      <c r="EP86" s="63"/>
      <c r="EQ86" s="64">
        <f t="shared" si="1774"/>
        <v>6150</v>
      </c>
      <c r="ER86" s="65"/>
      <c r="ES86" s="63"/>
      <c r="ET86" s="64">
        <f t="shared" si="1775"/>
        <v>0</v>
      </c>
      <c r="EU86" s="65"/>
      <c r="EV86" s="63"/>
      <c r="EW86" s="64">
        <f t="shared" si="1776"/>
        <v>0</v>
      </c>
      <c r="EX86" s="65">
        <v>100</v>
      </c>
      <c r="EY86" s="63"/>
      <c r="EZ86" s="64">
        <f t="shared" si="1777"/>
        <v>100</v>
      </c>
      <c r="FA86" s="66">
        <f t="shared" si="1512"/>
        <v>6250</v>
      </c>
      <c r="FB86" s="67">
        <f t="shared" si="1778"/>
        <v>0</v>
      </c>
      <c r="FC86" s="64">
        <f t="shared" si="1779"/>
        <v>6250</v>
      </c>
      <c r="FD86" s="62">
        <v>6150</v>
      </c>
      <c r="FE86" s="63"/>
      <c r="FF86" s="64">
        <f t="shared" si="1780"/>
        <v>6150</v>
      </c>
      <c r="FG86" s="65"/>
      <c r="FH86" s="63"/>
      <c r="FI86" s="64">
        <f t="shared" si="1781"/>
        <v>0</v>
      </c>
      <c r="FJ86" s="65"/>
      <c r="FK86" s="63"/>
      <c r="FL86" s="64">
        <f t="shared" si="1782"/>
        <v>0</v>
      </c>
      <c r="FM86" s="65">
        <v>100</v>
      </c>
      <c r="FN86" s="63"/>
      <c r="FO86" s="64">
        <f t="shared" si="1783"/>
        <v>100</v>
      </c>
      <c r="FP86" s="66">
        <f t="shared" si="1519"/>
        <v>6250</v>
      </c>
      <c r="FQ86" s="67">
        <f t="shared" si="1784"/>
        <v>0</v>
      </c>
      <c r="FR86" s="64">
        <f t="shared" si="1785"/>
        <v>6250</v>
      </c>
      <c r="FS86" s="62"/>
      <c r="FT86" s="63"/>
      <c r="FU86" s="64">
        <f t="shared" si="1786"/>
        <v>0</v>
      </c>
      <c r="FV86" s="65">
        <v>485.35</v>
      </c>
      <c r="FW86" s="63"/>
      <c r="FX86" s="64">
        <f t="shared" si="1787"/>
        <v>485.35</v>
      </c>
      <c r="FY86" s="65"/>
      <c r="FZ86" s="63"/>
      <c r="GA86" s="64">
        <f t="shared" si="1788"/>
        <v>0</v>
      </c>
      <c r="GB86" s="65"/>
      <c r="GC86" s="63"/>
      <c r="GD86" s="64">
        <f t="shared" si="1789"/>
        <v>0</v>
      </c>
      <c r="GE86" s="66">
        <f t="shared" si="1526"/>
        <v>485.35</v>
      </c>
      <c r="GF86" s="67">
        <f t="shared" si="1790"/>
        <v>0</v>
      </c>
      <c r="GG86" s="64">
        <f t="shared" si="1791"/>
        <v>485.35</v>
      </c>
      <c r="GH86" s="62"/>
      <c r="GI86" s="63"/>
      <c r="GJ86" s="64">
        <f t="shared" si="1792"/>
        <v>0</v>
      </c>
      <c r="GK86" s="65">
        <v>660.33</v>
      </c>
      <c r="GL86" s="63"/>
      <c r="GM86" s="64">
        <f t="shared" si="1793"/>
        <v>660.33</v>
      </c>
      <c r="GN86" s="65"/>
      <c r="GO86" s="63"/>
      <c r="GP86" s="64">
        <f t="shared" si="1794"/>
        <v>0</v>
      </c>
      <c r="GQ86" s="65"/>
      <c r="GR86" s="63"/>
      <c r="GS86" s="64">
        <f t="shared" si="1795"/>
        <v>0</v>
      </c>
      <c r="GT86" s="66">
        <f t="shared" si="1533"/>
        <v>660.33</v>
      </c>
      <c r="GU86" s="67">
        <f t="shared" si="1796"/>
        <v>0</v>
      </c>
      <c r="GV86" s="64">
        <f t="shared" si="1797"/>
        <v>660.33</v>
      </c>
      <c r="GW86" s="62"/>
      <c r="GX86" s="63"/>
      <c r="GY86" s="64">
        <f t="shared" si="1798"/>
        <v>0</v>
      </c>
      <c r="GZ86" s="65">
        <v>568.25</v>
      </c>
      <c r="HA86" s="63"/>
      <c r="HB86" s="64">
        <f t="shared" si="1799"/>
        <v>568.25</v>
      </c>
      <c r="HC86" s="65"/>
      <c r="HD86" s="63"/>
      <c r="HE86" s="64">
        <f t="shared" si="1800"/>
        <v>0</v>
      </c>
      <c r="HF86" s="65">
        <v>100</v>
      </c>
      <c r="HG86" s="63"/>
      <c r="HH86" s="64">
        <f t="shared" si="1801"/>
        <v>100</v>
      </c>
      <c r="HI86" s="66">
        <f t="shared" si="1540"/>
        <v>668.25</v>
      </c>
      <c r="HJ86" s="67">
        <f t="shared" si="1802"/>
        <v>0</v>
      </c>
      <c r="HK86" s="64">
        <f t="shared" si="1803"/>
        <v>668.25</v>
      </c>
      <c r="HL86" s="62">
        <v>6150</v>
      </c>
      <c r="HM86" s="63"/>
      <c r="HN86" s="64">
        <f t="shared" si="1804"/>
        <v>6150</v>
      </c>
      <c r="HO86" s="65"/>
      <c r="HP86" s="63"/>
      <c r="HQ86" s="64">
        <f t="shared" si="1805"/>
        <v>0</v>
      </c>
      <c r="HR86" s="65">
        <v>4800</v>
      </c>
      <c r="HS86" s="63"/>
      <c r="HT86" s="64">
        <f t="shared" si="1806"/>
        <v>4800</v>
      </c>
      <c r="HU86" s="65">
        <v>100</v>
      </c>
      <c r="HV86" s="63"/>
      <c r="HW86" s="64">
        <f t="shared" si="1807"/>
        <v>100</v>
      </c>
      <c r="HX86" s="66">
        <f t="shared" si="1547"/>
        <v>11050</v>
      </c>
      <c r="HY86" s="67">
        <f t="shared" si="1808"/>
        <v>0</v>
      </c>
      <c r="HZ86" s="64">
        <f t="shared" si="1809"/>
        <v>11050</v>
      </c>
      <c r="IA86" s="62"/>
      <c r="IB86" s="63"/>
      <c r="IC86" s="64">
        <f t="shared" si="1810"/>
        <v>0</v>
      </c>
      <c r="ID86" s="65"/>
      <c r="IE86" s="63"/>
      <c r="IF86" s="64">
        <f t="shared" si="1811"/>
        <v>0</v>
      </c>
      <c r="IG86" s="65"/>
      <c r="IH86" s="63"/>
      <c r="II86" s="64">
        <f t="shared" si="1812"/>
        <v>0</v>
      </c>
      <c r="IJ86" s="65">
        <v>100</v>
      </c>
      <c r="IK86" s="63"/>
      <c r="IL86" s="64">
        <f t="shared" si="1813"/>
        <v>100</v>
      </c>
      <c r="IM86" s="66">
        <f t="shared" si="1554"/>
        <v>100</v>
      </c>
      <c r="IN86" s="67">
        <f t="shared" si="1814"/>
        <v>0</v>
      </c>
      <c r="IO86" s="64">
        <f t="shared" si="1815"/>
        <v>100</v>
      </c>
      <c r="IP86" s="62"/>
      <c r="IQ86" s="63"/>
      <c r="IR86" s="64">
        <f t="shared" si="1816"/>
        <v>0</v>
      </c>
      <c r="IS86" s="65"/>
      <c r="IT86" s="63"/>
      <c r="IU86" s="64">
        <f t="shared" si="1817"/>
        <v>0</v>
      </c>
      <c r="IV86" s="65"/>
      <c r="IW86" s="63"/>
      <c r="IX86" s="64">
        <f t="shared" si="1818"/>
        <v>0</v>
      </c>
      <c r="IY86" s="65"/>
      <c r="IZ86" s="63"/>
      <c r="JA86" s="64">
        <f t="shared" si="1819"/>
        <v>0</v>
      </c>
      <c r="JB86" s="66">
        <f t="shared" si="1561"/>
        <v>0</v>
      </c>
      <c r="JC86" s="67">
        <f t="shared" si="1820"/>
        <v>0</v>
      </c>
      <c r="JD86" s="64">
        <f t="shared" si="1821"/>
        <v>0</v>
      </c>
      <c r="JE86" s="72"/>
      <c r="JF86" s="150"/>
      <c r="JG86" s="74"/>
      <c r="JH86" s="75"/>
      <c r="JI86" s="150"/>
      <c r="JJ86" s="74"/>
      <c r="JK86" s="75"/>
      <c r="JL86" s="150"/>
      <c r="JM86" s="74"/>
      <c r="JN86" s="75"/>
      <c r="JO86" s="150"/>
      <c r="JP86" s="74"/>
      <c r="JQ86" s="76"/>
      <c r="JR86" s="77"/>
      <c r="JS86" s="74"/>
      <c r="JT86" s="72"/>
      <c r="JU86" s="73"/>
      <c r="JV86" s="74"/>
      <c r="JW86" s="75"/>
      <c r="JX86" s="73"/>
      <c r="JY86" s="74"/>
      <c r="JZ86" s="75"/>
      <c r="KA86" s="73"/>
      <c r="KB86" s="74"/>
      <c r="KC86" s="75"/>
      <c r="KD86" s="73"/>
      <c r="KE86" s="74"/>
      <c r="KF86" s="76"/>
      <c r="KG86" s="77"/>
      <c r="KH86" s="64">
        <f t="shared" si="1822"/>
        <v>0</v>
      </c>
      <c r="KI86" s="62"/>
      <c r="KJ86" s="63"/>
      <c r="KK86" s="64">
        <f t="shared" si="1823"/>
        <v>0</v>
      </c>
      <c r="KL86" s="65"/>
      <c r="KM86" s="63"/>
      <c r="KN86" s="64">
        <f t="shared" si="1824"/>
        <v>0</v>
      </c>
      <c r="KO86" s="65"/>
      <c r="KP86" s="63"/>
      <c r="KQ86" s="64">
        <f t="shared" si="1825"/>
        <v>0</v>
      </c>
      <c r="KR86" s="65"/>
      <c r="KS86" s="63"/>
      <c r="KT86" s="64">
        <f t="shared" si="1826"/>
        <v>0</v>
      </c>
      <c r="KU86" s="66">
        <f t="shared" si="1439"/>
        <v>0</v>
      </c>
      <c r="KV86" s="67">
        <f t="shared" si="1827"/>
        <v>0</v>
      </c>
      <c r="KW86" s="64">
        <f t="shared" si="1828"/>
        <v>0</v>
      </c>
      <c r="KX86" s="72"/>
      <c r="KY86" s="73"/>
      <c r="KZ86" s="74"/>
      <c r="LA86" s="75"/>
      <c r="LB86" s="73"/>
      <c r="LC86" s="74"/>
      <c r="LD86" s="75"/>
      <c r="LE86" s="73"/>
      <c r="LF86" s="74"/>
      <c r="LG86" s="75"/>
      <c r="LH86" s="73"/>
      <c r="LI86" s="74"/>
      <c r="LJ86" s="76"/>
      <c r="LK86" s="77"/>
      <c r="LL86" s="74"/>
      <c r="LM86" s="62"/>
      <c r="LN86" s="63"/>
      <c r="LO86" s="64">
        <f t="shared" si="1829"/>
        <v>0</v>
      </c>
      <c r="LP86" s="65"/>
      <c r="LQ86" s="63"/>
      <c r="LR86" s="64">
        <f t="shared" si="1830"/>
        <v>0</v>
      </c>
      <c r="LS86" s="65"/>
      <c r="LT86" s="63"/>
      <c r="LU86" s="64">
        <f t="shared" si="1831"/>
        <v>0</v>
      </c>
      <c r="LV86" s="65">
        <v>100</v>
      </c>
      <c r="LW86" s="63"/>
      <c r="LX86" s="64">
        <f t="shared" si="1832"/>
        <v>100</v>
      </c>
      <c r="LY86" s="66">
        <f t="shared" si="1575"/>
        <v>100</v>
      </c>
      <c r="LZ86" s="67">
        <f t="shared" si="1833"/>
        <v>0</v>
      </c>
      <c r="MA86" s="64">
        <f t="shared" si="1834"/>
        <v>100</v>
      </c>
      <c r="MB86" s="62"/>
      <c r="MC86" s="63"/>
      <c r="MD86" s="64">
        <f t="shared" si="1835"/>
        <v>0</v>
      </c>
      <c r="ME86" s="65">
        <v>889.11</v>
      </c>
      <c r="MF86" s="63"/>
      <c r="MG86" s="64">
        <f t="shared" si="1836"/>
        <v>889.11</v>
      </c>
      <c r="MH86" s="65"/>
      <c r="MI86" s="63"/>
      <c r="MJ86" s="64">
        <f t="shared" si="1837"/>
        <v>0</v>
      </c>
      <c r="MK86" s="65">
        <v>100</v>
      </c>
      <c r="ML86" s="63"/>
      <c r="MM86" s="64">
        <f t="shared" si="1838"/>
        <v>100</v>
      </c>
      <c r="MN86" s="66">
        <f t="shared" si="1582"/>
        <v>989.11</v>
      </c>
      <c r="MO86" s="67">
        <f t="shared" si="1839"/>
        <v>0</v>
      </c>
      <c r="MP86" s="64">
        <f t="shared" si="1840"/>
        <v>989.11</v>
      </c>
      <c r="MQ86" s="62"/>
      <c r="MR86" s="63"/>
      <c r="MS86" s="64">
        <f t="shared" si="1841"/>
        <v>0</v>
      </c>
      <c r="MT86" s="65"/>
      <c r="MU86" s="63"/>
      <c r="MV86" s="64">
        <f t="shared" si="1842"/>
        <v>0</v>
      </c>
      <c r="MW86" s="65"/>
      <c r="MX86" s="63"/>
      <c r="MY86" s="64">
        <f t="shared" si="1843"/>
        <v>0</v>
      </c>
      <c r="MZ86" s="65"/>
      <c r="NA86" s="63"/>
      <c r="NB86" s="64">
        <f t="shared" si="1844"/>
        <v>0</v>
      </c>
      <c r="NC86" s="66">
        <f t="shared" si="1589"/>
        <v>0</v>
      </c>
      <c r="ND86" s="67">
        <f t="shared" si="1845"/>
        <v>0</v>
      </c>
      <c r="NE86" s="64">
        <f t="shared" si="1846"/>
        <v>0</v>
      </c>
      <c r="NF86" s="62"/>
      <c r="NG86" s="63"/>
      <c r="NH86" s="64">
        <f t="shared" si="1847"/>
        <v>0</v>
      </c>
      <c r="NI86" s="65">
        <v>1164.04</v>
      </c>
      <c r="NJ86" s="63"/>
      <c r="NK86" s="64">
        <f t="shared" si="1848"/>
        <v>1164.04</v>
      </c>
      <c r="NL86" s="65"/>
      <c r="NM86" s="63"/>
      <c r="NN86" s="64">
        <f t="shared" si="1849"/>
        <v>0</v>
      </c>
      <c r="NO86" s="65">
        <v>100</v>
      </c>
      <c r="NP86" s="63"/>
      <c r="NQ86" s="64">
        <f t="shared" si="1850"/>
        <v>100</v>
      </c>
      <c r="NR86" s="66">
        <f t="shared" si="1596"/>
        <v>1264.04</v>
      </c>
      <c r="NS86" s="67">
        <f t="shared" si="1851"/>
        <v>0</v>
      </c>
      <c r="NT86" s="64">
        <f t="shared" si="1852"/>
        <v>1264.04</v>
      </c>
      <c r="NU86" s="62"/>
      <c r="NV86" s="63"/>
      <c r="NW86" s="64">
        <f t="shared" si="1853"/>
        <v>0</v>
      </c>
      <c r="NX86" s="65">
        <v>1152.73</v>
      </c>
      <c r="NY86" s="63"/>
      <c r="NZ86" s="64">
        <f t="shared" si="1854"/>
        <v>1152.73</v>
      </c>
      <c r="OA86" s="65"/>
      <c r="OB86" s="63"/>
      <c r="OC86" s="64">
        <f t="shared" si="1855"/>
        <v>0</v>
      </c>
      <c r="OD86" s="65">
        <v>100</v>
      </c>
      <c r="OE86" s="63"/>
      <c r="OF86" s="64">
        <f t="shared" si="1856"/>
        <v>100</v>
      </c>
      <c r="OG86" s="66">
        <f t="shared" si="1603"/>
        <v>1252.73</v>
      </c>
      <c r="OH86" s="67">
        <f t="shared" si="1857"/>
        <v>0</v>
      </c>
      <c r="OI86" s="64">
        <f t="shared" si="1858"/>
        <v>1252.73</v>
      </c>
      <c r="OJ86" s="62"/>
      <c r="OK86" s="63"/>
      <c r="OL86" s="64">
        <f t="shared" si="1859"/>
        <v>0</v>
      </c>
      <c r="OM86" s="65"/>
      <c r="ON86" s="63"/>
      <c r="OO86" s="64">
        <f t="shared" si="1860"/>
        <v>0</v>
      </c>
      <c r="OP86" s="65"/>
      <c r="OQ86" s="63"/>
      <c r="OR86" s="64">
        <f t="shared" si="1861"/>
        <v>0</v>
      </c>
      <c r="OS86" s="65">
        <v>100</v>
      </c>
      <c r="OT86" s="63"/>
      <c r="OU86" s="64">
        <f t="shared" si="1862"/>
        <v>100</v>
      </c>
      <c r="OV86" s="66">
        <f t="shared" si="1610"/>
        <v>100</v>
      </c>
      <c r="OW86" s="67">
        <f t="shared" si="1863"/>
        <v>0</v>
      </c>
      <c r="OX86" s="64">
        <f t="shared" si="1864"/>
        <v>100</v>
      </c>
      <c r="OY86" s="62"/>
      <c r="OZ86" s="63"/>
      <c r="PA86" s="64">
        <f t="shared" si="1865"/>
        <v>0</v>
      </c>
      <c r="PB86" s="65"/>
      <c r="PC86" s="63"/>
      <c r="PD86" s="64">
        <f t="shared" si="1866"/>
        <v>0</v>
      </c>
      <c r="PE86" s="65"/>
      <c r="PF86" s="63"/>
      <c r="PG86" s="64">
        <f t="shared" si="1867"/>
        <v>0</v>
      </c>
      <c r="PH86" s="65">
        <v>100</v>
      </c>
      <c r="PI86" s="63"/>
      <c r="PJ86" s="64">
        <f t="shared" si="1868"/>
        <v>100</v>
      </c>
      <c r="PK86" s="66">
        <f t="shared" si="1617"/>
        <v>100</v>
      </c>
      <c r="PL86" s="67">
        <f t="shared" si="1869"/>
        <v>0</v>
      </c>
      <c r="PM86" s="64">
        <f t="shared" si="1870"/>
        <v>100</v>
      </c>
      <c r="PN86" s="62">
        <v>1550</v>
      </c>
      <c r="PO86" s="63"/>
      <c r="PP86" s="64">
        <f t="shared" si="1871"/>
        <v>1550</v>
      </c>
      <c r="PQ86" s="65"/>
      <c r="PR86" s="63"/>
      <c r="PS86" s="64">
        <f t="shared" si="1872"/>
        <v>0</v>
      </c>
      <c r="PT86" s="65"/>
      <c r="PU86" s="63"/>
      <c r="PV86" s="64">
        <f t="shared" si="1873"/>
        <v>0</v>
      </c>
      <c r="PW86" s="65">
        <v>100</v>
      </c>
      <c r="PX86" s="63"/>
      <c r="PY86" s="64">
        <f t="shared" si="1874"/>
        <v>100</v>
      </c>
      <c r="PZ86" s="66">
        <f t="shared" si="1624"/>
        <v>1650</v>
      </c>
      <c r="QA86" s="67">
        <f t="shared" si="1875"/>
        <v>0</v>
      </c>
      <c r="QB86" s="64">
        <f t="shared" si="1876"/>
        <v>1650</v>
      </c>
      <c r="QC86" s="62"/>
      <c r="QD86" s="63"/>
      <c r="QE86" s="64">
        <f t="shared" si="1877"/>
        <v>0</v>
      </c>
      <c r="QF86" s="65"/>
      <c r="QG86" s="63"/>
      <c r="QH86" s="64">
        <f t="shared" si="1878"/>
        <v>0</v>
      </c>
      <c r="QI86" s="65"/>
      <c r="QJ86" s="63"/>
      <c r="QK86" s="64">
        <f t="shared" si="1879"/>
        <v>0</v>
      </c>
      <c r="QL86" s="65">
        <v>100</v>
      </c>
      <c r="QM86" s="63"/>
      <c r="QN86" s="64">
        <f t="shared" si="1880"/>
        <v>100</v>
      </c>
      <c r="QO86" s="66">
        <f t="shared" si="1631"/>
        <v>100</v>
      </c>
      <c r="QP86" s="67">
        <f t="shared" si="1881"/>
        <v>0</v>
      </c>
      <c r="QQ86" s="64">
        <f t="shared" si="1882"/>
        <v>100</v>
      </c>
      <c r="QR86" s="74"/>
      <c r="QS86" s="74"/>
      <c r="QT86" s="72"/>
      <c r="QU86" s="73"/>
      <c r="QV86" s="74"/>
      <c r="QW86" s="75"/>
      <c r="QX86" s="73"/>
      <c r="QY86" s="74"/>
      <c r="QZ86" s="75"/>
      <c r="RA86" s="73"/>
      <c r="RB86" s="74"/>
      <c r="RC86" s="75"/>
      <c r="RD86" s="73"/>
      <c r="RE86" s="74"/>
      <c r="RF86" s="74"/>
      <c r="RG86" s="72"/>
      <c r="RH86" s="73"/>
      <c r="RI86" s="74"/>
      <c r="RJ86" s="75"/>
      <c r="RK86" s="73"/>
      <c r="RL86" s="74"/>
      <c r="RM86" s="75"/>
      <c r="RN86" s="73"/>
      <c r="RO86" s="74"/>
      <c r="RP86" s="75"/>
      <c r="RQ86" s="73"/>
      <c r="RR86" s="74"/>
      <c r="RS86" s="76"/>
      <c r="RT86" s="77"/>
      <c r="RU86" s="74"/>
      <c r="RV86" s="74"/>
      <c r="RW86" s="72"/>
      <c r="RX86" s="73"/>
      <c r="RY86" s="74"/>
      <c r="RZ86" s="75"/>
      <c r="SA86" s="73"/>
      <c r="SB86" s="74"/>
      <c r="SC86" s="75"/>
      <c r="SD86" s="73"/>
      <c r="SE86" s="74"/>
      <c r="SF86" s="75"/>
      <c r="SG86" s="73"/>
      <c r="SH86" s="74"/>
      <c r="SI86" s="76"/>
      <c r="SJ86" s="64">
        <f t="shared" si="1883"/>
        <v>0</v>
      </c>
      <c r="SK86" s="62"/>
      <c r="SL86" s="63"/>
      <c r="SM86" s="64">
        <f t="shared" si="1884"/>
        <v>0</v>
      </c>
      <c r="SN86" s="65"/>
      <c r="SO86" s="63"/>
      <c r="SP86" s="64">
        <f t="shared" si="1885"/>
        <v>0</v>
      </c>
      <c r="SQ86" s="65"/>
      <c r="SR86" s="63"/>
      <c r="SS86" s="64">
        <f t="shared" si="1886"/>
        <v>0</v>
      </c>
      <c r="ST86" s="65">
        <v>100</v>
      </c>
      <c r="SU86" s="63"/>
      <c r="SV86" s="64">
        <f t="shared" si="1887"/>
        <v>100</v>
      </c>
      <c r="SW86" s="66">
        <f t="shared" si="1639"/>
        <v>100</v>
      </c>
      <c r="SX86" s="67">
        <f t="shared" si="1888"/>
        <v>0</v>
      </c>
      <c r="SY86" s="64">
        <f t="shared" si="1889"/>
        <v>100</v>
      </c>
      <c r="SZ86" s="62">
        <v>985.33</v>
      </c>
      <c r="TA86" s="63"/>
      <c r="TB86" s="64">
        <f t="shared" si="1890"/>
        <v>985.33</v>
      </c>
      <c r="TC86" s="65">
        <v>700.9</v>
      </c>
      <c r="TD86" s="63"/>
      <c r="TE86" s="64">
        <f t="shared" si="1891"/>
        <v>700.9</v>
      </c>
      <c r="TF86" s="65"/>
      <c r="TG86" s="63"/>
      <c r="TH86" s="64">
        <f t="shared" si="1892"/>
        <v>0</v>
      </c>
      <c r="TI86" s="65">
        <v>100</v>
      </c>
      <c r="TJ86" s="63"/>
      <c r="TK86" s="64">
        <f t="shared" si="1893"/>
        <v>100</v>
      </c>
      <c r="TL86" s="66">
        <f t="shared" si="1646"/>
        <v>1786.23</v>
      </c>
      <c r="TM86" s="67">
        <f t="shared" si="1894"/>
        <v>0</v>
      </c>
      <c r="TN86" s="64">
        <f t="shared" si="1895"/>
        <v>1786.23</v>
      </c>
      <c r="TO86" s="62"/>
      <c r="TP86" s="63"/>
      <c r="TQ86" s="64">
        <f t="shared" si="1896"/>
        <v>0</v>
      </c>
      <c r="TR86" s="65"/>
      <c r="TS86" s="63"/>
      <c r="TT86" s="64">
        <f t="shared" si="1897"/>
        <v>0</v>
      </c>
      <c r="TU86" s="65"/>
      <c r="TV86" s="63"/>
      <c r="TW86" s="64">
        <f t="shared" si="1898"/>
        <v>0</v>
      </c>
      <c r="TX86" s="65">
        <v>100</v>
      </c>
      <c r="TY86" s="63"/>
      <c r="TZ86" s="64">
        <f t="shared" si="1899"/>
        <v>100</v>
      </c>
      <c r="UA86" s="66">
        <f t="shared" si="1653"/>
        <v>100</v>
      </c>
      <c r="UB86" s="67">
        <f t="shared" si="1900"/>
        <v>0</v>
      </c>
      <c r="UC86" s="64">
        <f t="shared" si="1901"/>
        <v>100</v>
      </c>
      <c r="UD86" s="62">
        <v>1125</v>
      </c>
      <c r="UE86" s="63"/>
      <c r="UF86" s="64">
        <f t="shared" si="1902"/>
        <v>1125</v>
      </c>
      <c r="UG86" s="65">
        <v>497.04</v>
      </c>
      <c r="UH86" s="63"/>
      <c r="UI86" s="64">
        <f t="shared" si="1903"/>
        <v>497.04</v>
      </c>
      <c r="UJ86" s="65"/>
      <c r="UK86" s="63"/>
      <c r="UL86" s="64">
        <f t="shared" si="1904"/>
        <v>0</v>
      </c>
      <c r="UM86" s="65">
        <v>100</v>
      </c>
      <c r="UN86" s="63"/>
      <c r="UO86" s="64">
        <f t="shared" si="1905"/>
        <v>100</v>
      </c>
      <c r="UP86" s="66">
        <f t="shared" si="1660"/>
        <v>1722.04</v>
      </c>
      <c r="UQ86" s="67">
        <f t="shared" si="1906"/>
        <v>0</v>
      </c>
      <c r="UR86" s="64">
        <f t="shared" si="1907"/>
        <v>1722.04</v>
      </c>
      <c r="US86" s="74"/>
      <c r="UT86" s="72"/>
      <c r="UU86" s="73"/>
      <c r="UV86" s="74"/>
      <c r="UW86" s="75"/>
      <c r="UX86" s="73"/>
      <c r="UY86" s="74"/>
      <c r="UZ86" s="75"/>
      <c r="VA86" s="73"/>
      <c r="VB86" s="74"/>
      <c r="VC86" s="75"/>
      <c r="VD86" s="73"/>
      <c r="VE86" s="74"/>
      <c r="VF86" s="76"/>
      <c r="VG86" s="77"/>
      <c r="VH86" s="62"/>
      <c r="VI86" s="63"/>
      <c r="VJ86" s="64">
        <f t="shared" si="1908"/>
        <v>0</v>
      </c>
      <c r="VK86" s="65"/>
      <c r="VL86" s="63"/>
      <c r="VM86" s="64">
        <f t="shared" si="1909"/>
        <v>0</v>
      </c>
      <c r="VN86" s="65"/>
      <c r="VO86" s="63"/>
      <c r="VP86" s="64">
        <f t="shared" si="1910"/>
        <v>0</v>
      </c>
      <c r="VQ86" s="65">
        <v>100</v>
      </c>
      <c r="VR86" s="63"/>
      <c r="VS86" s="64">
        <f t="shared" si="1911"/>
        <v>100</v>
      </c>
      <c r="VT86" s="66">
        <f t="shared" si="1667"/>
        <v>100</v>
      </c>
      <c r="VU86" s="67">
        <f t="shared" si="1912"/>
        <v>0</v>
      </c>
      <c r="VV86" s="64">
        <f t="shared" si="1913"/>
        <v>100</v>
      </c>
      <c r="VW86" s="74"/>
      <c r="VX86" s="72"/>
      <c r="VY86" s="73"/>
      <c r="VZ86" s="74"/>
      <c r="WA86" s="75"/>
      <c r="WB86" s="73"/>
      <c r="WC86" s="74"/>
      <c r="WD86" s="75"/>
      <c r="WE86" s="73"/>
      <c r="WF86" s="74"/>
      <c r="WG86" s="75"/>
      <c r="WH86" s="73"/>
      <c r="WI86" s="74"/>
      <c r="WJ86" s="76"/>
      <c r="WK86" s="77"/>
      <c r="WL86" s="74"/>
      <c r="WM86" s="72"/>
      <c r="WN86" s="73"/>
      <c r="WO86" s="74"/>
      <c r="WP86" s="75"/>
      <c r="WQ86" s="73"/>
      <c r="WR86" s="74"/>
      <c r="WS86" s="75"/>
      <c r="WT86" s="73"/>
      <c r="WU86" s="74"/>
      <c r="WV86" s="75"/>
      <c r="WW86" s="73"/>
      <c r="WX86" s="74"/>
      <c r="WY86" s="76"/>
      <c r="WZ86" s="77"/>
      <c r="XA86" s="74"/>
      <c r="XB86" s="72"/>
      <c r="XC86" s="73"/>
      <c r="XD86" s="74"/>
      <c r="XE86" s="75"/>
      <c r="XF86" s="73"/>
      <c r="XG86" s="74"/>
      <c r="XH86" s="75"/>
      <c r="XI86" s="73"/>
      <c r="XJ86" s="74"/>
      <c r="XK86" s="75"/>
      <c r="XL86" s="73"/>
      <c r="XM86" s="74"/>
      <c r="XN86" s="76"/>
      <c r="XO86" s="77"/>
      <c r="XP86" s="62"/>
      <c r="XQ86" s="63"/>
      <c r="XR86" s="64">
        <f t="shared" si="1914"/>
        <v>0</v>
      </c>
      <c r="XS86" s="65">
        <v>844.24</v>
      </c>
      <c r="XT86" s="63"/>
      <c r="XU86" s="64">
        <f t="shared" si="1915"/>
        <v>844.24</v>
      </c>
      <c r="XV86" s="65"/>
      <c r="XW86" s="63"/>
      <c r="XX86" s="64">
        <f t="shared" si="1916"/>
        <v>0</v>
      </c>
      <c r="XY86" s="65">
        <v>100</v>
      </c>
      <c r="XZ86" s="63"/>
      <c r="YA86" s="64">
        <f t="shared" si="1917"/>
        <v>100</v>
      </c>
      <c r="YB86" s="66">
        <f t="shared" si="1674"/>
        <v>944.24</v>
      </c>
      <c r="YC86" s="67">
        <f t="shared" si="1918"/>
        <v>0</v>
      </c>
      <c r="YD86" s="64">
        <f t="shared" si="1919"/>
        <v>944.24</v>
      </c>
      <c r="YE86" s="62"/>
      <c r="YF86" s="63"/>
      <c r="YG86" s="64">
        <f t="shared" si="1920"/>
        <v>0</v>
      </c>
      <c r="YH86" s="65">
        <v>847.85</v>
      </c>
      <c r="YI86" s="63"/>
      <c r="YJ86" s="64">
        <f t="shared" si="1921"/>
        <v>847.85</v>
      </c>
      <c r="YK86" s="65"/>
      <c r="YL86" s="63"/>
      <c r="YM86" s="64">
        <f t="shared" si="1922"/>
        <v>0</v>
      </c>
      <c r="YN86" s="65">
        <v>100</v>
      </c>
      <c r="YO86" s="63"/>
      <c r="YP86" s="64">
        <f t="shared" si="1923"/>
        <v>100</v>
      </c>
      <c r="YQ86" s="66">
        <f t="shared" si="1681"/>
        <v>947.85</v>
      </c>
      <c r="YR86" s="67">
        <f t="shared" si="1924"/>
        <v>0</v>
      </c>
      <c r="YS86" s="64">
        <f t="shared" si="1925"/>
        <v>947.85</v>
      </c>
      <c r="YT86" s="62"/>
      <c r="YU86" s="63"/>
      <c r="YV86" s="64">
        <f t="shared" si="1926"/>
        <v>0</v>
      </c>
      <c r="YW86" s="65">
        <v>695.73</v>
      </c>
      <c r="YX86" s="63"/>
      <c r="YY86" s="64">
        <f t="shared" si="1927"/>
        <v>695.73</v>
      </c>
      <c r="YZ86" s="65"/>
      <c r="ZA86" s="63"/>
      <c r="ZB86" s="64">
        <f t="shared" si="1928"/>
        <v>0</v>
      </c>
      <c r="ZC86" s="65">
        <v>100</v>
      </c>
      <c r="ZD86" s="63"/>
      <c r="ZE86" s="64">
        <f t="shared" si="1929"/>
        <v>100</v>
      </c>
      <c r="ZF86" s="66">
        <f t="shared" si="1688"/>
        <v>795.73</v>
      </c>
      <c r="ZG86" s="67">
        <f t="shared" si="1930"/>
        <v>0</v>
      </c>
      <c r="ZH86" s="74"/>
      <c r="ZI86" s="72"/>
      <c r="ZJ86" s="73"/>
      <c r="ZK86" s="74"/>
      <c r="ZL86" s="75"/>
      <c r="ZM86" s="73"/>
      <c r="ZN86" s="74"/>
      <c r="ZO86" s="75"/>
      <c r="ZP86" s="73"/>
      <c r="ZQ86" s="74"/>
      <c r="ZR86" s="75"/>
      <c r="ZS86" s="73"/>
      <c r="ZT86" s="74"/>
      <c r="ZU86" s="76"/>
      <c r="ZV86" s="77"/>
      <c r="ZW86" s="64">
        <f t="shared" si="1931"/>
        <v>0</v>
      </c>
      <c r="ZX86" s="62">
        <v>24.71</v>
      </c>
      <c r="ZY86" s="63"/>
      <c r="ZZ86" s="64">
        <f t="shared" si="1932"/>
        <v>24.71</v>
      </c>
      <c r="AAA86" s="66">
        <f t="shared" si="1692"/>
        <v>24.71</v>
      </c>
      <c r="AAB86" s="67">
        <f t="shared" si="1692"/>
        <v>0</v>
      </c>
      <c r="AAC86" s="64">
        <f t="shared" si="1933"/>
        <v>24.71</v>
      </c>
      <c r="AAD86" s="85">
        <f t="shared" si="1694"/>
        <v>68223.95</v>
      </c>
      <c r="AAE86" s="86">
        <f t="shared" si="1694"/>
        <v>0</v>
      </c>
      <c r="AAF86" s="87">
        <f t="shared" si="1457"/>
        <v>0</v>
      </c>
      <c r="AAG86" s="88">
        <f t="shared" si="1934"/>
        <v>-68223.95</v>
      </c>
      <c r="AAH86" s="91"/>
      <c r="AAI86" s="92"/>
      <c r="AAJ86" s="92"/>
      <c r="AAK86" s="60"/>
    </row>
    <row r="87" spans="1:713" s="83" customFormat="1" ht="20" customHeight="1" x14ac:dyDescent="0.2">
      <c r="A87" s="153"/>
      <c r="B87" s="58" t="s">
        <v>145</v>
      </c>
      <c r="C87" s="59"/>
      <c r="D87" s="59"/>
      <c r="E87" s="60"/>
      <c r="F87" s="61">
        <v>46874</v>
      </c>
      <c r="G87" s="62"/>
      <c r="H87" s="63"/>
      <c r="I87" s="64">
        <f t="shared" si="1730"/>
        <v>0</v>
      </c>
      <c r="J87" s="65">
        <v>3514.55</v>
      </c>
      <c r="K87" s="63"/>
      <c r="L87" s="64">
        <f t="shared" si="1731"/>
        <v>3514.55</v>
      </c>
      <c r="M87" s="65">
        <v>2500</v>
      </c>
      <c r="N87" s="63"/>
      <c r="O87" s="64">
        <f t="shared" si="1732"/>
        <v>2500</v>
      </c>
      <c r="P87" s="65">
        <v>750</v>
      </c>
      <c r="Q87" s="63"/>
      <c r="R87" s="64">
        <f t="shared" si="1733"/>
        <v>750</v>
      </c>
      <c r="S87" s="65">
        <v>181</v>
      </c>
      <c r="T87" s="63"/>
      <c r="U87" s="64">
        <f t="shared" si="1734"/>
        <v>181</v>
      </c>
      <c r="V87" s="66">
        <f t="shared" si="1735"/>
        <v>6945.55</v>
      </c>
      <c r="W87" s="67">
        <f t="shared" si="1735"/>
        <v>0</v>
      </c>
      <c r="X87" s="64">
        <f t="shared" si="1736"/>
        <v>6945.55</v>
      </c>
      <c r="Y87" s="72"/>
      <c r="Z87" s="73"/>
      <c r="AA87" s="74"/>
      <c r="AB87" s="75"/>
      <c r="AC87" s="73"/>
      <c r="AD87" s="74"/>
      <c r="AE87" s="75"/>
      <c r="AF87" s="73"/>
      <c r="AG87" s="74"/>
      <c r="AH87" s="75"/>
      <c r="AI87" s="73"/>
      <c r="AJ87" s="74"/>
      <c r="AK87" s="76"/>
      <c r="AL87" s="77"/>
      <c r="AM87" s="64">
        <f t="shared" si="1737"/>
        <v>0</v>
      </c>
      <c r="AN87" s="62"/>
      <c r="AO87" s="63"/>
      <c r="AP87" s="64">
        <f t="shared" si="1935"/>
        <v>0</v>
      </c>
      <c r="AQ87" s="65"/>
      <c r="AR87" s="63"/>
      <c r="AS87" s="64">
        <f t="shared" si="1738"/>
        <v>0</v>
      </c>
      <c r="AT87" s="65"/>
      <c r="AU87" s="63"/>
      <c r="AV87" s="64">
        <f t="shared" si="1739"/>
        <v>0</v>
      </c>
      <c r="AW87" s="65"/>
      <c r="AX87" s="63"/>
      <c r="AY87" s="64">
        <f t="shared" si="1740"/>
        <v>0</v>
      </c>
      <c r="AZ87" s="66">
        <f t="shared" si="1469"/>
        <v>0</v>
      </c>
      <c r="BA87" s="67">
        <f t="shared" si="1741"/>
        <v>0</v>
      </c>
      <c r="BB87" s="64">
        <f t="shared" si="1742"/>
        <v>0</v>
      </c>
      <c r="BC87" s="62"/>
      <c r="BD87" s="63"/>
      <c r="BE87" s="64">
        <f t="shared" si="1743"/>
        <v>0</v>
      </c>
      <c r="BF87" s="65"/>
      <c r="BG87" s="63"/>
      <c r="BH87" s="64">
        <f t="shared" si="1744"/>
        <v>0</v>
      </c>
      <c r="BI87" s="65"/>
      <c r="BJ87" s="63"/>
      <c r="BK87" s="64">
        <f t="shared" si="1745"/>
        <v>0</v>
      </c>
      <c r="BL87" s="65">
        <v>100</v>
      </c>
      <c r="BM87" s="63"/>
      <c r="BN87" s="64">
        <f t="shared" si="1746"/>
        <v>100</v>
      </c>
      <c r="BO87" s="66">
        <f t="shared" si="1476"/>
        <v>100</v>
      </c>
      <c r="BP87" s="67">
        <f t="shared" si="1747"/>
        <v>0</v>
      </c>
      <c r="BQ87" s="64">
        <f t="shared" si="1748"/>
        <v>100</v>
      </c>
      <c r="BR87" s="72"/>
      <c r="BS87" s="73"/>
      <c r="BT87" s="74"/>
      <c r="BU87" s="75"/>
      <c r="BV87" s="73"/>
      <c r="BW87" s="74"/>
      <c r="BX87" s="75"/>
      <c r="BY87" s="73"/>
      <c r="BZ87" s="74"/>
      <c r="CA87" s="75"/>
      <c r="CB87" s="73"/>
      <c r="CC87" s="74"/>
      <c r="CD87" s="76"/>
      <c r="CE87" s="77"/>
      <c r="CF87" s="64">
        <f t="shared" si="1749"/>
        <v>0</v>
      </c>
      <c r="CG87" s="62"/>
      <c r="CH87" s="63"/>
      <c r="CI87" s="64">
        <f t="shared" si="1750"/>
        <v>0</v>
      </c>
      <c r="CJ87" s="65"/>
      <c r="CK87" s="63"/>
      <c r="CL87" s="64">
        <f t="shared" si="1751"/>
        <v>0</v>
      </c>
      <c r="CM87" s="65"/>
      <c r="CN87" s="63"/>
      <c r="CO87" s="64">
        <f t="shared" si="1752"/>
        <v>0</v>
      </c>
      <c r="CP87" s="65"/>
      <c r="CQ87" s="63"/>
      <c r="CR87" s="64">
        <f t="shared" si="1753"/>
        <v>0</v>
      </c>
      <c r="CS87" s="66">
        <f t="shared" si="1484"/>
        <v>0</v>
      </c>
      <c r="CT87" s="67">
        <f t="shared" si="1754"/>
        <v>0</v>
      </c>
      <c r="CU87" s="64">
        <f t="shared" si="1755"/>
        <v>0</v>
      </c>
      <c r="CV87" s="62">
        <v>2916.7</v>
      </c>
      <c r="CW87" s="63"/>
      <c r="CX87" s="64">
        <f t="shared" si="1756"/>
        <v>2916.7</v>
      </c>
      <c r="CY87" s="65">
        <v>429.15</v>
      </c>
      <c r="CZ87" s="63"/>
      <c r="DA87" s="64">
        <f t="shared" si="1757"/>
        <v>429.15</v>
      </c>
      <c r="DB87" s="65"/>
      <c r="DC87" s="63"/>
      <c r="DD87" s="64">
        <f t="shared" si="1758"/>
        <v>0</v>
      </c>
      <c r="DE87" s="65"/>
      <c r="DF87" s="63"/>
      <c r="DG87" s="64">
        <f t="shared" si="1759"/>
        <v>0</v>
      </c>
      <c r="DH87" s="66">
        <f t="shared" si="1491"/>
        <v>3345.85</v>
      </c>
      <c r="DI87" s="67">
        <f t="shared" si="1760"/>
        <v>0</v>
      </c>
      <c r="DJ87" s="64">
        <f t="shared" si="1761"/>
        <v>3345.85</v>
      </c>
      <c r="DK87" s="62">
        <v>2400</v>
      </c>
      <c r="DL87" s="63"/>
      <c r="DM87" s="64">
        <f t="shared" si="1762"/>
        <v>2400</v>
      </c>
      <c r="DN87" s="65">
        <v>913.08</v>
      </c>
      <c r="DO87" s="63"/>
      <c r="DP87" s="64">
        <f t="shared" si="1763"/>
        <v>913.08</v>
      </c>
      <c r="DQ87" s="65"/>
      <c r="DR87" s="63"/>
      <c r="DS87" s="64">
        <f t="shared" si="1764"/>
        <v>0</v>
      </c>
      <c r="DT87" s="65">
        <v>100</v>
      </c>
      <c r="DU87" s="63"/>
      <c r="DV87" s="64">
        <f t="shared" si="1765"/>
        <v>100</v>
      </c>
      <c r="DW87" s="66">
        <f t="shared" si="1498"/>
        <v>3413.08</v>
      </c>
      <c r="DX87" s="67">
        <f t="shared" si="1766"/>
        <v>0</v>
      </c>
      <c r="DY87" s="64">
        <f t="shared" si="1767"/>
        <v>3413.08</v>
      </c>
      <c r="DZ87" s="62"/>
      <c r="EA87" s="63"/>
      <c r="EB87" s="64">
        <f t="shared" si="1768"/>
        <v>0</v>
      </c>
      <c r="EC87" s="65"/>
      <c r="ED87" s="63"/>
      <c r="EE87" s="64">
        <f t="shared" si="1769"/>
        <v>0</v>
      </c>
      <c r="EF87" s="65"/>
      <c r="EG87" s="63"/>
      <c r="EH87" s="64">
        <f t="shared" si="1770"/>
        <v>0</v>
      </c>
      <c r="EI87" s="65">
        <v>100</v>
      </c>
      <c r="EJ87" s="63"/>
      <c r="EK87" s="64">
        <f t="shared" si="1771"/>
        <v>100</v>
      </c>
      <c r="EL87" s="66">
        <f t="shared" si="1505"/>
        <v>100</v>
      </c>
      <c r="EM87" s="67">
        <f t="shared" si="1772"/>
        <v>0</v>
      </c>
      <c r="EN87" s="64">
        <f t="shared" si="1773"/>
        <v>100</v>
      </c>
      <c r="EO87" s="62"/>
      <c r="EP87" s="63"/>
      <c r="EQ87" s="64">
        <f t="shared" si="1774"/>
        <v>0</v>
      </c>
      <c r="ER87" s="65"/>
      <c r="ES87" s="63"/>
      <c r="ET87" s="64">
        <f t="shared" si="1775"/>
        <v>0</v>
      </c>
      <c r="EU87" s="65">
        <v>4500</v>
      </c>
      <c r="EV87" s="63"/>
      <c r="EW87" s="64">
        <f t="shared" si="1776"/>
        <v>4500</v>
      </c>
      <c r="EX87" s="65">
        <v>100</v>
      </c>
      <c r="EY87" s="63"/>
      <c r="EZ87" s="64">
        <f t="shared" si="1777"/>
        <v>100</v>
      </c>
      <c r="FA87" s="66">
        <f t="shared" si="1512"/>
        <v>4600</v>
      </c>
      <c r="FB87" s="67">
        <f t="shared" si="1778"/>
        <v>0</v>
      </c>
      <c r="FC87" s="64">
        <f t="shared" si="1779"/>
        <v>4600</v>
      </c>
      <c r="FD87" s="62"/>
      <c r="FE87" s="63"/>
      <c r="FF87" s="64">
        <f t="shared" si="1780"/>
        <v>0</v>
      </c>
      <c r="FG87" s="65"/>
      <c r="FH87" s="63"/>
      <c r="FI87" s="64">
        <f t="shared" si="1781"/>
        <v>0</v>
      </c>
      <c r="FJ87" s="65">
        <v>4500</v>
      </c>
      <c r="FK87" s="63"/>
      <c r="FL87" s="64">
        <f t="shared" si="1782"/>
        <v>4500</v>
      </c>
      <c r="FM87" s="65">
        <v>100</v>
      </c>
      <c r="FN87" s="63"/>
      <c r="FO87" s="64">
        <f t="shared" si="1783"/>
        <v>100</v>
      </c>
      <c r="FP87" s="66">
        <f t="shared" si="1519"/>
        <v>4600</v>
      </c>
      <c r="FQ87" s="67">
        <f t="shared" si="1784"/>
        <v>0</v>
      </c>
      <c r="FR87" s="64">
        <f t="shared" si="1785"/>
        <v>4600</v>
      </c>
      <c r="FS87" s="62"/>
      <c r="FT87" s="63"/>
      <c r="FU87" s="64">
        <f t="shared" si="1786"/>
        <v>0</v>
      </c>
      <c r="FV87" s="65">
        <v>485.35</v>
      </c>
      <c r="FW87" s="63"/>
      <c r="FX87" s="64">
        <f t="shared" si="1787"/>
        <v>485.35</v>
      </c>
      <c r="FY87" s="65"/>
      <c r="FZ87" s="63"/>
      <c r="GA87" s="64">
        <f t="shared" si="1788"/>
        <v>0</v>
      </c>
      <c r="GB87" s="65"/>
      <c r="GC87" s="63"/>
      <c r="GD87" s="64">
        <f t="shared" si="1789"/>
        <v>0</v>
      </c>
      <c r="GE87" s="66">
        <f t="shared" si="1526"/>
        <v>485.35</v>
      </c>
      <c r="GF87" s="67">
        <f t="shared" si="1790"/>
        <v>0</v>
      </c>
      <c r="GG87" s="64">
        <f t="shared" si="1791"/>
        <v>485.35</v>
      </c>
      <c r="GH87" s="62"/>
      <c r="GI87" s="63"/>
      <c r="GJ87" s="64">
        <f t="shared" si="1792"/>
        <v>0</v>
      </c>
      <c r="GK87" s="65">
        <v>660.33</v>
      </c>
      <c r="GL87" s="63"/>
      <c r="GM87" s="64">
        <f t="shared" si="1793"/>
        <v>660.33</v>
      </c>
      <c r="GN87" s="65"/>
      <c r="GO87" s="63"/>
      <c r="GP87" s="64">
        <f t="shared" si="1794"/>
        <v>0</v>
      </c>
      <c r="GQ87" s="65"/>
      <c r="GR87" s="63"/>
      <c r="GS87" s="64">
        <f t="shared" si="1795"/>
        <v>0</v>
      </c>
      <c r="GT87" s="66">
        <f t="shared" si="1533"/>
        <v>660.33</v>
      </c>
      <c r="GU87" s="67">
        <f t="shared" si="1796"/>
        <v>0</v>
      </c>
      <c r="GV87" s="64">
        <f t="shared" si="1797"/>
        <v>660.33</v>
      </c>
      <c r="GW87" s="62"/>
      <c r="GX87" s="63"/>
      <c r="GY87" s="64">
        <f t="shared" si="1798"/>
        <v>0</v>
      </c>
      <c r="GZ87" s="65">
        <v>568.25</v>
      </c>
      <c r="HA87" s="63"/>
      <c r="HB87" s="64">
        <f t="shared" si="1799"/>
        <v>568.25</v>
      </c>
      <c r="HC87" s="65"/>
      <c r="HD87" s="63"/>
      <c r="HE87" s="64">
        <f t="shared" si="1800"/>
        <v>0</v>
      </c>
      <c r="HF87" s="65">
        <v>100</v>
      </c>
      <c r="HG87" s="63"/>
      <c r="HH87" s="64">
        <f t="shared" si="1801"/>
        <v>100</v>
      </c>
      <c r="HI87" s="66">
        <f t="shared" si="1540"/>
        <v>668.25</v>
      </c>
      <c r="HJ87" s="67">
        <f t="shared" si="1802"/>
        <v>0</v>
      </c>
      <c r="HK87" s="64">
        <f t="shared" si="1803"/>
        <v>668.25</v>
      </c>
      <c r="HL87" s="62"/>
      <c r="HM87" s="63"/>
      <c r="HN87" s="64">
        <f t="shared" si="1804"/>
        <v>0</v>
      </c>
      <c r="HO87" s="65"/>
      <c r="HP87" s="63"/>
      <c r="HQ87" s="64">
        <f t="shared" si="1805"/>
        <v>0</v>
      </c>
      <c r="HR87" s="65"/>
      <c r="HS87" s="63"/>
      <c r="HT87" s="64">
        <f t="shared" si="1806"/>
        <v>0</v>
      </c>
      <c r="HU87" s="65">
        <v>100</v>
      </c>
      <c r="HV87" s="63"/>
      <c r="HW87" s="64">
        <f t="shared" si="1807"/>
        <v>100</v>
      </c>
      <c r="HX87" s="66">
        <f t="shared" si="1547"/>
        <v>100</v>
      </c>
      <c r="HY87" s="67">
        <f t="shared" si="1808"/>
        <v>0</v>
      </c>
      <c r="HZ87" s="64">
        <f t="shared" si="1809"/>
        <v>100</v>
      </c>
      <c r="IA87" s="62"/>
      <c r="IB87" s="63"/>
      <c r="IC87" s="64">
        <f t="shared" si="1810"/>
        <v>0</v>
      </c>
      <c r="ID87" s="65"/>
      <c r="IE87" s="63"/>
      <c r="IF87" s="64">
        <f t="shared" si="1811"/>
        <v>0</v>
      </c>
      <c r="IG87" s="65"/>
      <c r="IH87" s="63"/>
      <c r="II87" s="64">
        <f t="shared" si="1812"/>
        <v>0</v>
      </c>
      <c r="IJ87" s="65">
        <v>100</v>
      </c>
      <c r="IK87" s="63"/>
      <c r="IL87" s="64">
        <f t="shared" si="1813"/>
        <v>100</v>
      </c>
      <c r="IM87" s="66">
        <f t="shared" si="1554"/>
        <v>100</v>
      </c>
      <c r="IN87" s="67">
        <f t="shared" si="1814"/>
        <v>0</v>
      </c>
      <c r="IO87" s="64">
        <f t="shared" si="1815"/>
        <v>100</v>
      </c>
      <c r="IP87" s="62"/>
      <c r="IQ87" s="63"/>
      <c r="IR87" s="64">
        <f t="shared" si="1816"/>
        <v>0</v>
      </c>
      <c r="IS87" s="65"/>
      <c r="IT87" s="63"/>
      <c r="IU87" s="64">
        <f t="shared" si="1817"/>
        <v>0</v>
      </c>
      <c r="IV87" s="65"/>
      <c r="IW87" s="63"/>
      <c r="IX87" s="64">
        <f t="shared" si="1818"/>
        <v>0</v>
      </c>
      <c r="IY87" s="65"/>
      <c r="IZ87" s="63"/>
      <c r="JA87" s="64">
        <f t="shared" si="1819"/>
        <v>0</v>
      </c>
      <c r="JB87" s="66">
        <f t="shared" si="1561"/>
        <v>0</v>
      </c>
      <c r="JC87" s="67">
        <f t="shared" si="1820"/>
        <v>0</v>
      </c>
      <c r="JD87" s="64">
        <f t="shared" si="1821"/>
        <v>0</v>
      </c>
      <c r="JE87" s="72"/>
      <c r="JF87" s="150"/>
      <c r="JG87" s="74"/>
      <c r="JH87" s="75"/>
      <c r="JI87" s="150"/>
      <c r="JJ87" s="74"/>
      <c r="JK87" s="75"/>
      <c r="JL87" s="150"/>
      <c r="JM87" s="74"/>
      <c r="JN87" s="75"/>
      <c r="JO87" s="150"/>
      <c r="JP87" s="74"/>
      <c r="JQ87" s="76"/>
      <c r="JR87" s="77"/>
      <c r="JS87" s="74"/>
      <c r="JT87" s="72"/>
      <c r="JU87" s="73"/>
      <c r="JV87" s="74"/>
      <c r="JW87" s="75"/>
      <c r="JX87" s="73"/>
      <c r="JY87" s="74"/>
      <c r="JZ87" s="75"/>
      <c r="KA87" s="73"/>
      <c r="KB87" s="74"/>
      <c r="KC87" s="75"/>
      <c r="KD87" s="73"/>
      <c r="KE87" s="74"/>
      <c r="KF87" s="76"/>
      <c r="KG87" s="77"/>
      <c r="KH87" s="64">
        <f t="shared" si="1822"/>
        <v>0</v>
      </c>
      <c r="KI87" s="62"/>
      <c r="KJ87" s="63"/>
      <c r="KK87" s="64">
        <f t="shared" si="1823"/>
        <v>0</v>
      </c>
      <c r="KL87" s="65"/>
      <c r="KM87" s="63"/>
      <c r="KN87" s="64">
        <f t="shared" si="1824"/>
        <v>0</v>
      </c>
      <c r="KO87" s="65"/>
      <c r="KP87" s="63"/>
      <c r="KQ87" s="64">
        <f t="shared" si="1825"/>
        <v>0</v>
      </c>
      <c r="KR87" s="65"/>
      <c r="KS87" s="63"/>
      <c r="KT87" s="64">
        <f t="shared" si="1826"/>
        <v>0</v>
      </c>
      <c r="KU87" s="66">
        <f t="shared" si="1439"/>
        <v>0</v>
      </c>
      <c r="KV87" s="67">
        <f t="shared" si="1827"/>
        <v>0</v>
      </c>
      <c r="KW87" s="64">
        <f t="shared" si="1828"/>
        <v>0</v>
      </c>
      <c r="KX87" s="72"/>
      <c r="KY87" s="73"/>
      <c r="KZ87" s="74"/>
      <c r="LA87" s="75"/>
      <c r="LB87" s="73"/>
      <c r="LC87" s="74"/>
      <c r="LD87" s="75"/>
      <c r="LE87" s="73"/>
      <c r="LF87" s="74"/>
      <c r="LG87" s="75"/>
      <c r="LH87" s="73"/>
      <c r="LI87" s="74"/>
      <c r="LJ87" s="76"/>
      <c r="LK87" s="77"/>
      <c r="LL87" s="74"/>
      <c r="LM87" s="62"/>
      <c r="LN87" s="63"/>
      <c r="LO87" s="64">
        <f t="shared" si="1829"/>
        <v>0</v>
      </c>
      <c r="LP87" s="65"/>
      <c r="LQ87" s="63"/>
      <c r="LR87" s="64">
        <f t="shared" si="1830"/>
        <v>0</v>
      </c>
      <c r="LS87" s="65"/>
      <c r="LT87" s="63"/>
      <c r="LU87" s="64">
        <f t="shared" si="1831"/>
        <v>0</v>
      </c>
      <c r="LV87" s="65">
        <v>100</v>
      </c>
      <c r="LW87" s="63"/>
      <c r="LX87" s="64">
        <f t="shared" si="1832"/>
        <v>100</v>
      </c>
      <c r="LY87" s="66">
        <f t="shared" si="1575"/>
        <v>100</v>
      </c>
      <c r="LZ87" s="67">
        <f t="shared" si="1833"/>
        <v>0</v>
      </c>
      <c r="MA87" s="64">
        <f t="shared" si="1834"/>
        <v>100</v>
      </c>
      <c r="MB87" s="62"/>
      <c r="MC87" s="63"/>
      <c r="MD87" s="64">
        <f t="shared" si="1835"/>
        <v>0</v>
      </c>
      <c r="ME87" s="65">
        <v>889.11</v>
      </c>
      <c r="MF87" s="63"/>
      <c r="MG87" s="64">
        <f t="shared" si="1836"/>
        <v>889.11</v>
      </c>
      <c r="MH87" s="65"/>
      <c r="MI87" s="63"/>
      <c r="MJ87" s="64">
        <f t="shared" si="1837"/>
        <v>0</v>
      </c>
      <c r="MK87" s="65">
        <v>100</v>
      </c>
      <c r="ML87" s="63"/>
      <c r="MM87" s="64">
        <f t="shared" si="1838"/>
        <v>100</v>
      </c>
      <c r="MN87" s="66">
        <f t="shared" si="1582"/>
        <v>989.11</v>
      </c>
      <c r="MO87" s="67">
        <f t="shared" si="1839"/>
        <v>0</v>
      </c>
      <c r="MP87" s="64">
        <f t="shared" si="1840"/>
        <v>989.11</v>
      </c>
      <c r="MQ87" s="62"/>
      <c r="MR87" s="63"/>
      <c r="MS87" s="64">
        <f t="shared" si="1841"/>
        <v>0</v>
      </c>
      <c r="MT87" s="65"/>
      <c r="MU87" s="63"/>
      <c r="MV87" s="64">
        <f t="shared" si="1842"/>
        <v>0</v>
      </c>
      <c r="MW87" s="65"/>
      <c r="MX87" s="63"/>
      <c r="MY87" s="64">
        <f t="shared" si="1843"/>
        <v>0</v>
      </c>
      <c r="MZ87" s="65"/>
      <c r="NA87" s="63"/>
      <c r="NB87" s="64">
        <f t="shared" si="1844"/>
        <v>0</v>
      </c>
      <c r="NC87" s="66">
        <f t="shared" si="1589"/>
        <v>0</v>
      </c>
      <c r="ND87" s="67">
        <f t="shared" si="1845"/>
        <v>0</v>
      </c>
      <c r="NE87" s="64">
        <f t="shared" si="1846"/>
        <v>0</v>
      </c>
      <c r="NF87" s="62"/>
      <c r="NG87" s="63"/>
      <c r="NH87" s="64">
        <f t="shared" si="1847"/>
        <v>0</v>
      </c>
      <c r="NI87" s="65">
        <v>1164.04</v>
      </c>
      <c r="NJ87" s="63"/>
      <c r="NK87" s="64">
        <f t="shared" si="1848"/>
        <v>1164.04</v>
      </c>
      <c r="NL87" s="65"/>
      <c r="NM87" s="63"/>
      <c r="NN87" s="64">
        <f t="shared" si="1849"/>
        <v>0</v>
      </c>
      <c r="NO87" s="65">
        <v>100</v>
      </c>
      <c r="NP87" s="63"/>
      <c r="NQ87" s="64">
        <f t="shared" si="1850"/>
        <v>100</v>
      </c>
      <c r="NR87" s="66">
        <f t="shared" si="1596"/>
        <v>1264.04</v>
      </c>
      <c r="NS87" s="67">
        <f t="shared" si="1851"/>
        <v>0</v>
      </c>
      <c r="NT87" s="64">
        <f t="shared" si="1852"/>
        <v>1264.04</v>
      </c>
      <c r="NU87" s="62"/>
      <c r="NV87" s="63"/>
      <c r="NW87" s="64">
        <f t="shared" si="1853"/>
        <v>0</v>
      </c>
      <c r="NX87" s="65">
        <v>1152.73</v>
      </c>
      <c r="NY87" s="63"/>
      <c r="NZ87" s="64">
        <f t="shared" si="1854"/>
        <v>1152.73</v>
      </c>
      <c r="OA87" s="65"/>
      <c r="OB87" s="63"/>
      <c r="OC87" s="64">
        <f t="shared" si="1855"/>
        <v>0</v>
      </c>
      <c r="OD87" s="65">
        <v>100</v>
      </c>
      <c r="OE87" s="63"/>
      <c r="OF87" s="64">
        <f t="shared" si="1856"/>
        <v>100</v>
      </c>
      <c r="OG87" s="66">
        <f t="shared" si="1603"/>
        <v>1252.73</v>
      </c>
      <c r="OH87" s="67">
        <f t="shared" si="1857"/>
        <v>0</v>
      </c>
      <c r="OI87" s="64">
        <f t="shared" si="1858"/>
        <v>1252.73</v>
      </c>
      <c r="OJ87" s="62"/>
      <c r="OK87" s="63"/>
      <c r="OL87" s="64">
        <f t="shared" si="1859"/>
        <v>0</v>
      </c>
      <c r="OM87" s="65"/>
      <c r="ON87" s="63"/>
      <c r="OO87" s="64">
        <f t="shared" si="1860"/>
        <v>0</v>
      </c>
      <c r="OP87" s="65"/>
      <c r="OQ87" s="63"/>
      <c r="OR87" s="64">
        <f t="shared" si="1861"/>
        <v>0</v>
      </c>
      <c r="OS87" s="65">
        <v>100</v>
      </c>
      <c r="OT87" s="63"/>
      <c r="OU87" s="64">
        <f t="shared" si="1862"/>
        <v>100</v>
      </c>
      <c r="OV87" s="66">
        <f t="shared" si="1610"/>
        <v>100</v>
      </c>
      <c r="OW87" s="67">
        <f t="shared" si="1863"/>
        <v>0</v>
      </c>
      <c r="OX87" s="64">
        <f t="shared" si="1864"/>
        <v>100</v>
      </c>
      <c r="OY87" s="62"/>
      <c r="OZ87" s="63"/>
      <c r="PA87" s="64">
        <f t="shared" si="1865"/>
        <v>0</v>
      </c>
      <c r="PB87" s="65"/>
      <c r="PC87" s="63"/>
      <c r="PD87" s="64">
        <f t="shared" si="1866"/>
        <v>0</v>
      </c>
      <c r="PE87" s="65"/>
      <c r="PF87" s="63"/>
      <c r="PG87" s="64">
        <f t="shared" si="1867"/>
        <v>0</v>
      </c>
      <c r="PH87" s="65">
        <v>100</v>
      </c>
      <c r="PI87" s="63"/>
      <c r="PJ87" s="64">
        <f t="shared" si="1868"/>
        <v>100</v>
      </c>
      <c r="PK87" s="66">
        <f t="shared" si="1617"/>
        <v>100</v>
      </c>
      <c r="PL87" s="67">
        <f t="shared" si="1869"/>
        <v>0</v>
      </c>
      <c r="PM87" s="64">
        <f t="shared" si="1870"/>
        <v>100</v>
      </c>
      <c r="PN87" s="62">
        <v>1550</v>
      </c>
      <c r="PO87" s="63"/>
      <c r="PP87" s="64">
        <f t="shared" si="1871"/>
        <v>1550</v>
      </c>
      <c r="PQ87" s="65"/>
      <c r="PR87" s="63"/>
      <c r="PS87" s="64">
        <f t="shared" si="1872"/>
        <v>0</v>
      </c>
      <c r="PT87" s="65"/>
      <c r="PU87" s="63"/>
      <c r="PV87" s="64">
        <f t="shared" si="1873"/>
        <v>0</v>
      </c>
      <c r="PW87" s="65">
        <v>100</v>
      </c>
      <c r="PX87" s="63"/>
      <c r="PY87" s="64">
        <f t="shared" si="1874"/>
        <v>100</v>
      </c>
      <c r="PZ87" s="66">
        <f t="shared" si="1624"/>
        <v>1650</v>
      </c>
      <c r="QA87" s="67">
        <f t="shared" si="1875"/>
        <v>0</v>
      </c>
      <c r="QB87" s="64">
        <f t="shared" si="1876"/>
        <v>1650</v>
      </c>
      <c r="QC87" s="62"/>
      <c r="QD87" s="63"/>
      <c r="QE87" s="64">
        <f t="shared" si="1877"/>
        <v>0</v>
      </c>
      <c r="QF87" s="65"/>
      <c r="QG87" s="63"/>
      <c r="QH87" s="64">
        <f t="shared" si="1878"/>
        <v>0</v>
      </c>
      <c r="QI87" s="65"/>
      <c r="QJ87" s="63"/>
      <c r="QK87" s="64">
        <f t="shared" si="1879"/>
        <v>0</v>
      </c>
      <c r="QL87" s="65">
        <v>100</v>
      </c>
      <c r="QM87" s="63"/>
      <c r="QN87" s="64">
        <f t="shared" si="1880"/>
        <v>100</v>
      </c>
      <c r="QO87" s="66">
        <f t="shared" si="1631"/>
        <v>100</v>
      </c>
      <c r="QP87" s="67">
        <f t="shared" si="1881"/>
        <v>0</v>
      </c>
      <c r="QQ87" s="64">
        <f t="shared" si="1882"/>
        <v>100</v>
      </c>
      <c r="QR87" s="74"/>
      <c r="QS87" s="74"/>
      <c r="QT87" s="72"/>
      <c r="QU87" s="73"/>
      <c r="QV87" s="74"/>
      <c r="QW87" s="75"/>
      <c r="QX87" s="73"/>
      <c r="QY87" s="74"/>
      <c r="QZ87" s="75"/>
      <c r="RA87" s="73"/>
      <c r="RB87" s="74"/>
      <c r="RC87" s="75"/>
      <c r="RD87" s="73"/>
      <c r="RE87" s="74"/>
      <c r="RF87" s="74"/>
      <c r="RG87" s="72"/>
      <c r="RH87" s="73"/>
      <c r="RI87" s="74"/>
      <c r="RJ87" s="75"/>
      <c r="RK87" s="73"/>
      <c r="RL87" s="74"/>
      <c r="RM87" s="75"/>
      <c r="RN87" s="73"/>
      <c r="RO87" s="74"/>
      <c r="RP87" s="75"/>
      <c r="RQ87" s="73"/>
      <c r="RR87" s="74"/>
      <c r="RS87" s="76"/>
      <c r="RT87" s="77"/>
      <c r="RU87" s="74"/>
      <c r="RV87" s="74"/>
      <c r="RW87" s="72"/>
      <c r="RX87" s="73"/>
      <c r="RY87" s="74"/>
      <c r="RZ87" s="75"/>
      <c r="SA87" s="73"/>
      <c r="SB87" s="74"/>
      <c r="SC87" s="75"/>
      <c r="SD87" s="73"/>
      <c r="SE87" s="74"/>
      <c r="SF87" s="75"/>
      <c r="SG87" s="73"/>
      <c r="SH87" s="74"/>
      <c r="SI87" s="76"/>
      <c r="SJ87" s="64">
        <f t="shared" si="1883"/>
        <v>0</v>
      </c>
      <c r="SK87" s="62"/>
      <c r="SL87" s="63"/>
      <c r="SM87" s="64">
        <f t="shared" si="1884"/>
        <v>0</v>
      </c>
      <c r="SN87" s="65"/>
      <c r="SO87" s="63"/>
      <c r="SP87" s="64">
        <f t="shared" si="1885"/>
        <v>0</v>
      </c>
      <c r="SQ87" s="65"/>
      <c r="SR87" s="63"/>
      <c r="SS87" s="64">
        <f t="shared" si="1886"/>
        <v>0</v>
      </c>
      <c r="ST87" s="65">
        <v>100</v>
      </c>
      <c r="SU87" s="63"/>
      <c r="SV87" s="64">
        <f t="shared" si="1887"/>
        <v>100</v>
      </c>
      <c r="SW87" s="66">
        <f t="shared" si="1639"/>
        <v>100</v>
      </c>
      <c r="SX87" s="67">
        <f t="shared" si="1888"/>
        <v>0</v>
      </c>
      <c r="SY87" s="64">
        <f t="shared" si="1889"/>
        <v>100</v>
      </c>
      <c r="SZ87" s="62">
        <v>985.33</v>
      </c>
      <c r="TA87" s="63"/>
      <c r="TB87" s="64">
        <f t="shared" si="1890"/>
        <v>985.33</v>
      </c>
      <c r="TC87" s="65">
        <v>700.9</v>
      </c>
      <c r="TD87" s="63"/>
      <c r="TE87" s="64">
        <f t="shared" si="1891"/>
        <v>700.9</v>
      </c>
      <c r="TF87" s="65"/>
      <c r="TG87" s="63"/>
      <c r="TH87" s="64">
        <f t="shared" si="1892"/>
        <v>0</v>
      </c>
      <c r="TI87" s="65">
        <v>100</v>
      </c>
      <c r="TJ87" s="63"/>
      <c r="TK87" s="64">
        <f t="shared" si="1893"/>
        <v>100</v>
      </c>
      <c r="TL87" s="66">
        <f t="shared" si="1646"/>
        <v>1786.23</v>
      </c>
      <c r="TM87" s="67">
        <f t="shared" si="1894"/>
        <v>0</v>
      </c>
      <c r="TN87" s="64">
        <f t="shared" si="1895"/>
        <v>1786.23</v>
      </c>
      <c r="TO87" s="62"/>
      <c r="TP87" s="63"/>
      <c r="TQ87" s="64">
        <f t="shared" si="1896"/>
        <v>0</v>
      </c>
      <c r="TR87" s="65"/>
      <c r="TS87" s="63"/>
      <c r="TT87" s="64">
        <f t="shared" si="1897"/>
        <v>0</v>
      </c>
      <c r="TU87" s="65"/>
      <c r="TV87" s="63"/>
      <c r="TW87" s="64">
        <f t="shared" si="1898"/>
        <v>0</v>
      </c>
      <c r="TX87" s="65">
        <v>100</v>
      </c>
      <c r="TY87" s="63"/>
      <c r="TZ87" s="64">
        <f t="shared" si="1899"/>
        <v>100</v>
      </c>
      <c r="UA87" s="66">
        <f t="shared" si="1653"/>
        <v>100</v>
      </c>
      <c r="UB87" s="67">
        <f t="shared" si="1900"/>
        <v>0</v>
      </c>
      <c r="UC87" s="64">
        <f t="shared" si="1901"/>
        <v>100</v>
      </c>
      <c r="UD87" s="62">
        <v>1125</v>
      </c>
      <c r="UE87" s="63"/>
      <c r="UF87" s="64">
        <f t="shared" si="1902"/>
        <v>1125</v>
      </c>
      <c r="UG87" s="65">
        <v>497.04</v>
      </c>
      <c r="UH87" s="63"/>
      <c r="UI87" s="64">
        <f t="shared" si="1903"/>
        <v>497.04</v>
      </c>
      <c r="UJ87" s="65"/>
      <c r="UK87" s="63"/>
      <c r="UL87" s="64">
        <f t="shared" si="1904"/>
        <v>0</v>
      </c>
      <c r="UM87" s="65">
        <v>100</v>
      </c>
      <c r="UN87" s="63"/>
      <c r="UO87" s="64">
        <f t="shared" si="1905"/>
        <v>100</v>
      </c>
      <c r="UP87" s="66">
        <f t="shared" si="1660"/>
        <v>1722.04</v>
      </c>
      <c r="UQ87" s="67">
        <f t="shared" si="1906"/>
        <v>0</v>
      </c>
      <c r="UR87" s="64">
        <f t="shared" si="1907"/>
        <v>1722.04</v>
      </c>
      <c r="US87" s="74"/>
      <c r="UT87" s="72"/>
      <c r="UU87" s="73"/>
      <c r="UV87" s="74"/>
      <c r="UW87" s="75"/>
      <c r="UX87" s="73"/>
      <c r="UY87" s="74"/>
      <c r="UZ87" s="75"/>
      <c r="VA87" s="73"/>
      <c r="VB87" s="74"/>
      <c r="VC87" s="75"/>
      <c r="VD87" s="73"/>
      <c r="VE87" s="74"/>
      <c r="VF87" s="76"/>
      <c r="VG87" s="77"/>
      <c r="VH87" s="62"/>
      <c r="VI87" s="63"/>
      <c r="VJ87" s="64">
        <f t="shared" si="1908"/>
        <v>0</v>
      </c>
      <c r="VK87" s="65"/>
      <c r="VL87" s="63"/>
      <c r="VM87" s="64">
        <f t="shared" si="1909"/>
        <v>0</v>
      </c>
      <c r="VN87" s="65"/>
      <c r="VO87" s="63"/>
      <c r="VP87" s="64">
        <f t="shared" si="1910"/>
        <v>0</v>
      </c>
      <c r="VQ87" s="65">
        <v>100</v>
      </c>
      <c r="VR87" s="63"/>
      <c r="VS87" s="64">
        <f t="shared" si="1911"/>
        <v>100</v>
      </c>
      <c r="VT87" s="66">
        <f t="shared" si="1667"/>
        <v>100</v>
      </c>
      <c r="VU87" s="67">
        <f t="shared" si="1912"/>
        <v>0</v>
      </c>
      <c r="VV87" s="64">
        <f t="shared" si="1913"/>
        <v>100</v>
      </c>
      <c r="VW87" s="74"/>
      <c r="VX87" s="72"/>
      <c r="VY87" s="73"/>
      <c r="VZ87" s="74"/>
      <c r="WA87" s="75"/>
      <c r="WB87" s="73"/>
      <c r="WC87" s="74"/>
      <c r="WD87" s="75"/>
      <c r="WE87" s="73"/>
      <c r="WF87" s="74"/>
      <c r="WG87" s="75"/>
      <c r="WH87" s="73"/>
      <c r="WI87" s="74"/>
      <c r="WJ87" s="76"/>
      <c r="WK87" s="77"/>
      <c r="WL87" s="74"/>
      <c r="WM87" s="72"/>
      <c r="WN87" s="73"/>
      <c r="WO87" s="74"/>
      <c r="WP87" s="75"/>
      <c r="WQ87" s="73"/>
      <c r="WR87" s="74"/>
      <c r="WS87" s="75"/>
      <c r="WT87" s="73"/>
      <c r="WU87" s="74"/>
      <c r="WV87" s="75"/>
      <c r="WW87" s="73"/>
      <c r="WX87" s="74"/>
      <c r="WY87" s="76"/>
      <c r="WZ87" s="77"/>
      <c r="XA87" s="74"/>
      <c r="XB87" s="72"/>
      <c r="XC87" s="73"/>
      <c r="XD87" s="74"/>
      <c r="XE87" s="75"/>
      <c r="XF87" s="73"/>
      <c r="XG87" s="74"/>
      <c r="XH87" s="75"/>
      <c r="XI87" s="73"/>
      <c r="XJ87" s="74"/>
      <c r="XK87" s="75"/>
      <c r="XL87" s="73"/>
      <c r="XM87" s="74"/>
      <c r="XN87" s="76"/>
      <c r="XO87" s="77"/>
      <c r="XP87" s="62"/>
      <c r="XQ87" s="63"/>
      <c r="XR87" s="64">
        <f t="shared" si="1914"/>
        <v>0</v>
      </c>
      <c r="XS87" s="65">
        <v>844.24</v>
      </c>
      <c r="XT87" s="63"/>
      <c r="XU87" s="64">
        <f t="shared" si="1915"/>
        <v>844.24</v>
      </c>
      <c r="XV87" s="65"/>
      <c r="XW87" s="63"/>
      <c r="XX87" s="64">
        <f t="shared" si="1916"/>
        <v>0</v>
      </c>
      <c r="XY87" s="65">
        <v>100</v>
      </c>
      <c r="XZ87" s="63"/>
      <c r="YA87" s="64">
        <f t="shared" si="1917"/>
        <v>100</v>
      </c>
      <c r="YB87" s="66">
        <f t="shared" si="1674"/>
        <v>944.24</v>
      </c>
      <c r="YC87" s="67">
        <f t="shared" si="1918"/>
        <v>0</v>
      </c>
      <c r="YD87" s="64">
        <f t="shared" si="1919"/>
        <v>944.24</v>
      </c>
      <c r="YE87" s="62"/>
      <c r="YF87" s="63"/>
      <c r="YG87" s="64">
        <f t="shared" si="1920"/>
        <v>0</v>
      </c>
      <c r="YH87" s="65">
        <v>847.85</v>
      </c>
      <c r="YI87" s="63"/>
      <c r="YJ87" s="64">
        <f t="shared" si="1921"/>
        <v>847.85</v>
      </c>
      <c r="YK87" s="65"/>
      <c r="YL87" s="63"/>
      <c r="YM87" s="64">
        <f t="shared" si="1922"/>
        <v>0</v>
      </c>
      <c r="YN87" s="65">
        <v>100</v>
      </c>
      <c r="YO87" s="63"/>
      <c r="YP87" s="64">
        <f t="shared" si="1923"/>
        <v>100</v>
      </c>
      <c r="YQ87" s="66">
        <f t="shared" si="1681"/>
        <v>947.85</v>
      </c>
      <c r="YR87" s="67">
        <f t="shared" si="1924"/>
        <v>0</v>
      </c>
      <c r="YS87" s="64">
        <f t="shared" si="1925"/>
        <v>947.85</v>
      </c>
      <c r="YT87" s="62"/>
      <c r="YU87" s="63"/>
      <c r="YV87" s="64">
        <f t="shared" si="1926"/>
        <v>0</v>
      </c>
      <c r="YW87" s="65">
        <v>695.73</v>
      </c>
      <c r="YX87" s="63"/>
      <c r="YY87" s="64">
        <f t="shared" si="1927"/>
        <v>695.73</v>
      </c>
      <c r="YZ87" s="65"/>
      <c r="ZA87" s="63"/>
      <c r="ZB87" s="64">
        <f t="shared" si="1928"/>
        <v>0</v>
      </c>
      <c r="ZC87" s="65">
        <v>100</v>
      </c>
      <c r="ZD87" s="63"/>
      <c r="ZE87" s="64">
        <f t="shared" si="1929"/>
        <v>100</v>
      </c>
      <c r="ZF87" s="66">
        <f t="shared" si="1688"/>
        <v>795.73</v>
      </c>
      <c r="ZG87" s="67">
        <f t="shared" si="1930"/>
        <v>0</v>
      </c>
      <c r="ZH87" s="74"/>
      <c r="ZI87" s="72"/>
      <c r="ZJ87" s="73"/>
      <c r="ZK87" s="74"/>
      <c r="ZL87" s="75"/>
      <c r="ZM87" s="73"/>
      <c r="ZN87" s="74"/>
      <c r="ZO87" s="75"/>
      <c r="ZP87" s="73"/>
      <c r="ZQ87" s="74"/>
      <c r="ZR87" s="75"/>
      <c r="ZS87" s="73"/>
      <c r="ZT87" s="74"/>
      <c r="ZU87" s="76"/>
      <c r="ZV87" s="77"/>
      <c r="ZW87" s="64">
        <f t="shared" si="1931"/>
        <v>0</v>
      </c>
      <c r="ZX87" s="62">
        <v>24.71</v>
      </c>
      <c r="ZY87" s="63"/>
      <c r="ZZ87" s="64">
        <f t="shared" si="1932"/>
        <v>24.71</v>
      </c>
      <c r="AAA87" s="66">
        <f t="shared" si="1692"/>
        <v>24.71</v>
      </c>
      <c r="AAB87" s="67">
        <f t="shared" si="1692"/>
        <v>0</v>
      </c>
      <c r="AAC87" s="64">
        <f t="shared" si="1933"/>
        <v>24.71</v>
      </c>
      <c r="AAD87" s="85">
        <f t="shared" si="1694"/>
        <v>37170.380000000005</v>
      </c>
      <c r="AAE87" s="86">
        <f t="shared" si="1694"/>
        <v>0</v>
      </c>
      <c r="AAF87" s="87">
        <f t="shared" si="1457"/>
        <v>0</v>
      </c>
      <c r="AAG87" s="88">
        <f t="shared" si="1934"/>
        <v>-37170.380000000005</v>
      </c>
      <c r="AAH87" s="58" t="s">
        <v>145</v>
      </c>
      <c r="AAI87" s="59"/>
      <c r="AAJ87" s="59"/>
      <c r="AAK87" s="60"/>
    </row>
    <row r="88" spans="1:713" s="83" customFormat="1" ht="20" customHeight="1" x14ac:dyDescent="0.2">
      <c r="A88" s="152"/>
      <c r="B88" s="58"/>
      <c r="C88" s="59"/>
      <c r="D88" s="59"/>
      <c r="E88" s="60"/>
      <c r="F88" s="61">
        <v>46905</v>
      </c>
      <c r="G88" s="62"/>
      <c r="H88" s="63"/>
      <c r="I88" s="64">
        <f t="shared" si="1730"/>
        <v>0</v>
      </c>
      <c r="J88" s="65">
        <v>2485.8200000000002</v>
      </c>
      <c r="K88" s="63"/>
      <c r="L88" s="64">
        <f t="shared" si="1731"/>
        <v>2485.8200000000002</v>
      </c>
      <c r="M88" s="65">
        <v>2500</v>
      </c>
      <c r="N88" s="63"/>
      <c r="O88" s="64">
        <f t="shared" si="1732"/>
        <v>2500</v>
      </c>
      <c r="P88" s="65">
        <v>1000</v>
      </c>
      <c r="Q88" s="63"/>
      <c r="R88" s="64">
        <f t="shared" si="1733"/>
        <v>1000</v>
      </c>
      <c r="S88" s="65">
        <v>362</v>
      </c>
      <c r="T88" s="63"/>
      <c r="U88" s="64">
        <f t="shared" si="1734"/>
        <v>362</v>
      </c>
      <c r="V88" s="66">
        <f t="shared" si="1735"/>
        <v>6347.82</v>
      </c>
      <c r="W88" s="67">
        <f t="shared" si="1735"/>
        <v>0</v>
      </c>
      <c r="X88" s="64">
        <f t="shared" si="1736"/>
        <v>6347.82</v>
      </c>
      <c r="Y88" s="72"/>
      <c r="Z88" s="73"/>
      <c r="AA88" s="74"/>
      <c r="AB88" s="75"/>
      <c r="AC88" s="73"/>
      <c r="AD88" s="74"/>
      <c r="AE88" s="75"/>
      <c r="AF88" s="73"/>
      <c r="AG88" s="74"/>
      <c r="AH88" s="75"/>
      <c r="AI88" s="73"/>
      <c r="AJ88" s="74"/>
      <c r="AK88" s="76"/>
      <c r="AL88" s="77"/>
      <c r="AM88" s="64">
        <f t="shared" si="1737"/>
        <v>0</v>
      </c>
      <c r="AN88" s="62">
        <v>6250</v>
      </c>
      <c r="AO88" s="63"/>
      <c r="AP88" s="64">
        <f t="shared" si="1935"/>
        <v>6250</v>
      </c>
      <c r="AQ88" s="65"/>
      <c r="AR88" s="63"/>
      <c r="AS88" s="64">
        <f t="shared" si="1738"/>
        <v>0</v>
      </c>
      <c r="AT88" s="65"/>
      <c r="AU88" s="63"/>
      <c r="AV88" s="64">
        <f t="shared" si="1739"/>
        <v>0</v>
      </c>
      <c r="AW88" s="65"/>
      <c r="AX88" s="63"/>
      <c r="AY88" s="64">
        <f t="shared" si="1740"/>
        <v>0</v>
      </c>
      <c r="AZ88" s="66">
        <f t="shared" si="1469"/>
        <v>6250</v>
      </c>
      <c r="BA88" s="67">
        <f t="shared" si="1741"/>
        <v>0</v>
      </c>
      <c r="BB88" s="64">
        <f t="shared" si="1742"/>
        <v>6250</v>
      </c>
      <c r="BC88" s="62">
        <v>6150</v>
      </c>
      <c r="BD88" s="63"/>
      <c r="BE88" s="64">
        <f t="shared" si="1743"/>
        <v>6150</v>
      </c>
      <c r="BF88" s="65"/>
      <c r="BG88" s="63"/>
      <c r="BH88" s="64">
        <f t="shared" si="1744"/>
        <v>0</v>
      </c>
      <c r="BI88" s="65"/>
      <c r="BJ88" s="63"/>
      <c r="BK88" s="64">
        <f t="shared" si="1745"/>
        <v>0</v>
      </c>
      <c r="BL88" s="65">
        <v>100</v>
      </c>
      <c r="BM88" s="63"/>
      <c r="BN88" s="64">
        <f t="shared" si="1746"/>
        <v>100</v>
      </c>
      <c r="BO88" s="66">
        <f t="shared" si="1476"/>
        <v>6250</v>
      </c>
      <c r="BP88" s="67">
        <f t="shared" si="1747"/>
        <v>0</v>
      </c>
      <c r="BQ88" s="64">
        <f t="shared" si="1748"/>
        <v>6250</v>
      </c>
      <c r="BR88" s="72"/>
      <c r="BS88" s="73"/>
      <c r="BT88" s="74"/>
      <c r="BU88" s="75"/>
      <c r="BV88" s="73"/>
      <c r="BW88" s="74"/>
      <c r="BX88" s="75"/>
      <c r="BY88" s="73"/>
      <c r="BZ88" s="74"/>
      <c r="CA88" s="75"/>
      <c r="CB88" s="73"/>
      <c r="CC88" s="74"/>
      <c r="CD88" s="76"/>
      <c r="CE88" s="77"/>
      <c r="CF88" s="64">
        <f t="shared" si="1749"/>
        <v>0</v>
      </c>
      <c r="CG88" s="62">
        <v>5000</v>
      </c>
      <c r="CH88" s="63"/>
      <c r="CI88" s="64">
        <f t="shared" si="1750"/>
        <v>5000</v>
      </c>
      <c r="CJ88" s="65"/>
      <c r="CK88" s="63"/>
      <c r="CL88" s="64">
        <f t="shared" si="1751"/>
        <v>0</v>
      </c>
      <c r="CM88" s="65"/>
      <c r="CN88" s="63"/>
      <c r="CO88" s="64">
        <f t="shared" si="1752"/>
        <v>0</v>
      </c>
      <c r="CP88" s="65"/>
      <c r="CQ88" s="63"/>
      <c r="CR88" s="64">
        <f t="shared" si="1753"/>
        <v>0</v>
      </c>
      <c r="CS88" s="66">
        <f t="shared" si="1484"/>
        <v>5000</v>
      </c>
      <c r="CT88" s="67">
        <f t="shared" si="1754"/>
        <v>0</v>
      </c>
      <c r="CU88" s="64">
        <f t="shared" si="1755"/>
        <v>5000</v>
      </c>
      <c r="CV88" s="62">
        <v>2916.7</v>
      </c>
      <c r="CW88" s="63"/>
      <c r="CX88" s="64">
        <f t="shared" si="1756"/>
        <v>2916.7</v>
      </c>
      <c r="CY88" s="65">
        <v>429.15</v>
      </c>
      <c r="CZ88" s="63"/>
      <c r="DA88" s="64">
        <f t="shared" si="1757"/>
        <v>429.15</v>
      </c>
      <c r="DB88" s="65"/>
      <c r="DC88" s="63"/>
      <c r="DD88" s="64">
        <f t="shared" si="1758"/>
        <v>0</v>
      </c>
      <c r="DE88" s="65"/>
      <c r="DF88" s="63"/>
      <c r="DG88" s="64">
        <f t="shared" si="1759"/>
        <v>0</v>
      </c>
      <c r="DH88" s="66">
        <f t="shared" si="1491"/>
        <v>3345.85</v>
      </c>
      <c r="DI88" s="67">
        <f t="shared" si="1760"/>
        <v>0</v>
      </c>
      <c r="DJ88" s="64">
        <f t="shared" si="1761"/>
        <v>3345.85</v>
      </c>
      <c r="DK88" s="62">
        <v>2400</v>
      </c>
      <c r="DL88" s="63"/>
      <c r="DM88" s="64">
        <f t="shared" si="1762"/>
        <v>2400</v>
      </c>
      <c r="DN88" s="65">
        <v>913.08</v>
      </c>
      <c r="DO88" s="63"/>
      <c r="DP88" s="64">
        <f t="shared" si="1763"/>
        <v>913.08</v>
      </c>
      <c r="DQ88" s="65"/>
      <c r="DR88" s="63"/>
      <c r="DS88" s="64">
        <f t="shared" si="1764"/>
        <v>0</v>
      </c>
      <c r="DT88" s="65">
        <v>100</v>
      </c>
      <c r="DU88" s="63"/>
      <c r="DV88" s="64">
        <f t="shared" si="1765"/>
        <v>100</v>
      </c>
      <c r="DW88" s="66">
        <f t="shared" si="1498"/>
        <v>3413.08</v>
      </c>
      <c r="DX88" s="67">
        <f t="shared" si="1766"/>
        <v>0</v>
      </c>
      <c r="DY88" s="64">
        <f t="shared" si="1767"/>
        <v>3413.08</v>
      </c>
      <c r="DZ88" s="62"/>
      <c r="EA88" s="63"/>
      <c r="EB88" s="64">
        <f t="shared" si="1768"/>
        <v>0</v>
      </c>
      <c r="EC88" s="65"/>
      <c r="ED88" s="63"/>
      <c r="EE88" s="64">
        <f t="shared" si="1769"/>
        <v>0</v>
      </c>
      <c r="EF88" s="65"/>
      <c r="EG88" s="63"/>
      <c r="EH88" s="64">
        <f t="shared" si="1770"/>
        <v>0</v>
      </c>
      <c r="EI88" s="65">
        <v>100</v>
      </c>
      <c r="EJ88" s="63"/>
      <c r="EK88" s="64">
        <f t="shared" si="1771"/>
        <v>100</v>
      </c>
      <c r="EL88" s="66">
        <f t="shared" si="1505"/>
        <v>100</v>
      </c>
      <c r="EM88" s="67">
        <f t="shared" si="1772"/>
        <v>0</v>
      </c>
      <c r="EN88" s="64">
        <f t="shared" si="1773"/>
        <v>100</v>
      </c>
      <c r="EO88" s="62">
        <v>6150</v>
      </c>
      <c r="EP88" s="63"/>
      <c r="EQ88" s="64">
        <f t="shared" si="1774"/>
        <v>6150</v>
      </c>
      <c r="ER88" s="65"/>
      <c r="ES88" s="63"/>
      <c r="ET88" s="64">
        <f t="shared" si="1775"/>
        <v>0</v>
      </c>
      <c r="EU88" s="65"/>
      <c r="EV88" s="63"/>
      <c r="EW88" s="64">
        <f t="shared" si="1776"/>
        <v>0</v>
      </c>
      <c r="EX88" s="65">
        <v>100</v>
      </c>
      <c r="EY88" s="63"/>
      <c r="EZ88" s="64">
        <f t="shared" si="1777"/>
        <v>100</v>
      </c>
      <c r="FA88" s="66">
        <f t="shared" si="1512"/>
        <v>6250</v>
      </c>
      <c r="FB88" s="67">
        <f t="shared" si="1778"/>
        <v>0</v>
      </c>
      <c r="FC88" s="64">
        <f t="shared" si="1779"/>
        <v>6250</v>
      </c>
      <c r="FD88" s="62">
        <v>6150</v>
      </c>
      <c r="FE88" s="63"/>
      <c r="FF88" s="64">
        <f t="shared" si="1780"/>
        <v>6150</v>
      </c>
      <c r="FG88" s="65"/>
      <c r="FH88" s="63"/>
      <c r="FI88" s="64">
        <f t="shared" si="1781"/>
        <v>0</v>
      </c>
      <c r="FJ88" s="65"/>
      <c r="FK88" s="63"/>
      <c r="FL88" s="64">
        <f t="shared" si="1782"/>
        <v>0</v>
      </c>
      <c r="FM88" s="65">
        <v>100</v>
      </c>
      <c r="FN88" s="63"/>
      <c r="FO88" s="64">
        <f t="shared" si="1783"/>
        <v>100</v>
      </c>
      <c r="FP88" s="66">
        <f t="shared" si="1519"/>
        <v>6250</v>
      </c>
      <c r="FQ88" s="67">
        <f t="shared" si="1784"/>
        <v>0</v>
      </c>
      <c r="FR88" s="64">
        <f t="shared" si="1785"/>
        <v>6250</v>
      </c>
      <c r="FS88" s="62"/>
      <c r="FT88" s="63"/>
      <c r="FU88" s="64">
        <f t="shared" si="1786"/>
        <v>0</v>
      </c>
      <c r="FV88" s="65">
        <v>485.35</v>
      </c>
      <c r="FW88" s="63"/>
      <c r="FX88" s="64">
        <f t="shared" si="1787"/>
        <v>485.35</v>
      </c>
      <c r="FY88" s="65"/>
      <c r="FZ88" s="63"/>
      <c r="GA88" s="64">
        <f t="shared" si="1788"/>
        <v>0</v>
      </c>
      <c r="GB88" s="65"/>
      <c r="GC88" s="63"/>
      <c r="GD88" s="64">
        <f t="shared" si="1789"/>
        <v>0</v>
      </c>
      <c r="GE88" s="66">
        <f t="shared" si="1526"/>
        <v>485.35</v>
      </c>
      <c r="GF88" s="67">
        <f t="shared" si="1790"/>
        <v>0</v>
      </c>
      <c r="GG88" s="64">
        <f t="shared" si="1791"/>
        <v>485.35</v>
      </c>
      <c r="GH88" s="62"/>
      <c r="GI88" s="63"/>
      <c r="GJ88" s="64">
        <f t="shared" si="1792"/>
        <v>0</v>
      </c>
      <c r="GK88" s="65">
        <v>660.33</v>
      </c>
      <c r="GL88" s="63"/>
      <c r="GM88" s="64">
        <f t="shared" si="1793"/>
        <v>660.33</v>
      </c>
      <c r="GN88" s="65"/>
      <c r="GO88" s="63"/>
      <c r="GP88" s="64">
        <f t="shared" si="1794"/>
        <v>0</v>
      </c>
      <c r="GQ88" s="65"/>
      <c r="GR88" s="63"/>
      <c r="GS88" s="64">
        <f t="shared" si="1795"/>
        <v>0</v>
      </c>
      <c r="GT88" s="66">
        <f t="shared" si="1533"/>
        <v>660.33</v>
      </c>
      <c r="GU88" s="67">
        <f t="shared" si="1796"/>
        <v>0</v>
      </c>
      <c r="GV88" s="64">
        <f t="shared" si="1797"/>
        <v>660.33</v>
      </c>
      <c r="GW88" s="62"/>
      <c r="GX88" s="63"/>
      <c r="GY88" s="64">
        <f t="shared" si="1798"/>
        <v>0</v>
      </c>
      <c r="GZ88" s="65">
        <v>568.25</v>
      </c>
      <c r="HA88" s="63"/>
      <c r="HB88" s="64">
        <f t="shared" si="1799"/>
        <v>568.25</v>
      </c>
      <c r="HC88" s="65"/>
      <c r="HD88" s="63"/>
      <c r="HE88" s="64">
        <f t="shared" si="1800"/>
        <v>0</v>
      </c>
      <c r="HF88" s="65">
        <v>100</v>
      </c>
      <c r="HG88" s="63"/>
      <c r="HH88" s="64">
        <f t="shared" si="1801"/>
        <v>100</v>
      </c>
      <c r="HI88" s="66">
        <f t="shared" si="1540"/>
        <v>668.25</v>
      </c>
      <c r="HJ88" s="67">
        <f t="shared" si="1802"/>
        <v>0</v>
      </c>
      <c r="HK88" s="64">
        <f t="shared" si="1803"/>
        <v>668.25</v>
      </c>
      <c r="HL88" s="62">
        <v>6150</v>
      </c>
      <c r="HM88" s="63"/>
      <c r="HN88" s="64">
        <f t="shared" si="1804"/>
        <v>6150</v>
      </c>
      <c r="HO88" s="65"/>
      <c r="HP88" s="63"/>
      <c r="HQ88" s="64">
        <f t="shared" si="1805"/>
        <v>0</v>
      </c>
      <c r="HR88" s="65"/>
      <c r="HS88" s="63"/>
      <c r="HT88" s="64">
        <f t="shared" si="1806"/>
        <v>0</v>
      </c>
      <c r="HU88" s="65">
        <v>100</v>
      </c>
      <c r="HV88" s="63"/>
      <c r="HW88" s="64">
        <f t="shared" si="1807"/>
        <v>100</v>
      </c>
      <c r="HX88" s="66">
        <f t="shared" si="1547"/>
        <v>6250</v>
      </c>
      <c r="HY88" s="67">
        <f t="shared" si="1808"/>
        <v>0</v>
      </c>
      <c r="HZ88" s="64">
        <f t="shared" si="1809"/>
        <v>6250</v>
      </c>
      <c r="IA88" s="62"/>
      <c r="IB88" s="63"/>
      <c r="IC88" s="64">
        <f t="shared" si="1810"/>
        <v>0</v>
      </c>
      <c r="ID88" s="65"/>
      <c r="IE88" s="63"/>
      <c r="IF88" s="64">
        <f t="shared" si="1811"/>
        <v>0</v>
      </c>
      <c r="IG88" s="65">
        <v>9701.0400000000009</v>
      </c>
      <c r="IH88" s="63"/>
      <c r="II88" s="64">
        <f t="shared" si="1812"/>
        <v>9701.0400000000009</v>
      </c>
      <c r="IJ88" s="65">
        <v>100</v>
      </c>
      <c r="IK88" s="63"/>
      <c r="IL88" s="64">
        <f t="shared" si="1813"/>
        <v>100</v>
      </c>
      <c r="IM88" s="66">
        <f t="shared" si="1554"/>
        <v>9801.0400000000009</v>
      </c>
      <c r="IN88" s="67">
        <f t="shared" si="1814"/>
        <v>0</v>
      </c>
      <c r="IO88" s="64">
        <f t="shared" si="1815"/>
        <v>9801.0400000000009</v>
      </c>
      <c r="IP88" s="62">
        <v>5000</v>
      </c>
      <c r="IQ88" s="63"/>
      <c r="IR88" s="64">
        <f t="shared" si="1816"/>
        <v>5000</v>
      </c>
      <c r="IS88" s="65"/>
      <c r="IT88" s="63"/>
      <c r="IU88" s="64">
        <f t="shared" si="1817"/>
        <v>0</v>
      </c>
      <c r="IV88" s="65"/>
      <c r="IW88" s="63"/>
      <c r="IX88" s="64">
        <f t="shared" si="1818"/>
        <v>0</v>
      </c>
      <c r="IY88" s="65"/>
      <c r="IZ88" s="63"/>
      <c r="JA88" s="64">
        <f t="shared" si="1819"/>
        <v>0</v>
      </c>
      <c r="JB88" s="66">
        <f t="shared" si="1561"/>
        <v>5000</v>
      </c>
      <c r="JC88" s="67">
        <f t="shared" si="1820"/>
        <v>0</v>
      </c>
      <c r="JD88" s="64">
        <f t="shared" si="1821"/>
        <v>5000</v>
      </c>
      <c r="JE88" s="72"/>
      <c r="JF88" s="150"/>
      <c r="JG88" s="74"/>
      <c r="JH88" s="75"/>
      <c r="JI88" s="150"/>
      <c r="JJ88" s="74"/>
      <c r="JK88" s="75"/>
      <c r="JL88" s="150"/>
      <c r="JM88" s="74"/>
      <c r="JN88" s="75"/>
      <c r="JO88" s="150"/>
      <c r="JP88" s="74"/>
      <c r="JQ88" s="76"/>
      <c r="JR88" s="77"/>
      <c r="JS88" s="74"/>
      <c r="JT88" s="72"/>
      <c r="JU88" s="73"/>
      <c r="JV88" s="74"/>
      <c r="JW88" s="75"/>
      <c r="JX88" s="73"/>
      <c r="JY88" s="74"/>
      <c r="JZ88" s="75"/>
      <c r="KA88" s="73"/>
      <c r="KB88" s="74"/>
      <c r="KC88" s="75"/>
      <c r="KD88" s="73"/>
      <c r="KE88" s="74"/>
      <c r="KF88" s="76"/>
      <c r="KG88" s="77"/>
      <c r="KH88" s="64">
        <f t="shared" si="1822"/>
        <v>0</v>
      </c>
      <c r="KI88" s="62">
        <v>50000</v>
      </c>
      <c r="KJ88" s="63"/>
      <c r="KK88" s="64">
        <f t="shared" si="1823"/>
        <v>50000</v>
      </c>
      <c r="KL88" s="65"/>
      <c r="KM88" s="63"/>
      <c r="KN88" s="64">
        <f t="shared" si="1824"/>
        <v>0</v>
      </c>
      <c r="KO88" s="65"/>
      <c r="KP88" s="63"/>
      <c r="KQ88" s="64">
        <f t="shared" si="1825"/>
        <v>0</v>
      </c>
      <c r="KR88" s="65"/>
      <c r="KS88" s="63"/>
      <c r="KT88" s="64">
        <f t="shared" si="1826"/>
        <v>0</v>
      </c>
      <c r="KU88" s="66">
        <f t="shared" si="1439"/>
        <v>50000</v>
      </c>
      <c r="KV88" s="67">
        <f t="shared" si="1827"/>
        <v>0</v>
      </c>
      <c r="KW88" s="64">
        <f t="shared" si="1828"/>
        <v>50000</v>
      </c>
      <c r="KX88" s="72"/>
      <c r="KY88" s="73"/>
      <c r="KZ88" s="74"/>
      <c r="LA88" s="75"/>
      <c r="LB88" s="73"/>
      <c r="LC88" s="74"/>
      <c r="LD88" s="75"/>
      <c r="LE88" s="73"/>
      <c r="LF88" s="74"/>
      <c r="LG88" s="75"/>
      <c r="LH88" s="73"/>
      <c r="LI88" s="74"/>
      <c r="LJ88" s="76"/>
      <c r="LK88" s="77"/>
      <c r="LL88" s="74"/>
      <c r="LM88" s="62"/>
      <c r="LN88" s="63"/>
      <c r="LO88" s="64">
        <f t="shared" si="1829"/>
        <v>0</v>
      </c>
      <c r="LP88" s="65"/>
      <c r="LQ88" s="63"/>
      <c r="LR88" s="64">
        <f t="shared" si="1830"/>
        <v>0</v>
      </c>
      <c r="LS88" s="65"/>
      <c r="LT88" s="63"/>
      <c r="LU88" s="64">
        <f t="shared" si="1831"/>
        <v>0</v>
      </c>
      <c r="LV88" s="65">
        <v>100</v>
      </c>
      <c r="LW88" s="63"/>
      <c r="LX88" s="64">
        <f t="shared" si="1832"/>
        <v>100</v>
      </c>
      <c r="LY88" s="66">
        <f t="shared" si="1575"/>
        <v>100</v>
      </c>
      <c r="LZ88" s="67">
        <f t="shared" si="1833"/>
        <v>0</v>
      </c>
      <c r="MA88" s="64">
        <f t="shared" si="1834"/>
        <v>100</v>
      </c>
      <c r="MB88" s="62">
        <f>6*650</f>
        <v>3900</v>
      </c>
      <c r="MC88" s="63"/>
      <c r="MD88" s="64">
        <f t="shared" si="1835"/>
        <v>3900</v>
      </c>
      <c r="ME88" s="65">
        <v>889.11</v>
      </c>
      <c r="MF88" s="63"/>
      <c r="MG88" s="64">
        <f t="shared" si="1836"/>
        <v>889.11</v>
      </c>
      <c r="MH88" s="65"/>
      <c r="MI88" s="63"/>
      <c r="MJ88" s="64">
        <f t="shared" si="1837"/>
        <v>0</v>
      </c>
      <c r="MK88" s="65">
        <v>100</v>
      </c>
      <c r="ML88" s="63"/>
      <c r="MM88" s="64">
        <f t="shared" si="1838"/>
        <v>100</v>
      </c>
      <c r="MN88" s="66">
        <f t="shared" si="1582"/>
        <v>4889.1099999999997</v>
      </c>
      <c r="MO88" s="67">
        <f t="shared" si="1839"/>
        <v>0</v>
      </c>
      <c r="MP88" s="64">
        <f t="shared" si="1840"/>
        <v>4889.1099999999997</v>
      </c>
      <c r="MQ88" s="62">
        <v>9100</v>
      </c>
      <c r="MR88" s="63"/>
      <c r="MS88" s="64">
        <f t="shared" si="1841"/>
        <v>9100</v>
      </c>
      <c r="MT88" s="65"/>
      <c r="MU88" s="63"/>
      <c r="MV88" s="64">
        <f t="shared" si="1842"/>
        <v>0</v>
      </c>
      <c r="MW88" s="65"/>
      <c r="MX88" s="63"/>
      <c r="MY88" s="64">
        <f t="shared" si="1843"/>
        <v>0</v>
      </c>
      <c r="MZ88" s="65"/>
      <c r="NA88" s="63"/>
      <c r="NB88" s="64">
        <f t="shared" si="1844"/>
        <v>0</v>
      </c>
      <c r="NC88" s="66">
        <f t="shared" si="1589"/>
        <v>9100</v>
      </c>
      <c r="ND88" s="67">
        <f t="shared" si="1845"/>
        <v>0</v>
      </c>
      <c r="NE88" s="64">
        <f t="shared" si="1846"/>
        <v>9100</v>
      </c>
      <c r="NF88" s="62">
        <v>6000</v>
      </c>
      <c r="NG88" s="63"/>
      <c r="NH88" s="64">
        <f t="shared" si="1847"/>
        <v>6000</v>
      </c>
      <c r="NI88" s="65">
        <v>1164.04</v>
      </c>
      <c r="NJ88" s="63"/>
      <c r="NK88" s="64">
        <f t="shared" si="1848"/>
        <v>1164.04</v>
      </c>
      <c r="NL88" s="65"/>
      <c r="NM88" s="63"/>
      <c r="NN88" s="64">
        <f t="shared" si="1849"/>
        <v>0</v>
      </c>
      <c r="NO88" s="65">
        <v>100</v>
      </c>
      <c r="NP88" s="63"/>
      <c r="NQ88" s="64">
        <f t="shared" si="1850"/>
        <v>100</v>
      </c>
      <c r="NR88" s="66">
        <f t="shared" si="1596"/>
        <v>7264.04</v>
      </c>
      <c r="NS88" s="67">
        <f t="shared" si="1851"/>
        <v>0</v>
      </c>
      <c r="NT88" s="64">
        <f t="shared" si="1852"/>
        <v>7264.04</v>
      </c>
      <c r="NU88" s="62">
        <f>6*864</f>
        <v>5184</v>
      </c>
      <c r="NV88" s="63"/>
      <c r="NW88" s="64">
        <f t="shared" si="1853"/>
        <v>5184</v>
      </c>
      <c r="NX88" s="65">
        <v>1152.73</v>
      </c>
      <c r="NY88" s="63"/>
      <c r="NZ88" s="64">
        <f t="shared" si="1854"/>
        <v>1152.73</v>
      </c>
      <c r="OA88" s="65"/>
      <c r="OB88" s="63"/>
      <c r="OC88" s="64">
        <f t="shared" si="1855"/>
        <v>0</v>
      </c>
      <c r="OD88" s="65">
        <v>100</v>
      </c>
      <c r="OE88" s="63"/>
      <c r="OF88" s="64">
        <f t="shared" si="1856"/>
        <v>100</v>
      </c>
      <c r="OG88" s="66">
        <f t="shared" si="1603"/>
        <v>6436.73</v>
      </c>
      <c r="OH88" s="67">
        <f t="shared" si="1857"/>
        <v>0</v>
      </c>
      <c r="OI88" s="64">
        <f t="shared" si="1858"/>
        <v>6436.73</v>
      </c>
      <c r="OJ88" s="62"/>
      <c r="OK88" s="63"/>
      <c r="OL88" s="64">
        <f t="shared" si="1859"/>
        <v>0</v>
      </c>
      <c r="OM88" s="65"/>
      <c r="ON88" s="63"/>
      <c r="OO88" s="64">
        <f t="shared" si="1860"/>
        <v>0</v>
      </c>
      <c r="OP88" s="65"/>
      <c r="OQ88" s="63"/>
      <c r="OR88" s="64">
        <f t="shared" si="1861"/>
        <v>0</v>
      </c>
      <c r="OS88" s="65">
        <v>100</v>
      </c>
      <c r="OT88" s="63"/>
      <c r="OU88" s="64">
        <f t="shared" si="1862"/>
        <v>100</v>
      </c>
      <c r="OV88" s="66">
        <f t="shared" si="1610"/>
        <v>100</v>
      </c>
      <c r="OW88" s="67">
        <f t="shared" si="1863"/>
        <v>0</v>
      </c>
      <c r="OX88" s="64">
        <f t="shared" si="1864"/>
        <v>100</v>
      </c>
      <c r="OY88" s="62"/>
      <c r="OZ88" s="63"/>
      <c r="PA88" s="64">
        <f t="shared" si="1865"/>
        <v>0</v>
      </c>
      <c r="PB88" s="65">
        <v>600</v>
      </c>
      <c r="PC88" s="63"/>
      <c r="PD88" s="64">
        <f t="shared" si="1866"/>
        <v>600</v>
      </c>
      <c r="PE88" s="65"/>
      <c r="PF88" s="63"/>
      <c r="PG88" s="64">
        <f t="shared" si="1867"/>
        <v>0</v>
      </c>
      <c r="PH88" s="65">
        <v>100</v>
      </c>
      <c r="PI88" s="63"/>
      <c r="PJ88" s="64">
        <f t="shared" si="1868"/>
        <v>100</v>
      </c>
      <c r="PK88" s="66">
        <f t="shared" si="1617"/>
        <v>700</v>
      </c>
      <c r="PL88" s="67">
        <f t="shared" si="1869"/>
        <v>0</v>
      </c>
      <c r="PM88" s="64">
        <f t="shared" si="1870"/>
        <v>700</v>
      </c>
      <c r="PN88" s="62">
        <v>1550</v>
      </c>
      <c r="PO88" s="63"/>
      <c r="PP88" s="64">
        <f t="shared" si="1871"/>
        <v>1550</v>
      </c>
      <c r="PQ88" s="65"/>
      <c r="PR88" s="63"/>
      <c r="PS88" s="64">
        <f t="shared" si="1872"/>
        <v>0</v>
      </c>
      <c r="PT88" s="65"/>
      <c r="PU88" s="63"/>
      <c r="PV88" s="64">
        <f t="shared" si="1873"/>
        <v>0</v>
      </c>
      <c r="PW88" s="65">
        <v>100</v>
      </c>
      <c r="PX88" s="63"/>
      <c r="PY88" s="64">
        <f t="shared" si="1874"/>
        <v>100</v>
      </c>
      <c r="PZ88" s="66">
        <f t="shared" si="1624"/>
        <v>1650</v>
      </c>
      <c r="QA88" s="67">
        <f t="shared" si="1875"/>
        <v>0</v>
      </c>
      <c r="QB88" s="64">
        <f t="shared" si="1876"/>
        <v>1650</v>
      </c>
      <c r="QC88" s="62"/>
      <c r="QD88" s="63"/>
      <c r="QE88" s="64">
        <f t="shared" si="1877"/>
        <v>0</v>
      </c>
      <c r="QF88" s="65"/>
      <c r="QG88" s="63"/>
      <c r="QH88" s="64">
        <f t="shared" si="1878"/>
        <v>0</v>
      </c>
      <c r="QI88" s="65"/>
      <c r="QJ88" s="63"/>
      <c r="QK88" s="64">
        <f t="shared" si="1879"/>
        <v>0</v>
      </c>
      <c r="QL88" s="65">
        <v>100</v>
      </c>
      <c r="QM88" s="63"/>
      <c r="QN88" s="64">
        <f t="shared" si="1880"/>
        <v>100</v>
      </c>
      <c r="QO88" s="66">
        <f t="shared" si="1631"/>
        <v>100</v>
      </c>
      <c r="QP88" s="67">
        <f t="shared" si="1881"/>
        <v>0</v>
      </c>
      <c r="QQ88" s="64">
        <f t="shared" si="1882"/>
        <v>100</v>
      </c>
      <c r="QR88" s="74"/>
      <c r="QS88" s="74"/>
      <c r="QT88" s="72"/>
      <c r="QU88" s="73"/>
      <c r="QV88" s="74"/>
      <c r="QW88" s="75"/>
      <c r="QX88" s="73"/>
      <c r="QY88" s="74"/>
      <c r="QZ88" s="75"/>
      <c r="RA88" s="73"/>
      <c r="RB88" s="74"/>
      <c r="RC88" s="75"/>
      <c r="RD88" s="73"/>
      <c r="RE88" s="74"/>
      <c r="RF88" s="74"/>
      <c r="RG88" s="72"/>
      <c r="RH88" s="73"/>
      <c r="RI88" s="74"/>
      <c r="RJ88" s="75"/>
      <c r="RK88" s="73"/>
      <c r="RL88" s="74"/>
      <c r="RM88" s="75"/>
      <c r="RN88" s="73"/>
      <c r="RO88" s="74"/>
      <c r="RP88" s="75"/>
      <c r="RQ88" s="73"/>
      <c r="RR88" s="74"/>
      <c r="RS88" s="76"/>
      <c r="RT88" s="77"/>
      <c r="RU88" s="74"/>
      <c r="RV88" s="74"/>
      <c r="RW88" s="72"/>
      <c r="RX88" s="73"/>
      <c r="RY88" s="74"/>
      <c r="RZ88" s="75"/>
      <c r="SA88" s="73"/>
      <c r="SB88" s="74"/>
      <c r="SC88" s="75"/>
      <c r="SD88" s="73"/>
      <c r="SE88" s="74"/>
      <c r="SF88" s="75"/>
      <c r="SG88" s="73"/>
      <c r="SH88" s="74"/>
      <c r="SI88" s="76"/>
      <c r="SJ88" s="64">
        <f t="shared" si="1883"/>
        <v>0</v>
      </c>
      <c r="SK88" s="62"/>
      <c r="SL88" s="63"/>
      <c r="SM88" s="64">
        <f t="shared" si="1884"/>
        <v>0</v>
      </c>
      <c r="SN88" s="65"/>
      <c r="SO88" s="63"/>
      <c r="SP88" s="64">
        <f t="shared" si="1885"/>
        <v>0</v>
      </c>
      <c r="SQ88" s="65"/>
      <c r="SR88" s="63"/>
      <c r="SS88" s="64">
        <f t="shared" si="1886"/>
        <v>0</v>
      </c>
      <c r="ST88" s="65">
        <v>100</v>
      </c>
      <c r="SU88" s="63"/>
      <c r="SV88" s="64">
        <f t="shared" si="1887"/>
        <v>100</v>
      </c>
      <c r="SW88" s="66">
        <f t="shared" si="1639"/>
        <v>100</v>
      </c>
      <c r="SX88" s="67">
        <f t="shared" si="1888"/>
        <v>0</v>
      </c>
      <c r="SY88" s="64">
        <f t="shared" si="1889"/>
        <v>100</v>
      </c>
      <c r="SZ88" s="62">
        <v>985.33</v>
      </c>
      <c r="TA88" s="63"/>
      <c r="TB88" s="64">
        <f t="shared" si="1890"/>
        <v>985.33</v>
      </c>
      <c r="TC88" s="65">
        <v>700.9</v>
      </c>
      <c r="TD88" s="63"/>
      <c r="TE88" s="64">
        <f t="shared" si="1891"/>
        <v>700.9</v>
      </c>
      <c r="TF88" s="65"/>
      <c r="TG88" s="63"/>
      <c r="TH88" s="64">
        <f t="shared" si="1892"/>
        <v>0</v>
      </c>
      <c r="TI88" s="65">
        <v>100</v>
      </c>
      <c r="TJ88" s="63"/>
      <c r="TK88" s="64">
        <f t="shared" si="1893"/>
        <v>100</v>
      </c>
      <c r="TL88" s="66">
        <f t="shared" si="1646"/>
        <v>1786.23</v>
      </c>
      <c r="TM88" s="67">
        <f t="shared" si="1894"/>
        <v>0</v>
      </c>
      <c r="TN88" s="64">
        <f t="shared" si="1895"/>
        <v>1786.23</v>
      </c>
      <c r="TO88" s="62">
        <v>3875</v>
      </c>
      <c r="TP88" s="63"/>
      <c r="TQ88" s="64">
        <f t="shared" si="1896"/>
        <v>3875</v>
      </c>
      <c r="TR88" s="65"/>
      <c r="TS88" s="63"/>
      <c r="TT88" s="64">
        <f t="shared" si="1897"/>
        <v>0</v>
      </c>
      <c r="TU88" s="65"/>
      <c r="TV88" s="63"/>
      <c r="TW88" s="64">
        <f t="shared" si="1898"/>
        <v>0</v>
      </c>
      <c r="TX88" s="65">
        <v>100</v>
      </c>
      <c r="TY88" s="63"/>
      <c r="TZ88" s="64">
        <f t="shared" si="1899"/>
        <v>100</v>
      </c>
      <c r="UA88" s="66">
        <f t="shared" si="1653"/>
        <v>3975</v>
      </c>
      <c r="UB88" s="67">
        <f t="shared" si="1900"/>
        <v>0</v>
      </c>
      <c r="UC88" s="64">
        <f t="shared" si="1901"/>
        <v>3975</v>
      </c>
      <c r="UD88" s="62">
        <v>1125</v>
      </c>
      <c r="UE88" s="63"/>
      <c r="UF88" s="64">
        <f t="shared" si="1902"/>
        <v>1125</v>
      </c>
      <c r="UG88" s="65">
        <v>497.04</v>
      </c>
      <c r="UH88" s="63"/>
      <c r="UI88" s="64">
        <f t="shared" si="1903"/>
        <v>497.04</v>
      </c>
      <c r="UJ88" s="65"/>
      <c r="UK88" s="63"/>
      <c r="UL88" s="64">
        <f t="shared" si="1904"/>
        <v>0</v>
      </c>
      <c r="UM88" s="65">
        <v>100</v>
      </c>
      <c r="UN88" s="63"/>
      <c r="UO88" s="64">
        <f t="shared" si="1905"/>
        <v>100</v>
      </c>
      <c r="UP88" s="66">
        <f t="shared" si="1660"/>
        <v>1722.04</v>
      </c>
      <c r="UQ88" s="67">
        <f t="shared" si="1906"/>
        <v>0</v>
      </c>
      <c r="UR88" s="64">
        <f t="shared" si="1907"/>
        <v>1722.04</v>
      </c>
      <c r="US88" s="74"/>
      <c r="UT88" s="72"/>
      <c r="UU88" s="73"/>
      <c r="UV88" s="74"/>
      <c r="UW88" s="75"/>
      <c r="UX88" s="73"/>
      <c r="UY88" s="74"/>
      <c r="UZ88" s="75"/>
      <c r="VA88" s="73"/>
      <c r="VB88" s="74"/>
      <c r="VC88" s="75"/>
      <c r="VD88" s="73"/>
      <c r="VE88" s="74"/>
      <c r="VF88" s="76"/>
      <c r="VG88" s="77"/>
      <c r="VH88" s="62">
        <v>18600</v>
      </c>
      <c r="VI88" s="63"/>
      <c r="VJ88" s="64">
        <f t="shared" si="1908"/>
        <v>18600</v>
      </c>
      <c r="VK88" s="65"/>
      <c r="VL88" s="63"/>
      <c r="VM88" s="64">
        <f t="shared" si="1909"/>
        <v>0</v>
      </c>
      <c r="VN88" s="65"/>
      <c r="VO88" s="63"/>
      <c r="VP88" s="64">
        <f t="shared" si="1910"/>
        <v>0</v>
      </c>
      <c r="VQ88" s="65">
        <v>100</v>
      </c>
      <c r="VR88" s="63"/>
      <c r="VS88" s="64">
        <f t="shared" si="1911"/>
        <v>100</v>
      </c>
      <c r="VT88" s="66">
        <f t="shared" si="1667"/>
        <v>18700</v>
      </c>
      <c r="VU88" s="67">
        <f t="shared" si="1912"/>
        <v>0</v>
      </c>
      <c r="VV88" s="64">
        <f t="shared" si="1913"/>
        <v>18700</v>
      </c>
      <c r="VW88" s="74"/>
      <c r="VX88" s="72"/>
      <c r="VY88" s="73"/>
      <c r="VZ88" s="74"/>
      <c r="WA88" s="75"/>
      <c r="WB88" s="73"/>
      <c r="WC88" s="74"/>
      <c r="WD88" s="75"/>
      <c r="WE88" s="73"/>
      <c r="WF88" s="74"/>
      <c r="WG88" s="75"/>
      <c r="WH88" s="73"/>
      <c r="WI88" s="74"/>
      <c r="WJ88" s="76"/>
      <c r="WK88" s="77"/>
      <c r="WL88" s="74"/>
      <c r="WM88" s="72"/>
      <c r="WN88" s="73"/>
      <c r="WO88" s="74"/>
      <c r="WP88" s="75"/>
      <c r="WQ88" s="73"/>
      <c r="WR88" s="74"/>
      <c r="WS88" s="75"/>
      <c r="WT88" s="73"/>
      <c r="WU88" s="74"/>
      <c r="WV88" s="75"/>
      <c r="WW88" s="73"/>
      <c r="WX88" s="74"/>
      <c r="WY88" s="76"/>
      <c r="WZ88" s="77"/>
      <c r="XA88" s="74"/>
      <c r="XB88" s="72"/>
      <c r="XC88" s="73"/>
      <c r="XD88" s="74"/>
      <c r="XE88" s="75"/>
      <c r="XF88" s="73"/>
      <c r="XG88" s="74"/>
      <c r="XH88" s="75"/>
      <c r="XI88" s="73"/>
      <c r="XJ88" s="74"/>
      <c r="XK88" s="75"/>
      <c r="XL88" s="73"/>
      <c r="XM88" s="74"/>
      <c r="XN88" s="76"/>
      <c r="XO88" s="77"/>
      <c r="XP88" s="62">
        <v>5202</v>
      </c>
      <c r="XQ88" s="63"/>
      <c r="XR88" s="64">
        <f t="shared" si="1914"/>
        <v>5202</v>
      </c>
      <c r="XS88" s="65">
        <v>844.24</v>
      </c>
      <c r="XT88" s="63"/>
      <c r="XU88" s="64">
        <f t="shared" si="1915"/>
        <v>844.24</v>
      </c>
      <c r="XV88" s="65"/>
      <c r="XW88" s="63"/>
      <c r="XX88" s="64">
        <f t="shared" si="1916"/>
        <v>0</v>
      </c>
      <c r="XY88" s="65">
        <v>100</v>
      </c>
      <c r="XZ88" s="63"/>
      <c r="YA88" s="64">
        <f t="shared" si="1917"/>
        <v>100</v>
      </c>
      <c r="YB88" s="66">
        <f t="shared" si="1674"/>
        <v>6146.24</v>
      </c>
      <c r="YC88" s="67">
        <f t="shared" si="1918"/>
        <v>0</v>
      </c>
      <c r="YD88" s="64">
        <f t="shared" si="1919"/>
        <v>6146.24</v>
      </c>
      <c r="YE88" s="62">
        <v>5340</v>
      </c>
      <c r="YF88" s="63"/>
      <c r="YG88" s="64">
        <f t="shared" si="1920"/>
        <v>5340</v>
      </c>
      <c r="YH88" s="65">
        <v>847.85</v>
      </c>
      <c r="YI88" s="63"/>
      <c r="YJ88" s="64">
        <f t="shared" si="1921"/>
        <v>847.85</v>
      </c>
      <c r="YK88" s="65"/>
      <c r="YL88" s="63"/>
      <c r="YM88" s="64">
        <f t="shared" si="1922"/>
        <v>0</v>
      </c>
      <c r="YN88" s="65">
        <v>100</v>
      </c>
      <c r="YO88" s="63"/>
      <c r="YP88" s="64">
        <f t="shared" si="1923"/>
        <v>100</v>
      </c>
      <c r="YQ88" s="66">
        <f t="shared" si="1681"/>
        <v>6287.85</v>
      </c>
      <c r="YR88" s="67">
        <f t="shared" si="1924"/>
        <v>0</v>
      </c>
      <c r="YS88" s="64">
        <f t="shared" si="1925"/>
        <v>6287.85</v>
      </c>
      <c r="YT88" s="62">
        <v>5592</v>
      </c>
      <c r="YU88" s="63"/>
      <c r="YV88" s="64">
        <f t="shared" si="1926"/>
        <v>5592</v>
      </c>
      <c r="YW88" s="65">
        <v>695.73</v>
      </c>
      <c r="YX88" s="63"/>
      <c r="YY88" s="64">
        <f t="shared" si="1927"/>
        <v>695.73</v>
      </c>
      <c r="YZ88" s="65"/>
      <c r="ZA88" s="63"/>
      <c r="ZB88" s="64">
        <f t="shared" si="1928"/>
        <v>0</v>
      </c>
      <c r="ZC88" s="65">
        <v>100</v>
      </c>
      <c r="ZD88" s="63"/>
      <c r="ZE88" s="64">
        <f t="shared" si="1929"/>
        <v>100</v>
      </c>
      <c r="ZF88" s="66">
        <f t="shared" si="1688"/>
        <v>6387.73</v>
      </c>
      <c r="ZG88" s="67">
        <f t="shared" si="1930"/>
        <v>0</v>
      </c>
      <c r="ZH88" s="74"/>
      <c r="ZI88" s="72"/>
      <c r="ZJ88" s="73"/>
      <c r="ZK88" s="74"/>
      <c r="ZL88" s="75"/>
      <c r="ZM88" s="73"/>
      <c r="ZN88" s="74"/>
      <c r="ZO88" s="75"/>
      <c r="ZP88" s="73"/>
      <c r="ZQ88" s="74"/>
      <c r="ZR88" s="75"/>
      <c r="ZS88" s="73"/>
      <c r="ZT88" s="74"/>
      <c r="ZU88" s="76"/>
      <c r="ZV88" s="77"/>
      <c r="ZW88" s="64">
        <f t="shared" si="1931"/>
        <v>0</v>
      </c>
      <c r="ZX88" s="62">
        <v>24.71</v>
      </c>
      <c r="ZY88" s="63"/>
      <c r="ZZ88" s="64">
        <f t="shared" si="1932"/>
        <v>24.71</v>
      </c>
      <c r="AAA88" s="66">
        <f t="shared" si="1692"/>
        <v>24.71</v>
      </c>
      <c r="AAB88" s="67">
        <f t="shared" si="1692"/>
        <v>0</v>
      </c>
      <c r="AAC88" s="64">
        <f t="shared" si="1933"/>
        <v>24.71</v>
      </c>
      <c r="AAD88" s="85">
        <f t="shared" si="1694"/>
        <v>191516.69</v>
      </c>
      <c r="AAE88" s="86">
        <f t="shared" si="1694"/>
        <v>0</v>
      </c>
      <c r="AAF88" s="87">
        <f t="shared" si="1457"/>
        <v>0</v>
      </c>
      <c r="AAG88" s="88">
        <f t="shared" si="1934"/>
        <v>-191516.69</v>
      </c>
      <c r="AAH88" s="58"/>
      <c r="AAI88" s="59"/>
      <c r="AAJ88" s="59"/>
      <c r="AAK88" s="60"/>
    </row>
    <row r="89" spans="1:713" s="83" customFormat="1" ht="20" customHeight="1" x14ac:dyDescent="0.2">
      <c r="A89" s="153"/>
      <c r="B89" s="89">
        <f>AAH89</f>
        <v>0</v>
      </c>
      <c r="C89" s="90"/>
      <c r="D89" s="90"/>
      <c r="E89" s="60"/>
      <c r="F89" s="61">
        <v>46935</v>
      </c>
      <c r="G89" s="62">
        <f>371675.99/2</f>
        <v>185837.995</v>
      </c>
      <c r="H89" s="63"/>
      <c r="I89" s="64">
        <f t="shared" si="1730"/>
        <v>185837.995</v>
      </c>
      <c r="J89" s="65">
        <v>2166.9299999999998</v>
      </c>
      <c r="K89" s="63"/>
      <c r="L89" s="64">
        <f t="shared" si="1731"/>
        <v>2166.9299999999998</v>
      </c>
      <c r="M89" s="65">
        <v>2500</v>
      </c>
      <c r="N89" s="63"/>
      <c r="O89" s="64">
        <f t="shared" si="1732"/>
        <v>2500</v>
      </c>
      <c r="P89" s="65">
        <v>1250</v>
      </c>
      <c r="Q89" s="63"/>
      <c r="R89" s="64">
        <f t="shared" si="1733"/>
        <v>1250</v>
      </c>
      <c r="S89" s="65">
        <v>362</v>
      </c>
      <c r="T89" s="63"/>
      <c r="U89" s="64">
        <f t="shared" si="1734"/>
        <v>362</v>
      </c>
      <c r="V89" s="66">
        <f t="shared" si="1735"/>
        <v>192116.92499999999</v>
      </c>
      <c r="W89" s="67">
        <f t="shared" si="1735"/>
        <v>0</v>
      </c>
      <c r="X89" s="64">
        <f t="shared" si="1736"/>
        <v>192116.92499999999</v>
      </c>
      <c r="Y89" s="72"/>
      <c r="Z89" s="73"/>
      <c r="AA89" s="74"/>
      <c r="AB89" s="75"/>
      <c r="AC89" s="73"/>
      <c r="AD89" s="74"/>
      <c r="AE89" s="75"/>
      <c r="AF89" s="73"/>
      <c r="AG89" s="74"/>
      <c r="AH89" s="75"/>
      <c r="AI89" s="73"/>
      <c r="AJ89" s="74"/>
      <c r="AK89" s="76"/>
      <c r="AL89" s="77"/>
      <c r="AM89" s="64">
        <f t="shared" si="1737"/>
        <v>0</v>
      </c>
      <c r="AN89" s="62">
        <v>6250</v>
      </c>
      <c r="AO89" s="63"/>
      <c r="AP89" s="64">
        <f t="shared" si="1935"/>
        <v>6250</v>
      </c>
      <c r="AQ89" s="65"/>
      <c r="AR89" s="63"/>
      <c r="AS89" s="64">
        <f t="shared" si="1738"/>
        <v>0</v>
      </c>
      <c r="AT89" s="65"/>
      <c r="AU89" s="63"/>
      <c r="AV89" s="64">
        <f t="shared" si="1739"/>
        <v>0</v>
      </c>
      <c r="AW89" s="65"/>
      <c r="AX89" s="63"/>
      <c r="AY89" s="64">
        <f t="shared" si="1740"/>
        <v>0</v>
      </c>
      <c r="AZ89" s="66">
        <f t="shared" si="1469"/>
        <v>6250</v>
      </c>
      <c r="BA89" s="67">
        <f t="shared" si="1741"/>
        <v>0</v>
      </c>
      <c r="BB89" s="64">
        <f t="shared" si="1742"/>
        <v>6250</v>
      </c>
      <c r="BC89" s="62"/>
      <c r="BD89" s="63"/>
      <c r="BE89" s="64">
        <f t="shared" si="1743"/>
        <v>0</v>
      </c>
      <c r="BF89" s="65"/>
      <c r="BG89" s="63"/>
      <c r="BH89" s="64">
        <f t="shared" si="1744"/>
        <v>0</v>
      </c>
      <c r="BI89" s="65"/>
      <c r="BJ89" s="63"/>
      <c r="BK89" s="64">
        <f t="shared" si="1745"/>
        <v>0</v>
      </c>
      <c r="BL89" s="65">
        <v>100</v>
      </c>
      <c r="BM89" s="63"/>
      <c r="BN89" s="64">
        <f t="shared" si="1746"/>
        <v>100</v>
      </c>
      <c r="BO89" s="66">
        <f t="shared" si="1476"/>
        <v>100</v>
      </c>
      <c r="BP89" s="67">
        <f t="shared" si="1747"/>
        <v>0</v>
      </c>
      <c r="BQ89" s="64">
        <f t="shared" si="1748"/>
        <v>100</v>
      </c>
      <c r="BR89" s="72"/>
      <c r="BS89" s="73"/>
      <c r="BT89" s="74"/>
      <c r="BU89" s="75"/>
      <c r="BV89" s="73"/>
      <c r="BW89" s="74"/>
      <c r="BX89" s="75"/>
      <c r="BY89" s="73"/>
      <c r="BZ89" s="74"/>
      <c r="CA89" s="75"/>
      <c r="CB89" s="73"/>
      <c r="CC89" s="74"/>
      <c r="CD89" s="76"/>
      <c r="CE89" s="77"/>
      <c r="CF89" s="64">
        <f t="shared" si="1749"/>
        <v>0</v>
      </c>
      <c r="CG89" s="62">
        <v>5000</v>
      </c>
      <c r="CH89" s="63"/>
      <c r="CI89" s="64">
        <f t="shared" si="1750"/>
        <v>5000</v>
      </c>
      <c r="CJ89" s="65"/>
      <c r="CK89" s="63"/>
      <c r="CL89" s="64">
        <f t="shared" si="1751"/>
        <v>0</v>
      </c>
      <c r="CM89" s="65"/>
      <c r="CN89" s="63"/>
      <c r="CO89" s="64">
        <f t="shared" si="1752"/>
        <v>0</v>
      </c>
      <c r="CP89" s="65"/>
      <c r="CQ89" s="63"/>
      <c r="CR89" s="64">
        <f t="shared" si="1753"/>
        <v>0</v>
      </c>
      <c r="CS89" s="66">
        <f t="shared" si="1484"/>
        <v>5000</v>
      </c>
      <c r="CT89" s="67">
        <f t="shared" si="1754"/>
        <v>0</v>
      </c>
      <c r="CU89" s="64">
        <f t="shared" si="1755"/>
        <v>5000</v>
      </c>
      <c r="CV89" s="62">
        <v>2916.7</v>
      </c>
      <c r="CW89" s="63"/>
      <c r="CX89" s="64">
        <f t="shared" si="1756"/>
        <v>2916.7</v>
      </c>
      <c r="CY89" s="65">
        <v>429.15</v>
      </c>
      <c r="CZ89" s="63"/>
      <c r="DA89" s="64">
        <f t="shared" si="1757"/>
        <v>429.15</v>
      </c>
      <c r="DB89" s="65"/>
      <c r="DC89" s="63"/>
      <c r="DD89" s="64">
        <f t="shared" si="1758"/>
        <v>0</v>
      </c>
      <c r="DE89" s="65"/>
      <c r="DF89" s="63"/>
      <c r="DG89" s="64">
        <f t="shared" si="1759"/>
        <v>0</v>
      </c>
      <c r="DH89" s="66">
        <f t="shared" si="1491"/>
        <v>3345.85</v>
      </c>
      <c r="DI89" s="67">
        <f t="shared" si="1760"/>
        <v>0</v>
      </c>
      <c r="DJ89" s="64">
        <f t="shared" si="1761"/>
        <v>3345.85</v>
      </c>
      <c r="DK89" s="62">
        <v>2400</v>
      </c>
      <c r="DL89" s="63"/>
      <c r="DM89" s="64">
        <f t="shared" si="1762"/>
        <v>2400</v>
      </c>
      <c r="DN89" s="65">
        <v>913.08</v>
      </c>
      <c r="DO89" s="63"/>
      <c r="DP89" s="64">
        <f t="shared" si="1763"/>
        <v>913.08</v>
      </c>
      <c r="DQ89" s="65"/>
      <c r="DR89" s="63"/>
      <c r="DS89" s="64">
        <f t="shared" si="1764"/>
        <v>0</v>
      </c>
      <c r="DT89" s="65">
        <v>100</v>
      </c>
      <c r="DU89" s="63"/>
      <c r="DV89" s="64">
        <f t="shared" si="1765"/>
        <v>100</v>
      </c>
      <c r="DW89" s="66">
        <f t="shared" si="1498"/>
        <v>3413.08</v>
      </c>
      <c r="DX89" s="67">
        <f t="shared" si="1766"/>
        <v>0</v>
      </c>
      <c r="DY89" s="64">
        <f t="shared" si="1767"/>
        <v>3413.08</v>
      </c>
      <c r="DZ89" s="62">
        <v>12000</v>
      </c>
      <c r="EA89" s="63"/>
      <c r="EB89" s="64">
        <f t="shared" si="1768"/>
        <v>12000</v>
      </c>
      <c r="EC89" s="65"/>
      <c r="ED89" s="63"/>
      <c r="EE89" s="64">
        <f t="shared" si="1769"/>
        <v>0</v>
      </c>
      <c r="EF89" s="65"/>
      <c r="EG89" s="63"/>
      <c r="EH89" s="64">
        <f t="shared" si="1770"/>
        <v>0</v>
      </c>
      <c r="EI89" s="65">
        <v>100</v>
      </c>
      <c r="EJ89" s="63"/>
      <c r="EK89" s="64">
        <f t="shared" si="1771"/>
        <v>100</v>
      </c>
      <c r="EL89" s="66">
        <f t="shared" si="1505"/>
        <v>12100</v>
      </c>
      <c r="EM89" s="67">
        <f t="shared" si="1772"/>
        <v>0</v>
      </c>
      <c r="EN89" s="64">
        <f t="shared" si="1773"/>
        <v>12100</v>
      </c>
      <c r="EO89" s="62"/>
      <c r="EP89" s="63"/>
      <c r="EQ89" s="64">
        <f t="shared" si="1774"/>
        <v>0</v>
      </c>
      <c r="ER89" s="65">
        <v>3600</v>
      </c>
      <c r="ES89" s="63"/>
      <c r="ET89" s="64">
        <f t="shared" si="1775"/>
        <v>3600</v>
      </c>
      <c r="EU89" s="65"/>
      <c r="EV89" s="63"/>
      <c r="EW89" s="64">
        <f t="shared" si="1776"/>
        <v>0</v>
      </c>
      <c r="EX89" s="65">
        <v>100</v>
      </c>
      <c r="EY89" s="63"/>
      <c r="EZ89" s="64">
        <f t="shared" si="1777"/>
        <v>100</v>
      </c>
      <c r="FA89" s="66">
        <f t="shared" si="1512"/>
        <v>3700</v>
      </c>
      <c r="FB89" s="67">
        <f t="shared" si="1778"/>
        <v>0</v>
      </c>
      <c r="FC89" s="64">
        <f t="shared" si="1779"/>
        <v>3700</v>
      </c>
      <c r="FD89" s="62"/>
      <c r="FE89" s="63"/>
      <c r="FF89" s="64">
        <f t="shared" si="1780"/>
        <v>0</v>
      </c>
      <c r="FG89" s="65">
        <v>3600</v>
      </c>
      <c r="FH89" s="63"/>
      <c r="FI89" s="64">
        <f t="shared" si="1781"/>
        <v>3600</v>
      </c>
      <c r="FJ89" s="65"/>
      <c r="FK89" s="63"/>
      <c r="FL89" s="64">
        <f t="shared" si="1782"/>
        <v>0</v>
      </c>
      <c r="FM89" s="65">
        <v>100</v>
      </c>
      <c r="FN89" s="63"/>
      <c r="FO89" s="64">
        <f t="shared" si="1783"/>
        <v>100</v>
      </c>
      <c r="FP89" s="66">
        <f t="shared" si="1519"/>
        <v>3700</v>
      </c>
      <c r="FQ89" s="67">
        <f t="shared" si="1784"/>
        <v>0</v>
      </c>
      <c r="FR89" s="64">
        <f t="shared" si="1785"/>
        <v>3700</v>
      </c>
      <c r="FS89" s="62">
        <v>18000</v>
      </c>
      <c r="FT89" s="63"/>
      <c r="FU89" s="64">
        <f t="shared" si="1786"/>
        <v>18000</v>
      </c>
      <c r="FV89" s="65">
        <v>485.35</v>
      </c>
      <c r="FW89" s="63"/>
      <c r="FX89" s="64">
        <f t="shared" si="1787"/>
        <v>485.35</v>
      </c>
      <c r="FY89" s="65"/>
      <c r="FZ89" s="63"/>
      <c r="GA89" s="64">
        <f t="shared" si="1788"/>
        <v>0</v>
      </c>
      <c r="GB89" s="65"/>
      <c r="GC89" s="63"/>
      <c r="GD89" s="64">
        <f t="shared" si="1789"/>
        <v>0</v>
      </c>
      <c r="GE89" s="66">
        <f t="shared" si="1526"/>
        <v>18485.349999999999</v>
      </c>
      <c r="GF89" s="67">
        <f t="shared" si="1790"/>
        <v>0</v>
      </c>
      <c r="GG89" s="64">
        <f t="shared" si="1791"/>
        <v>18485.349999999999</v>
      </c>
      <c r="GH89" s="62">
        <v>18000</v>
      </c>
      <c r="GI89" s="63"/>
      <c r="GJ89" s="64">
        <f t="shared" si="1792"/>
        <v>18000</v>
      </c>
      <c r="GK89" s="65">
        <v>660.33</v>
      </c>
      <c r="GL89" s="63"/>
      <c r="GM89" s="64">
        <f t="shared" si="1793"/>
        <v>660.33</v>
      </c>
      <c r="GN89" s="65"/>
      <c r="GO89" s="63"/>
      <c r="GP89" s="64">
        <f t="shared" si="1794"/>
        <v>0</v>
      </c>
      <c r="GQ89" s="65"/>
      <c r="GR89" s="63"/>
      <c r="GS89" s="64">
        <f t="shared" si="1795"/>
        <v>0</v>
      </c>
      <c r="GT89" s="66">
        <f t="shared" si="1533"/>
        <v>18660.330000000002</v>
      </c>
      <c r="GU89" s="67">
        <f t="shared" si="1796"/>
        <v>0</v>
      </c>
      <c r="GV89" s="64">
        <f t="shared" si="1797"/>
        <v>18660.330000000002</v>
      </c>
      <c r="GW89" s="62">
        <v>13350</v>
      </c>
      <c r="GX89" s="63"/>
      <c r="GY89" s="64">
        <f t="shared" si="1798"/>
        <v>13350</v>
      </c>
      <c r="GZ89" s="65">
        <v>568.25</v>
      </c>
      <c r="HA89" s="63"/>
      <c r="HB89" s="64">
        <f t="shared" si="1799"/>
        <v>568.25</v>
      </c>
      <c r="HC89" s="65"/>
      <c r="HD89" s="63"/>
      <c r="HE89" s="64">
        <f t="shared" si="1800"/>
        <v>0</v>
      </c>
      <c r="HF89" s="65">
        <v>100</v>
      </c>
      <c r="HG89" s="63"/>
      <c r="HH89" s="64">
        <f t="shared" si="1801"/>
        <v>100</v>
      </c>
      <c r="HI89" s="66">
        <f t="shared" si="1540"/>
        <v>14018.25</v>
      </c>
      <c r="HJ89" s="67">
        <f t="shared" si="1802"/>
        <v>0</v>
      </c>
      <c r="HK89" s="64">
        <f t="shared" si="1803"/>
        <v>14018.25</v>
      </c>
      <c r="HL89" s="62"/>
      <c r="HM89" s="63"/>
      <c r="HN89" s="64">
        <f t="shared" si="1804"/>
        <v>0</v>
      </c>
      <c r="HO89" s="65">
        <v>4400</v>
      </c>
      <c r="HP89" s="63"/>
      <c r="HQ89" s="64">
        <f t="shared" si="1805"/>
        <v>4400</v>
      </c>
      <c r="HR89" s="65"/>
      <c r="HS89" s="63"/>
      <c r="HT89" s="64">
        <f t="shared" si="1806"/>
        <v>0</v>
      </c>
      <c r="HU89" s="65">
        <v>100</v>
      </c>
      <c r="HV89" s="63"/>
      <c r="HW89" s="64">
        <f t="shared" si="1807"/>
        <v>100</v>
      </c>
      <c r="HX89" s="66">
        <f t="shared" si="1547"/>
        <v>4500</v>
      </c>
      <c r="HY89" s="67">
        <f t="shared" si="1808"/>
        <v>0</v>
      </c>
      <c r="HZ89" s="64">
        <f t="shared" si="1809"/>
        <v>4500</v>
      </c>
      <c r="IA89" s="62">
        <v>9864.5</v>
      </c>
      <c r="IB89" s="63"/>
      <c r="IC89" s="64">
        <f t="shared" si="1810"/>
        <v>9864.5</v>
      </c>
      <c r="ID89" s="65"/>
      <c r="IE89" s="63"/>
      <c r="IF89" s="64">
        <f t="shared" si="1811"/>
        <v>0</v>
      </c>
      <c r="IG89" s="65"/>
      <c r="IH89" s="63"/>
      <c r="II89" s="64">
        <f t="shared" si="1812"/>
        <v>0</v>
      </c>
      <c r="IJ89" s="65">
        <v>100</v>
      </c>
      <c r="IK89" s="63"/>
      <c r="IL89" s="64">
        <f t="shared" si="1813"/>
        <v>100</v>
      </c>
      <c r="IM89" s="66">
        <f t="shared" si="1554"/>
        <v>9964.5</v>
      </c>
      <c r="IN89" s="67">
        <f t="shared" si="1814"/>
        <v>0</v>
      </c>
      <c r="IO89" s="64">
        <f t="shared" si="1815"/>
        <v>9964.5</v>
      </c>
      <c r="IP89" s="62">
        <v>5000</v>
      </c>
      <c r="IQ89" s="63"/>
      <c r="IR89" s="64">
        <f t="shared" si="1816"/>
        <v>5000</v>
      </c>
      <c r="IS89" s="65"/>
      <c r="IT89" s="63"/>
      <c r="IU89" s="64">
        <f t="shared" si="1817"/>
        <v>0</v>
      </c>
      <c r="IV89" s="65"/>
      <c r="IW89" s="63"/>
      <c r="IX89" s="64">
        <f t="shared" si="1818"/>
        <v>0</v>
      </c>
      <c r="IY89" s="65"/>
      <c r="IZ89" s="63"/>
      <c r="JA89" s="64">
        <f t="shared" si="1819"/>
        <v>0</v>
      </c>
      <c r="JB89" s="66">
        <f t="shared" si="1561"/>
        <v>5000</v>
      </c>
      <c r="JC89" s="67">
        <f t="shared" si="1820"/>
        <v>0</v>
      </c>
      <c r="JD89" s="64">
        <f t="shared" si="1821"/>
        <v>5000</v>
      </c>
      <c r="JE89" s="72"/>
      <c r="JF89" s="150"/>
      <c r="JG89" s="74"/>
      <c r="JH89" s="75"/>
      <c r="JI89" s="150"/>
      <c r="JJ89" s="74"/>
      <c r="JK89" s="75"/>
      <c r="JL89" s="150"/>
      <c r="JM89" s="74"/>
      <c r="JN89" s="75"/>
      <c r="JO89" s="150"/>
      <c r="JP89" s="74"/>
      <c r="JQ89" s="76"/>
      <c r="JR89" s="77"/>
      <c r="JS89" s="74"/>
      <c r="JT89" s="72"/>
      <c r="JU89" s="73"/>
      <c r="JV89" s="74"/>
      <c r="JW89" s="75"/>
      <c r="JX89" s="73"/>
      <c r="JY89" s="74"/>
      <c r="JZ89" s="75"/>
      <c r="KA89" s="73"/>
      <c r="KB89" s="74"/>
      <c r="KC89" s="75"/>
      <c r="KD89" s="73"/>
      <c r="KE89" s="74"/>
      <c r="KF89" s="76"/>
      <c r="KG89" s="77"/>
      <c r="KH89" s="64">
        <f t="shared" si="1822"/>
        <v>0</v>
      </c>
      <c r="KI89" s="62">
        <v>50000</v>
      </c>
      <c r="KJ89" s="63"/>
      <c r="KK89" s="64">
        <f t="shared" si="1823"/>
        <v>50000</v>
      </c>
      <c r="KL89" s="65"/>
      <c r="KM89" s="63"/>
      <c r="KN89" s="64">
        <f t="shared" si="1824"/>
        <v>0</v>
      </c>
      <c r="KO89" s="65"/>
      <c r="KP89" s="63"/>
      <c r="KQ89" s="64">
        <f t="shared" si="1825"/>
        <v>0</v>
      </c>
      <c r="KR89" s="65"/>
      <c r="KS89" s="63"/>
      <c r="KT89" s="64">
        <f t="shared" si="1826"/>
        <v>0</v>
      </c>
      <c r="KU89" s="66">
        <f t="shared" si="1439"/>
        <v>50000</v>
      </c>
      <c r="KV89" s="67">
        <f t="shared" si="1827"/>
        <v>0</v>
      </c>
      <c r="KW89" s="64">
        <f t="shared" si="1828"/>
        <v>50000</v>
      </c>
      <c r="KX89" s="72"/>
      <c r="KY89" s="73"/>
      <c r="KZ89" s="74"/>
      <c r="LA89" s="75"/>
      <c r="LB89" s="73"/>
      <c r="LC89" s="74"/>
      <c r="LD89" s="75"/>
      <c r="LE89" s="73"/>
      <c r="LF89" s="74"/>
      <c r="LG89" s="75"/>
      <c r="LH89" s="73"/>
      <c r="LI89" s="74"/>
      <c r="LJ89" s="76"/>
      <c r="LK89" s="77"/>
      <c r="LL89" s="74"/>
      <c r="LM89" s="62">
        <v>9300</v>
      </c>
      <c r="LN89" s="63"/>
      <c r="LO89" s="64">
        <f t="shared" si="1829"/>
        <v>9300</v>
      </c>
      <c r="LP89" s="65"/>
      <c r="LQ89" s="63"/>
      <c r="LR89" s="64">
        <f t="shared" si="1830"/>
        <v>0</v>
      </c>
      <c r="LS89" s="65"/>
      <c r="LT89" s="63"/>
      <c r="LU89" s="64">
        <f t="shared" si="1831"/>
        <v>0</v>
      </c>
      <c r="LV89" s="65">
        <v>100</v>
      </c>
      <c r="LW89" s="63"/>
      <c r="LX89" s="64">
        <f t="shared" si="1832"/>
        <v>100</v>
      </c>
      <c r="LY89" s="66">
        <f t="shared" si="1575"/>
        <v>9400</v>
      </c>
      <c r="LZ89" s="67">
        <f t="shared" si="1833"/>
        <v>0</v>
      </c>
      <c r="MA89" s="64">
        <f t="shared" si="1834"/>
        <v>9400</v>
      </c>
      <c r="MB89" s="62">
        <f>6*650</f>
        <v>3900</v>
      </c>
      <c r="MC89" s="63"/>
      <c r="MD89" s="64">
        <f t="shared" si="1835"/>
        <v>3900</v>
      </c>
      <c r="ME89" s="65">
        <v>889.11</v>
      </c>
      <c r="MF89" s="63"/>
      <c r="MG89" s="64">
        <f t="shared" si="1836"/>
        <v>889.11</v>
      </c>
      <c r="MH89" s="65"/>
      <c r="MI89" s="63"/>
      <c r="MJ89" s="64">
        <f t="shared" si="1837"/>
        <v>0</v>
      </c>
      <c r="MK89" s="65">
        <v>100</v>
      </c>
      <c r="ML89" s="63"/>
      <c r="MM89" s="64">
        <f t="shared" si="1838"/>
        <v>100</v>
      </c>
      <c r="MN89" s="66">
        <f t="shared" si="1582"/>
        <v>4889.1099999999997</v>
      </c>
      <c r="MO89" s="67">
        <f t="shared" si="1839"/>
        <v>0</v>
      </c>
      <c r="MP89" s="64">
        <f t="shared" si="1840"/>
        <v>4889.1099999999997</v>
      </c>
      <c r="MQ89" s="62">
        <v>9100</v>
      </c>
      <c r="MR89" s="63"/>
      <c r="MS89" s="64">
        <f t="shared" si="1841"/>
        <v>9100</v>
      </c>
      <c r="MT89" s="65"/>
      <c r="MU89" s="63"/>
      <c r="MV89" s="64">
        <f t="shared" si="1842"/>
        <v>0</v>
      </c>
      <c r="MW89" s="65"/>
      <c r="MX89" s="63"/>
      <c r="MY89" s="64">
        <f t="shared" si="1843"/>
        <v>0</v>
      </c>
      <c r="MZ89" s="65"/>
      <c r="NA89" s="63"/>
      <c r="NB89" s="64">
        <f t="shared" si="1844"/>
        <v>0</v>
      </c>
      <c r="NC89" s="66">
        <f t="shared" si="1589"/>
        <v>9100</v>
      </c>
      <c r="ND89" s="67">
        <f t="shared" si="1845"/>
        <v>0</v>
      </c>
      <c r="NE89" s="64">
        <f t="shared" si="1846"/>
        <v>9100</v>
      </c>
      <c r="NF89" s="62">
        <v>6000</v>
      </c>
      <c r="NG89" s="63"/>
      <c r="NH89" s="64">
        <f t="shared" si="1847"/>
        <v>6000</v>
      </c>
      <c r="NI89" s="65">
        <v>1164.04</v>
      </c>
      <c r="NJ89" s="63"/>
      <c r="NK89" s="64">
        <f t="shared" si="1848"/>
        <v>1164.04</v>
      </c>
      <c r="NL89" s="65"/>
      <c r="NM89" s="63"/>
      <c r="NN89" s="64">
        <f t="shared" si="1849"/>
        <v>0</v>
      </c>
      <c r="NO89" s="65">
        <v>100</v>
      </c>
      <c r="NP89" s="63"/>
      <c r="NQ89" s="64">
        <f t="shared" si="1850"/>
        <v>100</v>
      </c>
      <c r="NR89" s="66">
        <f t="shared" si="1596"/>
        <v>7264.04</v>
      </c>
      <c r="NS89" s="67">
        <f t="shared" si="1851"/>
        <v>0</v>
      </c>
      <c r="NT89" s="64">
        <f t="shared" si="1852"/>
        <v>7264.04</v>
      </c>
      <c r="NU89" s="62">
        <f>6*864</f>
        <v>5184</v>
      </c>
      <c r="NV89" s="63"/>
      <c r="NW89" s="64">
        <f t="shared" si="1853"/>
        <v>5184</v>
      </c>
      <c r="NX89" s="65">
        <v>1152.73</v>
      </c>
      <c r="NY89" s="63"/>
      <c r="NZ89" s="64">
        <f t="shared" si="1854"/>
        <v>1152.73</v>
      </c>
      <c r="OA89" s="65"/>
      <c r="OB89" s="63"/>
      <c r="OC89" s="64">
        <f t="shared" si="1855"/>
        <v>0</v>
      </c>
      <c r="OD89" s="65">
        <v>100</v>
      </c>
      <c r="OE89" s="63"/>
      <c r="OF89" s="64">
        <f t="shared" si="1856"/>
        <v>100</v>
      </c>
      <c r="OG89" s="66">
        <f t="shared" si="1603"/>
        <v>6436.73</v>
      </c>
      <c r="OH89" s="67">
        <f t="shared" si="1857"/>
        <v>0</v>
      </c>
      <c r="OI89" s="64">
        <f t="shared" si="1858"/>
        <v>6436.73</v>
      </c>
      <c r="OJ89" s="62"/>
      <c r="OK89" s="63"/>
      <c r="OL89" s="64">
        <f t="shared" si="1859"/>
        <v>0</v>
      </c>
      <c r="OM89" s="65"/>
      <c r="ON89" s="63"/>
      <c r="OO89" s="64">
        <f t="shared" si="1860"/>
        <v>0</v>
      </c>
      <c r="OP89" s="65"/>
      <c r="OQ89" s="63"/>
      <c r="OR89" s="64">
        <f t="shared" si="1861"/>
        <v>0</v>
      </c>
      <c r="OS89" s="65">
        <v>100</v>
      </c>
      <c r="OT89" s="63"/>
      <c r="OU89" s="64">
        <f t="shared" si="1862"/>
        <v>100</v>
      </c>
      <c r="OV89" s="66">
        <f t="shared" si="1610"/>
        <v>100</v>
      </c>
      <c r="OW89" s="67">
        <f t="shared" si="1863"/>
        <v>0</v>
      </c>
      <c r="OX89" s="64">
        <f t="shared" si="1864"/>
        <v>100</v>
      </c>
      <c r="OY89" s="62">
        <v>15800</v>
      </c>
      <c r="OZ89" s="63"/>
      <c r="PA89" s="64">
        <f t="shared" si="1865"/>
        <v>15800</v>
      </c>
      <c r="PB89" s="65"/>
      <c r="PC89" s="63"/>
      <c r="PD89" s="64">
        <f t="shared" si="1866"/>
        <v>0</v>
      </c>
      <c r="PE89" s="65"/>
      <c r="PF89" s="63"/>
      <c r="PG89" s="64">
        <f t="shared" si="1867"/>
        <v>0</v>
      </c>
      <c r="PH89" s="65">
        <v>100</v>
      </c>
      <c r="PI89" s="63"/>
      <c r="PJ89" s="64">
        <f t="shared" si="1868"/>
        <v>100</v>
      </c>
      <c r="PK89" s="66">
        <f t="shared" si="1617"/>
        <v>15900</v>
      </c>
      <c r="PL89" s="67">
        <f t="shared" si="1869"/>
        <v>0</v>
      </c>
      <c r="PM89" s="64">
        <f t="shared" si="1870"/>
        <v>15900</v>
      </c>
      <c r="PN89" s="62">
        <v>1550</v>
      </c>
      <c r="PO89" s="63"/>
      <c r="PP89" s="64">
        <f t="shared" si="1871"/>
        <v>1550</v>
      </c>
      <c r="PQ89" s="65"/>
      <c r="PR89" s="63"/>
      <c r="PS89" s="64">
        <f t="shared" si="1872"/>
        <v>0</v>
      </c>
      <c r="PT89" s="65"/>
      <c r="PU89" s="63"/>
      <c r="PV89" s="64">
        <f t="shared" si="1873"/>
        <v>0</v>
      </c>
      <c r="PW89" s="65">
        <v>100</v>
      </c>
      <c r="PX89" s="63"/>
      <c r="PY89" s="64">
        <f t="shared" si="1874"/>
        <v>100</v>
      </c>
      <c r="PZ89" s="66">
        <f t="shared" si="1624"/>
        <v>1650</v>
      </c>
      <c r="QA89" s="67">
        <f t="shared" si="1875"/>
        <v>0</v>
      </c>
      <c r="QB89" s="64">
        <f t="shared" si="1876"/>
        <v>1650</v>
      </c>
      <c r="QC89" s="62">
        <v>9000</v>
      </c>
      <c r="QD89" s="63"/>
      <c r="QE89" s="64">
        <f t="shared" si="1877"/>
        <v>9000</v>
      </c>
      <c r="QF89" s="65"/>
      <c r="QG89" s="63"/>
      <c r="QH89" s="64">
        <f t="shared" si="1878"/>
        <v>0</v>
      </c>
      <c r="QI89" s="65"/>
      <c r="QJ89" s="63"/>
      <c r="QK89" s="64">
        <f t="shared" si="1879"/>
        <v>0</v>
      </c>
      <c r="QL89" s="65">
        <v>100</v>
      </c>
      <c r="QM89" s="63"/>
      <c r="QN89" s="64">
        <f t="shared" si="1880"/>
        <v>100</v>
      </c>
      <c r="QO89" s="66">
        <f t="shared" si="1631"/>
        <v>9100</v>
      </c>
      <c r="QP89" s="67">
        <f t="shared" si="1881"/>
        <v>0</v>
      </c>
      <c r="QQ89" s="64">
        <f t="shared" si="1882"/>
        <v>9100</v>
      </c>
      <c r="QR89" s="74"/>
      <c r="QS89" s="74"/>
      <c r="QT89" s="72"/>
      <c r="QU89" s="73"/>
      <c r="QV89" s="74"/>
      <c r="QW89" s="75"/>
      <c r="QX89" s="73"/>
      <c r="QY89" s="74"/>
      <c r="QZ89" s="75"/>
      <c r="RA89" s="73"/>
      <c r="RB89" s="74"/>
      <c r="RC89" s="75"/>
      <c r="RD89" s="73"/>
      <c r="RE89" s="74"/>
      <c r="RF89" s="74"/>
      <c r="RG89" s="72"/>
      <c r="RH89" s="73"/>
      <c r="RI89" s="74"/>
      <c r="RJ89" s="75"/>
      <c r="RK89" s="73"/>
      <c r="RL89" s="74"/>
      <c r="RM89" s="75"/>
      <c r="RN89" s="73"/>
      <c r="RO89" s="74"/>
      <c r="RP89" s="75"/>
      <c r="RQ89" s="73"/>
      <c r="RR89" s="74"/>
      <c r="RS89" s="76"/>
      <c r="RT89" s="77"/>
      <c r="RU89" s="74"/>
      <c r="RV89" s="74"/>
      <c r="RW89" s="72"/>
      <c r="RX89" s="73"/>
      <c r="RY89" s="74"/>
      <c r="RZ89" s="75"/>
      <c r="SA89" s="73"/>
      <c r="SB89" s="74"/>
      <c r="SC89" s="75"/>
      <c r="SD89" s="73"/>
      <c r="SE89" s="74"/>
      <c r="SF89" s="75"/>
      <c r="SG89" s="73"/>
      <c r="SH89" s="74"/>
      <c r="SI89" s="76"/>
      <c r="SJ89" s="64">
        <f t="shared" si="1883"/>
        <v>0</v>
      </c>
      <c r="SK89" s="62"/>
      <c r="SL89" s="63"/>
      <c r="SM89" s="64">
        <f t="shared" si="1884"/>
        <v>0</v>
      </c>
      <c r="SN89" s="65"/>
      <c r="SO89" s="63"/>
      <c r="SP89" s="64">
        <f t="shared" si="1885"/>
        <v>0</v>
      </c>
      <c r="SQ89" s="65"/>
      <c r="SR89" s="63"/>
      <c r="SS89" s="64">
        <f t="shared" si="1886"/>
        <v>0</v>
      </c>
      <c r="ST89" s="65">
        <v>100</v>
      </c>
      <c r="SU89" s="63"/>
      <c r="SV89" s="64">
        <f t="shared" si="1887"/>
        <v>100</v>
      </c>
      <c r="SW89" s="66">
        <f t="shared" si="1639"/>
        <v>100</v>
      </c>
      <c r="SX89" s="67">
        <f t="shared" si="1888"/>
        <v>0</v>
      </c>
      <c r="SY89" s="64">
        <f t="shared" si="1889"/>
        <v>100</v>
      </c>
      <c r="SZ89" s="62">
        <v>985.33</v>
      </c>
      <c r="TA89" s="63"/>
      <c r="TB89" s="64">
        <f t="shared" si="1890"/>
        <v>985.33</v>
      </c>
      <c r="TC89" s="65">
        <v>700.9</v>
      </c>
      <c r="TD89" s="63"/>
      <c r="TE89" s="64">
        <f t="shared" si="1891"/>
        <v>700.9</v>
      </c>
      <c r="TF89" s="65"/>
      <c r="TG89" s="63"/>
      <c r="TH89" s="64">
        <f t="shared" si="1892"/>
        <v>0</v>
      </c>
      <c r="TI89" s="65">
        <v>100</v>
      </c>
      <c r="TJ89" s="63"/>
      <c r="TK89" s="64">
        <f t="shared" si="1893"/>
        <v>100</v>
      </c>
      <c r="TL89" s="66">
        <f t="shared" si="1646"/>
        <v>1786.23</v>
      </c>
      <c r="TM89" s="67">
        <f t="shared" si="1894"/>
        <v>0</v>
      </c>
      <c r="TN89" s="64">
        <f t="shared" si="1895"/>
        <v>1786.23</v>
      </c>
      <c r="TO89" s="62"/>
      <c r="TP89" s="63"/>
      <c r="TQ89" s="64">
        <f t="shared" si="1896"/>
        <v>0</v>
      </c>
      <c r="TR89" s="65"/>
      <c r="TS89" s="63"/>
      <c r="TT89" s="64">
        <f t="shared" si="1897"/>
        <v>0</v>
      </c>
      <c r="TU89" s="65"/>
      <c r="TV89" s="63"/>
      <c r="TW89" s="64">
        <f t="shared" si="1898"/>
        <v>0</v>
      </c>
      <c r="TX89" s="65">
        <v>100</v>
      </c>
      <c r="TY89" s="63"/>
      <c r="TZ89" s="64">
        <f t="shared" si="1899"/>
        <v>100</v>
      </c>
      <c r="UA89" s="66">
        <f t="shared" si="1653"/>
        <v>100</v>
      </c>
      <c r="UB89" s="67">
        <f t="shared" si="1900"/>
        <v>0</v>
      </c>
      <c r="UC89" s="64">
        <f t="shared" si="1901"/>
        <v>100</v>
      </c>
      <c r="UD89" s="62">
        <v>6750</v>
      </c>
      <c r="UE89" s="63"/>
      <c r="UF89" s="64">
        <f t="shared" si="1902"/>
        <v>6750</v>
      </c>
      <c r="UG89" s="65">
        <v>497.04</v>
      </c>
      <c r="UH89" s="63"/>
      <c r="UI89" s="64">
        <f t="shared" si="1903"/>
        <v>497.04</v>
      </c>
      <c r="UJ89" s="65"/>
      <c r="UK89" s="63"/>
      <c r="UL89" s="64">
        <f t="shared" si="1904"/>
        <v>0</v>
      </c>
      <c r="UM89" s="65">
        <v>100</v>
      </c>
      <c r="UN89" s="63"/>
      <c r="UO89" s="64">
        <f t="shared" si="1905"/>
        <v>100</v>
      </c>
      <c r="UP89" s="66">
        <f t="shared" si="1660"/>
        <v>7347.04</v>
      </c>
      <c r="UQ89" s="67">
        <f t="shared" si="1906"/>
        <v>0</v>
      </c>
      <c r="UR89" s="64">
        <f t="shared" si="1907"/>
        <v>7347.04</v>
      </c>
      <c r="US89" s="74"/>
      <c r="UT89" s="72"/>
      <c r="UU89" s="73"/>
      <c r="UV89" s="74"/>
      <c r="UW89" s="75"/>
      <c r="UX89" s="73"/>
      <c r="UY89" s="74"/>
      <c r="UZ89" s="75"/>
      <c r="VA89" s="73"/>
      <c r="VB89" s="74"/>
      <c r="VC89" s="75"/>
      <c r="VD89" s="73"/>
      <c r="VE89" s="74"/>
      <c r="VF89" s="76"/>
      <c r="VG89" s="77"/>
      <c r="VH89" s="62"/>
      <c r="VI89" s="63"/>
      <c r="VJ89" s="64">
        <f t="shared" si="1908"/>
        <v>0</v>
      </c>
      <c r="VK89" s="65"/>
      <c r="VL89" s="63"/>
      <c r="VM89" s="64">
        <f t="shared" si="1909"/>
        <v>0</v>
      </c>
      <c r="VN89" s="65"/>
      <c r="VO89" s="63"/>
      <c r="VP89" s="64">
        <f t="shared" si="1910"/>
        <v>0</v>
      </c>
      <c r="VQ89" s="65">
        <v>100</v>
      </c>
      <c r="VR89" s="63"/>
      <c r="VS89" s="64">
        <f t="shared" si="1911"/>
        <v>100</v>
      </c>
      <c r="VT89" s="66">
        <f t="shared" si="1667"/>
        <v>100</v>
      </c>
      <c r="VU89" s="67">
        <f t="shared" si="1912"/>
        <v>0</v>
      </c>
      <c r="VV89" s="64">
        <f t="shared" si="1913"/>
        <v>100</v>
      </c>
      <c r="VW89" s="74"/>
      <c r="VX89" s="72"/>
      <c r="VY89" s="73"/>
      <c r="VZ89" s="74"/>
      <c r="WA89" s="75"/>
      <c r="WB89" s="73"/>
      <c r="WC89" s="74"/>
      <c r="WD89" s="75"/>
      <c r="WE89" s="73"/>
      <c r="WF89" s="74"/>
      <c r="WG89" s="75"/>
      <c r="WH89" s="73"/>
      <c r="WI89" s="74"/>
      <c r="WJ89" s="76"/>
      <c r="WK89" s="77"/>
      <c r="WL89" s="74"/>
      <c r="WM89" s="72"/>
      <c r="WN89" s="73"/>
      <c r="WO89" s="74"/>
      <c r="WP89" s="75"/>
      <c r="WQ89" s="73"/>
      <c r="WR89" s="74"/>
      <c r="WS89" s="75"/>
      <c r="WT89" s="73"/>
      <c r="WU89" s="74"/>
      <c r="WV89" s="75"/>
      <c r="WW89" s="73"/>
      <c r="WX89" s="74"/>
      <c r="WY89" s="76"/>
      <c r="WZ89" s="77"/>
      <c r="XA89" s="74"/>
      <c r="XB89" s="72"/>
      <c r="XC89" s="73"/>
      <c r="XD89" s="74"/>
      <c r="XE89" s="75"/>
      <c r="XF89" s="73"/>
      <c r="XG89" s="74"/>
      <c r="XH89" s="75"/>
      <c r="XI89" s="73"/>
      <c r="XJ89" s="74"/>
      <c r="XK89" s="75"/>
      <c r="XL89" s="73"/>
      <c r="XM89" s="74"/>
      <c r="XN89" s="76"/>
      <c r="XO89" s="77"/>
      <c r="XP89" s="62">
        <v>5202</v>
      </c>
      <c r="XQ89" s="63"/>
      <c r="XR89" s="64">
        <f t="shared" si="1914"/>
        <v>5202</v>
      </c>
      <c r="XS89" s="65">
        <v>844.24</v>
      </c>
      <c r="XT89" s="63"/>
      <c r="XU89" s="64">
        <f t="shared" si="1915"/>
        <v>844.24</v>
      </c>
      <c r="XV89" s="65"/>
      <c r="XW89" s="63"/>
      <c r="XX89" s="64">
        <f t="shared" si="1916"/>
        <v>0</v>
      </c>
      <c r="XY89" s="65">
        <v>100</v>
      </c>
      <c r="XZ89" s="63"/>
      <c r="YA89" s="64">
        <f t="shared" si="1917"/>
        <v>100</v>
      </c>
      <c r="YB89" s="66">
        <f t="shared" si="1674"/>
        <v>6146.24</v>
      </c>
      <c r="YC89" s="67">
        <f t="shared" si="1918"/>
        <v>0</v>
      </c>
      <c r="YD89" s="64">
        <f t="shared" si="1919"/>
        <v>6146.24</v>
      </c>
      <c r="YE89" s="62">
        <v>5340</v>
      </c>
      <c r="YF89" s="63"/>
      <c r="YG89" s="64">
        <f t="shared" si="1920"/>
        <v>5340</v>
      </c>
      <c r="YH89" s="65">
        <v>847.85</v>
      </c>
      <c r="YI89" s="63"/>
      <c r="YJ89" s="64">
        <f t="shared" si="1921"/>
        <v>847.85</v>
      </c>
      <c r="YK89" s="65"/>
      <c r="YL89" s="63"/>
      <c r="YM89" s="64">
        <f t="shared" si="1922"/>
        <v>0</v>
      </c>
      <c r="YN89" s="65">
        <v>100</v>
      </c>
      <c r="YO89" s="63"/>
      <c r="YP89" s="64">
        <f t="shared" si="1923"/>
        <v>100</v>
      </c>
      <c r="YQ89" s="66">
        <f t="shared" si="1681"/>
        <v>6287.85</v>
      </c>
      <c r="YR89" s="67">
        <f t="shared" si="1924"/>
        <v>0</v>
      </c>
      <c r="YS89" s="64">
        <f t="shared" si="1925"/>
        <v>6287.85</v>
      </c>
      <c r="YT89" s="62">
        <v>5592</v>
      </c>
      <c r="YU89" s="63"/>
      <c r="YV89" s="64">
        <f t="shared" si="1926"/>
        <v>5592</v>
      </c>
      <c r="YW89" s="65">
        <v>695.73</v>
      </c>
      <c r="YX89" s="63"/>
      <c r="YY89" s="64">
        <f t="shared" si="1927"/>
        <v>695.73</v>
      </c>
      <c r="YZ89" s="65"/>
      <c r="ZA89" s="63"/>
      <c r="ZB89" s="64">
        <f t="shared" si="1928"/>
        <v>0</v>
      </c>
      <c r="ZC89" s="65">
        <v>100</v>
      </c>
      <c r="ZD89" s="63"/>
      <c r="ZE89" s="64">
        <f t="shared" si="1929"/>
        <v>100</v>
      </c>
      <c r="ZF89" s="66">
        <f t="shared" si="1688"/>
        <v>6387.73</v>
      </c>
      <c r="ZG89" s="67">
        <f t="shared" si="1930"/>
        <v>0</v>
      </c>
      <c r="ZH89" s="74"/>
      <c r="ZI89" s="72"/>
      <c r="ZJ89" s="73"/>
      <c r="ZK89" s="74"/>
      <c r="ZL89" s="75"/>
      <c r="ZM89" s="73"/>
      <c r="ZN89" s="74"/>
      <c r="ZO89" s="75"/>
      <c r="ZP89" s="73"/>
      <c r="ZQ89" s="74"/>
      <c r="ZR89" s="75"/>
      <c r="ZS89" s="73"/>
      <c r="ZT89" s="74"/>
      <c r="ZU89" s="76"/>
      <c r="ZV89" s="77"/>
      <c r="ZW89" s="64">
        <f t="shared" si="1931"/>
        <v>0</v>
      </c>
      <c r="ZX89" s="62">
        <v>24.71</v>
      </c>
      <c r="ZY89" s="63"/>
      <c r="ZZ89" s="64">
        <f t="shared" si="1932"/>
        <v>24.71</v>
      </c>
      <c r="AAA89" s="66">
        <f t="shared" si="1692"/>
        <v>24.71</v>
      </c>
      <c r="AAB89" s="67">
        <f t="shared" si="1692"/>
        <v>0</v>
      </c>
      <c r="AAC89" s="64">
        <f t="shared" si="1933"/>
        <v>24.71</v>
      </c>
      <c r="AAD89" s="85">
        <f t="shared" si="1694"/>
        <v>442449.255</v>
      </c>
      <c r="AAE89" s="86">
        <f t="shared" si="1694"/>
        <v>0</v>
      </c>
      <c r="AAF89" s="87">
        <f t="shared" si="1457"/>
        <v>0</v>
      </c>
      <c r="AAG89" s="88">
        <f t="shared" si="1934"/>
        <v>-442449.255</v>
      </c>
      <c r="AAH89" s="89">
        <f>W95+AL95+BA95+BP95+CE95+CT95+DI95+DX95+EM95+FB95+FQ95+GF95+GU95+HJ95+HY95+IN95+JC95+JR95+KG95+KV95+LZ95+MO95+ND95+NS95+OH95+OW95+PL95+QA95+QP95+RE95+RT95+SI95+TM95+UB95+UQ95+VF95+VU95+WJ95+WY95+XN95+YC95+YR95+ZG95+ZV95+AAB95</f>
        <v>0</v>
      </c>
      <c r="AAI89" s="92"/>
      <c r="AAJ89" s="92"/>
      <c r="AAK89" s="60"/>
    </row>
    <row r="90" spans="1:713" s="83" customFormat="1" ht="20" customHeight="1" x14ac:dyDescent="0.2">
      <c r="A90" s="152"/>
      <c r="B90" s="93"/>
      <c r="C90" s="90"/>
      <c r="D90" s="90"/>
      <c r="E90" s="60"/>
      <c r="F90" s="61">
        <v>46966</v>
      </c>
      <c r="G90" s="62">
        <f>371675.99/2</f>
        <v>185837.995</v>
      </c>
      <c r="H90" s="63"/>
      <c r="I90" s="64">
        <f t="shared" si="1730"/>
        <v>185837.995</v>
      </c>
      <c r="J90" s="65">
        <v>2157.52</v>
      </c>
      <c r="K90" s="63"/>
      <c r="L90" s="64">
        <f t="shared" si="1731"/>
        <v>2157.52</v>
      </c>
      <c r="M90" s="65">
        <v>2500</v>
      </c>
      <c r="N90" s="63"/>
      <c r="O90" s="64">
        <f t="shared" si="1732"/>
        <v>2500</v>
      </c>
      <c r="P90" s="65">
        <v>1500</v>
      </c>
      <c r="Q90" s="63"/>
      <c r="R90" s="64">
        <f t="shared" si="1733"/>
        <v>1500</v>
      </c>
      <c r="S90" s="65">
        <v>362</v>
      </c>
      <c r="T90" s="63"/>
      <c r="U90" s="64">
        <f t="shared" si="1734"/>
        <v>362</v>
      </c>
      <c r="V90" s="66">
        <f t="shared" si="1735"/>
        <v>192357.51499999998</v>
      </c>
      <c r="W90" s="67">
        <f t="shared" si="1735"/>
        <v>0</v>
      </c>
      <c r="X90" s="64">
        <f t="shared" si="1736"/>
        <v>192357.51499999998</v>
      </c>
      <c r="Y90" s="72"/>
      <c r="Z90" s="73"/>
      <c r="AA90" s="74"/>
      <c r="AB90" s="75"/>
      <c r="AC90" s="73"/>
      <c r="AD90" s="74"/>
      <c r="AE90" s="75"/>
      <c r="AF90" s="73"/>
      <c r="AG90" s="74"/>
      <c r="AH90" s="75"/>
      <c r="AI90" s="73"/>
      <c r="AJ90" s="74"/>
      <c r="AK90" s="76"/>
      <c r="AL90" s="77"/>
      <c r="AM90" s="64">
        <f t="shared" si="1737"/>
        <v>0</v>
      </c>
      <c r="AN90" s="62">
        <v>6250</v>
      </c>
      <c r="AO90" s="63"/>
      <c r="AP90" s="64">
        <f t="shared" si="1935"/>
        <v>6250</v>
      </c>
      <c r="AQ90" s="65"/>
      <c r="AR90" s="63"/>
      <c r="AS90" s="64">
        <f t="shared" si="1738"/>
        <v>0</v>
      </c>
      <c r="AT90" s="65">
        <v>2745.49</v>
      </c>
      <c r="AU90" s="63"/>
      <c r="AV90" s="64">
        <f t="shared" si="1739"/>
        <v>2745.49</v>
      </c>
      <c r="AW90" s="65"/>
      <c r="AX90" s="63"/>
      <c r="AY90" s="64">
        <f t="shared" si="1740"/>
        <v>0</v>
      </c>
      <c r="AZ90" s="66">
        <f t="shared" si="1469"/>
        <v>8995.49</v>
      </c>
      <c r="BA90" s="67">
        <f t="shared" si="1741"/>
        <v>0</v>
      </c>
      <c r="BB90" s="64">
        <f t="shared" si="1742"/>
        <v>8995.49</v>
      </c>
      <c r="BC90" s="62">
        <v>6150</v>
      </c>
      <c r="BD90" s="63"/>
      <c r="BE90" s="64">
        <f t="shared" si="1743"/>
        <v>6150</v>
      </c>
      <c r="BF90" s="65"/>
      <c r="BG90" s="63"/>
      <c r="BH90" s="64">
        <f t="shared" si="1744"/>
        <v>0</v>
      </c>
      <c r="BI90" s="65"/>
      <c r="BJ90" s="63"/>
      <c r="BK90" s="64">
        <f t="shared" si="1745"/>
        <v>0</v>
      </c>
      <c r="BL90" s="65">
        <v>100</v>
      </c>
      <c r="BM90" s="63"/>
      <c r="BN90" s="64">
        <f t="shared" si="1746"/>
        <v>100</v>
      </c>
      <c r="BO90" s="66">
        <f t="shared" si="1476"/>
        <v>6250</v>
      </c>
      <c r="BP90" s="67">
        <f t="shared" si="1747"/>
        <v>0</v>
      </c>
      <c r="BQ90" s="64">
        <f t="shared" si="1748"/>
        <v>6250</v>
      </c>
      <c r="BR90" s="72"/>
      <c r="BS90" s="73"/>
      <c r="BT90" s="74"/>
      <c r="BU90" s="75"/>
      <c r="BV90" s="73"/>
      <c r="BW90" s="74"/>
      <c r="BX90" s="75"/>
      <c r="BY90" s="73"/>
      <c r="BZ90" s="74"/>
      <c r="CA90" s="75"/>
      <c r="CB90" s="73"/>
      <c r="CC90" s="74"/>
      <c r="CD90" s="76"/>
      <c r="CE90" s="77"/>
      <c r="CF90" s="64">
        <f t="shared" si="1749"/>
        <v>0</v>
      </c>
      <c r="CG90" s="62">
        <v>5000</v>
      </c>
      <c r="CH90" s="63"/>
      <c r="CI90" s="64">
        <f t="shared" si="1750"/>
        <v>5000</v>
      </c>
      <c r="CJ90" s="65"/>
      <c r="CK90" s="63"/>
      <c r="CL90" s="64">
        <f t="shared" si="1751"/>
        <v>0</v>
      </c>
      <c r="CM90" s="65">
        <f>2739.5</f>
        <v>2739.5</v>
      </c>
      <c r="CN90" s="63"/>
      <c r="CO90" s="64">
        <f t="shared" si="1752"/>
        <v>2739.5</v>
      </c>
      <c r="CP90" s="65"/>
      <c r="CQ90" s="63"/>
      <c r="CR90" s="64">
        <f t="shared" si="1753"/>
        <v>0</v>
      </c>
      <c r="CS90" s="66">
        <f t="shared" si="1484"/>
        <v>7739.5</v>
      </c>
      <c r="CT90" s="67">
        <f t="shared" si="1754"/>
        <v>0</v>
      </c>
      <c r="CU90" s="64">
        <f t="shared" si="1755"/>
        <v>7739.5</v>
      </c>
      <c r="CV90" s="62">
        <v>2916.7</v>
      </c>
      <c r="CW90" s="63"/>
      <c r="CX90" s="64">
        <f t="shared" si="1756"/>
        <v>2916.7</v>
      </c>
      <c r="CY90" s="65">
        <v>429.15</v>
      </c>
      <c r="CZ90" s="63"/>
      <c r="DA90" s="64">
        <f t="shared" si="1757"/>
        <v>429.15</v>
      </c>
      <c r="DB90" s="65"/>
      <c r="DC90" s="63"/>
      <c r="DD90" s="64">
        <f t="shared" si="1758"/>
        <v>0</v>
      </c>
      <c r="DE90" s="65"/>
      <c r="DF90" s="63"/>
      <c r="DG90" s="64">
        <f t="shared" si="1759"/>
        <v>0</v>
      </c>
      <c r="DH90" s="66">
        <f t="shared" si="1491"/>
        <v>3345.85</v>
      </c>
      <c r="DI90" s="67">
        <f t="shared" si="1760"/>
        <v>0</v>
      </c>
      <c r="DJ90" s="64">
        <f t="shared" si="1761"/>
        <v>3345.85</v>
      </c>
      <c r="DK90" s="62">
        <v>2400</v>
      </c>
      <c r="DL90" s="63"/>
      <c r="DM90" s="64">
        <f t="shared" si="1762"/>
        <v>2400</v>
      </c>
      <c r="DN90" s="65">
        <v>913.08</v>
      </c>
      <c r="DO90" s="63"/>
      <c r="DP90" s="64">
        <f t="shared" si="1763"/>
        <v>913.08</v>
      </c>
      <c r="DQ90" s="65"/>
      <c r="DR90" s="63"/>
      <c r="DS90" s="64">
        <f t="shared" si="1764"/>
        <v>0</v>
      </c>
      <c r="DT90" s="65">
        <v>100</v>
      </c>
      <c r="DU90" s="63"/>
      <c r="DV90" s="64">
        <f t="shared" si="1765"/>
        <v>100</v>
      </c>
      <c r="DW90" s="66">
        <f t="shared" si="1498"/>
        <v>3413.08</v>
      </c>
      <c r="DX90" s="67">
        <f t="shared" si="1766"/>
        <v>0</v>
      </c>
      <c r="DY90" s="64">
        <f t="shared" si="1767"/>
        <v>3413.08</v>
      </c>
      <c r="DZ90" s="62">
        <v>12000</v>
      </c>
      <c r="EA90" s="63"/>
      <c r="EB90" s="64">
        <f t="shared" si="1768"/>
        <v>12000</v>
      </c>
      <c r="EC90" s="65"/>
      <c r="ED90" s="63"/>
      <c r="EE90" s="64">
        <f t="shared" si="1769"/>
        <v>0</v>
      </c>
      <c r="EF90" s="65"/>
      <c r="EG90" s="63"/>
      <c r="EH90" s="64">
        <f t="shared" si="1770"/>
        <v>0</v>
      </c>
      <c r="EI90" s="65">
        <v>100</v>
      </c>
      <c r="EJ90" s="63"/>
      <c r="EK90" s="64">
        <f t="shared" si="1771"/>
        <v>100</v>
      </c>
      <c r="EL90" s="66">
        <f t="shared" si="1505"/>
        <v>12100</v>
      </c>
      <c r="EM90" s="67">
        <f t="shared" si="1772"/>
        <v>0</v>
      </c>
      <c r="EN90" s="64">
        <f t="shared" si="1773"/>
        <v>12100</v>
      </c>
      <c r="EO90" s="62">
        <v>6150</v>
      </c>
      <c r="EP90" s="63"/>
      <c r="EQ90" s="64">
        <f t="shared" si="1774"/>
        <v>6150</v>
      </c>
      <c r="ER90" s="65"/>
      <c r="ES90" s="63"/>
      <c r="ET90" s="64">
        <f t="shared" si="1775"/>
        <v>0</v>
      </c>
      <c r="EU90" s="65"/>
      <c r="EV90" s="63"/>
      <c r="EW90" s="64">
        <f t="shared" si="1776"/>
        <v>0</v>
      </c>
      <c r="EX90" s="65">
        <v>100</v>
      </c>
      <c r="EY90" s="63"/>
      <c r="EZ90" s="64">
        <f t="shared" si="1777"/>
        <v>100</v>
      </c>
      <c r="FA90" s="66">
        <f t="shared" si="1512"/>
        <v>6250</v>
      </c>
      <c r="FB90" s="67">
        <f t="shared" si="1778"/>
        <v>0</v>
      </c>
      <c r="FC90" s="64">
        <f t="shared" si="1779"/>
        <v>6250</v>
      </c>
      <c r="FD90" s="62">
        <v>6150</v>
      </c>
      <c r="FE90" s="63"/>
      <c r="FF90" s="64">
        <f t="shared" si="1780"/>
        <v>6150</v>
      </c>
      <c r="FG90" s="65"/>
      <c r="FH90" s="63"/>
      <c r="FI90" s="64">
        <f t="shared" si="1781"/>
        <v>0</v>
      </c>
      <c r="FJ90" s="65"/>
      <c r="FK90" s="63"/>
      <c r="FL90" s="64">
        <f t="shared" si="1782"/>
        <v>0</v>
      </c>
      <c r="FM90" s="65">
        <v>100</v>
      </c>
      <c r="FN90" s="63"/>
      <c r="FO90" s="64">
        <f t="shared" si="1783"/>
        <v>100</v>
      </c>
      <c r="FP90" s="66">
        <f t="shared" si="1519"/>
        <v>6250</v>
      </c>
      <c r="FQ90" s="67">
        <f t="shared" si="1784"/>
        <v>0</v>
      </c>
      <c r="FR90" s="64">
        <f t="shared" si="1785"/>
        <v>6250</v>
      </c>
      <c r="FS90" s="62"/>
      <c r="FT90" s="63"/>
      <c r="FU90" s="64">
        <f t="shared" si="1786"/>
        <v>0</v>
      </c>
      <c r="FV90" s="65">
        <v>485.35</v>
      </c>
      <c r="FW90" s="63"/>
      <c r="FX90" s="64">
        <f t="shared" si="1787"/>
        <v>485.35</v>
      </c>
      <c r="FY90" s="65"/>
      <c r="FZ90" s="63"/>
      <c r="GA90" s="64">
        <f t="shared" si="1788"/>
        <v>0</v>
      </c>
      <c r="GB90" s="65"/>
      <c r="GC90" s="63"/>
      <c r="GD90" s="64">
        <f t="shared" si="1789"/>
        <v>0</v>
      </c>
      <c r="GE90" s="66">
        <f t="shared" si="1526"/>
        <v>485.35</v>
      </c>
      <c r="GF90" s="67">
        <f t="shared" si="1790"/>
        <v>0</v>
      </c>
      <c r="GG90" s="64">
        <f t="shared" si="1791"/>
        <v>485.35</v>
      </c>
      <c r="GH90" s="62"/>
      <c r="GI90" s="63"/>
      <c r="GJ90" s="64">
        <f t="shared" si="1792"/>
        <v>0</v>
      </c>
      <c r="GK90" s="65">
        <v>660.33</v>
      </c>
      <c r="GL90" s="63"/>
      <c r="GM90" s="64">
        <f t="shared" si="1793"/>
        <v>660.33</v>
      </c>
      <c r="GN90" s="65"/>
      <c r="GO90" s="63"/>
      <c r="GP90" s="64">
        <f t="shared" si="1794"/>
        <v>0</v>
      </c>
      <c r="GQ90" s="65"/>
      <c r="GR90" s="63"/>
      <c r="GS90" s="64">
        <f t="shared" si="1795"/>
        <v>0</v>
      </c>
      <c r="GT90" s="66">
        <f t="shared" si="1533"/>
        <v>660.33</v>
      </c>
      <c r="GU90" s="67">
        <f t="shared" si="1796"/>
        <v>0</v>
      </c>
      <c r="GV90" s="64">
        <f t="shared" si="1797"/>
        <v>660.33</v>
      </c>
      <c r="GW90" s="62">
        <v>13350</v>
      </c>
      <c r="GX90" s="63"/>
      <c r="GY90" s="64">
        <f t="shared" si="1798"/>
        <v>13350</v>
      </c>
      <c r="GZ90" s="65">
        <v>568.25</v>
      </c>
      <c r="HA90" s="63"/>
      <c r="HB90" s="64">
        <f t="shared" si="1799"/>
        <v>568.25</v>
      </c>
      <c r="HC90" s="65"/>
      <c r="HD90" s="63"/>
      <c r="HE90" s="64">
        <f t="shared" si="1800"/>
        <v>0</v>
      </c>
      <c r="HF90" s="65">
        <v>100</v>
      </c>
      <c r="HG90" s="63"/>
      <c r="HH90" s="64">
        <f t="shared" si="1801"/>
        <v>100</v>
      </c>
      <c r="HI90" s="66">
        <f t="shared" si="1540"/>
        <v>14018.25</v>
      </c>
      <c r="HJ90" s="67">
        <f t="shared" si="1802"/>
        <v>0</v>
      </c>
      <c r="HK90" s="64">
        <f t="shared" si="1803"/>
        <v>14018.25</v>
      </c>
      <c r="HL90" s="62">
        <v>6150</v>
      </c>
      <c r="HM90" s="63"/>
      <c r="HN90" s="64">
        <f t="shared" si="1804"/>
        <v>6150</v>
      </c>
      <c r="HO90" s="65"/>
      <c r="HP90" s="63"/>
      <c r="HQ90" s="64">
        <f t="shared" si="1805"/>
        <v>0</v>
      </c>
      <c r="HR90" s="65"/>
      <c r="HS90" s="63"/>
      <c r="HT90" s="64">
        <f t="shared" si="1806"/>
        <v>0</v>
      </c>
      <c r="HU90" s="65">
        <v>100</v>
      </c>
      <c r="HV90" s="63"/>
      <c r="HW90" s="64">
        <f t="shared" si="1807"/>
        <v>100</v>
      </c>
      <c r="HX90" s="66">
        <f t="shared" si="1547"/>
        <v>6250</v>
      </c>
      <c r="HY90" s="67">
        <f t="shared" si="1808"/>
        <v>0</v>
      </c>
      <c r="HZ90" s="64">
        <f t="shared" si="1809"/>
        <v>6250</v>
      </c>
      <c r="IA90" s="62">
        <f>9864.5</f>
        <v>9864.5</v>
      </c>
      <c r="IB90" s="63"/>
      <c r="IC90" s="64">
        <f t="shared" si="1810"/>
        <v>9864.5</v>
      </c>
      <c r="ID90" s="65"/>
      <c r="IE90" s="63"/>
      <c r="IF90" s="64">
        <f t="shared" si="1811"/>
        <v>0</v>
      </c>
      <c r="IG90" s="65"/>
      <c r="IH90" s="63"/>
      <c r="II90" s="64">
        <f t="shared" si="1812"/>
        <v>0</v>
      </c>
      <c r="IJ90" s="65">
        <v>100</v>
      </c>
      <c r="IK90" s="63"/>
      <c r="IL90" s="64">
        <f t="shared" si="1813"/>
        <v>100</v>
      </c>
      <c r="IM90" s="66">
        <f t="shared" si="1554"/>
        <v>9964.5</v>
      </c>
      <c r="IN90" s="67">
        <f t="shared" si="1814"/>
        <v>0</v>
      </c>
      <c r="IO90" s="64">
        <f t="shared" si="1815"/>
        <v>9964.5</v>
      </c>
      <c r="IP90" s="62">
        <v>5000</v>
      </c>
      <c r="IQ90" s="63"/>
      <c r="IR90" s="64">
        <f t="shared" si="1816"/>
        <v>5000</v>
      </c>
      <c r="IS90" s="65"/>
      <c r="IT90" s="63"/>
      <c r="IU90" s="64">
        <f t="shared" si="1817"/>
        <v>0</v>
      </c>
      <c r="IV90" s="65">
        <v>2739.5</v>
      </c>
      <c r="IW90" s="63"/>
      <c r="IX90" s="64">
        <f t="shared" si="1818"/>
        <v>2739.5</v>
      </c>
      <c r="IY90" s="65"/>
      <c r="IZ90" s="63"/>
      <c r="JA90" s="64">
        <f t="shared" si="1819"/>
        <v>0</v>
      </c>
      <c r="JB90" s="66">
        <f t="shared" si="1561"/>
        <v>7739.5</v>
      </c>
      <c r="JC90" s="67">
        <f t="shared" si="1820"/>
        <v>0</v>
      </c>
      <c r="JD90" s="64">
        <f t="shared" si="1821"/>
        <v>7739.5</v>
      </c>
      <c r="JE90" s="72"/>
      <c r="JF90" s="150"/>
      <c r="JG90" s="74"/>
      <c r="JH90" s="75"/>
      <c r="JI90" s="150"/>
      <c r="JJ90" s="74"/>
      <c r="JK90" s="75"/>
      <c r="JL90" s="150"/>
      <c r="JM90" s="74"/>
      <c r="JN90" s="75"/>
      <c r="JO90" s="150"/>
      <c r="JP90" s="74"/>
      <c r="JQ90" s="76"/>
      <c r="JR90" s="77"/>
      <c r="JS90" s="74"/>
      <c r="JT90" s="72"/>
      <c r="JU90" s="73"/>
      <c r="JV90" s="74"/>
      <c r="JW90" s="75"/>
      <c r="JX90" s="73"/>
      <c r="JY90" s="74"/>
      <c r="JZ90" s="75"/>
      <c r="KA90" s="73"/>
      <c r="KB90" s="74"/>
      <c r="KC90" s="75"/>
      <c r="KD90" s="73"/>
      <c r="KE90" s="74"/>
      <c r="KF90" s="76"/>
      <c r="KG90" s="77"/>
      <c r="KH90" s="64">
        <f t="shared" si="1822"/>
        <v>0</v>
      </c>
      <c r="KI90" s="62"/>
      <c r="KJ90" s="63"/>
      <c r="KK90" s="64">
        <f t="shared" si="1823"/>
        <v>0</v>
      </c>
      <c r="KL90" s="65"/>
      <c r="KM90" s="63"/>
      <c r="KN90" s="64">
        <f t="shared" si="1824"/>
        <v>0</v>
      </c>
      <c r="KO90" s="65"/>
      <c r="KP90" s="63"/>
      <c r="KQ90" s="64">
        <f t="shared" si="1825"/>
        <v>0</v>
      </c>
      <c r="KR90" s="65"/>
      <c r="KS90" s="63"/>
      <c r="KT90" s="64">
        <f t="shared" si="1826"/>
        <v>0</v>
      </c>
      <c r="KU90" s="66">
        <f t="shared" si="1439"/>
        <v>0</v>
      </c>
      <c r="KV90" s="67">
        <f t="shared" si="1827"/>
        <v>0</v>
      </c>
      <c r="KW90" s="64">
        <f t="shared" si="1828"/>
        <v>0</v>
      </c>
      <c r="KX90" s="72"/>
      <c r="KY90" s="73"/>
      <c r="KZ90" s="74"/>
      <c r="LA90" s="75"/>
      <c r="LB90" s="73"/>
      <c r="LC90" s="74"/>
      <c r="LD90" s="75"/>
      <c r="LE90" s="73"/>
      <c r="LF90" s="74"/>
      <c r="LG90" s="75"/>
      <c r="LH90" s="73"/>
      <c r="LI90" s="74"/>
      <c r="LJ90" s="76"/>
      <c r="LK90" s="77"/>
      <c r="LL90" s="74"/>
      <c r="LM90" s="62">
        <v>9300</v>
      </c>
      <c r="LN90" s="63"/>
      <c r="LO90" s="64">
        <f t="shared" si="1829"/>
        <v>9300</v>
      </c>
      <c r="LP90" s="65"/>
      <c r="LQ90" s="63"/>
      <c r="LR90" s="64">
        <f t="shared" si="1830"/>
        <v>0</v>
      </c>
      <c r="LS90" s="65"/>
      <c r="LT90" s="63"/>
      <c r="LU90" s="64">
        <f t="shared" si="1831"/>
        <v>0</v>
      </c>
      <c r="LV90" s="65">
        <v>100</v>
      </c>
      <c r="LW90" s="63"/>
      <c r="LX90" s="64">
        <f t="shared" si="1832"/>
        <v>100</v>
      </c>
      <c r="LY90" s="66">
        <f t="shared" si="1575"/>
        <v>9400</v>
      </c>
      <c r="LZ90" s="67">
        <f t="shared" si="1833"/>
        <v>0</v>
      </c>
      <c r="MA90" s="64">
        <f t="shared" si="1834"/>
        <v>9400</v>
      </c>
      <c r="MB90" s="62"/>
      <c r="MC90" s="63"/>
      <c r="MD90" s="64">
        <f t="shared" si="1835"/>
        <v>0</v>
      </c>
      <c r="ME90" s="65">
        <v>889.11</v>
      </c>
      <c r="MF90" s="63"/>
      <c r="MG90" s="64">
        <f t="shared" si="1836"/>
        <v>889.11</v>
      </c>
      <c r="MH90" s="65"/>
      <c r="MI90" s="63"/>
      <c r="MJ90" s="64">
        <f t="shared" si="1837"/>
        <v>0</v>
      </c>
      <c r="MK90" s="65">
        <v>100</v>
      </c>
      <c r="ML90" s="63"/>
      <c r="MM90" s="64">
        <f t="shared" si="1838"/>
        <v>100</v>
      </c>
      <c r="MN90" s="66">
        <f t="shared" si="1582"/>
        <v>989.11</v>
      </c>
      <c r="MO90" s="67">
        <f t="shared" si="1839"/>
        <v>0</v>
      </c>
      <c r="MP90" s="64">
        <f t="shared" si="1840"/>
        <v>989.11</v>
      </c>
      <c r="MQ90" s="62"/>
      <c r="MR90" s="63"/>
      <c r="MS90" s="64">
        <f t="shared" si="1841"/>
        <v>0</v>
      </c>
      <c r="MT90" s="65"/>
      <c r="MU90" s="63"/>
      <c r="MV90" s="64">
        <f t="shared" si="1842"/>
        <v>0</v>
      </c>
      <c r="MW90" s="65"/>
      <c r="MX90" s="63"/>
      <c r="MY90" s="64">
        <f t="shared" si="1843"/>
        <v>0</v>
      </c>
      <c r="MZ90" s="65"/>
      <c r="NA90" s="63"/>
      <c r="NB90" s="64">
        <f t="shared" si="1844"/>
        <v>0</v>
      </c>
      <c r="NC90" s="66">
        <f t="shared" si="1589"/>
        <v>0</v>
      </c>
      <c r="ND90" s="67">
        <f t="shared" si="1845"/>
        <v>0</v>
      </c>
      <c r="NE90" s="64">
        <f t="shared" si="1846"/>
        <v>0</v>
      </c>
      <c r="NF90" s="62"/>
      <c r="NG90" s="63"/>
      <c r="NH90" s="64">
        <f t="shared" si="1847"/>
        <v>0</v>
      </c>
      <c r="NI90" s="65">
        <v>1164.04</v>
      </c>
      <c r="NJ90" s="63"/>
      <c r="NK90" s="64">
        <f t="shared" si="1848"/>
        <v>1164.04</v>
      </c>
      <c r="NL90" s="65"/>
      <c r="NM90" s="63"/>
      <c r="NN90" s="64">
        <f t="shared" si="1849"/>
        <v>0</v>
      </c>
      <c r="NO90" s="65">
        <v>100</v>
      </c>
      <c r="NP90" s="63"/>
      <c r="NQ90" s="64">
        <f t="shared" si="1850"/>
        <v>100</v>
      </c>
      <c r="NR90" s="66">
        <f t="shared" si="1596"/>
        <v>1264.04</v>
      </c>
      <c r="NS90" s="67">
        <f t="shared" si="1851"/>
        <v>0</v>
      </c>
      <c r="NT90" s="64">
        <f t="shared" si="1852"/>
        <v>1264.04</v>
      </c>
      <c r="NU90" s="62"/>
      <c r="NV90" s="63"/>
      <c r="NW90" s="64">
        <f t="shared" si="1853"/>
        <v>0</v>
      </c>
      <c r="NX90" s="65">
        <v>1152.73</v>
      </c>
      <c r="NY90" s="63"/>
      <c r="NZ90" s="64">
        <f t="shared" si="1854"/>
        <v>1152.73</v>
      </c>
      <c r="OA90" s="65"/>
      <c r="OB90" s="63"/>
      <c r="OC90" s="64">
        <f t="shared" si="1855"/>
        <v>0</v>
      </c>
      <c r="OD90" s="65">
        <v>100</v>
      </c>
      <c r="OE90" s="63"/>
      <c r="OF90" s="64">
        <f t="shared" si="1856"/>
        <v>100</v>
      </c>
      <c r="OG90" s="66">
        <f t="shared" si="1603"/>
        <v>1252.73</v>
      </c>
      <c r="OH90" s="67">
        <f t="shared" si="1857"/>
        <v>0</v>
      </c>
      <c r="OI90" s="64">
        <f t="shared" si="1858"/>
        <v>1252.73</v>
      </c>
      <c r="OJ90" s="62"/>
      <c r="OK90" s="63"/>
      <c r="OL90" s="64">
        <f t="shared" si="1859"/>
        <v>0</v>
      </c>
      <c r="OM90" s="65"/>
      <c r="ON90" s="63"/>
      <c r="OO90" s="64">
        <f t="shared" si="1860"/>
        <v>0</v>
      </c>
      <c r="OP90" s="65"/>
      <c r="OQ90" s="63"/>
      <c r="OR90" s="64">
        <f t="shared" si="1861"/>
        <v>0</v>
      </c>
      <c r="OS90" s="65">
        <v>100</v>
      </c>
      <c r="OT90" s="63"/>
      <c r="OU90" s="64">
        <f t="shared" si="1862"/>
        <v>100</v>
      </c>
      <c r="OV90" s="66">
        <f t="shared" si="1610"/>
        <v>100</v>
      </c>
      <c r="OW90" s="67">
        <f t="shared" si="1863"/>
        <v>0</v>
      </c>
      <c r="OX90" s="64">
        <f t="shared" si="1864"/>
        <v>100</v>
      </c>
      <c r="OY90" s="62"/>
      <c r="OZ90" s="63"/>
      <c r="PA90" s="64">
        <f t="shared" si="1865"/>
        <v>0</v>
      </c>
      <c r="PB90" s="65"/>
      <c r="PC90" s="63"/>
      <c r="PD90" s="64">
        <f t="shared" si="1866"/>
        <v>0</v>
      </c>
      <c r="PE90" s="65"/>
      <c r="PF90" s="63"/>
      <c r="PG90" s="64">
        <f t="shared" si="1867"/>
        <v>0</v>
      </c>
      <c r="PH90" s="65">
        <v>100</v>
      </c>
      <c r="PI90" s="63"/>
      <c r="PJ90" s="64">
        <f t="shared" si="1868"/>
        <v>100</v>
      </c>
      <c r="PK90" s="66">
        <f t="shared" si="1617"/>
        <v>100</v>
      </c>
      <c r="PL90" s="67">
        <f t="shared" si="1869"/>
        <v>0</v>
      </c>
      <c r="PM90" s="64">
        <f t="shared" si="1870"/>
        <v>100</v>
      </c>
      <c r="PN90" s="62">
        <v>1550</v>
      </c>
      <c r="PO90" s="63"/>
      <c r="PP90" s="64">
        <f t="shared" si="1871"/>
        <v>1550</v>
      </c>
      <c r="PQ90" s="65"/>
      <c r="PR90" s="63"/>
      <c r="PS90" s="64">
        <f t="shared" si="1872"/>
        <v>0</v>
      </c>
      <c r="PT90" s="65"/>
      <c r="PU90" s="63"/>
      <c r="PV90" s="64">
        <f t="shared" si="1873"/>
        <v>0</v>
      </c>
      <c r="PW90" s="65">
        <v>100</v>
      </c>
      <c r="PX90" s="63"/>
      <c r="PY90" s="64">
        <f t="shared" si="1874"/>
        <v>100</v>
      </c>
      <c r="PZ90" s="66">
        <f t="shared" si="1624"/>
        <v>1650</v>
      </c>
      <c r="QA90" s="67">
        <f t="shared" si="1875"/>
        <v>0</v>
      </c>
      <c r="QB90" s="64">
        <f t="shared" si="1876"/>
        <v>1650</v>
      </c>
      <c r="QC90" s="62">
        <v>9000</v>
      </c>
      <c r="QD90" s="63"/>
      <c r="QE90" s="64">
        <f t="shared" si="1877"/>
        <v>9000</v>
      </c>
      <c r="QF90" s="65"/>
      <c r="QG90" s="63"/>
      <c r="QH90" s="64">
        <f t="shared" si="1878"/>
        <v>0</v>
      </c>
      <c r="QI90" s="65"/>
      <c r="QJ90" s="63"/>
      <c r="QK90" s="64">
        <f t="shared" si="1879"/>
        <v>0</v>
      </c>
      <c r="QL90" s="65">
        <v>100</v>
      </c>
      <c r="QM90" s="63"/>
      <c r="QN90" s="64">
        <f t="shared" si="1880"/>
        <v>100</v>
      </c>
      <c r="QO90" s="66">
        <f t="shared" si="1631"/>
        <v>9100</v>
      </c>
      <c r="QP90" s="67">
        <f t="shared" si="1881"/>
        <v>0</v>
      </c>
      <c r="QQ90" s="64">
        <f t="shared" si="1882"/>
        <v>9100</v>
      </c>
      <c r="QR90" s="74"/>
      <c r="QS90" s="74"/>
      <c r="QT90" s="72"/>
      <c r="QU90" s="73"/>
      <c r="QV90" s="74"/>
      <c r="QW90" s="75"/>
      <c r="QX90" s="73"/>
      <c r="QY90" s="74"/>
      <c r="QZ90" s="75"/>
      <c r="RA90" s="73"/>
      <c r="RB90" s="74"/>
      <c r="RC90" s="75"/>
      <c r="RD90" s="73"/>
      <c r="RE90" s="74"/>
      <c r="RF90" s="74"/>
      <c r="RG90" s="72"/>
      <c r="RH90" s="73"/>
      <c r="RI90" s="74"/>
      <c r="RJ90" s="75"/>
      <c r="RK90" s="73"/>
      <c r="RL90" s="74"/>
      <c r="RM90" s="75"/>
      <c r="RN90" s="73"/>
      <c r="RO90" s="74"/>
      <c r="RP90" s="75"/>
      <c r="RQ90" s="73"/>
      <c r="RR90" s="74"/>
      <c r="RS90" s="76"/>
      <c r="RT90" s="77"/>
      <c r="RU90" s="74"/>
      <c r="RV90" s="74"/>
      <c r="RW90" s="72"/>
      <c r="RX90" s="73"/>
      <c r="RY90" s="74"/>
      <c r="RZ90" s="75"/>
      <c r="SA90" s="73"/>
      <c r="SB90" s="74"/>
      <c r="SC90" s="75"/>
      <c r="SD90" s="73"/>
      <c r="SE90" s="74"/>
      <c r="SF90" s="75"/>
      <c r="SG90" s="73"/>
      <c r="SH90" s="74"/>
      <c r="SI90" s="76"/>
      <c r="SJ90" s="64">
        <f t="shared" si="1883"/>
        <v>0</v>
      </c>
      <c r="SK90" s="62">
        <v>17000</v>
      </c>
      <c r="SL90" s="63"/>
      <c r="SM90" s="64">
        <f t="shared" si="1884"/>
        <v>17000</v>
      </c>
      <c r="SN90" s="65"/>
      <c r="SO90" s="63"/>
      <c r="SP90" s="64">
        <f t="shared" si="1885"/>
        <v>0</v>
      </c>
      <c r="SQ90" s="65"/>
      <c r="SR90" s="63"/>
      <c r="SS90" s="64">
        <f t="shared" si="1886"/>
        <v>0</v>
      </c>
      <c r="ST90" s="65">
        <v>100</v>
      </c>
      <c r="SU90" s="63"/>
      <c r="SV90" s="64">
        <f t="shared" si="1887"/>
        <v>100</v>
      </c>
      <c r="SW90" s="66">
        <f t="shared" si="1639"/>
        <v>17100</v>
      </c>
      <c r="SX90" s="67">
        <f t="shared" si="1888"/>
        <v>0</v>
      </c>
      <c r="SY90" s="64">
        <f t="shared" si="1889"/>
        <v>17100</v>
      </c>
      <c r="SZ90" s="62">
        <v>985.33</v>
      </c>
      <c r="TA90" s="63"/>
      <c r="TB90" s="64">
        <f t="shared" si="1890"/>
        <v>985.33</v>
      </c>
      <c r="TC90" s="65">
        <v>700.9</v>
      </c>
      <c r="TD90" s="63"/>
      <c r="TE90" s="64">
        <f t="shared" si="1891"/>
        <v>700.9</v>
      </c>
      <c r="TF90" s="65"/>
      <c r="TG90" s="63"/>
      <c r="TH90" s="64">
        <f t="shared" si="1892"/>
        <v>0</v>
      </c>
      <c r="TI90" s="65">
        <v>100</v>
      </c>
      <c r="TJ90" s="63"/>
      <c r="TK90" s="64">
        <f t="shared" si="1893"/>
        <v>100</v>
      </c>
      <c r="TL90" s="66">
        <f t="shared" si="1646"/>
        <v>1786.23</v>
      </c>
      <c r="TM90" s="67">
        <f t="shared" si="1894"/>
        <v>0</v>
      </c>
      <c r="TN90" s="64">
        <f t="shared" si="1895"/>
        <v>1786.23</v>
      </c>
      <c r="TO90" s="62"/>
      <c r="TP90" s="63"/>
      <c r="TQ90" s="64">
        <f t="shared" si="1896"/>
        <v>0</v>
      </c>
      <c r="TR90" s="65"/>
      <c r="TS90" s="63"/>
      <c r="TT90" s="64">
        <f t="shared" si="1897"/>
        <v>0</v>
      </c>
      <c r="TU90" s="65"/>
      <c r="TV90" s="63"/>
      <c r="TW90" s="64">
        <f t="shared" si="1898"/>
        <v>0</v>
      </c>
      <c r="TX90" s="65">
        <v>100</v>
      </c>
      <c r="TY90" s="63"/>
      <c r="TZ90" s="64">
        <f t="shared" si="1899"/>
        <v>100</v>
      </c>
      <c r="UA90" s="66">
        <f t="shared" si="1653"/>
        <v>100</v>
      </c>
      <c r="UB90" s="67">
        <f t="shared" si="1900"/>
        <v>0</v>
      </c>
      <c r="UC90" s="64">
        <f t="shared" si="1901"/>
        <v>100</v>
      </c>
      <c r="UD90" s="62"/>
      <c r="UE90" s="63"/>
      <c r="UF90" s="64">
        <f t="shared" si="1902"/>
        <v>0</v>
      </c>
      <c r="UG90" s="65">
        <v>497.04</v>
      </c>
      <c r="UH90" s="63"/>
      <c r="UI90" s="64">
        <f t="shared" si="1903"/>
        <v>497.04</v>
      </c>
      <c r="UJ90" s="65"/>
      <c r="UK90" s="63"/>
      <c r="UL90" s="64">
        <f t="shared" si="1904"/>
        <v>0</v>
      </c>
      <c r="UM90" s="65">
        <v>100</v>
      </c>
      <c r="UN90" s="63"/>
      <c r="UO90" s="64">
        <f t="shared" si="1905"/>
        <v>100</v>
      </c>
      <c r="UP90" s="66">
        <f t="shared" si="1660"/>
        <v>597.04</v>
      </c>
      <c r="UQ90" s="67">
        <f t="shared" si="1906"/>
        <v>0</v>
      </c>
      <c r="UR90" s="64">
        <f t="shared" si="1907"/>
        <v>597.04</v>
      </c>
      <c r="US90" s="74"/>
      <c r="UT90" s="72"/>
      <c r="UU90" s="73"/>
      <c r="UV90" s="74"/>
      <c r="UW90" s="75"/>
      <c r="UX90" s="73"/>
      <c r="UY90" s="74"/>
      <c r="UZ90" s="75"/>
      <c r="VA90" s="73"/>
      <c r="VB90" s="74"/>
      <c r="VC90" s="75"/>
      <c r="VD90" s="73"/>
      <c r="VE90" s="74"/>
      <c r="VF90" s="76"/>
      <c r="VG90" s="77"/>
      <c r="VH90" s="62"/>
      <c r="VI90" s="63"/>
      <c r="VJ90" s="64">
        <f t="shared" si="1908"/>
        <v>0</v>
      </c>
      <c r="VK90" s="65"/>
      <c r="VL90" s="63"/>
      <c r="VM90" s="64">
        <f t="shared" si="1909"/>
        <v>0</v>
      </c>
      <c r="VN90" s="65"/>
      <c r="VO90" s="63"/>
      <c r="VP90" s="64">
        <f t="shared" si="1910"/>
        <v>0</v>
      </c>
      <c r="VQ90" s="65">
        <v>100</v>
      </c>
      <c r="VR90" s="63"/>
      <c r="VS90" s="64">
        <f t="shared" si="1911"/>
        <v>100</v>
      </c>
      <c r="VT90" s="66">
        <f t="shared" si="1667"/>
        <v>100</v>
      </c>
      <c r="VU90" s="67">
        <f t="shared" si="1912"/>
        <v>0</v>
      </c>
      <c r="VV90" s="64">
        <f t="shared" si="1913"/>
        <v>100</v>
      </c>
      <c r="VW90" s="74"/>
      <c r="VX90" s="72"/>
      <c r="VY90" s="73"/>
      <c r="VZ90" s="74"/>
      <c r="WA90" s="75"/>
      <c r="WB90" s="73"/>
      <c r="WC90" s="74"/>
      <c r="WD90" s="75"/>
      <c r="WE90" s="73"/>
      <c r="WF90" s="74"/>
      <c r="WG90" s="75"/>
      <c r="WH90" s="73"/>
      <c r="WI90" s="74"/>
      <c r="WJ90" s="76"/>
      <c r="WK90" s="77"/>
      <c r="WL90" s="74"/>
      <c r="WM90" s="72"/>
      <c r="WN90" s="73"/>
      <c r="WO90" s="74"/>
      <c r="WP90" s="75"/>
      <c r="WQ90" s="73"/>
      <c r="WR90" s="74"/>
      <c r="WS90" s="75"/>
      <c r="WT90" s="73"/>
      <c r="WU90" s="74"/>
      <c r="WV90" s="75"/>
      <c r="WW90" s="73"/>
      <c r="WX90" s="74"/>
      <c r="WY90" s="76"/>
      <c r="WZ90" s="77"/>
      <c r="XA90" s="74"/>
      <c r="XB90" s="72"/>
      <c r="XC90" s="73"/>
      <c r="XD90" s="74"/>
      <c r="XE90" s="75"/>
      <c r="XF90" s="73"/>
      <c r="XG90" s="74"/>
      <c r="XH90" s="75"/>
      <c r="XI90" s="73"/>
      <c r="XJ90" s="74"/>
      <c r="XK90" s="75"/>
      <c r="XL90" s="73"/>
      <c r="XM90" s="74"/>
      <c r="XN90" s="76"/>
      <c r="XO90" s="77"/>
      <c r="XP90" s="62"/>
      <c r="XQ90" s="63"/>
      <c r="XR90" s="64">
        <f t="shared" si="1914"/>
        <v>0</v>
      </c>
      <c r="XS90" s="65">
        <v>844.24</v>
      </c>
      <c r="XT90" s="63"/>
      <c r="XU90" s="64">
        <f t="shared" si="1915"/>
        <v>844.24</v>
      </c>
      <c r="XV90" s="65"/>
      <c r="XW90" s="63"/>
      <c r="XX90" s="64">
        <f t="shared" si="1916"/>
        <v>0</v>
      </c>
      <c r="XY90" s="65">
        <v>100</v>
      </c>
      <c r="XZ90" s="63"/>
      <c r="YA90" s="64">
        <f t="shared" si="1917"/>
        <v>100</v>
      </c>
      <c r="YB90" s="66">
        <f t="shared" si="1674"/>
        <v>944.24</v>
      </c>
      <c r="YC90" s="67">
        <f t="shared" si="1918"/>
        <v>0</v>
      </c>
      <c r="YD90" s="64">
        <f t="shared" si="1919"/>
        <v>944.24</v>
      </c>
      <c r="YE90" s="62"/>
      <c r="YF90" s="63"/>
      <c r="YG90" s="64">
        <f t="shared" si="1920"/>
        <v>0</v>
      </c>
      <c r="YH90" s="65">
        <v>847.85</v>
      </c>
      <c r="YI90" s="63"/>
      <c r="YJ90" s="64">
        <f t="shared" si="1921"/>
        <v>847.85</v>
      </c>
      <c r="YK90" s="65"/>
      <c r="YL90" s="63"/>
      <c r="YM90" s="64">
        <f t="shared" si="1922"/>
        <v>0</v>
      </c>
      <c r="YN90" s="65">
        <v>100</v>
      </c>
      <c r="YO90" s="63"/>
      <c r="YP90" s="64">
        <f t="shared" si="1923"/>
        <v>100</v>
      </c>
      <c r="YQ90" s="66">
        <f t="shared" si="1681"/>
        <v>947.85</v>
      </c>
      <c r="YR90" s="67">
        <f t="shared" si="1924"/>
        <v>0</v>
      </c>
      <c r="YS90" s="64">
        <f t="shared" si="1925"/>
        <v>947.85</v>
      </c>
      <c r="YT90" s="62"/>
      <c r="YU90" s="63"/>
      <c r="YV90" s="64">
        <f t="shared" si="1926"/>
        <v>0</v>
      </c>
      <c r="YW90" s="65">
        <v>695.73</v>
      </c>
      <c r="YX90" s="63"/>
      <c r="YY90" s="64">
        <f t="shared" si="1927"/>
        <v>695.73</v>
      </c>
      <c r="YZ90" s="65"/>
      <c r="ZA90" s="63"/>
      <c r="ZB90" s="64">
        <f t="shared" si="1928"/>
        <v>0</v>
      </c>
      <c r="ZC90" s="65">
        <v>100</v>
      </c>
      <c r="ZD90" s="63"/>
      <c r="ZE90" s="64">
        <f t="shared" si="1929"/>
        <v>100</v>
      </c>
      <c r="ZF90" s="66">
        <f t="shared" si="1688"/>
        <v>795.73</v>
      </c>
      <c r="ZG90" s="67">
        <f t="shared" si="1930"/>
        <v>0</v>
      </c>
      <c r="ZH90" s="74"/>
      <c r="ZI90" s="72"/>
      <c r="ZJ90" s="73"/>
      <c r="ZK90" s="74"/>
      <c r="ZL90" s="75"/>
      <c r="ZM90" s="73"/>
      <c r="ZN90" s="74"/>
      <c r="ZO90" s="75"/>
      <c r="ZP90" s="73"/>
      <c r="ZQ90" s="74"/>
      <c r="ZR90" s="75"/>
      <c r="ZS90" s="73"/>
      <c r="ZT90" s="74"/>
      <c r="ZU90" s="76"/>
      <c r="ZV90" s="77"/>
      <c r="ZW90" s="64">
        <f t="shared" si="1931"/>
        <v>0</v>
      </c>
      <c r="ZX90" s="62">
        <v>24.71</v>
      </c>
      <c r="ZY90" s="63"/>
      <c r="ZZ90" s="64">
        <f t="shared" si="1932"/>
        <v>24.71</v>
      </c>
      <c r="AAA90" s="66">
        <f t="shared" si="1692"/>
        <v>24.71</v>
      </c>
      <c r="AAB90" s="67">
        <f t="shared" si="1692"/>
        <v>0</v>
      </c>
      <c r="AAC90" s="64">
        <f t="shared" si="1933"/>
        <v>24.71</v>
      </c>
      <c r="AAD90" s="85">
        <f t="shared" si="1694"/>
        <v>332046.33499999996</v>
      </c>
      <c r="AAE90" s="86">
        <f t="shared" si="1694"/>
        <v>0</v>
      </c>
      <c r="AAF90" s="87">
        <f t="shared" si="1457"/>
        <v>0</v>
      </c>
      <c r="AAG90" s="88">
        <f t="shared" si="1934"/>
        <v>-332046.33499999996</v>
      </c>
      <c r="AAH90" s="89"/>
      <c r="AAI90" s="92"/>
      <c r="AAJ90" s="92"/>
      <c r="AAK90" s="60"/>
    </row>
    <row r="91" spans="1:713" s="83" customFormat="1" ht="20" customHeight="1" x14ac:dyDescent="0.2">
      <c r="A91" s="153"/>
      <c r="B91" s="94">
        <f>B89/B85</f>
        <v>0</v>
      </c>
      <c r="C91" s="95"/>
      <c r="D91" s="95"/>
      <c r="E91" s="60"/>
      <c r="F91" s="61">
        <v>46997</v>
      </c>
      <c r="G91" s="62"/>
      <c r="H91" s="63"/>
      <c r="I91" s="64">
        <f t="shared" si="1730"/>
        <v>0</v>
      </c>
      <c r="J91" s="65">
        <v>2154.35</v>
      </c>
      <c r="K91" s="63"/>
      <c r="L91" s="64">
        <f t="shared" si="1731"/>
        <v>2154.35</v>
      </c>
      <c r="M91" s="65">
        <v>2500</v>
      </c>
      <c r="N91" s="63"/>
      <c r="O91" s="64">
        <f t="shared" si="1732"/>
        <v>2500</v>
      </c>
      <c r="P91" s="65">
        <v>1500</v>
      </c>
      <c r="Q91" s="63"/>
      <c r="R91" s="64">
        <f t="shared" si="1733"/>
        <v>1500</v>
      </c>
      <c r="S91" s="65">
        <v>362</v>
      </c>
      <c r="T91" s="63"/>
      <c r="U91" s="64">
        <f t="shared" si="1734"/>
        <v>362</v>
      </c>
      <c r="V91" s="66">
        <f t="shared" si="1735"/>
        <v>6516.35</v>
      </c>
      <c r="W91" s="67">
        <f t="shared" si="1735"/>
        <v>0</v>
      </c>
      <c r="X91" s="64">
        <f t="shared" si="1736"/>
        <v>6516.35</v>
      </c>
      <c r="Y91" s="72"/>
      <c r="Z91" s="73"/>
      <c r="AA91" s="74"/>
      <c r="AB91" s="75"/>
      <c r="AC91" s="73"/>
      <c r="AD91" s="74"/>
      <c r="AE91" s="75"/>
      <c r="AF91" s="73"/>
      <c r="AG91" s="74"/>
      <c r="AH91" s="75"/>
      <c r="AI91" s="73"/>
      <c r="AJ91" s="74"/>
      <c r="AK91" s="76"/>
      <c r="AL91" s="77"/>
      <c r="AM91" s="64">
        <f t="shared" si="1737"/>
        <v>0</v>
      </c>
      <c r="AN91" s="62">
        <v>6250</v>
      </c>
      <c r="AO91" s="63"/>
      <c r="AP91" s="64">
        <f t="shared" si="1935"/>
        <v>6250</v>
      </c>
      <c r="AQ91" s="65"/>
      <c r="AR91" s="63"/>
      <c r="AS91" s="64">
        <f t="shared" si="1738"/>
        <v>0</v>
      </c>
      <c r="AT91" s="65"/>
      <c r="AU91" s="63"/>
      <c r="AV91" s="64">
        <f t="shared" si="1739"/>
        <v>0</v>
      </c>
      <c r="AW91" s="65"/>
      <c r="AX91" s="63"/>
      <c r="AY91" s="64">
        <f t="shared" si="1740"/>
        <v>0</v>
      </c>
      <c r="AZ91" s="66">
        <f t="shared" si="1469"/>
        <v>6250</v>
      </c>
      <c r="BA91" s="67">
        <f t="shared" si="1741"/>
        <v>0</v>
      </c>
      <c r="BB91" s="64">
        <f t="shared" si="1742"/>
        <v>6250</v>
      </c>
      <c r="BC91" s="62"/>
      <c r="BD91" s="63"/>
      <c r="BE91" s="64">
        <f t="shared" si="1743"/>
        <v>0</v>
      </c>
      <c r="BF91" s="65"/>
      <c r="BG91" s="63"/>
      <c r="BH91" s="64">
        <f t="shared" si="1744"/>
        <v>0</v>
      </c>
      <c r="BI91" s="65"/>
      <c r="BJ91" s="63"/>
      <c r="BK91" s="64">
        <f t="shared" si="1745"/>
        <v>0</v>
      </c>
      <c r="BL91" s="65">
        <v>100</v>
      </c>
      <c r="BM91" s="63"/>
      <c r="BN91" s="64">
        <f t="shared" si="1746"/>
        <v>100</v>
      </c>
      <c r="BO91" s="66">
        <f t="shared" si="1476"/>
        <v>100</v>
      </c>
      <c r="BP91" s="67">
        <f t="shared" si="1747"/>
        <v>0</v>
      </c>
      <c r="BQ91" s="64">
        <f t="shared" si="1748"/>
        <v>100</v>
      </c>
      <c r="BR91" s="72"/>
      <c r="BS91" s="73"/>
      <c r="BT91" s="74"/>
      <c r="BU91" s="75"/>
      <c r="BV91" s="73"/>
      <c r="BW91" s="74"/>
      <c r="BX91" s="75"/>
      <c r="BY91" s="73"/>
      <c r="BZ91" s="74"/>
      <c r="CA91" s="75"/>
      <c r="CB91" s="73"/>
      <c r="CC91" s="74"/>
      <c r="CD91" s="76"/>
      <c r="CE91" s="77"/>
      <c r="CF91" s="64">
        <f t="shared" si="1749"/>
        <v>0</v>
      </c>
      <c r="CG91" s="62">
        <v>5000</v>
      </c>
      <c r="CH91" s="63"/>
      <c r="CI91" s="64">
        <f t="shared" si="1750"/>
        <v>5000</v>
      </c>
      <c r="CJ91" s="65"/>
      <c r="CK91" s="63"/>
      <c r="CL91" s="64">
        <f t="shared" si="1751"/>
        <v>0</v>
      </c>
      <c r="CM91" s="65"/>
      <c r="CN91" s="63"/>
      <c r="CO91" s="64">
        <f t="shared" si="1752"/>
        <v>0</v>
      </c>
      <c r="CP91" s="65"/>
      <c r="CQ91" s="63"/>
      <c r="CR91" s="64">
        <f t="shared" si="1753"/>
        <v>0</v>
      </c>
      <c r="CS91" s="66">
        <f t="shared" si="1484"/>
        <v>5000</v>
      </c>
      <c r="CT91" s="67">
        <f t="shared" si="1754"/>
        <v>0</v>
      </c>
      <c r="CU91" s="64">
        <f t="shared" si="1755"/>
        <v>5000</v>
      </c>
      <c r="CV91" s="62">
        <v>2916.7</v>
      </c>
      <c r="CW91" s="63"/>
      <c r="CX91" s="64">
        <f t="shared" si="1756"/>
        <v>2916.7</v>
      </c>
      <c r="CY91" s="65">
        <v>429.15</v>
      </c>
      <c r="CZ91" s="63"/>
      <c r="DA91" s="64">
        <f t="shared" si="1757"/>
        <v>429.15</v>
      </c>
      <c r="DB91" s="65"/>
      <c r="DC91" s="63"/>
      <c r="DD91" s="64">
        <f t="shared" si="1758"/>
        <v>0</v>
      </c>
      <c r="DE91" s="65"/>
      <c r="DF91" s="63"/>
      <c r="DG91" s="64">
        <f t="shared" si="1759"/>
        <v>0</v>
      </c>
      <c r="DH91" s="66">
        <f t="shared" si="1491"/>
        <v>3345.85</v>
      </c>
      <c r="DI91" s="67">
        <f t="shared" si="1760"/>
        <v>0</v>
      </c>
      <c r="DJ91" s="64">
        <f t="shared" si="1761"/>
        <v>3345.85</v>
      </c>
      <c r="DK91" s="62">
        <v>2400</v>
      </c>
      <c r="DL91" s="63"/>
      <c r="DM91" s="64">
        <f t="shared" si="1762"/>
        <v>2400</v>
      </c>
      <c r="DN91" s="65">
        <v>913.08</v>
      </c>
      <c r="DO91" s="63"/>
      <c r="DP91" s="64">
        <f t="shared" si="1763"/>
        <v>913.08</v>
      </c>
      <c r="DQ91" s="65"/>
      <c r="DR91" s="63"/>
      <c r="DS91" s="64">
        <f t="shared" si="1764"/>
        <v>0</v>
      </c>
      <c r="DT91" s="65">
        <v>100</v>
      </c>
      <c r="DU91" s="63"/>
      <c r="DV91" s="64">
        <f t="shared" si="1765"/>
        <v>100</v>
      </c>
      <c r="DW91" s="66">
        <f t="shared" si="1498"/>
        <v>3413.08</v>
      </c>
      <c r="DX91" s="67">
        <f t="shared" si="1766"/>
        <v>0</v>
      </c>
      <c r="DY91" s="64">
        <f t="shared" si="1767"/>
        <v>3413.08</v>
      </c>
      <c r="DZ91" s="62"/>
      <c r="EA91" s="63"/>
      <c r="EB91" s="64">
        <f t="shared" si="1768"/>
        <v>0</v>
      </c>
      <c r="EC91" s="65"/>
      <c r="ED91" s="63"/>
      <c r="EE91" s="64">
        <f t="shared" si="1769"/>
        <v>0</v>
      </c>
      <c r="EF91" s="65"/>
      <c r="EG91" s="63"/>
      <c r="EH91" s="64">
        <f t="shared" si="1770"/>
        <v>0</v>
      </c>
      <c r="EI91" s="65">
        <v>100</v>
      </c>
      <c r="EJ91" s="63"/>
      <c r="EK91" s="64">
        <f t="shared" si="1771"/>
        <v>100</v>
      </c>
      <c r="EL91" s="66">
        <f t="shared" si="1505"/>
        <v>100</v>
      </c>
      <c r="EM91" s="67">
        <f t="shared" si="1772"/>
        <v>0</v>
      </c>
      <c r="EN91" s="64">
        <f t="shared" si="1773"/>
        <v>100</v>
      </c>
      <c r="EO91" s="62"/>
      <c r="EP91" s="63"/>
      <c r="EQ91" s="64">
        <f t="shared" si="1774"/>
        <v>0</v>
      </c>
      <c r="ER91" s="65"/>
      <c r="ES91" s="63"/>
      <c r="ET91" s="64">
        <f t="shared" si="1775"/>
        <v>0</v>
      </c>
      <c r="EU91" s="65"/>
      <c r="EV91" s="63"/>
      <c r="EW91" s="64">
        <f t="shared" si="1776"/>
        <v>0</v>
      </c>
      <c r="EX91" s="65">
        <v>100</v>
      </c>
      <c r="EY91" s="63"/>
      <c r="EZ91" s="64">
        <f t="shared" si="1777"/>
        <v>100</v>
      </c>
      <c r="FA91" s="66">
        <f t="shared" si="1512"/>
        <v>100</v>
      </c>
      <c r="FB91" s="67">
        <f t="shared" si="1778"/>
        <v>0</v>
      </c>
      <c r="FC91" s="64">
        <f t="shared" si="1779"/>
        <v>100</v>
      </c>
      <c r="FD91" s="62"/>
      <c r="FE91" s="63"/>
      <c r="FF91" s="64">
        <f t="shared" si="1780"/>
        <v>0</v>
      </c>
      <c r="FG91" s="65"/>
      <c r="FH91" s="63"/>
      <c r="FI91" s="64">
        <f t="shared" si="1781"/>
        <v>0</v>
      </c>
      <c r="FJ91" s="65"/>
      <c r="FK91" s="63"/>
      <c r="FL91" s="64">
        <f t="shared" si="1782"/>
        <v>0</v>
      </c>
      <c r="FM91" s="65">
        <v>100</v>
      </c>
      <c r="FN91" s="63"/>
      <c r="FO91" s="64">
        <f t="shared" si="1783"/>
        <v>100</v>
      </c>
      <c r="FP91" s="66">
        <f t="shared" si="1519"/>
        <v>100</v>
      </c>
      <c r="FQ91" s="67">
        <f t="shared" si="1784"/>
        <v>0</v>
      </c>
      <c r="FR91" s="64">
        <f t="shared" si="1785"/>
        <v>100</v>
      </c>
      <c r="FS91" s="62"/>
      <c r="FT91" s="63"/>
      <c r="FU91" s="64">
        <f t="shared" si="1786"/>
        <v>0</v>
      </c>
      <c r="FV91" s="65">
        <v>485.35</v>
      </c>
      <c r="FW91" s="63"/>
      <c r="FX91" s="64">
        <f t="shared" si="1787"/>
        <v>485.35</v>
      </c>
      <c r="FY91" s="65"/>
      <c r="FZ91" s="63"/>
      <c r="GA91" s="64">
        <f t="shared" si="1788"/>
        <v>0</v>
      </c>
      <c r="GB91" s="65"/>
      <c r="GC91" s="63"/>
      <c r="GD91" s="64">
        <f t="shared" si="1789"/>
        <v>0</v>
      </c>
      <c r="GE91" s="66">
        <f t="shared" si="1526"/>
        <v>485.35</v>
      </c>
      <c r="GF91" s="67">
        <f t="shared" si="1790"/>
        <v>0</v>
      </c>
      <c r="GG91" s="64">
        <f t="shared" si="1791"/>
        <v>485.35</v>
      </c>
      <c r="GH91" s="62"/>
      <c r="GI91" s="63"/>
      <c r="GJ91" s="64">
        <f t="shared" si="1792"/>
        <v>0</v>
      </c>
      <c r="GK91" s="65">
        <v>660.33</v>
      </c>
      <c r="GL91" s="63"/>
      <c r="GM91" s="64">
        <f t="shared" si="1793"/>
        <v>660.33</v>
      </c>
      <c r="GN91" s="65"/>
      <c r="GO91" s="63"/>
      <c r="GP91" s="64">
        <f t="shared" si="1794"/>
        <v>0</v>
      </c>
      <c r="GQ91" s="65"/>
      <c r="GR91" s="63"/>
      <c r="GS91" s="64">
        <f t="shared" si="1795"/>
        <v>0</v>
      </c>
      <c r="GT91" s="66">
        <f t="shared" si="1533"/>
        <v>660.33</v>
      </c>
      <c r="GU91" s="67">
        <f t="shared" si="1796"/>
        <v>0</v>
      </c>
      <c r="GV91" s="64">
        <f t="shared" si="1797"/>
        <v>660.33</v>
      </c>
      <c r="GW91" s="62"/>
      <c r="GX91" s="63"/>
      <c r="GY91" s="64">
        <f t="shared" si="1798"/>
        <v>0</v>
      </c>
      <c r="GZ91" s="65">
        <v>568.25</v>
      </c>
      <c r="HA91" s="63"/>
      <c r="HB91" s="64">
        <f t="shared" si="1799"/>
        <v>568.25</v>
      </c>
      <c r="HC91" s="65"/>
      <c r="HD91" s="63"/>
      <c r="HE91" s="64">
        <f t="shared" si="1800"/>
        <v>0</v>
      </c>
      <c r="HF91" s="65">
        <v>100</v>
      </c>
      <c r="HG91" s="63"/>
      <c r="HH91" s="64">
        <f t="shared" si="1801"/>
        <v>100</v>
      </c>
      <c r="HI91" s="66">
        <f t="shared" si="1540"/>
        <v>668.25</v>
      </c>
      <c r="HJ91" s="67">
        <f t="shared" si="1802"/>
        <v>0</v>
      </c>
      <c r="HK91" s="64">
        <f t="shared" si="1803"/>
        <v>668.25</v>
      </c>
      <c r="HL91" s="62"/>
      <c r="HM91" s="63"/>
      <c r="HN91" s="64">
        <f t="shared" si="1804"/>
        <v>0</v>
      </c>
      <c r="HO91" s="65"/>
      <c r="HP91" s="63"/>
      <c r="HQ91" s="64">
        <f t="shared" si="1805"/>
        <v>0</v>
      </c>
      <c r="HR91" s="65"/>
      <c r="HS91" s="63"/>
      <c r="HT91" s="64">
        <f t="shared" si="1806"/>
        <v>0</v>
      </c>
      <c r="HU91" s="65">
        <v>100</v>
      </c>
      <c r="HV91" s="63"/>
      <c r="HW91" s="64">
        <f t="shared" si="1807"/>
        <v>100</v>
      </c>
      <c r="HX91" s="66">
        <f t="shared" si="1547"/>
        <v>100</v>
      </c>
      <c r="HY91" s="67">
        <f t="shared" si="1808"/>
        <v>0</v>
      </c>
      <c r="HZ91" s="64">
        <f t="shared" si="1809"/>
        <v>100</v>
      </c>
      <c r="IA91" s="62"/>
      <c r="IB91" s="63"/>
      <c r="IC91" s="64">
        <f t="shared" si="1810"/>
        <v>0</v>
      </c>
      <c r="ID91" s="65"/>
      <c r="IE91" s="63"/>
      <c r="IF91" s="64">
        <f t="shared" si="1811"/>
        <v>0</v>
      </c>
      <c r="IG91" s="65"/>
      <c r="IH91" s="63"/>
      <c r="II91" s="64">
        <f t="shared" si="1812"/>
        <v>0</v>
      </c>
      <c r="IJ91" s="65">
        <v>100</v>
      </c>
      <c r="IK91" s="63"/>
      <c r="IL91" s="64">
        <f t="shared" si="1813"/>
        <v>100</v>
      </c>
      <c r="IM91" s="66">
        <f t="shared" si="1554"/>
        <v>100</v>
      </c>
      <c r="IN91" s="67">
        <f t="shared" si="1814"/>
        <v>0</v>
      </c>
      <c r="IO91" s="64">
        <f t="shared" si="1815"/>
        <v>100</v>
      </c>
      <c r="IP91" s="62">
        <v>5000</v>
      </c>
      <c r="IQ91" s="63"/>
      <c r="IR91" s="64">
        <f t="shared" si="1816"/>
        <v>5000</v>
      </c>
      <c r="IS91" s="65"/>
      <c r="IT91" s="63"/>
      <c r="IU91" s="64">
        <f t="shared" si="1817"/>
        <v>0</v>
      </c>
      <c r="IV91" s="65"/>
      <c r="IW91" s="63"/>
      <c r="IX91" s="64">
        <f t="shared" si="1818"/>
        <v>0</v>
      </c>
      <c r="IY91" s="65"/>
      <c r="IZ91" s="63"/>
      <c r="JA91" s="64">
        <f t="shared" si="1819"/>
        <v>0</v>
      </c>
      <c r="JB91" s="66">
        <f t="shared" si="1561"/>
        <v>5000</v>
      </c>
      <c r="JC91" s="67">
        <f t="shared" si="1820"/>
        <v>0</v>
      </c>
      <c r="JD91" s="64">
        <f t="shared" si="1821"/>
        <v>5000</v>
      </c>
      <c r="JE91" s="72"/>
      <c r="JF91" s="150"/>
      <c r="JG91" s="74"/>
      <c r="JH91" s="75"/>
      <c r="JI91" s="150"/>
      <c r="JJ91" s="74"/>
      <c r="JK91" s="75"/>
      <c r="JL91" s="150"/>
      <c r="JM91" s="74"/>
      <c r="JN91" s="75"/>
      <c r="JO91" s="150"/>
      <c r="JP91" s="74"/>
      <c r="JQ91" s="76"/>
      <c r="JR91" s="77"/>
      <c r="JS91" s="74"/>
      <c r="JT91" s="72"/>
      <c r="JU91" s="73"/>
      <c r="JV91" s="74"/>
      <c r="JW91" s="75"/>
      <c r="JX91" s="73"/>
      <c r="JY91" s="74"/>
      <c r="JZ91" s="75"/>
      <c r="KA91" s="73"/>
      <c r="KB91" s="74"/>
      <c r="KC91" s="75"/>
      <c r="KD91" s="73"/>
      <c r="KE91" s="74"/>
      <c r="KF91" s="76"/>
      <c r="KG91" s="77"/>
      <c r="KH91" s="64">
        <f t="shared" si="1822"/>
        <v>0</v>
      </c>
      <c r="KI91" s="62"/>
      <c r="KJ91" s="63"/>
      <c r="KK91" s="64">
        <f t="shared" si="1823"/>
        <v>0</v>
      </c>
      <c r="KL91" s="65"/>
      <c r="KM91" s="63"/>
      <c r="KN91" s="64">
        <f t="shared" si="1824"/>
        <v>0</v>
      </c>
      <c r="KO91" s="65"/>
      <c r="KP91" s="63"/>
      <c r="KQ91" s="64">
        <f t="shared" si="1825"/>
        <v>0</v>
      </c>
      <c r="KR91" s="65"/>
      <c r="KS91" s="63"/>
      <c r="KT91" s="64">
        <f t="shared" si="1826"/>
        <v>0</v>
      </c>
      <c r="KU91" s="66">
        <f t="shared" si="1439"/>
        <v>0</v>
      </c>
      <c r="KV91" s="67">
        <f t="shared" si="1827"/>
        <v>0</v>
      </c>
      <c r="KW91" s="64">
        <f t="shared" si="1828"/>
        <v>0</v>
      </c>
      <c r="KX91" s="72"/>
      <c r="KY91" s="73"/>
      <c r="KZ91" s="74"/>
      <c r="LA91" s="75"/>
      <c r="LB91" s="73"/>
      <c r="LC91" s="74"/>
      <c r="LD91" s="75"/>
      <c r="LE91" s="73"/>
      <c r="LF91" s="74"/>
      <c r="LG91" s="75"/>
      <c r="LH91" s="73"/>
      <c r="LI91" s="74"/>
      <c r="LJ91" s="76"/>
      <c r="LK91" s="77"/>
      <c r="LL91" s="74"/>
      <c r="LM91" s="62"/>
      <c r="LN91" s="63"/>
      <c r="LO91" s="64">
        <f t="shared" si="1829"/>
        <v>0</v>
      </c>
      <c r="LP91" s="65"/>
      <c r="LQ91" s="63"/>
      <c r="LR91" s="64">
        <f t="shared" si="1830"/>
        <v>0</v>
      </c>
      <c r="LS91" s="65"/>
      <c r="LT91" s="63"/>
      <c r="LU91" s="64">
        <f t="shared" si="1831"/>
        <v>0</v>
      </c>
      <c r="LV91" s="65">
        <v>100</v>
      </c>
      <c r="LW91" s="63"/>
      <c r="LX91" s="64">
        <f t="shared" si="1832"/>
        <v>100</v>
      </c>
      <c r="LY91" s="66">
        <f t="shared" si="1575"/>
        <v>100</v>
      </c>
      <c r="LZ91" s="67">
        <f t="shared" si="1833"/>
        <v>0</v>
      </c>
      <c r="MA91" s="64">
        <f t="shared" si="1834"/>
        <v>100</v>
      </c>
      <c r="MB91" s="62"/>
      <c r="MC91" s="63"/>
      <c r="MD91" s="64">
        <f t="shared" si="1835"/>
        <v>0</v>
      </c>
      <c r="ME91" s="65">
        <v>889.11</v>
      </c>
      <c r="MF91" s="63"/>
      <c r="MG91" s="64">
        <f t="shared" si="1836"/>
        <v>889.11</v>
      </c>
      <c r="MH91" s="65"/>
      <c r="MI91" s="63"/>
      <c r="MJ91" s="64">
        <f t="shared" si="1837"/>
        <v>0</v>
      </c>
      <c r="MK91" s="65">
        <v>100</v>
      </c>
      <c r="ML91" s="63"/>
      <c r="MM91" s="64">
        <f t="shared" si="1838"/>
        <v>100</v>
      </c>
      <c r="MN91" s="66">
        <f t="shared" si="1582"/>
        <v>989.11</v>
      </c>
      <c r="MO91" s="67">
        <f t="shared" si="1839"/>
        <v>0</v>
      </c>
      <c r="MP91" s="64">
        <f t="shared" si="1840"/>
        <v>989.11</v>
      </c>
      <c r="MQ91" s="62"/>
      <c r="MR91" s="63"/>
      <c r="MS91" s="64">
        <f t="shared" si="1841"/>
        <v>0</v>
      </c>
      <c r="MT91" s="65"/>
      <c r="MU91" s="63"/>
      <c r="MV91" s="64">
        <f t="shared" si="1842"/>
        <v>0</v>
      </c>
      <c r="MW91" s="65"/>
      <c r="MX91" s="63"/>
      <c r="MY91" s="64">
        <f t="shared" si="1843"/>
        <v>0</v>
      </c>
      <c r="MZ91" s="65"/>
      <c r="NA91" s="63"/>
      <c r="NB91" s="64">
        <f t="shared" si="1844"/>
        <v>0</v>
      </c>
      <c r="NC91" s="66">
        <f t="shared" si="1589"/>
        <v>0</v>
      </c>
      <c r="ND91" s="67">
        <f t="shared" si="1845"/>
        <v>0</v>
      </c>
      <c r="NE91" s="64">
        <f t="shared" si="1846"/>
        <v>0</v>
      </c>
      <c r="NF91" s="62"/>
      <c r="NG91" s="63"/>
      <c r="NH91" s="64">
        <f t="shared" si="1847"/>
        <v>0</v>
      </c>
      <c r="NI91" s="65">
        <v>1164.04</v>
      </c>
      <c r="NJ91" s="63"/>
      <c r="NK91" s="64">
        <f t="shared" si="1848"/>
        <v>1164.04</v>
      </c>
      <c r="NL91" s="65"/>
      <c r="NM91" s="63"/>
      <c r="NN91" s="64">
        <f t="shared" si="1849"/>
        <v>0</v>
      </c>
      <c r="NO91" s="65">
        <v>100</v>
      </c>
      <c r="NP91" s="63"/>
      <c r="NQ91" s="64">
        <f t="shared" si="1850"/>
        <v>100</v>
      </c>
      <c r="NR91" s="66">
        <f t="shared" si="1596"/>
        <v>1264.04</v>
      </c>
      <c r="NS91" s="67">
        <f t="shared" si="1851"/>
        <v>0</v>
      </c>
      <c r="NT91" s="64">
        <f t="shared" si="1852"/>
        <v>1264.04</v>
      </c>
      <c r="NU91" s="62"/>
      <c r="NV91" s="63"/>
      <c r="NW91" s="64">
        <f t="shared" si="1853"/>
        <v>0</v>
      </c>
      <c r="NX91" s="65">
        <v>1152.73</v>
      </c>
      <c r="NY91" s="63"/>
      <c r="NZ91" s="64">
        <f t="shared" si="1854"/>
        <v>1152.73</v>
      </c>
      <c r="OA91" s="65"/>
      <c r="OB91" s="63"/>
      <c r="OC91" s="64">
        <f t="shared" si="1855"/>
        <v>0</v>
      </c>
      <c r="OD91" s="65">
        <v>100</v>
      </c>
      <c r="OE91" s="63"/>
      <c r="OF91" s="64">
        <f t="shared" si="1856"/>
        <v>100</v>
      </c>
      <c r="OG91" s="66">
        <f t="shared" si="1603"/>
        <v>1252.73</v>
      </c>
      <c r="OH91" s="67">
        <f t="shared" si="1857"/>
        <v>0</v>
      </c>
      <c r="OI91" s="64">
        <f t="shared" si="1858"/>
        <v>1252.73</v>
      </c>
      <c r="OJ91" s="62"/>
      <c r="OK91" s="63"/>
      <c r="OL91" s="64">
        <f t="shared" si="1859"/>
        <v>0</v>
      </c>
      <c r="OM91" s="65"/>
      <c r="ON91" s="63"/>
      <c r="OO91" s="64">
        <f t="shared" si="1860"/>
        <v>0</v>
      </c>
      <c r="OP91" s="65"/>
      <c r="OQ91" s="63"/>
      <c r="OR91" s="64">
        <f t="shared" si="1861"/>
        <v>0</v>
      </c>
      <c r="OS91" s="65">
        <v>100</v>
      </c>
      <c r="OT91" s="63"/>
      <c r="OU91" s="64">
        <f t="shared" si="1862"/>
        <v>100</v>
      </c>
      <c r="OV91" s="66">
        <f t="shared" si="1610"/>
        <v>100</v>
      </c>
      <c r="OW91" s="67">
        <f t="shared" si="1863"/>
        <v>0</v>
      </c>
      <c r="OX91" s="64">
        <f t="shared" si="1864"/>
        <v>100</v>
      </c>
      <c r="OY91" s="62"/>
      <c r="OZ91" s="63"/>
      <c r="PA91" s="64">
        <f t="shared" si="1865"/>
        <v>0</v>
      </c>
      <c r="PB91" s="65"/>
      <c r="PC91" s="63"/>
      <c r="PD91" s="64">
        <f t="shared" si="1866"/>
        <v>0</v>
      </c>
      <c r="PE91" s="65"/>
      <c r="PF91" s="63"/>
      <c r="PG91" s="64">
        <f t="shared" si="1867"/>
        <v>0</v>
      </c>
      <c r="PH91" s="65">
        <v>100</v>
      </c>
      <c r="PI91" s="63"/>
      <c r="PJ91" s="64">
        <f t="shared" si="1868"/>
        <v>100</v>
      </c>
      <c r="PK91" s="66">
        <f t="shared" si="1617"/>
        <v>100</v>
      </c>
      <c r="PL91" s="67">
        <f t="shared" si="1869"/>
        <v>0</v>
      </c>
      <c r="PM91" s="64">
        <f t="shared" si="1870"/>
        <v>100</v>
      </c>
      <c r="PN91" s="62">
        <v>1550</v>
      </c>
      <c r="PO91" s="63"/>
      <c r="PP91" s="64">
        <f t="shared" si="1871"/>
        <v>1550</v>
      </c>
      <c r="PQ91" s="65"/>
      <c r="PR91" s="63"/>
      <c r="PS91" s="64">
        <f t="shared" si="1872"/>
        <v>0</v>
      </c>
      <c r="PT91" s="65"/>
      <c r="PU91" s="63"/>
      <c r="PV91" s="64">
        <f t="shared" si="1873"/>
        <v>0</v>
      </c>
      <c r="PW91" s="65">
        <v>100</v>
      </c>
      <c r="PX91" s="63"/>
      <c r="PY91" s="64">
        <f t="shared" si="1874"/>
        <v>100</v>
      </c>
      <c r="PZ91" s="66">
        <f t="shared" si="1624"/>
        <v>1650</v>
      </c>
      <c r="QA91" s="67">
        <f t="shared" si="1875"/>
        <v>0</v>
      </c>
      <c r="QB91" s="64">
        <f t="shared" si="1876"/>
        <v>1650</v>
      </c>
      <c r="QC91" s="62"/>
      <c r="QD91" s="63"/>
      <c r="QE91" s="64">
        <f t="shared" si="1877"/>
        <v>0</v>
      </c>
      <c r="QF91" s="65"/>
      <c r="QG91" s="63"/>
      <c r="QH91" s="64">
        <f t="shared" si="1878"/>
        <v>0</v>
      </c>
      <c r="QI91" s="65"/>
      <c r="QJ91" s="63"/>
      <c r="QK91" s="64">
        <f t="shared" si="1879"/>
        <v>0</v>
      </c>
      <c r="QL91" s="65">
        <v>100</v>
      </c>
      <c r="QM91" s="63"/>
      <c r="QN91" s="64">
        <f t="shared" si="1880"/>
        <v>100</v>
      </c>
      <c r="QO91" s="66">
        <f t="shared" si="1631"/>
        <v>100</v>
      </c>
      <c r="QP91" s="67">
        <f t="shared" si="1881"/>
        <v>0</v>
      </c>
      <c r="QQ91" s="64">
        <f t="shared" si="1882"/>
        <v>100</v>
      </c>
      <c r="QR91" s="74"/>
      <c r="QS91" s="74"/>
      <c r="QT91" s="72"/>
      <c r="QU91" s="73"/>
      <c r="QV91" s="74"/>
      <c r="QW91" s="75"/>
      <c r="QX91" s="73"/>
      <c r="QY91" s="74"/>
      <c r="QZ91" s="75"/>
      <c r="RA91" s="73"/>
      <c r="RB91" s="74"/>
      <c r="RC91" s="75"/>
      <c r="RD91" s="73"/>
      <c r="RE91" s="74"/>
      <c r="RF91" s="74"/>
      <c r="RG91" s="72"/>
      <c r="RH91" s="73"/>
      <c r="RI91" s="74"/>
      <c r="RJ91" s="75"/>
      <c r="RK91" s="73"/>
      <c r="RL91" s="74"/>
      <c r="RM91" s="75"/>
      <c r="RN91" s="73"/>
      <c r="RO91" s="74"/>
      <c r="RP91" s="75"/>
      <c r="RQ91" s="73"/>
      <c r="RR91" s="74"/>
      <c r="RS91" s="76"/>
      <c r="RT91" s="77"/>
      <c r="RU91" s="74"/>
      <c r="RV91" s="74"/>
      <c r="RW91" s="72"/>
      <c r="RX91" s="73"/>
      <c r="RY91" s="74"/>
      <c r="RZ91" s="75"/>
      <c r="SA91" s="73"/>
      <c r="SB91" s="74"/>
      <c r="SC91" s="75"/>
      <c r="SD91" s="73"/>
      <c r="SE91" s="74"/>
      <c r="SF91" s="75"/>
      <c r="SG91" s="73"/>
      <c r="SH91" s="74"/>
      <c r="SI91" s="76"/>
      <c r="SJ91" s="64">
        <f t="shared" si="1883"/>
        <v>0</v>
      </c>
      <c r="SK91" s="62"/>
      <c r="SL91" s="63"/>
      <c r="SM91" s="64">
        <f t="shared" si="1884"/>
        <v>0</v>
      </c>
      <c r="SN91" s="65"/>
      <c r="SO91" s="63"/>
      <c r="SP91" s="64">
        <f t="shared" si="1885"/>
        <v>0</v>
      </c>
      <c r="SQ91" s="65"/>
      <c r="SR91" s="63"/>
      <c r="SS91" s="64">
        <f t="shared" si="1886"/>
        <v>0</v>
      </c>
      <c r="ST91" s="65">
        <v>100</v>
      </c>
      <c r="SU91" s="63"/>
      <c r="SV91" s="64">
        <f t="shared" si="1887"/>
        <v>100</v>
      </c>
      <c r="SW91" s="66">
        <f t="shared" si="1639"/>
        <v>100</v>
      </c>
      <c r="SX91" s="67">
        <f t="shared" si="1888"/>
        <v>0</v>
      </c>
      <c r="SY91" s="64">
        <f t="shared" si="1889"/>
        <v>100</v>
      </c>
      <c r="SZ91" s="62">
        <v>985.33</v>
      </c>
      <c r="TA91" s="63"/>
      <c r="TB91" s="64">
        <f t="shared" si="1890"/>
        <v>985.33</v>
      </c>
      <c r="TC91" s="65">
        <v>700.9</v>
      </c>
      <c r="TD91" s="63"/>
      <c r="TE91" s="64">
        <f t="shared" si="1891"/>
        <v>700.9</v>
      </c>
      <c r="TF91" s="65"/>
      <c r="TG91" s="63"/>
      <c r="TH91" s="64">
        <f t="shared" si="1892"/>
        <v>0</v>
      </c>
      <c r="TI91" s="65">
        <v>100</v>
      </c>
      <c r="TJ91" s="63"/>
      <c r="TK91" s="64">
        <f t="shared" si="1893"/>
        <v>100</v>
      </c>
      <c r="TL91" s="66">
        <f t="shared" si="1646"/>
        <v>1786.23</v>
      </c>
      <c r="TM91" s="67">
        <f t="shared" si="1894"/>
        <v>0</v>
      </c>
      <c r="TN91" s="64">
        <f t="shared" si="1895"/>
        <v>1786.23</v>
      </c>
      <c r="TO91" s="62">
        <v>3875</v>
      </c>
      <c r="TP91" s="63"/>
      <c r="TQ91" s="64">
        <f t="shared" si="1896"/>
        <v>3875</v>
      </c>
      <c r="TR91" s="65"/>
      <c r="TS91" s="63"/>
      <c r="TT91" s="64">
        <f t="shared" si="1897"/>
        <v>0</v>
      </c>
      <c r="TU91" s="65"/>
      <c r="TV91" s="63"/>
      <c r="TW91" s="64">
        <f t="shared" si="1898"/>
        <v>0</v>
      </c>
      <c r="TX91" s="65">
        <v>100</v>
      </c>
      <c r="TY91" s="63"/>
      <c r="TZ91" s="64">
        <f t="shared" si="1899"/>
        <v>100</v>
      </c>
      <c r="UA91" s="66">
        <f t="shared" si="1653"/>
        <v>3975</v>
      </c>
      <c r="UB91" s="67">
        <f t="shared" si="1900"/>
        <v>0</v>
      </c>
      <c r="UC91" s="64">
        <f t="shared" si="1901"/>
        <v>3975</v>
      </c>
      <c r="UD91" s="62"/>
      <c r="UE91" s="63"/>
      <c r="UF91" s="64">
        <f t="shared" si="1902"/>
        <v>0</v>
      </c>
      <c r="UG91" s="65">
        <v>497.04</v>
      </c>
      <c r="UH91" s="63"/>
      <c r="UI91" s="64">
        <f t="shared" si="1903"/>
        <v>497.04</v>
      </c>
      <c r="UJ91" s="65"/>
      <c r="UK91" s="63"/>
      <c r="UL91" s="64">
        <f t="shared" si="1904"/>
        <v>0</v>
      </c>
      <c r="UM91" s="65">
        <v>100</v>
      </c>
      <c r="UN91" s="63"/>
      <c r="UO91" s="64">
        <f t="shared" si="1905"/>
        <v>100</v>
      </c>
      <c r="UP91" s="66">
        <f t="shared" si="1660"/>
        <v>597.04</v>
      </c>
      <c r="UQ91" s="67">
        <f t="shared" si="1906"/>
        <v>0</v>
      </c>
      <c r="UR91" s="64">
        <f t="shared" si="1907"/>
        <v>597.04</v>
      </c>
      <c r="US91" s="74"/>
      <c r="UT91" s="72"/>
      <c r="UU91" s="73"/>
      <c r="UV91" s="74"/>
      <c r="UW91" s="75"/>
      <c r="UX91" s="73"/>
      <c r="UY91" s="74"/>
      <c r="UZ91" s="75"/>
      <c r="VA91" s="73"/>
      <c r="VB91" s="74"/>
      <c r="VC91" s="75"/>
      <c r="VD91" s="73"/>
      <c r="VE91" s="74"/>
      <c r="VF91" s="76"/>
      <c r="VG91" s="77"/>
      <c r="VH91" s="62"/>
      <c r="VI91" s="63"/>
      <c r="VJ91" s="64">
        <f t="shared" si="1908"/>
        <v>0</v>
      </c>
      <c r="VK91" s="65"/>
      <c r="VL91" s="63"/>
      <c r="VM91" s="64">
        <f t="shared" si="1909"/>
        <v>0</v>
      </c>
      <c r="VN91" s="65"/>
      <c r="VO91" s="63"/>
      <c r="VP91" s="64">
        <f t="shared" si="1910"/>
        <v>0</v>
      </c>
      <c r="VQ91" s="65">
        <v>100</v>
      </c>
      <c r="VR91" s="63"/>
      <c r="VS91" s="64">
        <f t="shared" si="1911"/>
        <v>100</v>
      </c>
      <c r="VT91" s="66">
        <f t="shared" si="1667"/>
        <v>100</v>
      </c>
      <c r="VU91" s="67">
        <f t="shared" si="1912"/>
        <v>0</v>
      </c>
      <c r="VV91" s="64">
        <f t="shared" si="1913"/>
        <v>100</v>
      </c>
      <c r="VW91" s="74"/>
      <c r="VX91" s="72"/>
      <c r="VY91" s="73"/>
      <c r="VZ91" s="74"/>
      <c r="WA91" s="75"/>
      <c r="WB91" s="73"/>
      <c r="WC91" s="74"/>
      <c r="WD91" s="75"/>
      <c r="WE91" s="73"/>
      <c r="WF91" s="74"/>
      <c r="WG91" s="75"/>
      <c r="WH91" s="73"/>
      <c r="WI91" s="74"/>
      <c r="WJ91" s="76"/>
      <c r="WK91" s="77"/>
      <c r="WL91" s="74"/>
      <c r="WM91" s="72"/>
      <c r="WN91" s="73"/>
      <c r="WO91" s="74"/>
      <c r="WP91" s="75"/>
      <c r="WQ91" s="73"/>
      <c r="WR91" s="74"/>
      <c r="WS91" s="75"/>
      <c r="WT91" s="73"/>
      <c r="WU91" s="74"/>
      <c r="WV91" s="75"/>
      <c r="WW91" s="73"/>
      <c r="WX91" s="74"/>
      <c r="WY91" s="76"/>
      <c r="WZ91" s="77"/>
      <c r="XA91" s="74"/>
      <c r="XB91" s="72"/>
      <c r="XC91" s="73"/>
      <c r="XD91" s="74"/>
      <c r="XE91" s="75"/>
      <c r="XF91" s="73"/>
      <c r="XG91" s="74"/>
      <c r="XH91" s="75"/>
      <c r="XI91" s="73"/>
      <c r="XJ91" s="74"/>
      <c r="XK91" s="75"/>
      <c r="XL91" s="73"/>
      <c r="XM91" s="74"/>
      <c r="XN91" s="76"/>
      <c r="XO91" s="77"/>
      <c r="XP91" s="62"/>
      <c r="XQ91" s="63"/>
      <c r="XR91" s="64">
        <f t="shared" si="1914"/>
        <v>0</v>
      </c>
      <c r="XS91" s="65">
        <v>844.24</v>
      </c>
      <c r="XT91" s="63"/>
      <c r="XU91" s="64">
        <f t="shared" si="1915"/>
        <v>844.24</v>
      </c>
      <c r="XV91" s="65"/>
      <c r="XW91" s="63"/>
      <c r="XX91" s="64">
        <f t="shared" si="1916"/>
        <v>0</v>
      </c>
      <c r="XY91" s="65">
        <v>100</v>
      </c>
      <c r="XZ91" s="63"/>
      <c r="YA91" s="64">
        <f t="shared" si="1917"/>
        <v>100</v>
      </c>
      <c r="YB91" s="66">
        <f t="shared" si="1674"/>
        <v>944.24</v>
      </c>
      <c r="YC91" s="67">
        <f t="shared" si="1918"/>
        <v>0</v>
      </c>
      <c r="YD91" s="64">
        <f t="shared" si="1919"/>
        <v>944.24</v>
      </c>
      <c r="YE91" s="62"/>
      <c r="YF91" s="63"/>
      <c r="YG91" s="64">
        <f t="shared" si="1920"/>
        <v>0</v>
      </c>
      <c r="YH91" s="65">
        <v>847.85</v>
      </c>
      <c r="YI91" s="63"/>
      <c r="YJ91" s="64">
        <f t="shared" si="1921"/>
        <v>847.85</v>
      </c>
      <c r="YK91" s="65"/>
      <c r="YL91" s="63"/>
      <c r="YM91" s="64">
        <f t="shared" si="1922"/>
        <v>0</v>
      </c>
      <c r="YN91" s="65">
        <v>100</v>
      </c>
      <c r="YO91" s="63"/>
      <c r="YP91" s="64">
        <f t="shared" si="1923"/>
        <v>100</v>
      </c>
      <c r="YQ91" s="66">
        <f t="shared" si="1681"/>
        <v>947.85</v>
      </c>
      <c r="YR91" s="67">
        <f t="shared" si="1924"/>
        <v>0</v>
      </c>
      <c r="YS91" s="64">
        <f t="shared" si="1925"/>
        <v>947.85</v>
      </c>
      <c r="YT91" s="62"/>
      <c r="YU91" s="63"/>
      <c r="YV91" s="64">
        <f t="shared" si="1926"/>
        <v>0</v>
      </c>
      <c r="YW91" s="65">
        <v>695.73</v>
      </c>
      <c r="YX91" s="63"/>
      <c r="YY91" s="64">
        <f t="shared" si="1927"/>
        <v>695.73</v>
      </c>
      <c r="YZ91" s="65"/>
      <c r="ZA91" s="63"/>
      <c r="ZB91" s="64">
        <f t="shared" si="1928"/>
        <v>0</v>
      </c>
      <c r="ZC91" s="65">
        <v>100</v>
      </c>
      <c r="ZD91" s="63"/>
      <c r="ZE91" s="64">
        <f t="shared" si="1929"/>
        <v>100</v>
      </c>
      <c r="ZF91" s="66">
        <f t="shared" si="1688"/>
        <v>795.73</v>
      </c>
      <c r="ZG91" s="67">
        <f t="shared" si="1930"/>
        <v>0</v>
      </c>
      <c r="ZH91" s="74"/>
      <c r="ZI91" s="72"/>
      <c r="ZJ91" s="73"/>
      <c r="ZK91" s="74"/>
      <c r="ZL91" s="75"/>
      <c r="ZM91" s="73"/>
      <c r="ZN91" s="74"/>
      <c r="ZO91" s="75"/>
      <c r="ZP91" s="73"/>
      <c r="ZQ91" s="74"/>
      <c r="ZR91" s="75"/>
      <c r="ZS91" s="73"/>
      <c r="ZT91" s="74"/>
      <c r="ZU91" s="76"/>
      <c r="ZV91" s="77"/>
      <c r="ZW91" s="64">
        <f t="shared" si="1931"/>
        <v>0</v>
      </c>
      <c r="ZX91" s="62">
        <v>24.71</v>
      </c>
      <c r="ZY91" s="63"/>
      <c r="ZZ91" s="64">
        <f t="shared" si="1932"/>
        <v>24.71</v>
      </c>
      <c r="AAA91" s="66">
        <f t="shared" si="1692"/>
        <v>24.71</v>
      </c>
      <c r="AAB91" s="67">
        <f t="shared" si="1692"/>
        <v>0</v>
      </c>
      <c r="AAC91" s="64">
        <f t="shared" si="1933"/>
        <v>24.71</v>
      </c>
      <c r="AAD91" s="85">
        <f t="shared" si="1694"/>
        <v>46741.18</v>
      </c>
      <c r="AAE91" s="86">
        <f t="shared" si="1694"/>
        <v>0</v>
      </c>
      <c r="AAF91" s="87">
        <f t="shared" si="1457"/>
        <v>0</v>
      </c>
      <c r="AAG91" s="88">
        <f t="shared" si="1934"/>
        <v>-46741.18</v>
      </c>
      <c r="AAH91" s="94">
        <f>AAH89/AAH85</f>
        <v>0</v>
      </c>
      <c r="AAI91" s="95"/>
      <c r="AAJ91" s="95"/>
      <c r="AAK91" s="60"/>
    </row>
    <row r="92" spans="1:713" s="83" customFormat="1" ht="20" customHeight="1" x14ac:dyDescent="0.2">
      <c r="A92" s="152"/>
      <c r="B92" s="94"/>
      <c r="C92" s="95"/>
      <c r="D92" s="95"/>
      <c r="E92" s="60"/>
      <c r="F92" s="61">
        <v>47027</v>
      </c>
      <c r="G92" s="62"/>
      <c r="H92" s="63"/>
      <c r="I92" s="64">
        <f t="shared" si="1730"/>
        <v>0</v>
      </c>
      <c r="J92" s="65">
        <v>1991.8</v>
      </c>
      <c r="K92" s="63"/>
      <c r="L92" s="64">
        <f t="shared" si="1731"/>
        <v>1991.8</v>
      </c>
      <c r="M92" s="65">
        <v>2500</v>
      </c>
      <c r="N92" s="63"/>
      <c r="O92" s="64">
        <f t="shared" si="1732"/>
        <v>2500</v>
      </c>
      <c r="P92" s="65">
        <v>1000</v>
      </c>
      <c r="Q92" s="63"/>
      <c r="R92" s="64">
        <f t="shared" si="1733"/>
        <v>1000</v>
      </c>
      <c r="S92" s="65">
        <v>181</v>
      </c>
      <c r="T92" s="63"/>
      <c r="U92" s="64">
        <f t="shared" si="1734"/>
        <v>181</v>
      </c>
      <c r="V92" s="66">
        <f t="shared" si="1735"/>
        <v>5672.8</v>
      </c>
      <c r="W92" s="67">
        <f t="shared" si="1735"/>
        <v>0</v>
      </c>
      <c r="X92" s="64">
        <f t="shared" si="1736"/>
        <v>5672.8</v>
      </c>
      <c r="Y92" s="72"/>
      <c r="Z92" s="73"/>
      <c r="AA92" s="74"/>
      <c r="AB92" s="75"/>
      <c r="AC92" s="73"/>
      <c r="AD92" s="74"/>
      <c r="AE92" s="75"/>
      <c r="AF92" s="73"/>
      <c r="AG92" s="74"/>
      <c r="AH92" s="75"/>
      <c r="AI92" s="73"/>
      <c r="AJ92" s="74"/>
      <c r="AK92" s="76"/>
      <c r="AL92" s="77"/>
      <c r="AM92" s="64">
        <f t="shared" si="1737"/>
        <v>0</v>
      </c>
      <c r="AN92" s="62"/>
      <c r="AO92" s="63"/>
      <c r="AP92" s="64">
        <f t="shared" si="1935"/>
        <v>0</v>
      </c>
      <c r="AQ92" s="65"/>
      <c r="AR92" s="63"/>
      <c r="AS92" s="64">
        <f t="shared" si="1738"/>
        <v>0</v>
      </c>
      <c r="AT92" s="65"/>
      <c r="AU92" s="63"/>
      <c r="AV92" s="64">
        <f t="shared" si="1739"/>
        <v>0</v>
      </c>
      <c r="AW92" s="65"/>
      <c r="AX92" s="63"/>
      <c r="AY92" s="64">
        <f t="shared" si="1740"/>
        <v>0</v>
      </c>
      <c r="AZ92" s="66">
        <f t="shared" si="1469"/>
        <v>0</v>
      </c>
      <c r="BA92" s="67">
        <f t="shared" si="1741"/>
        <v>0</v>
      </c>
      <c r="BB92" s="64">
        <f t="shared" si="1742"/>
        <v>0</v>
      </c>
      <c r="BC92" s="62">
        <v>6150</v>
      </c>
      <c r="BD92" s="63"/>
      <c r="BE92" s="64">
        <f t="shared" si="1743"/>
        <v>6150</v>
      </c>
      <c r="BF92" s="65"/>
      <c r="BG92" s="63"/>
      <c r="BH92" s="64">
        <f t="shared" si="1744"/>
        <v>0</v>
      </c>
      <c r="BI92" s="65"/>
      <c r="BJ92" s="63"/>
      <c r="BK92" s="64">
        <f t="shared" si="1745"/>
        <v>0</v>
      </c>
      <c r="BL92" s="65">
        <v>100</v>
      </c>
      <c r="BM92" s="63"/>
      <c r="BN92" s="64">
        <f t="shared" si="1746"/>
        <v>100</v>
      </c>
      <c r="BO92" s="66">
        <f t="shared" si="1476"/>
        <v>6250</v>
      </c>
      <c r="BP92" s="67">
        <f t="shared" si="1747"/>
        <v>0</v>
      </c>
      <c r="BQ92" s="64">
        <f t="shared" si="1748"/>
        <v>6250</v>
      </c>
      <c r="BR92" s="72"/>
      <c r="BS92" s="73"/>
      <c r="BT92" s="74"/>
      <c r="BU92" s="75"/>
      <c r="BV92" s="73"/>
      <c r="BW92" s="74"/>
      <c r="BX92" s="75"/>
      <c r="BY92" s="73"/>
      <c r="BZ92" s="74"/>
      <c r="CA92" s="75"/>
      <c r="CB92" s="73"/>
      <c r="CC92" s="74"/>
      <c r="CD92" s="76"/>
      <c r="CE92" s="77"/>
      <c r="CF92" s="64">
        <f t="shared" si="1749"/>
        <v>0</v>
      </c>
      <c r="CG92" s="62"/>
      <c r="CH92" s="63"/>
      <c r="CI92" s="64">
        <f t="shared" si="1750"/>
        <v>0</v>
      </c>
      <c r="CJ92" s="65"/>
      <c r="CK92" s="63"/>
      <c r="CL92" s="64">
        <f t="shared" si="1751"/>
        <v>0</v>
      </c>
      <c r="CM92" s="65"/>
      <c r="CN92" s="63"/>
      <c r="CO92" s="64">
        <f t="shared" si="1752"/>
        <v>0</v>
      </c>
      <c r="CP92" s="65"/>
      <c r="CQ92" s="63"/>
      <c r="CR92" s="64">
        <f t="shared" si="1753"/>
        <v>0</v>
      </c>
      <c r="CS92" s="66">
        <f t="shared" si="1484"/>
        <v>0</v>
      </c>
      <c r="CT92" s="67">
        <f t="shared" si="1754"/>
        <v>0</v>
      </c>
      <c r="CU92" s="64">
        <f t="shared" si="1755"/>
        <v>0</v>
      </c>
      <c r="CV92" s="62">
        <v>2916.7</v>
      </c>
      <c r="CW92" s="63"/>
      <c r="CX92" s="64">
        <f t="shared" si="1756"/>
        <v>2916.7</v>
      </c>
      <c r="CY92" s="65">
        <v>429.15</v>
      </c>
      <c r="CZ92" s="63"/>
      <c r="DA92" s="64">
        <f t="shared" si="1757"/>
        <v>429.15</v>
      </c>
      <c r="DB92" s="65"/>
      <c r="DC92" s="63"/>
      <c r="DD92" s="64">
        <f t="shared" si="1758"/>
        <v>0</v>
      </c>
      <c r="DE92" s="65"/>
      <c r="DF92" s="63"/>
      <c r="DG92" s="64">
        <f t="shared" si="1759"/>
        <v>0</v>
      </c>
      <c r="DH92" s="66">
        <f t="shared" si="1491"/>
        <v>3345.85</v>
      </c>
      <c r="DI92" s="67">
        <f t="shared" si="1760"/>
        <v>0</v>
      </c>
      <c r="DJ92" s="64">
        <f t="shared" si="1761"/>
        <v>3345.85</v>
      </c>
      <c r="DK92" s="62">
        <v>2400</v>
      </c>
      <c r="DL92" s="63"/>
      <c r="DM92" s="64">
        <f t="shared" si="1762"/>
        <v>2400</v>
      </c>
      <c r="DN92" s="65">
        <v>913.08</v>
      </c>
      <c r="DO92" s="63"/>
      <c r="DP92" s="64">
        <f t="shared" si="1763"/>
        <v>913.08</v>
      </c>
      <c r="DQ92" s="65"/>
      <c r="DR92" s="63"/>
      <c r="DS92" s="64">
        <f t="shared" si="1764"/>
        <v>0</v>
      </c>
      <c r="DT92" s="65">
        <v>100</v>
      </c>
      <c r="DU92" s="63"/>
      <c r="DV92" s="64">
        <f t="shared" si="1765"/>
        <v>100</v>
      </c>
      <c r="DW92" s="66">
        <f t="shared" si="1498"/>
        <v>3413.08</v>
      </c>
      <c r="DX92" s="67">
        <f t="shared" si="1766"/>
        <v>0</v>
      </c>
      <c r="DY92" s="64">
        <f t="shared" si="1767"/>
        <v>3413.08</v>
      </c>
      <c r="DZ92" s="62"/>
      <c r="EA92" s="63"/>
      <c r="EB92" s="64">
        <f t="shared" si="1768"/>
        <v>0</v>
      </c>
      <c r="EC92" s="65"/>
      <c r="ED92" s="63"/>
      <c r="EE92" s="64">
        <f t="shared" si="1769"/>
        <v>0</v>
      </c>
      <c r="EF92" s="65"/>
      <c r="EG92" s="63"/>
      <c r="EH92" s="64">
        <f t="shared" si="1770"/>
        <v>0</v>
      </c>
      <c r="EI92" s="65">
        <v>100</v>
      </c>
      <c r="EJ92" s="63"/>
      <c r="EK92" s="64">
        <f t="shared" si="1771"/>
        <v>100</v>
      </c>
      <c r="EL92" s="66">
        <f t="shared" si="1505"/>
        <v>100</v>
      </c>
      <c r="EM92" s="67">
        <f t="shared" si="1772"/>
        <v>0</v>
      </c>
      <c r="EN92" s="64">
        <f t="shared" si="1773"/>
        <v>100</v>
      </c>
      <c r="EO92" s="62">
        <v>6150</v>
      </c>
      <c r="EP92" s="63"/>
      <c r="EQ92" s="64">
        <f t="shared" si="1774"/>
        <v>6150</v>
      </c>
      <c r="ER92" s="65"/>
      <c r="ES92" s="63"/>
      <c r="ET92" s="64">
        <f t="shared" si="1775"/>
        <v>0</v>
      </c>
      <c r="EU92" s="65"/>
      <c r="EV92" s="63"/>
      <c r="EW92" s="64">
        <f t="shared" si="1776"/>
        <v>0</v>
      </c>
      <c r="EX92" s="65">
        <v>100</v>
      </c>
      <c r="EY92" s="63"/>
      <c r="EZ92" s="64">
        <f t="shared" si="1777"/>
        <v>100</v>
      </c>
      <c r="FA92" s="66">
        <f t="shared" si="1512"/>
        <v>6250</v>
      </c>
      <c r="FB92" s="67">
        <f t="shared" si="1778"/>
        <v>0</v>
      </c>
      <c r="FC92" s="64">
        <f t="shared" si="1779"/>
        <v>6250</v>
      </c>
      <c r="FD92" s="62">
        <v>6150</v>
      </c>
      <c r="FE92" s="63"/>
      <c r="FF92" s="64">
        <f t="shared" si="1780"/>
        <v>6150</v>
      </c>
      <c r="FG92" s="65"/>
      <c r="FH92" s="63"/>
      <c r="FI92" s="64">
        <f t="shared" si="1781"/>
        <v>0</v>
      </c>
      <c r="FJ92" s="65"/>
      <c r="FK92" s="63"/>
      <c r="FL92" s="64">
        <f t="shared" si="1782"/>
        <v>0</v>
      </c>
      <c r="FM92" s="65">
        <v>100</v>
      </c>
      <c r="FN92" s="63"/>
      <c r="FO92" s="64">
        <f t="shared" si="1783"/>
        <v>100</v>
      </c>
      <c r="FP92" s="66">
        <f t="shared" si="1519"/>
        <v>6250</v>
      </c>
      <c r="FQ92" s="67">
        <f t="shared" si="1784"/>
        <v>0</v>
      </c>
      <c r="FR92" s="64">
        <f t="shared" si="1785"/>
        <v>6250</v>
      </c>
      <c r="FS92" s="62"/>
      <c r="FT92" s="63"/>
      <c r="FU92" s="64">
        <f t="shared" si="1786"/>
        <v>0</v>
      </c>
      <c r="FV92" s="65">
        <v>485.35</v>
      </c>
      <c r="FW92" s="63"/>
      <c r="FX92" s="64">
        <f t="shared" si="1787"/>
        <v>485.35</v>
      </c>
      <c r="FY92" s="65"/>
      <c r="FZ92" s="63"/>
      <c r="GA92" s="64">
        <f t="shared" si="1788"/>
        <v>0</v>
      </c>
      <c r="GB92" s="65"/>
      <c r="GC92" s="63"/>
      <c r="GD92" s="64">
        <f t="shared" si="1789"/>
        <v>0</v>
      </c>
      <c r="GE92" s="66">
        <f t="shared" si="1526"/>
        <v>485.35</v>
      </c>
      <c r="GF92" s="67">
        <f t="shared" si="1790"/>
        <v>0</v>
      </c>
      <c r="GG92" s="64">
        <f t="shared" si="1791"/>
        <v>485.35</v>
      </c>
      <c r="GH92" s="62"/>
      <c r="GI92" s="63"/>
      <c r="GJ92" s="64">
        <f t="shared" si="1792"/>
        <v>0</v>
      </c>
      <c r="GK92" s="65">
        <v>660.33</v>
      </c>
      <c r="GL92" s="63"/>
      <c r="GM92" s="64">
        <f t="shared" si="1793"/>
        <v>660.33</v>
      </c>
      <c r="GN92" s="65"/>
      <c r="GO92" s="63"/>
      <c r="GP92" s="64">
        <f t="shared" si="1794"/>
        <v>0</v>
      </c>
      <c r="GQ92" s="65"/>
      <c r="GR92" s="63"/>
      <c r="GS92" s="64">
        <f t="shared" si="1795"/>
        <v>0</v>
      </c>
      <c r="GT92" s="66">
        <f t="shared" si="1533"/>
        <v>660.33</v>
      </c>
      <c r="GU92" s="67">
        <f t="shared" si="1796"/>
        <v>0</v>
      </c>
      <c r="GV92" s="64">
        <f t="shared" si="1797"/>
        <v>660.33</v>
      </c>
      <c r="GW92" s="62"/>
      <c r="GX92" s="63"/>
      <c r="GY92" s="64">
        <f t="shared" si="1798"/>
        <v>0</v>
      </c>
      <c r="GZ92" s="65">
        <v>568.25</v>
      </c>
      <c r="HA92" s="63"/>
      <c r="HB92" s="64">
        <f t="shared" si="1799"/>
        <v>568.25</v>
      </c>
      <c r="HC92" s="65"/>
      <c r="HD92" s="63"/>
      <c r="HE92" s="64">
        <f t="shared" si="1800"/>
        <v>0</v>
      </c>
      <c r="HF92" s="65">
        <v>100</v>
      </c>
      <c r="HG92" s="63"/>
      <c r="HH92" s="64">
        <f t="shared" si="1801"/>
        <v>100</v>
      </c>
      <c r="HI92" s="66">
        <f t="shared" si="1540"/>
        <v>668.25</v>
      </c>
      <c r="HJ92" s="67">
        <f t="shared" si="1802"/>
        <v>0</v>
      </c>
      <c r="HK92" s="64">
        <f t="shared" si="1803"/>
        <v>668.25</v>
      </c>
      <c r="HL92" s="62">
        <v>6150</v>
      </c>
      <c r="HM92" s="63"/>
      <c r="HN92" s="64">
        <f t="shared" si="1804"/>
        <v>6150</v>
      </c>
      <c r="HO92" s="65"/>
      <c r="HP92" s="63"/>
      <c r="HQ92" s="64">
        <f t="shared" si="1805"/>
        <v>0</v>
      </c>
      <c r="HR92" s="65"/>
      <c r="HS92" s="63"/>
      <c r="HT92" s="64">
        <f t="shared" si="1806"/>
        <v>0</v>
      </c>
      <c r="HU92" s="65">
        <v>100</v>
      </c>
      <c r="HV92" s="63"/>
      <c r="HW92" s="64">
        <f t="shared" si="1807"/>
        <v>100</v>
      </c>
      <c r="HX92" s="66">
        <f t="shared" si="1547"/>
        <v>6250</v>
      </c>
      <c r="HY92" s="67">
        <f t="shared" si="1808"/>
        <v>0</v>
      </c>
      <c r="HZ92" s="64">
        <f t="shared" si="1809"/>
        <v>6250</v>
      </c>
      <c r="IA92" s="62"/>
      <c r="IB92" s="63"/>
      <c r="IC92" s="64">
        <f t="shared" si="1810"/>
        <v>0</v>
      </c>
      <c r="ID92" s="65"/>
      <c r="IE92" s="63"/>
      <c r="IF92" s="64">
        <f t="shared" si="1811"/>
        <v>0</v>
      </c>
      <c r="IG92" s="65"/>
      <c r="IH92" s="63"/>
      <c r="II92" s="64">
        <f t="shared" si="1812"/>
        <v>0</v>
      </c>
      <c r="IJ92" s="65">
        <v>100</v>
      </c>
      <c r="IK92" s="63"/>
      <c r="IL92" s="64">
        <f t="shared" si="1813"/>
        <v>100</v>
      </c>
      <c r="IM92" s="66">
        <f t="shared" si="1554"/>
        <v>100</v>
      </c>
      <c r="IN92" s="67">
        <f t="shared" si="1814"/>
        <v>0</v>
      </c>
      <c r="IO92" s="64">
        <f t="shared" si="1815"/>
        <v>100</v>
      </c>
      <c r="IP92" s="62"/>
      <c r="IQ92" s="63"/>
      <c r="IR92" s="64">
        <f t="shared" si="1816"/>
        <v>0</v>
      </c>
      <c r="IS92" s="65"/>
      <c r="IT92" s="63"/>
      <c r="IU92" s="64">
        <f t="shared" si="1817"/>
        <v>0</v>
      </c>
      <c r="IV92" s="65"/>
      <c r="IW92" s="63"/>
      <c r="IX92" s="64">
        <f t="shared" si="1818"/>
        <v>0</v>
      </c>
      <c r="IY92" s="65"/>
      <c r="IZ92" s="63"/>
      <c r="JA92" s="64">
        <f t="shared" si="1819"/>
        <v>0</v>
      </c>
      <c r="JB92" s="66">
        <f t="shared" si="1561"/>
        <v>0</v>
      </c>
      <c r="JC92" s="67">
        <f t="shared" si="1820"/>
        <v>0</v>
      </c>
      <c r="JD92" s="64">
        <f t="shared" si="1821"/>
        <v>0</v>
      </c>
      <c r="JE92" s="72"/>
      <c r="JF92" s="150"/>
      <c r="JG92" s="74"/>
      <c r="JH92" s="75"/>
      <c r="JI92" s="150"/>
      <c r="JJ92" s="74"/>
      <c r="JK92" s="75"/>
      <c r="JL92" s="150"/>
      <c r="JM92" s="74"/>
      <c r="JN92" s="75"/>
      <c r="JO92" s="150"/>
      <c r="JP92" s="74"/>
      <c r="JQ92" s="76"/>
      <c r="JR92" s="77"/>
      <c r="JS92" s="74"/>
      <c r="JT92" s="72"/>
      <c r="JU92" s="73"/>
      <c r="JV92" s="74"/>
      <c r="JW92" s="75"/>
      <c r="JX92" s="73"/>
      <c r="JY92" s="74"/>
      <c r="JZ92" s="75"/>
      <c r="KA92" s="73"/>
      <c r="KB92" s="74"/>
      <c r="KC92" s="75"/>
      <c r="KD92" s="73"/>
      <c r="KE92" s="74"/>
      <c r="KF92" s="76"/>
      <c r="KG92" s="77"/>
      <c r="KH92" s="64">
        <f t="shared" si="1822"/>
        <v>0</v>
      </c>
      <c r="KI92" s="62"/>
      <c r="KJ92" s="63"/>
      <c r="KK92" s="64">
        <f t="shared" si="1823"/>
        <v>0</v>
      </c>
      <c r="KL92" s="65"/>
      <c r="KM92" s="63"/>
      <c r="KN92" s="64">
        <f t="shared" si="1824"/>
        <v>0</v>
      </c>
      <c r="KO92" s="65"/>
      <c r="KP92" s="63"/>
      <c r="KQ92" s="64">
        <f t="shared" si="1825"/>
        <v>0</v>
      </c>
      <c r="KR92" s="65"/>
      <c r="KS92" s="63"/>
      <c r="KT92" s="64">
        <f t="shared" si="1826"/>
        <v>0</v>
      </c>
      <c r="KU92" s="66">
        <f t="shared" si="1439"/>
        <v>0</v>
      </c>
      <c r="KV92" s="67">
        <f t="shared" si="1827"/>
        <v>0</v>
      </c>
      <c r="KW92" s="64">
        <f t="shared" si="1828"/>
        <v>0</v>
      </c>
      <c r="KX92" s="72"/>
      <c r="KY92" s="73"/>
      <c r="KZ92" s="74"/>
      <c r="LA92" s="75"/>
      <c r="LB92" s="73"/>
      <c r="LC92" s="74"/>
      <c r="LD92" s="75"/>
      <c r="LE92" s="73"/>
      <c r="LF92" s="74"/>
      <c r="LG92" s="75"/>
      <c r="LH92" s="73"/>
      <c r="LI92" s="74"/>
      <c r="LJ92" s="76"/>
      <c r="LK92" s="77"/>
      <c r="LL92" s="74"/>
      <c r="LM92" s="62"/>
      <c r="LN92" s="63"/>
      <c r="LO92" s="64">
        <f t="shared" si="1829"/>
        <v>0</v>
      </c>
      <c r="LP92" s="65"/>
      <c r="LQ92" s="63"/>
      <c r="LR92" s="64">
        <f t="shared" si="1830"/>
        <v>0</v>
      </c>
      <c r="LS92" s="65"/>
      <c r="LT92" s="63"/>
      <c r="LU92" s="64">
        <f t="shared" si="1831"/>
        <v>0</v>
      </c>
      <c r="LV92" s="65">
        <v>100</v>
      </c>
      <c r="LW92" s="63"/>
      <c r="LX92" s="64">
        <f t="shared" si="1832"/>
        <v>100</v>
      </c>
      <c r="LY92" s="66">
        <f t="shared" si="1575"/>
        <v>100</v>
      </c>
      <c r="LZ92" s="67">
        <f t="shared" si="1833"/>
        <v>0</v>
      </c>
      <c r="MA92" s="64">
        <f t="shared" si="1834"/>
        <v>100</v>
      </c>
      <c r="MB92" s="62"/>
      <c r="MC92" s="63"/>
      <c r="MD92" s="64">
        <f t="shared" si="1835"/>
        <v>0</v>
      </c>
      <c r="ME92" s="65">
        <v>889.11</v>
      </c>
      <c r="MF92" s="63"/>
      <c r="MG92" s="64">
        <f t="shared" si="1836"/>
        <v>889.11</v>
      </c>
      <c r="MH92" s="65"/>
      <c r="MI92" s="63"/>
      <c r="MJ92" s="64">
        <f t="shared" si="1837"/>
        <v>0</v>
      </c>
      <c r="MK92" s="65">
        <v>100</v>
      </c>
      <c r="ML92" s="63"/>
      <c r="MM92" s="64">
        <f t="shared" si="1838"/>
        <v>100</v>
      </c>
      <c r="MN92" s="66">
        <f t="shared" si="1582"/>
        <v>989.11</v>
      </c>
      <c r="MO92" s="67">
        <f t="shared" si="1839"/>
        <v>0</v>
      </c>
      <c r="MP92" s="64">
        <f t="shared" si="1840"/>
        <v>989.11</v>
      </c>
      <c r="MQ92" s="62"/>
      <c r="MR92" s="63"/>
      <c r="MS92" s="64">
        <f t="shared" si="1841"/>
        <v>0</v>
      </c>
      <c r="MT92" s="65"/>
      <c r="MU92" s="63"/>
      <c r="MV92" s="64">
        <f t="shared" si="1842"/>
        <v>0</v>
      </c>
      <c r="MW92" s="65"/>
      <c r="MX92" s="63"/>
      <c r="MY92" s="64">
        <f t="shared" si="1843"/>
        <v>0</v>
      </c>
      <c r="MZ92" s="65"/>
      <c r="NA92" s="63"/>
      <c r="NB92" s="64">
        <f t="shared" si="1844"/>
        <v>0</v>
      </c>
      <c r="NC92" s="66">
        <f t="shared" si="1589"/>
        <v>0</v>
      </c>
      <c r="ND92" s="67">
        <f t="shared" si="1845"/>
        <v>0</v>
      </c>
      <c r="NE92" s="64">
        <f t="shared" si="1846"/>
        <v>0</v>
      </c>
      <c r="NF92" s="62"/>
      <c r="NG92" s="63"/>
      <c r="NH92" s="64">
        <f t="shared" si="1847"/>
        <v>0</v>
      </c>
      <c r="NI92" s="65">
        <v>1164.04</v>
      </c>
      <c r="NJ92" s="63"/>
      <c r="NK92" s="64">
        <f t="shared" si="1848"/>
        <v>1164.04</v>
      </c>
      <c r="NL92" s="65"/>
      <c r="NM92" s="63"/>
      <c r="NN92" s="64">
        <f t="shared" si="1849"/>
        <v>0</v>
      </c>
      <c r="NO92" s="65">
        <v>100</v>
      </c>
      <c r="NP92" s="63"/>
      <c r="NQ92" s="64">
        <f t="shared" si="1850"/>
        <v>100</v>
      </c>
      <c r="NR92" s="66">
        <f t="shared" si="1596"/>
        <v>1264.04</v>
      </c>
      <c r="NS92" s="67">
        <f t="shared" si="1851"/>
        <v>0</v>
      </c>
      <c r="NT92" s="64">
        <f t="shared" si="1852"/>
        <v>1264.04</v>
      </c>
      <c r="NU92" s="62"/>
      <c r="NV92" s="63"/>
      <c r="NW92" s="64">
        <f t="shared" si="1853"/>
        <v>0</v>
      </c>
      <c r="NX92" s="65">
        <v>1152.73</v>
      </c>
      <c r="NY92" s="63"/>
      <c r="NZ92" s="64">
        <f t="shared" si="1854"/>
        <v>1152.73</v>
      </c>
      <c r="OA92" s="65"/>
      <c r="OB92" s="63"/>
      <c r="OC92" s="64">
        <f t="shared" si="1855"/>
        <v>0</v>
      </c>
      <c r="OD92" s="65">
        <v>100</v>
      </c>
      <c r="OE92" s="63"/>
      <c r="OF92" s="64">
        <f t="shared" si="1856"/>
        <v>100</v>
      </c>
      <c r="OG92" s="66">
        <f t="shared" si="1603"/>
        <v>1252.73</v>
      </c>
      <c r="OH92" s="67">
        <f t="shared" si="1857"/>
        <v>0</v>
      </c>
      <c r="OI92" s="64">
        <f t="shared" si="1858"/>
        <v>1252.73</v>
      </c>
      <c r="OJ92" s="62"/>
      <c r="OK92" s="63"/>
      <c r="OL92" s="64">
        <f t="shared" si="1859"/>
        <v>0</v>
      </c>
      <c r="OM92" s="65"/>
      <c r="ON92" s="63"/>
      <c r="OO92" s="64">
        <f t="shared" si="1860"/>
        <v>0</v>
      </c>
      <c r="OP92" s="65"/>
      <c r="OQ92" s="63"/>
      <c r="OR92" s="64">
        <f t="shared" si="1861"/>
        <v>0</v>
      </c>
      <c r="OS92" s="65">
        <v>100</v>
      </c>
      <c r="OT92" s="63"/>
      <c r="OU92" s="64">
        <f t="shared" si="1862"/>
        <v>100</v>
      </c>
      <c r="OV92" s="66">
        <f t="shared" si="1610"/>
        <v>100</v>
      </c>
      <c r="OW92" s="67">
        <f t="shared" si="1863"/>
        <v>0</v>
      </c>
      <c r="OX92" s="64">
        <f t="shared" si="1864"/>
        <v>100</v>
      </c>
      <c r="OY92" s="62"/>
      <c r="OZ92" s="63"/>
      <c r="PA92" s="64">
        <f t="shared" si="1865"/>
        <v>0</v>
      </c>
      <c r="PB92" s="65"/>
      <c r="PC92" s="63"/>
      <c r="PD92" s="64">
        <f t="shared" si="1866"/>
        <v>0</v>
      </c>
      <c r="PE92" s="65"/>
      <c r="PF92" s="63"/>
      <c r="PG92" s="64">
        <f t="shared" si="1867"/>
        <v>0</v>
      </c>
      <c r="PH92" s="65">
        <v>100</v>
      </c>
      <c r="PI92" s="63"/>
      <c r="PJ92" s="64">
        <f t="shared" si="1868"/>
        <v>100</v>
      </c>
      <c r="PK92" s="66">
        <f t="shared" si="1617"/>
        <v>100</v>
      </c>
      <c r="PL92" s="67">
        <f t="shared" si="1869"/>
        <v>0</v>
      </c>
      <c r="PM92" s="64">
        <f t="shared" si="1870"/>
        <v>100</v>
      </c>
      <c r="PN92" s="62">
        <v>1550</v>
      </c>
      <c r="PO92" s="63"/>
      <c r="PP92" s="64">
        <f t="shared" si="1871"/>
        <v>1550</v>
      </c>
      <c r="PQ92" s="65"/>
      <c r="PR92" s="63"/>
      <c r="PS92" s="64">
        <f t="shared" si="1872"/>
        <v>0</v>
      </c>
      <c r="PT92" s="65"/>
      <c r="PU92" s="63"/>
      <c r="PV92" s="64">
        <f t="shared" si="1873"/>
        <v>0</v>
      </c>
      <c r="PW92" s="65">
        <v>100</v>
      </c>
      <c r="PX92" s="63"/>
      <c r="PY92" s="64">
        <f t="shared" si="1874"/>
        <v>100</v>
      </c>
      <c r="PZ92" s="66">
        <f t="shared" si="1624"/>
        <v>1650</v>
      </c>
      <c r="QA92" s="67">
        <f t="shared" si="1875"/>
        <v>0</v>
      </c>
      <c r="QB92" s="64">
        <f t="shared" si="1876"/>
        <v>1650</v>
      </c>
      <c r="QC92" s="62"/>
      <c r="QD92" s="63"/>
      <c r="QE92" s="64">
        <f t="shared" si="1877"/>
        <v>0</v>
      </c>
      <c r="QF92" s="65"/>
      <c r="QG92" s="63"/>
      <c r="QH92" s="64">
        <f t="shared" si="1878"/>
        <v>0</v>
      </c>
      <c r="QI92" s="65"/>
      <c r="QJ92" s="63"/>
      <c r="QK92" s="64">
        <f t="shared" si="1879"/>
        <v>0</v>
      </c>
      <c r="QL92" s="65">
        <v>100</v>
      </c>
      <c r="QM92" s="63"/>
      <c r="QN92" s="64">
        <f t="shared" si="1880"/>
        <v>100</v>
      </c>
      <c r="QO92" s="66">
        <f t="shared" si="1631"/>
        <v>100</v>
      </c>
      <c r="QP92" s="67">
        <f t="shared" si="1881"/>
        <v>0</v>
      </c>
      <c r="QQ92" s="64">
        <f t="shared" si="1882"/>
        <v>100</v>
      </c>
      <c r="QR92" s="74"/>
      <c r="QS92" s="74"/>
      <c r="QT92" s="72"/>
      <c r="QU92" s="73"/>
      <c r="QV92" s="74"/>
      <c r="QW92" s="75"/>
      <c r="QX92" s="73"/>
      <c r="QY92" s="74"/>
      <c r="QZ92" s="75"/>
      <c r="RA92" s="73"/>
      <c r="RB92" s="74"/>
      <c r="RC92" s="75"/>
      <c r="RD92" s="73"/>
      <c r="RE92" s="74"/>
      <c r="RF92" s="74"/>
      <c r="RG92" s="72"/>
      <c r="RH92" s="73"/>
      <c r="RI92" s="74"/>
      <c r="RJ92" s="75"/>
      <c r="RK92" s="73"/>
      <c r="RL92" s="74"/>
      <c r="RM92" s="75"/>
      <c r="RN92" s="73"/>
      <c r="RO92" s="74"/>
      <c r="RP92" s="75"/>
      <c r="RQ92" s="73"/>
      <c r="RR92" s="74"/>
      <c r="RS92" s="76"/>
      <c r="RT92" s="77"/>
      <c r="RU92" s="74"/>
      <c r="RV92" s="74"/>
      <c r="RW92" s="72"/>
      <c r="RX92" s="73"/>
      <c r="RY92" s="74"/>
      <c r="RZ92" s="75"/>
      <c r="SA92" s="73"/>
      <c r="SB92" s="74"/>
      <c r="SC92" s="75"/>
      <c r="SD92" s="73"/>
      <c r="SE92" s="74"/>
      <c r="SF92" s="75"/>
      <c r="SG92" s="73"/>
      <c r="SH92" s="74"/>
      <c r="SI92" s="76"/>
      <c r="SJ92" s="64">
        <f t="shared" si="1883"/>
        <v>0</v>
      </c>
      <c r="SK92" s="62"/>
      <c r="SL92" s="63"/>
      <c r="SM92" s="64">
        <f t="shared" si="1884"/>
        <v>0</v>
      </c>
      <c r="SN92" s="65"/>
      <c r="SO92" s="63"/>
      <c r="SP92" s="64">
        <f t="shared" si="1885"/>
        <v>0</v>
      </c>
      <c r="SQ92" s="65"/>
      <c r="SR92" s="63"/>
      <c r="SS92" s="64">
        <f t="shared" si="1886"/>
        <v>0</v>
      </c>
      <c r="ST92" s="65">
        <v>100</v>
      </c>
      <c r="SU92" s="63"/>
      <c r="SV92" s="64">
        <f t="shared" si="1887"/>
        <v>100</v>
      </c>
      <c r="SW92" s="66">
        <f t="shared" si="1639"/>
        <v>100</v>
      </c>
      <c r="SX92" s="67">
        <f t="shared" si="1888"/>
        <v>0</v>
      </c>
      <c r="SY92" s="64">
        <f t="shared" si="1889"/>
        <v>100</v>
      </c>
      <c r="SZ92" s="62">
        <v>985.33</v>
      </c>
      <c r="TA92" s="63"/>
      <c r="TB92" s="64">
        <f t="shared" si="1890"/>
        <v>985.33</v>
      </c>
      <c r="TC92" s="65">
        <v>700.9</v>
      </c>
      <c r="TD92" s="63"/>
      <c r="TE92" s="64">
        <f t="shared" si="1891"/>
        <v>700.9</v>
      </c>
      <c r="TF92" s="65"/>
      <c r="TG92" s="63"/>
      <c r="TH92" s="64">
        <f t="shared" si="1892"/>
        <v>0</v>
      </c>
      <c r="TI92" s="65">
        <v>100</v>
      </c>
      <c r="TJ92" s="63"/>
      <c r="TK92" s="64">
        <f t="shared" si="1893"/>
        <v>100</v>
      </c>
      <c r="TL92" s="66">
        <f t="shared" si="1646"/>
        <v>1786.23</v>
      </c>
      <c r="TM92" s="67">
        <f t="shared" si="1894"/>
        <v>0</v>
      </c>
      <c r="TN92" s="64">
        <f t="shared" si="1895"/>
        <v>1786.23</v>
      </c>
      <c r="TO92" s="62"/>
      <c r="TP92" s="63"/>
      <c r="TQ92" s="64">
        <f t="shared" si="1896"/>
        <v>0</v>
      </c>
      <c r="TR92" s="65"/>
      <c r="TS92" s="63"/>
      <c r="TT92" s="64">
        <f t="shared" si="1897"/>
        <v>0</v>
      </c>
      <c r="TU92" s="65"/>
      <c r="TV92" s="63"/>
      <c r="TW92" s="64">
        <f t="shared" si="1898"/>
        <v>0</v>
      </c>
      <c r="TX92" s="65">
        <v>100</v>
      </c>
      <c r="TY92" s="63"/>
      <c r="TZ92" s="64">
        <f t="shared" si="1899"/>
        <v>100</v>
      </c>
      <c r="UA92" s="66">
        <f t="shared" si="1653"/>
        <v>100</v>
      </c>
      <c r="UB92" s="67">
        <f t="shared" si="1900"/>
        <v>0</v>
      </c>
      <c r="UC92" s="64">
        <f t="shared" si="1901"/>
        <v>100</v>
      </c>
      <c r="UD92" s="62"/>
      <c r="UE92" s="63"/>
      <c r="UF92" s="64">
        <f t="shared" si="1902"/>
        <v>0</v>
      </c>
      <c r="UG92" s="65">
        <v>497.04</v>
      </c>
      <c r="UH92" s="63"/>
      <c r="UI92" s="64">
        <f t="shared" si="1903"/>
        <v>497.04</v>
      </c>
      <c r="UJ92" s="65"/>
      <c r="UK92" s="63"/>
      <c r="UL92" s="64">
        <f t="shared" si="1904"/>
        <v>0</v>
      </c>
      <c r="UM92" s="65">
        <v>100</v>
      </c>
      <c r="UN92" s="63"/>
      <c r="UO92" s="64">
        <f t="shared" si="1905"/>
        <v>100</v>
      </c>
      <c r="UP92" s="66">
        <f t="shared" si="1660"/>
        <v>597.04</v>
      </c>
      <c r="UQ92" s="67">
        <f t="shared" si="1906"/>
        <v>0</v>
      </c>
      <c r="UR92" s="64">
        <f t="shared" si="1907"/>
        <v>597.04</v>
      </c>
      <c r="US92" s="74"/>
      <c r="UT92" s="72"/>
      <c r="UU92" s="73"/>
      <c r="UV92" s="74"/>
      <c r="UW92" s="75"/>
      <c r="UX92" s="73"/>
      <c r="UY92" s="74"/>
      <c r="UZ92" s="75"/>
      <c r="VA92" s="73"/>
      <c r="VB92" s="74"/>
      <c r="VC92" s="75"/>
      <c r="VD92" s="73"/>
      <c r="VE92" s="74"/>
      <c r="VF92" s="76"/>
      <c r="VG92" s="77"/>
      <c r="VH92" s="62"/>
      <c r="VI92" s="63"/>
      <c r="VJ92" s="64">
        <f t="shared" si="1908"/>
        <v>0</v>
      </c>
      <c r="VK92" s="65"/>
      <c r="VL92" s="63"/>
      <c r="VM92" s="64">
        <f t="shared" si="1909"/>
        <v>0</v>
      </c>
      <c r="VN92" s="65"/>
      <c r="VO92" s="63"/>
      <c r="VP92" s="64">
        <f t="shared" si="1910"/>
        <v>0</v>
      </c>
      <c r="VQ92" s="65">
        <v>100</v>
      </c>
      <c r="VR92" s="63"/>
      <c r="VS92" s="64">
        <f t="shared" si="1911"/>
        <v>100</v>
      </c>
      <c r="VT92" s="66">
        <f t="shared" si="1667"/>
        <v>100</v>
      </c>
      <c r="VU92" s="67">
        <f t="shared" si="1912"/>
        <v>0</v>
      </c>
      <c r="VV92" s="64">
        <f t="shared" si="1913"/>
        <v>100</v>
      </c>
      <c r="VW92" s="74"/>
      <c r="VX92" s="72"/>
      <c r="VY92" s="73"/>
      <c r="VZ92" s="74"/>
      <c r="WA92" s="75"/>
      <c r="WB92" s="73"/>
      <c r="WC92" s="74"/>
      <c r="WD92" s="75"/>
      <c r="WE92" s="73"/>
      <c r="WF92" s="74"/>
      <c r="WG92" s="75"/>
      <c r="WH92" s="73"/>
      <c r="WI92" s="74"/>
      <c r="WJ92" s="76"/>
      <c r="WK92" s="77"/>
      <c r="WL92" s="74"/>
      <c r="WM92" s="72"/>
      <c r="WN92" s="73"/>
      <c r="WO92" s="74"/>
      <c r="WP92" s="75"/>
      <c r="WQ92" s="73"/>
      <c r="WR92" s="74"/>
      <c r="WS92" s="75"/>
      <c r="WT92" s="73"/>
      <c r="WU92" s="74"/>
      <c r="WV92" s="75"/>
      <c r="WW92" s="73"/>
      <c r="WX92" s="74"/>
      <c r="WY92" s="76"/>
      <c r="WZ92" s="77"/>
      <c r="XA92" s="74"/>
      <c r="XB92" s="72"/>
      <c r="XC92" s="73"/>
      <c r="XD92" s="74"/>
      <c r="XE92" s="75"/>
      <c r="XF92" s="73"/>
      <c r="XG92" s="74"/>
      <c r="XH92" s="75"/>
      <c r="XI92" s="73"/>
      <c r="XJ92" s="74"/>
      <c r="XK92" s="75"/>
      <c r="XL92" s="73"/>
      <c r="XM92" s="74"/>
      <c r="XN92" s="76"/>
      <c r="XO92" s="77"/>
      <c r="XP92" s="62"/>
      <c r="XQ92" s="63"/>
      <c r="XR92" s="64">
        <f t="shared" si="1914"/>
        <v>0</v>
      </c>
      <c r="XS92" s="65">
        <v>844.24</v>
      </c>
      <c r="XT92" s="63"/>
      <c r="XU92" s="64">
        <f t="shared" si="1915"/>
        <v>844.24</v>
      </c>
      <c r="XV92" s="65"/>
      <c r="XW92" s="63"/>
      <c r="XX92" s="64">
        <f t="shared" si="1916"/>
        <v>0</v>
      </c>
      <c r="XY92" s="65">
        <v>100</v>
      </c>
      <c r="XZ92" s="63"/>
      <c r="YA92" s="64">
        <f t="shared" si="1917"/>
        <v>100</v>
      </c>
      <c r="YB92" s="66">
        <f t="shared" si="1674"/>
        <v>944.24</v>
      </c>
      <c r="YC92" s="67">
        <f t="shared" si="1918"/>
        <v>0</v>
      </c>
      <c r="YD92" s="64">
        <f t="shared" si="1919"/>
        <v>944.24</v>
      </c>
      <c r="YE92" s="62"/>
      <c r="YF92" s="63"/>
      <c r="YG92" s="64">
        <f t="shared" si="1920"/>
        <v>0</v>
      </c>
      <c r="YH92" s="65">
        <v>847.85</v>
      </c>
      <c r="YI92" s="63"/>
      <c r="YJ92" s="64">
        <f t="shared" si="1921"/>
        <v>847.85</v>
      </c>
      <c r="YK92" s="65"/>
      <c r="YL92" s="63"/>
      <c r="YM92" s="64">
        <f t="shared" si="1922"/>
        <v>0</v>
      </c>
      <c r="YN92" s="65">
        <v>100</v>
      </c>
      <c r="YO92" s="63"/>
      <c r="YP92" s="64">
        <f t="shared" si="1923"/>
        <v>100</v>
      </c>
      <c r="YQ92" s="66">
        <f t="shared" si="1681"/>
        <v>947.85</v>
      </c>
      <c r="YR92" s="67">
        <f t="shared" si="1924"/>
        <v>0</v>
      </c>
      <c r="YS92" s="64">
        <f t="shared" si="1925"/>
        <v>947.85</v>
      </c>
      <c r="YT92" s="62"/>
      <c r="YU92" s="63"/>
      <c r="YV92" s="64">
        <f t="shared" si="1926"/>
        <v>0</v>
      </c>
      <c r="YW92" s="65">
        <v>695.73</v>
      </c>
      <c r="YX92" s="63"/>
      <c r="YY92" s="64">
        <f t="shared" si="1927"/>
        <v>695.73</v>
      </c>
      <c r="YZ92" s="65"/>
      <c r="ZA92" s="63"/>
      <c r="ZB92" s="64">
        <f t="shared" si="1928"/>
        <v>0</v>
      </c>
      <c r="ZC92" s="65">
        <v>100</v>
      </c>
      <c r="ZD92" s="63"/>
      <c r="ZE92" s="64">
        <f t="shared" si="1929"/>
        <v>100</v>
      </c>
      <c r="ZF92" s="66">
        <f t="shared" si="1688"/>
        <v>795.73</v>
      </c>
      <c r="ZG92" s="67">
        <f t="shared" si="1930"/>
        <v>0</v>
      </c>
      <c r="ZH92" s="74"/>
      <c r="ZI92" s="72"/>
      <c r="ZJ92" s="73"/>
      <c r="ZK92" s="74"/>
      <c r="ZL92" s="75"/>
      <c r="ZM92" s="73"/>
      <c r="ZN92" s="74"/>
      <c r="ZO92" s="75"/>
      <c r="ZP92" s="73"/>
      <c r="ZQ92" s="74"/>
      <c r="ZR92" s="75"/>
      <c r="ZS92" s="73"/>
      <c r="ZT92" s="74"/>
      <c r="ZU92" s="76"/>
      <c r="ZV92" s="77"/>
      <c r="ZW92" s="64">
        <f t="shared" si="1931"/>
        <v>0</v>
      </c>
      <c r="ZX92" s="62">
        <v>24.71</v>
      </c>
      <c r="ZY92" s="63"/>
      <c r="ZZ92" s="64">
        <f t="shared" si="1932"/>
        <v>24.71</v>
      </c>
      <c r="AAA92" s="66">
        <f t="shared" si="1692"/>
        <v>24.71</v>
      </c>
      <c r="AAB92" s="67">
        <f t="shared" si="1692"/>
        <v>0</v>
      </c>
      <c r="AAC92" s="64">
        <f t="shared" si="1933"/>
        <v>24.71</v>
      </c>
      <c r="AAD92" s="85">
        <f t="shared" si="1694"/>
        <v>50372.630000000005</v>
      </c>
      <c r="AAE92" s="86">
        <f t="shared" si="1694"/>
        <v>0</v>
      </c>
      <c r="AAF92" s="87">
        <f t="shared" si="1457"/>
        <v>0</v>
      </c>
      <c r="AAG92" s="88">
        <f t="shared" si="1934"/>
        <v>-50372.630000000005</v>
      </c>
      <c r="AAH92" s="94"/>
      <c r="AAI92" s="95"/>
      <c r="AAJ92" s="95"/>
      <c r="AAK92" s="60"/>
    </row>
    <row r="93" spans="1:713" s="83" customFormat="1" ht="20" customHeight="1" x14ac:dyDescent="0.2">
      <c r="A93" s="153"/>
      <c r="B93" s="96">
        <f>B89-B85</f>
        <v>-1396140.5599999998</v>
      </c>
      <c r="C93" s="97"/>
      <c r="D93" s="97"/>
      <c r="E93" s="60"/>
      <c r="F93" s="61">
        <v>47058</v>
      </c>
      <c r="G93" s="62"/>
      <c r="H93" s="63"/>
      <c r="I93" s="64">
        <f t="shared" si="1730"/>
        <v>0</v>
      </c>
      <c r="J93" s="65">
        <v>2613.14</v>
      </c>
      <c r="K93" s="63"/>
      <c r="L93" s="64">
        <f t="shared" si="1731"/>
        <v>2613.14</v>
      </c>
      <c r="M93" s="65">
        <v>2500</v>
      </c>
      <c r="N93" s="63"/>
      <c r="O93" s="64">
        <f t="shared" si="1732"/>
        <v>2500</v>
      </c>
      <c r="P93" s="65">
        <v>1000</v>
      </c>
      <c r="Q93" s="63"/>
      <c r="R93" s="64">
        <f t="shared" si="1733"/>
        <v>1000</v>
      </c>
      <c r="S93" s="65">
        <v>181</v>
      </c>
      <c r="T93" s="63"/>
      <c r="U93" s="64">
        <f t="shared" si="1734"/>
        <v>181</v>
      </c>
      <c r="V93" s="66">
        <f t="shared" si="1735"/>
        <v>6294.1399999999994</v>
      </c>
      <c r="W93" s="67">
        <f t="shared" si="1735"/>
        <v>0</v>
      </c>
      <c r="X93" s="64">
        <f t="shared" si="1736"/>
        <v>6294.1399999999994</v>
      </c>
      <c r="Y93" s="72"/>
      <c r="Z93" s="73"/>
      <c r="AA93" s="74"/>
      <c r="AB93" s="75"/>
      <c r="AC93" s="73"/>
      <c r="AD93" s="74"/>
      <c r="AE93" s="75"/>
      <c r="AF93" s="73"/>
      <c r="AG93" s="74"/>
      <c r="AH93" s="75"/>
      <c r="AI93" s="73"/>
      <c r="AJ93" s="74"/>
      <c r="AK93" s="76"/>
      <c r="AL93" s="77"/>
      <c r="AM93" s="64">
        <f t="shared" si="1737"/>
        <v>0</v>
      </c>
      <c r="AN93" s="62"/>
      <c r="AO93" s="63"/>
      <c r="AP93" s="64">
        <f t="shared" si="1935"/>
        <v>0</v>
      </c>
      <c r="AQ93" s="65"/>
      <c r="AR93" s="63"/>
      <c r="AS93" s="64">
        <f t="shared" si="1738"/>
        <v>0</v>
      </c>
      <c r="AT93" s="65"/>
      <c r="AU93" s="63"/>
      <c r="AV93" s="64">
        <f t="shared" si="1739"/>
        <v>0</v>
      </c>
      <c r="AW93" s="65"/>
      <c r="AX93" s="63"/>
      <c r="AY93" s="64">
        <f t="shared" si="1740"/>
        <v>0</v>
      </c>
      <c r="AZ93" s="66">
        <f t="shared" si="1469"/>
        <v>0</v>
      </c>
      <c r="BA93" s="67">
        <f t="shared" si="1741"/>
        <v>0</v>
      </c>
      <c r="BB93" s="64">
        <f t="shared" si="1742"/>
        <v>0</v>
      </c>
      <c r="BC93" s="62"/>
      <c r="BD93" s="63"/>
      <c r="BE93" s="64">
        <f t="shared" si="1743"/>
        <v>0</v>
      </c>
      <c r="BF93" s="65"/>
      <c r="BG93" s="63"/>
      <c r="BH93" s="64">
        <f t="shared" si="1744"/>
        <v>0</v>
      </c>
      <c r="BI93" s="65"/>
      <c r="BJ93" s="63"/>
      <c r="BK93" s="64">
        <f t="shared" si="1745"/>
        <v>0</v>
      </c>
      <c r="BL93" s="65">
        <v>100</v>
      </c>
      <c r="BM93" s="63"/>
      <c r="BN93" s="64">
        <f t="shared" si="1746"/>
        <v>100</v>
      </c>
      <c r="BO93" s="66">
        <f t="shared" si="1476"/>
        <v>100</v>
      </c>
      <c r="BP93" s="67">
        <f t="shared" si="1747"/>
        <v>0</v>
      </c>
      <c r="BQ93" s="64">
        <f t="shared" si="1748"/>
        <v>100</v>
      </c>
      <c r="BR93" s="72"/>
      <c r="BS93" s="73"/>
      <c r="BT93" s="74"/>
      <c r="BU93" s="75"/>
      <c r="BV93" s="73"/>
      <c r="BW93" s="74"/>
      <c r="BX93" s="75"/>
      <c r="BY93" s="73"/>
      <c r="BZ93" s="74"/>
      <c r="CA93" s="75"/>
      <c r="CB93" s="73"/>
      <c r="CC93" s="74"/>
      <c r="CD93" s="76"/>
      <c r="CE93" s="77"/>
      <c r="CF93" s="64">
        <f t="shared" si="1749"/>
        <v>0</v>
      </c>
      <c r="CG93" s="62"/>
      <c r="CH93" s="63"/>
      <c r="CI93" s="64">
        <f t="shared" si="1750"/>
        <v>0</v>
      </c>
      <c r="CJ93" s="65"/>
      <c r="CK93" s="63"/>
      <c r="CL93" s="64">
        <f t="shared" si="1751"/>
        <v>0</v>
      </c>
      <c r="CM93" s="65"/>
      <c r="CN93" s="63"/>
      <c r="CO93" s="64">
        <f t="shared" si="1752"/>
        <v>0</v>
      </c>
      <c r="CP93" s="65"/>
      <c r="CQ93" s="63"/>
      <c r="CR93" s="64">
        <f t="shared" si="1753"/>
        <v>0</v>
      </c>
      <c r="CS93" s="66">
        <f t="shared" si="1484"/>
        <v>0</v>
      </c>
      <c r="CT93" s="67">
        <f t="shared" si="1754"/>
        <v>0</v>
      </c>
      <c r="CU93" s="64">
        <f t="shared" si="1755"/>
        <v>0</v>
      </c>
      <c r="CV93" s="62">
        <v>2916.7</v>
      </c>
      <c r="CW93" s="63"/>
      <c r="CX93" s="64">
        <f t="shared" si="1756"/>
        <v>2916.7</v>
      </c>
      <c r="CY93" s="65">
        <v>429.15</v>
      </c>
      <c r="CZ93" s="63"/>
      <c r="DA93" s="64">
        <f t="shared" si="1757"/>
        <v>429.15</v>
      </c>
      <c r="DB93" s="65"/>
      <c r="DC93" s="63"/>
      <c r="DD93" s="64">
        <f t="shared" si="1758"/>
        <v>0</v>
      </c>
      <c r="DE93" s="65"/>
      <c r="DF93" s="63"/>
      <c r="DG93" s="64">
        <f t="shared" si="1759"/>
        <v>0</v>
      </c>
      <c r="DH93" s="66">
        <f t="shared" si="1491"/>
        <v>3345.85</v>
      </c>
      <c r="DI93" s="67">
        <f t="shared" si="1760"/>
        <v>0</v>
      </c>
      <c r="DJ93" s="64">
        <f t="shared" si="1761"/>
        <v>3345.85</v>
      </c>
      <c r="DK93" s="62">
        <v>2400</v>
      </c>
      <c r="DL93" s="63"/>
      <c r="DM93" s="64">
        <f t="shared" si="1762"/>
        <v>2400</v>
      </c>
      <c r="DN93" s="65">
        <v>913.08</v>
      </c>
      <c r="DO93" s="63"/>
      <c r="DP93" s="64">
        <f t="shared" si="1763"/>
        <v>913.08</v>
      </c>
      <c r="DQ93" s="65"/>
      <c r="DR93" s="63"/>
      <c r="DS93" s="64">
        <f t="shared" si="1764"/>
        <v>0</v>
      </c>
      <c r="DT93" s="65">
        <v>100</v>
      </c>
      <c r="DU93" s="63"/>
      <c r="DV93" s="64">
        <f t="shared" si="1765"/>
        <v>100</v>
      </c>
      <c r="DW93" s="66">
        <f t="shared" si="1498"/>
        <v>3413.08</v>
      </c>
      <c r="DX93" s="67">
        <f t="shared" si="1766"/>
        <v>0</v>
      </c>
      <c r="DY93" s="64">
        <f t="shared" si="1767"/>
        <v>3413.08</v>
      </c>
      <c r="DZ93" s="62"/>
      <c r="EA93" s="63"/>
      <c r="EB93" s="64">
        <f t="shared" si="1768"/>
        <v>0</v>
      </c>
      <c r="EC93" s="65"/>
      <c r="ED93" s="63"/>
      <c r="EE93" s="64">
        <f t="shared" si="1769"/>
        <v>0</v>
      </c>
      <c r="EF93" s="65"/>
      <c r="EG93" s="63"/>
      <c r="EH93" s="64">
        <f t="shared" si="1770"/>
        <v>0</v>
      </c>
      <c r="EI93" s="65">
        <v>100</v>
      </c>
      <c r="EJ93" s="63"/>
      <c r="EK93" s="64">
        <f t="shared" si="1771"/>
        <v>100</v>
      </c>
      <c r="EL93" s="66">
        <f t="shared" si="1505"/>
        <v>100</v>
      </c>
      <c r="EM93" s="67">
        <f t="shared" si="1772"/>
        <v>0</v>
      </c>
      <c r="EN93" s="64">
        <f t="shared" si="1773"/>
        <v>100</v>
      </c>
      <c r="EO93" s="62"/>
      <c r="EP93" s="63"/>
      <c r="EQ93" s="64">
        <f t="shared" si="1774"/>
        <v>0</v>
      </c>
      <c r="ER93" s="65"/>
      <c r="ES93" s="63"/>
      <c r="ET93" s="64">
        <f t="shared" si="1775"/>
        <v>0</v>
      </c>
      <c r="EU93" s="65"/>
      <c r="EV93" s="63"/>
      <c r="EW93" s="64">
        <f t="shared" si="1776"/>
        <v>0</v>
      </c>
      <c r="EX93" s="65">
        <v>100</v>
      </c>
      <c r="EY93" s="63"/>
      <c r="EZ93" s="64">
        <f t="shared" si="1777"/>
        <v>100</v>
      </c>
      <c r="FA93" s="66">
        <f t="shared" si="1512"/>
        <v>100</v>
      </c>
      <c r="FB93" s="67">
        <f t="shared" si="1778"/>
        <v>0</v>
      </c>
      <c r="FC93" s="64">
        <f t="shared" si="1779"/>
        <v>100</v>
      </c>
      <c r="FD93" s="62"/>
      <c r="FE93" s="63"/>
      <c r="FF93" s="64">
        <f t="shared" si="1780"/>
        <v>0</v>
      </c>
      <c r="FG93" s="65"/>
      <c r="FH93" s="63"/>
      <c r="FI93" s="64">
        <f t="shared" si="1781"/>
        <v>0</v>
      </c>
      <c r="FJ93" s="65"/>
      <c r="FK93" s="63"/>
      <c r="FL93" s="64">
        <f t="shared" si="1782"/>
        <v>0</v>
      </c>
      <c r="FM93" s="65">
        <v>100</v>
      </c>
      <c r="FN93" s="63"/>
      <c r="FO93" s="64">
        <f t="shared" si="1783"/>
        <v>100</v>
      </c>
      <c r="FP93" s="66">
        <f t="shared" si="1519"/>
        <v>100</v>
      </c>
      <c r="FQ93" s="67">
        <f t="shared" si="1784"/>
        <v>0</v>
      </c>
      <c r="FR93" s="64">
        <f t="shared" si="1785"/>
        <v>100</v>
      </c>
      <c r="FS93" s="62"/>
      <c r="FT93" s="63"/>
      <c r="FU93" s="64">
        <f t="shared" si="1786"/>
        <v>0</v>
      </c>
      <c r="FV93" s="65">
        <v>485.35</v>
      </c>
      <c r="FW93" s="63"/>
      <c r="FX93" s="64">
        <f t="shared" si="1787"/>
        <v>485.35</v>
      </c>
      <c r="FY93" s="65"/>
      <c r="FZ93" s="63"/>
      <c r="GA93" s="64">
        <f t="shared" si="1788"/>
        <v>0</v>
      </c>
      <c r="GB93" s="65"/>
      <c r="GC93" s="63"/>
      <c r="GD93" s="64">
        <f t="shared" si="1789"/>
        <v>0</v>
      </c>
      <c r="GE93" s="66">
        <f t="shared" si="1526"/>
        <v>485.35</v>
      </c>
      <c r="GF93" s="67">
        <f t="shared" si="1790"/>
        <v>0</v>
      </c>
      <c r="GG93" s="64">
        <f t="shared" si="1791"/>
        <v>485.35</v>
      </c>
      <c r="GH93" s="62"/>
      <c r="GI93" s="63"/>
      <c r="GJ93" s="64">
        <f t="shared" si="1792"/>
        <v>0</v>
      </c>
      <c r="GK93" s="65">
        <v>660.33</v>
      </c>
      <c r="GL93" s="63"/>
      <c r="GM93" s="64">
        <f t="shared" si="1793"/>
        <v>660.33</v>
      </c>
      <c r="GN93" s="65"/>
      <c r="GO93" s="63"/>
      <c r="GP93" s="64">
        <f t="shared" si="1794"/>
        <v>0</v>
      </c>
      <c r="GQ93" s="65"/>
      <c r="GR93" s="63"/>
      <c r="GS93" s="64">
        <f t="shared" si="1795"/>
        <v>0</v>
      </c>
      <c r="GT93" s="66">
        <f t="shared" si="1533"/>
        <v>660.33</v>
      </c>
      <c r="GU93" s="67">
        <f t="shared" si="1796"/>
        <v>0</v>
      </c>
      <c r="GV93" s="64">
        <f t="shared" si="1797"/>
        <v>660.33</v>
      </c>
      <c r="GW93" s="62"/>
      <c r="GX93" s="63"/>
      <c r="GY93" s="64">
        <f t="shared" si="1798"/>
        <v>0</v>
      </c>
      <c r="GZ93" s="65">
        <v>568.25</v>
      </c>
      <c r="HA93" s="63"/>
      <c r="HB93" s="64">
        <f t="shared" si="1799"/>
        <v>568.25</v>
      </c>
      <c r="HC93" s="65"/>
      <c r="HD93" s="63"/>
      <c r="HE93" s="64">
        <f t="shared" si="1800"/>
        <v>0</v>
      </c>
      <c r="HF93" s="65">
        <v>100</v>
      </c>
      <c r="HG93" s="63"/>
      <c r="HH93" s="64">
        <f t="shared" si="1801"/>
        <v>100</v>
      </c>
      <c r="HI93" s="66">
        <f t="shared" si="1540"/>
        <v>668.25</v>
      </c>
      <c r="HJ93" s="67">
        <f t="shared" si="1802"/>
        <v>0</v>
      </c>
      <c r="HK93" s="64">
        <f t="shared" si="1803"/>
        <v>668.25</v>
      </c>
      <c r="HL93" s="62"/>
      <c r="HM93" s="63"/>
      <c r="HN93" s="64">
        <f t="shared" si="1804"/>
        <v>0</v>
      </c>
      <c r="HO93" s="65"/>
      <c r="HP93" s="63"/>
      <c r="HQ93" s="64">
        <f t="shared" si="1805"/>
        <v>0</v>
      </c>
      <c r="HR93" s="65"/>
      <c r="HS93" s="63"/>
      <c r="HT93" s="64">
        <f t="shared" si="1806"/>
        <v>0</v>
      </c>
      <c r="HU93" s="65">
        <v>100</v>
      </c>
      <c r="HV93" s="63"/>
      <c r="HW93" s="64">
        <f t="shared" si="1807"/>
        <v>100</v>
      </c>
      <c r="HX93" s="66">
        <f t="shared" si="1547"/>
        <v>100</v>
      </c>
      <c r="HY93" s="67">
        <f t="shared" si="1808"/>
        <v>0</v>
      </c>
      <c r="HZ93" s="64">
        <f t="shared" si="1809"/>
        <v>100</v>
      </c>
      <c r="IA93" s="62"/>
      <c r="IB93" s="63"/>
      <c r="IC93" s="64">
        <f t="shared" si="1810"/>
        <v>0</v>
      </c>
      <c r="ID93" s="65"/>
      <c r="IE93" s="63"/>
      <c r="IF93" s="64">
        <f t="shared" si="1811"/>
        <v>0</v>
      </c>
      <c r="IG93" s="65"/>
      <c r="IH93" s="63"/>
      <c r="II93" s="64">
        <f t="shared" si="1812"/>
        <v>0</v>
      </c>
      <c r="IJ93" s="65">
        <v>100</v>
      </c>
      <c r="IK93" s="63"/>
      <c r="IL93" s="64">
        <f t="shared" si="1813"/>
        <v>100</v>
      </c>
      <c r="IM93" s="66">
        <f t="shared" si="1554"/>
        <v>100</v>
      </c>
      <c r="IN93" s="67">
        <f t="shared" si="1814"/>
        <v>0</v>
      </c>
      <c r="IO93" s="64">
        <f t="shared" si="1815"/>
        <v>100</v>
      </c>
      <c r="IP93" s="62"/>
      <c r="IQ93" s="63"/>
      <c r="IR93" s="64">
        <f t="shared" si="1816"/>
        <v>0</v>
      </c>
      <c r="IS93" s="65"/>
      <c r="IT93" s="63"/>
      <c r="IU93" s="64">
        <f t="shared" si="1817"/>
        <v>0</v>
      </c>
      <c r="IV93" s="65"/>
      <c r="IW93" s="63"/>
      <c r="IX93" s="64">
        <f t="shared" si="1818"/>
        <v>0</v>
      </c>
      <c r="IY93" s="65"/>
      <c r="IZ93" s="63"/>
      <c r="JA93" s="64">
        <f t="shared" si="1819"/>
        <v>0</v>
      </c>
      <c r="JB93" s="66">
        <f t="shared" si="1561"/>
        <v>0</v>
      </c>
      <c r="JC93" s="67">
        <f t="shared" si="1820"/>
        <v>0</v>
      </c>
      <c r="JD93" s="64">
        <f t="shared" si="1821"/>
        <v>0</v>
      </c>
      <c r="JE93" s="72"/>
      <c r="JF93" s="150"/>
      <c r="JG93" s="74"/>
      <c r="JH93" s="75"/>
      <c r="JI93" s="150"/>
      <c r="JJ93" s="74"/>
      <c r="JK93" s="75"/>
      <c r="JL93" s="150"/>
      <c r="JM93" s="74"/>
      <c r="JN93" s="75"/>
      <c r="JO93" s="150"/>
      <c r="JP93" s="74"/>
      <c r="JQ93" s="76"/>
      <c r="JR93" s="77"/>
      <c r="JS93" s="74"/>
      <c r="JT93" s="72"/>
      <c r="JU93" s="73"/>
      <c r="JV93" s="74"/>
      <c r="JW93" s="75"/>
      <c r="JX93" s="73"/>
      <c r="JY93" s="74"/>
      <c r="JZ93" s="75"/>
      <c r="KA93" s="73"/>
      <c r="KB93" s="74"/>
      <c r="KC93" s="75"/>
      <c r="KD93" s="73"/>
      <c r="KE93" s="74"/>
      <c r="KF93" s="76"/>
      <c r="KG93" s="77"/>
      <c r="KH93" s="64">
        <f t="shared" si="1822"/>
        <v>0</v>
      </c>
      <c r="KI93" s="62"/>
      <c r="KJ93" s="63"/>
      <c r="KK93" s="64">
        <f t="shared" si="1823"/>
        <v>0</v>
      </c>
      <c r="KL93" s="65"/>
      <c r="KM93" s="63"/>
      <c r="KN93" s="64">
        <f t="shared" si="1824"/>
        <v>0</v>
      </c>
      <c r="KO93" s="65"/>
      <c r="KP93" s="63"/>
      <c r="KQ93" s="64">
        <f t="shared" si="1825"/>
        <v>0</v>
      </c>
      <c r="KR93" s="65"/>
      <c r="KS93" s="63"/>
      <c r="KT93" s="64">
        <f t="shared" si="1826"/>
        <v>0</v>
      </c>
      <c r="KU93" s="66">
        <f t="shared" si="1439"/>
        <v>0</v>
      </c>
      <c r="KV93" s="67">
        <f t="shared" si="1827"/>
        <v>0</v>
      </c>
      <c r="KW93" s="64">
        <f t="shared" si="1828"/>
        <v>0</v>
      </c>
      <c r="KX93" s="72"/>
      <c r="KY93" s="73"/>
      <c r="KZ93" s="74"/>
      <c r="LA93" s="75"/>
      <c r="LB93" s="73"/>
      <c r="LC93" s="74"/>
      <c r="LD93" s="75"/>
      <c r="LE93" s="73"/>
      <c r="LF93" s="74"/>
      <c r="LG93" s="75"/>
      <c r="LH93" s="73"/>
      <c r="LI93" s="74"/>
      <c r="LJ93" s="76"/>
      <c r="LK93" s="77"/>
      <c r="LL93" s="74"/>
      <c r="LM93" s="62"/>
      <c r="LN93" s="63"/>
      <c r="LO93" s="64">
        <f t="shared" si="1829"/>
        <v>0</v>
      </c>
      <c r="LP93" s="65"/>
      <c r="LQ93" s="63"/>
      <c r="LR93" s="64">
        <f t="shared" si="1830"/>
        <v>0</v>
      </c>
      <c r="LS93" s="65"/>
      <c r="LT93" s="63"/>
      <c r="LU93" s="64">
        <f t="shared" si="1831"/>
        <v>0</v>
      </c>
      <c r="LV93" s="65">
        <v>100</v>
      </c>
      <c r="LW93" s="63"/>
      <c r="LX93" s="64">
        <f t="shared" si="1832"/>
        <v>100</v>
      </c>
      <c r="LY93" s="66">
        <f t="shared" si="1575"/>
        <v>100</v>
      </c>
      <c r="LZ93" s="67">
        <f t="shared" si="1833"/>
        <v>0</v>
      </c>
      <c r="MA93" s="64">
        <f t="shared" si="1834"/>
        <v>100</v>
      </c>
      <c r="MB93" s="62"/>
      <c r="MC93" s="63"/>
      <c r="MD93" s="64">
        <f t="shared" si="1835"/>
        <v>0</v>
      </c>
      <c r="ME93" s="65">
        <v>889.11</v>
      </c>
      <c r="MF93" s="63"/>
      <c r="MG93" s="64">
        <f t="shared" si="1836"/>
        <v>889.11</v>
      </c>
      <c r="MH93" s="65"/>
      <c r="MI93" s="63"/>
      <c r="MJ93" s="64">
        <f t="shared" si="1837"/>
        <v>0</v>
      </c>
      <c r="MK93" s="65">
        <v>100</v>
      </c>
      <c r="ML93" s="63"/>
      <c r="MM93" s="64">
        <f t="shared" si="1838"/>
        <v>100</v>
      </c>
      <c r="MN93" s="66">
        <f t="shared" si="1582"/>
        <v>989.11</v>
      </c>
      <c r="MO93" s="67">
        <f t="shared" si="1839"/>
        <v>0</v>
      </c>
      <c r="MP93" s="64">
        <f t="shared" si="1840"/>
        <v>989.11</v>
      </c>
      <c r="MQ93" s="62"/>
      <c r="MR93" s="63"/>
      <c r="MS93" s="64">
        <f t="shared" si="1841"/>
        <v>0</v>
      </c>
      <c r="MT93" s="65"/>
      <c r="MU93" s="63"/>
      <c r="MV93" s="64">
        <f t="shared" si="1842"/>
        <v>0</v>
      </c>
      <c r="MW93" s="65"/>
      <c r="MX93" s="63"/>
      <c r="MY93" s="64">
        <f t="shared" si="1843"/>
        <v>0</v>
      </c>
      <c r="MZ93" s="65"/>
      <c r="NA93" s="63"/>
      <c r="NB93" s="64">
        <f t="shared" si="1844"/>
        <v>0</v>
      </c>
      <c r="NC93" s="66">
        <f t="shared" si="1589"/>
        <v>0</v>
      </c>
      <c r="ND93" s="67">
        <f t="shared" si="1845"/>
        <v>0</v>
      </c>
      <c r="NE93" s="64">
        <f t="shared" si="1846"/>
        <v>0</v>
      </c>
      <c r="NF93" s="62"/>
      <c r="NG93" s="63"/>
      <c r="NH93" s="64">
        <f t="shared" si="1847"/>
        <v>0</v>
      </c>
      <c r="NI93" s="65">
        <v>1164.04</v>
      </c>
      <c r="NJ93" s="63"/>
      <c r="NK93" s="64">
        <f t="shared" si="1848"/>
        <v>1164.04</v>
      </c>
      <c r="NL93" s="65"/>
      <c r="NM93" s="63"/>
      <c r="NN93" s="64">
        <f t="shared" si="1849"/>
        <v>0</v>
      </c>
      <c r="NO93" s="65">
        <v>100</v>
      </c>
      <c r="NP93" s="63"/>
      <c r="NQ93" s="64">
        <f t="shared" si="1850"/>
        <v>100</v>
      </c>
      <c r="NR93" s="66">
        <f t="shared" si="1596"/>
        <v>1264.04</v>
      </c>
      <c r="NS93" s="67">
        <f t="shared" si="1851"/>
        <v>0</v>
      </c>
      <c r="NT93" s="64">
        <f t="shared" si="1852"/>
        <v>1264.04</v>
      </c>
      <c r="NU93" s="62"/>
      <c r="NV93" s="63"/>
      <c r="NW93" s="64">
        <f t="shared" si="1853"/>
        <v>0</v>
      </c>
      <c r="NX93" s="65">
        <v>1152.73</v>
      </c>
      <c r="NY93" s="63"/>
      <c r="NZ93" s="64">
        <f t="shared" si="1854"/>
        <v>1152.73</v>
      </c>
      <c r="OA93" s="65"/>
      <c r="OB93" s="63"/>
      <c r="OC93" s="64">
        <f t="shared" si="1855"/>
        <v>0</v>
      </c>
      <c r="OD93" s="65">
        <v>100</v>
      </c>
      <c r="OE93" s="63"/>
      <c r="OF93" s="64">
        <f t="shared" si="1856"/>
        <v>100</v>
      </c>
      <c r="OG93" s="66">
        <f t="shared" si="1603"/>
        <v>1252.73</v>
      </c>
      <c r="OH93" s="67">
        <f t="shared" si="1857"/>
        <v>0</v>
      </c>
      <c r="OI93" s="64">
        <f t="shared" si="1858"/>
        <v>1252.73</v>
      </c>
      <c r="OJ93" s="62">
        <v>17500</v>
      </c>
      <c r="OK93" s="63"/>
      <c r="OL93" s="64">
        <f t="shared" si="1859"/>
        <v>17500</v>
      </c>
      <c r="OM93" s="65"/>
      <c r="ON93" s="63"/>
      <c r="OO93" s="64">
        <f t="shared" si="1860"/>
        <v>0</v>
      </c>
      <c r="OP93" s="65">
        <v>1200</v>
      </c>
      <c r="OQ93" s="63"/>
      <c r="OR93" s="64">
        <f t="shared" si="1861"/>
        <v>1200</v>
      </c>
      <c r="OS93" s="65">
        <v>100</v>
      </c>
      <c r="OT93" s="63"/>
      <c r="OU93" s="64">
        <f t="shared" si="1862"/>
        <v>100</v>
      </c>
      <c r="OV93" s="66">
        <f t="shared" si="1610"/>
        <v>18800</v>
      </c>
      <c r="OW93" s="67">
        <f t="shared" si="1863"/>
        <v>0</v>
      </c>
      <c r="OX93" s="64">
        <f t="shared" si="1864"/>
        <v>18800</v>
      </c>
      <c r="OY93" s="62"/>
      <c r="OZ93" s="63"/>
      <c r="PA93" s="64">
        <f t="shared" si="1865"/>
        <v>0</v>
      </c>
      <c r="PB93" s="65"/>
      <c r="PC93" s="63"/>
      <c r="PD93" s="64">
        <f t="shared" si="1866"/>
        <v>0</v>
      </c>
      <c r="PE93" s="65"/>
      <c r="PF93" s="63"/>
      <c r="PG93" s="64">
        <f t="shared" si="1867"/>
        <v>0</v>
      </c>
      <c r="PH93" s="65">
        <v>100</v>
      </c>
      <c r="PI93" s="63"/>
      <c r="PJ93" s="64">
        <f t="shared" si="1868"/>
        <v>100</v>
      </c>
      <c r="PK93" s="66">
        <f t="shared" si="1617"/>
        <v>100</v>
      </c>
      <c r="PL93" s="67">
        <f t="shared" si="1869"/>
        <v>0</v>
      </c>
      <c r="PM93" s="64">
        <f t="shared" si="1870"/>
        <v>100</v>
      </c>
      <c r="PN93" s="62">
        <v>1550</v>
      </c>
      <c r="PO93" s="63"/>
      <c r="PP93" s="64">
        <f t="shared" si="1871"/>
        <v>1550</v>
      </c>
      <c r="PQ93" s="65"/>
      <c r="PR93" s="63"/>
      <c r="PS93" s="64">
        <f t="shared" si="1872"/>
        <v>0</v>
      </c>
      <c r="PT93" s="65"/>
      <c r="PU93" s="63"/>
      <c r="PV93" s="64">
        <f t="shared" si="1873"/>
        <v>0</v>
      </c>
      <c r="PW93" s="65">
        <v>100</v>
      </c>
      <c r="PX93" s="63"/>
      <c r="PY93" s="64">
        <f t="shared" si="1874"/>
        <v>100</v>
      </c>
      <c r="PZ93" s="66">
        <f t="shared" si="1624"/>
        <v>1650</v>
      </c>
      <c r="QA93" s="67">
        <f t="shared" si="1875"/>
        <v>0</v>
      </c>
      <c r="QB93" s="64">
        <f t="shared" si="1876"/>
        <v>1650</v>
      </c>
      <c r="QC93" s="62"/>
      <c r="QD93" s="63"/>
      <c r="QE93" s="64">
        <f t="shared" si="1877"/>
        <v>0</v>
      </c>
      <c r="QF93" s="65"/>
      <c r="QG93" s="63"/>
      <c r="QH93" s="64">
        <f t="shared" si="1878"/>
        <v>0</v>
      </c>
      <c r="QI93" s="65"/>
      <c r="QJ93" s="63"/>
      <c r="QK93" s="64">
        <f t="shared" si="1879"/>
        <v>0</v>
      </c>
      <c r="QL93" s="65">
        <v>100</v>
      </c>
      <c r="QM93" s="63"/>
      <c r="QN93" s="64">
        <f t="shared" si="1880"/>
        <v>100</v>
      </c>
      <c r="QO93" s="66">
        <f t="shared" si="1631"/>
        <v>100</v>
      </c>
      <c r="QP93" s="67">
        <f t="shared" si="1881"/>
        <v>0</v>
      </c>
      <c r="QQ93" s="64">
        <f t="shared" si="1882"/>
        <v>100</v>
      </c>
      <c r="QR93" s="74"/>
      <c r="QS93" s="74"/>
      <c r="QT93" s="72"/>
      <c r="QU93" s="73"/>
      <c r="QV93" s="74"/>
      <c r="QW93" s="75"/>
      <c r="QX93" s="73"/>
      <c r="QY93" s="74"/>
      <c r="QZ93" s="75"/>
      <c r="RA93" s="73"/>
      <c r="RB93" s="74"/>
      <c r="RC93" s="75"/>
      <c r="RD93" s="73"/>
      <c r="RE93" s="74"/>
      <c r="RF93" s="74"/>
      <c r="RG93" s="72"/>
      <c r="RH93" s="73"/>
      <c r="RI93" s="74"/>
      <c r="RJ93" s="75"/>
      <c r="RK93" s="73"/>
      <c r="RL93" s="74"/>
      <c r="RM93" s="75"/>
      <c r="RN93" s="73"/>
      <c r="RO93" s="74"/>
      <c r="RP93" s="75"/>
      <c r="RQ93" s="73"/>
      <c r="RR93" s="74"/>
      <c r="RS93" s="76"/>
      <c r="RT93" s="77"/>
      <c r="RU93" s="74"/>
      <c r="RV93" s="74"/>
      <c r="RW93" s="72"/>
      <c r="RX93" s="73"/>
      <c r="RY93" s="74"/>
      <c r="RZ93" s="75"/>
      <c r="SA93" s="73"/>
      <c r="SB93" s="74"/>
      <c r="SC93" s="75"/>
      <c r="SD93" s="73"/>
      <c r="SE93" s="74"/>
      <c r="SF93" s="75"/>
      <c r="SG93" s="73"/>
      <c r="SH93" s="74"/>
      <c r="SI93" s="76"/>
      <c r="SJ93" s="64">
        <f t="shared" si="1883"/>
        <v>0</v>
      </c>
      <c r="SK93" s="62"/>
      <c r="SL93" s="63"/>
      <c r="SM93" s="64">
        <f t="shared" si="1884"/>
        <v>0</v>
      </c>
      <c r="SN93" s="65"/>
      <c r="SO93" s="63"/>
      <c r="SP93" s="64">
        <f t="shared" si="1885"/>
        <v>0</v>
      </c>
      <c r="SQ93" s="65"/>
      <c r="SR93" s="63"/>
      <c r="SS93" s="64">
        <f t="shared" si="1886"/>
        <v>0</v>
      </c>
      <c r="ST93" s="65">
        <v>100</v>
      </c>
      <c r="SU93" s="63"/>
      <c r="SV93" s="64">
        <f t="shared" si="1887"/>
        <v>100</v>
      </c>
      <c r="SW93" s="66">
        <f t="shared" si="1639"/>
        <v>100</v>
      </c>
      <c r="SX93" s="67">
        <f t="shared" si="1888"/>
        <v>0</v>
      </c>
      <c r="SY93" s="64">
        <f t="shared" si="1889"/>
        <v>100</v>
      </c>
      <c r="SZ93" s="62">
        <v>985.33</v>
      </c>
      <c r="TA93" s="63"/>
      <c r="TB93" s="64">
        <f t="shared" si="1890"/>
        <v>985.33</v>
      </c>
      <c r="TC93" s="65">
        <v>700.9</v>
      </c>
      <c r="TD93" s="63"/>
      <c r="TE93" s="64">
        <f t="shared" si="1891"/>
        <v>700.9</v>
      </c>
      <c r="TF93" s="65"/>
      <c r="TG93" s="63"/>
      <c r="TH93" s="64">
        <f t="shared" si="1892"/>
        <v>0</v>
      </c>
      <c r="TI93" s="65">
        <v>100</v>
      </c>
      <c r="TJ93" s="63"/>
      <c r="TK93" s="64">
        <f t="shared" si="1893"/>
        <v>100</v>
      </c>
      <c r="TL93" s="66">
        <f t="shared" si="1646"/>
        <v>1786.23</v>
      </c>
      <c r="TM93" s="67">
        <f t="shared" si="1894"/>
        <v>0</v>
      </c>
      <c r="TN93" s="64">
        <f t="shared" si="1895"/>
        <v>1786.23</v>
      </c>
      <c r="TO93" s="62"/>
      <c r="TP93" s="63"/>
      <c r="TQ93" s="64">
        <f t="shared" si="1896"/>
        <v>0</v>
      </c>
      <c r="TR93" s="65"/>
      <c r="TS93" s="63"/>
      <c r="TT93" s="64">
        <f t="shared" si="1897"/>
        <v>0</v>
      </c>
      <c r="TU93" s="65"/>
      <c r="TV93" s="63"/>
      <c r="TW93" s="64">
        <f t="shared" si="1898"/>
        <v>0</v>
      </c>
      <c r="TX93" s="65">
        <v>100</v>
      </c>
      <c r="TY93" s="63"/>
      <c r="TZ93" s="64">
        <f t="shared" si="1899"/>
        <v>100</v>
      </c>
      <c r="UA93" s="66">
        <f t="shared" si="1653"/>
        <v>100</v>
      </c>
      <c r="UB93" s="67">
        <f t="shared" si="1900"/>
        <v>0</v>
      </c>
      <c r="UC93" s="64">
        <f t="shared" si="1901"/>
        <v>100</v>
      </c>
      <c r="UD93" s="62"/>
      <c r="UE93" s="63"/>
      <c r="UF93" s="64">
        <f t="shared" si="1902"/>
        <v>0</v>
      </c>
      <c r="UG93" s="65">
        <v>497.04</v>
      </c>
      <c r="UH93" s="63"/>
      <c r="UI93" s="64">
        <f t="shared" si="1903"/>
        <v>497.04</v>
      </c>
      <c r="UJ93" s="65"/>
      <c r="UK93" s="63"/>
      <c r="UL93" s="64">
        <f t="shared" si="1904"/>
        <v>0</v>
      </c>
      <c r="UM93" s="65">
        <v>100</v>
      </c>
      <c r="UN93" s="63"/>
      <c r="UO93" s="64">
        <f t="shared" si="1905"/>
        <v>100</v>
      </c>
      <c r="UP93" s="66">
        <f t="shared" si="1660"/>
        <v>597.04</v>
      </c>
      <c r="UQ93" s="67">
        <f t="shared" si="1906"/>
        <v>0</v>
      </c>
      <c r="UR93" s="64">
        <f t="shared" si="1907"/>
        <v>597.04</v>
      </c>
      <c r="US93" s="74"/>
      <c r="UT93" s="72"/>
      <c r="UU93" s="73"/>
      <c r="UV93" s="74"/>
      <c r="UW93" s="75"/>
      <c r="UX93" s="73"/>
      <c r="UY93" s="74"/>
      <c r="UZ93" s="75"/>
      <c r="VA93" s="73"/>
      <c r="VB93" s="74"/>
      <c r="VC93" s="75"/>
      <c r="VD93" s="73"/>
      <c r="VE93" s="74"/>
      <c r="VF93" s="76"/>
      <c r="VG93" s="77"/>
      <c r="VH93" s="62"/>
      <c r="VI93" s="63"/>
      <c r="VJ93" s="64">
        <f t="shared" si="1908"/>
        <v>0</v>
      </c>
      <c r="VK93" s="65"/>
      <c r="VL93" s="63"/>
      <c r="VM93" s="64">
        <f t="shared" si="1909"/>
        <v>0</v>
      </c>
      <c r="VN93" s="65"/>
      <c r="VO93" s="63"/>
      <c r="VP93" s="64">
        <f t="shared" si="1910"/>
        <v>0</v>
      </c>
      <c r="VQ93" s="65">
        <v>100</v>
      </c>
      <c r="VR93" s="63"/>
      <c r="VS93" s="64">
        <f t="shared" si="1911"/>
        <v>100</v>
      </c>
      <c r="VT93" s="66">
        <f t="shared" si="1667"/>
        <v>100</v>
      </c>
      <c r="VU93" s="67">
        <f t="shared" si="1912"/>
        <v>0</v>
      </c>
      <c r="VV93" s="64">
        <f t="shared" si="1913"/>
        <v>100</v>
      </c>
      <c r="VW93" s="74"/>
      <c r="VX93" s="72"/>
      <c r="VY93" s="73"/>
      <c r="VZ93" s="74"/>
      <c r="WA93" s="75"/>
      <c r="WB93" s="73"/>
      <c r="WC93" s="74"/>
      <c r="WD93" s="75"/>
      <c r="WE93" s="73"/>
      <c r="WF93" s="74"/>
      <c r="WG93" s="75"/>
      <c r="WH93" s="73"/>
      <c r="WI93" s="74"/>
      <c r="WJ93" s="76"/>
      <c r="WK93" s="77"/>
      <c r="WL93" s="74"/>
      <c r="WM93" s="72"/>
      <c r="WN93" s="73"/>
      <c r="WO93" s="74"/>
      <c r="WP93" s="75"/>
      <c r="WQ93" s="73"/>
      <c r="WR93" s="74"/>
      <c r="WS93" s="75"/>
      <c r="WT93" s="73"/>
      <c r="WU93" s="74"/>
      <c r="WV93" s="75"/>
      <c r="WW93" s="73"/>
      <c r="WX93" s="74"/>
      <c r="WY93" s="76"/>
      <c r="WZ93" s="77"/>
      <c r="XA93" s="74"/>
      <c r="XB93" s="72"/>
      <c r="XC93" s="73"/>
      <c r="XD93" s="74"/>
      <c r="XE93" s="75"/>
      <c r="XF93" s="73"/>
      <c r="XG93" s="74"/>
      <c r="XH93" s="75"/>
      <c r="XI93" s="73"/>
      <c r="XJ93" s="74"/>
      <c r="XK93" s="75"/>
      <c r="XL93" s="73"/>
      <c r="XM93" s="74"/>
      <c r="XN93" s="76"/>
      <c r="XO93" s="77"/>
      <c r="XP93" s="62"/>
      <c r="XQ93" s="63"/>
      <c r="XR93" s="64">
        <f t="shared" si="1914"/>
        <v>0</v>
      </c>
      <c r="XS93" s="65">
        <v>844.24</v>
      </c>
      <c r="XT93" s="63"/>
      <c r="XU93" s="64">
        <f t="shared" si="1915"/>
        <v>844.24</v>
      </c>
      <c r="XV93" s="65"/>
      <c r="XW93" s="63"/>
      <c r="XX93" s="64">
        <f t="shared" si="1916"/>
        <v>0</v>
      </c>
      <c r="XY93" s="65">
        <v>100</v>
      </c>
      <c r="XZ93" s="63"/>
      <c r="YA93" s="64">
        <f t="shared" si="1917"/>
        <v>100</v>
      </c>
      <c r="YB93" s="66">
        <f t="shared" si="1674"/>
        <v>944.24</v>
      </c>
      <c r="YC93" s="67">
        <f t="shared" si="1918"/>
        <v>0</v>
      </c>
      <c r="YD93" s="64">
        <f t="shared" si="1919"/>
        <v>944.24</v>
      </c>
      <c r="YE93" s="62"/>
      <c r="YF93" s="63"/>
      <c r="YG93" s="64">
        <f t="shared" si="1920"/>
        <v>0</v>
      </c>
      <c r="YH93" s="65">
        <v>847.85</v>
      </c>
      <c r="YI93" s="63"/>
      <c r="YJ93" s="64">
        <f t="shared" si="1921"/>
        <v>847.85</v>
      </c>
      <c r="YK93" s="65"/>
      <c r="YL93" s="63"/>
      <c r="YM93" s="64">
        <f t="shared" si="1922"/>
        <v>0</v>
      </c>
      <c r="YN93" s="65">
        <v>100</v>
      </c>
      <c r="YO93" s="63"/>
      <c r="YP93" s="64">
        <f t="shared" si="1923"/>
        <v>100</v>
      </c>
      <c r="YQ93" s="66">
        <f t="shared" si="1681"/>
        <v>947.85</v>
      </c>
      <c r="YR93" s="67">
        <f t="shared" si="1924"/>
        <v>0</v>
      </c>
      <c r="YS93" s="64">
        <f t="shared" si="1925"/>
        <v>947.85</v>
      </c>
      <c r="YT93" s="62"/>
      <c r="YU93" s="63"/>
      <c r="YV93" s="64">
        <f t="shared" si="1926"/>
        <v>0</v>
      </c>
      <c r="YW93" s="65">
        <v>695.73</v>
      </c>
      <c r="YX93" s="63"/>
      <c r="YY93" s="64">
        <f t="shared" si="1927"/>
        <v>695.73</v>
      </c>
      <c r="YZ93" s="65"/>
      <c r="ZA93" s="63"/>
      <c r="ZB93" s="64">
        <f t="shared" si="1928"/>
        <v>0</v>
      </c>
      <c r="ZC93" s="65">
        <v>100</v>
      </c>
      <c r="ZD93" s="63"/>
      <c r="ZE93" s="64">
        <f t="shared" si="1929"/>
        <v>100</v>
      </c>
      <c r="ZF93" s="66">
        <f t="shared" si="1688"/>
        <v>795.73</v>
      </c>
      <c r="ZG93" s="67">
        <f t="shared" si="1930"/>
        <v>0</v>
      </c>
      <c r="ZH93" s="74"/>
      <c r="ZI93" s="72"/>
      <c r="ZJ93" s="73"/>
      <c r="ZK93" s="74"/>
      <c r="ZL93" s="75"/>
      <c r="ZM93" s="73"/>
      <c r="ZN93" s="74"/>
      <c r="ZO93" s="75"/>
      <c r="ZP93" s="73"/>
      <c r="ZQ93" s="74"/>
      <c r="ZR93" s="75"/>
      <c r="ZS93" s="73"/>
      <c r="ZT93" s="74"/>
      <c r="ZU93" s="76"/>
      <c r="ZV93" s="77"/>
      <c r="ZW93" s="64">
        <f t="shared" si="1931"/>
        <v>0</v>
      </c>
      <c r="ZX93" s="62">
        <v>24.71</v>
      </c>
      <c r="ZY93" s="63"/>
      <c r="ZZ93" s="64">
        <f t="shared" si="1932"/>
        <v>24.71</v>
      </c>
      <c r="AAA93" s="66">
        <f t="shared" si="1692"/>
        <v>24.71</v>
      </c>
      <c r="AAB93" s="67">
        <f t="shared" si="1692"/>
        <v>0</v>
      </c>
      <c r="AAC93" s="64">
        <f t="shared" si="1933"/>
        <v>24.71</v>
      </c>
      <c r="AAD93" s="85">
        <f t="shared" si="1694"/>
        <v>45093.97</v>
      </c>
      <c r="AAE93" s="86">
        <f t="shared" si="1694"/>
        <v>0</v>
      </c>
      <c r="AAF93" s="87">
        <f t="shared" si="1457"/>
        <v>0</v>
      </c>
      <c r="AAG93" s="88">
        <f t="shared" si="1934"/>
        <v>-45093.97</v>
      </c>
      <c r="AAH93" s="96">
        <f>AAH89-AAH85</f>
        <v>-1396140.5599999998</v>
      </c>
      <c r="AAI93" s="97"/>
      <c r="AAJ93" s="97"/>
      <c r="AAK93" s="60"/>
    </row>
    <row r="94" spans="1:713" s="83" customFormat="1" ht="20" customHeight="1" thickBot="1" x14ac:dyDescent="0.25">
      <c r="A94" s="152"/>
      <c r="B94" s="96"/>
      <c r="C94" s="97"/>
      <c r="D94" s="97"/>
      <c r="E94" s="60"/>
      <c r="F94" s="61">
        <v>47088</v>
      </c>
      <c r="G94" s="62"/>
      <c r="H94" s="63"/>
      <c r="I94" s="64">
        <f t="shared" si="1730"/>
        <v>0</v>
      </c>
      <c r="J94" s="65">
        <v>3486.88</v>
      </c>
      <c r="K94" s="63"/>
      <c r="L94" s="64">
        <f t="shared" si="1731"/>
        <v>3486.88</v>
      </c>
      <c r="M94" s="65">
        <v>2500</v>
      </c>
      <c r="N94" s="63"/>
      <c r="O94" s="64">
        <f t="shared" si="1732"/>
        <v>2500</v>
      </c>
      <c r="P94" s="65">
        <v>1000</v>
      </c>
      <c r="Q94" s="63"/>
      <c r="R94" s="64">
        <f t="shared" si="1733"/>
        <v>1000</v>
      </c>
      <c r="S94" s="65">
        <v>181</v>
      </c>
      <c r="T94" s="63"/>
      <c r="U94" s="64">
        <f t="shared" si="1734"/>
        <v>181</v>
      </c>
      <c r="V94" s="66">
        <f t="shared" si="1735"/>
        <v>7167.88</v>
      </c>
      <c r="W94" s="67">
        <f t="shared" si="1735"/>
        <v>0</v>
      </c>
      <c r="X94" s="64">
        <f t="shared" si="1736"/>
        <v>7167.88</v>
      </c>
      <c r="Y94" s="72"/>
      <c r="Z94" s="73"/>
      <c r="AA94" s="74"/>
      <c r="AB94" s="75"/>
      <c r="AC94" s="73"/>
      <c r="AD94" s="74"/>
      <c r="AE94" s="75"/>
      <c r="AF94" s="73"/>
      <c r="AG94" s="74"/>
      <c r="AH94" s="75"/>
      <c r="AI94" s="73"/>
      <c r="AJ94" s="74"/>
      <c r="AK94" s="76"/>
      <c r="AL94" s="77"/>
      <c r="AM94" s="64">
        <f t="shared" si="1737"/>
        <v>0</v>
      </c>
      <c r="AN94" s="62"/>
      <c r="AO94" s="63"/>
      <c r="AP94" s="64">
        <f t="shared" si="1935"/>
        <v>0</v>
      </c>
      <c r="AQ94" s="65"/>
      <c r="AR94" s="63"/>
      <c r="AS94" s="64">
        <f t="shared" si="1738"/>
        <v>0</v>
      </c>
      <c r="AT94" s="65"/>
      <c r="AU94" s="63"/>
      <c r="AV94" s="64">
        <f t="shared" si="1739"/>
        <v>0</v>
      </c>
      <c r="AW94" s="65"/>
      <c r="AX94" s="63"/>
      <c r="AY94" s="64">
        <f t="shared" si="1740"/>
        <v>0</v>
      </c>
      <c r="AZ94" s="66">
        <f t="shared" si="1469"/>
        <v>0</v>
      </c>
      <c r="BA94" s="67">
        <f t="shared" si="1741"/>
        <v>0</v>
      </c>
      <c r="BB94" s="64">
        <f t="shared" si="1742"/>
        <v>0</v>
      </c>
      <c r="BC94" s="62">
        <v>6150</v>
      </c>
      <c r="BD94" s="63"/>
      <c r="BE94" s="64">
        <f t="shared" si="1743"/>
        <v>6150</v>
      </c>
      <c r="BF94" s="65"/>
      <c r="BG94" s="63"/>
      <c r="BH94" s="64">
        <f t="shared" si="1744"/>
        <v>0</v>
      </c>
      <c r="BI94" s="65"/>
      <c r="BJ94" s="63"/>
      <c r="BK94" s="64">
        <f t="shared" si="1745"/>
        <v>0</v>
      </c>
      <c r="BL94" s="65">
        <v>100</v>
      </c>
      <c r="BM94" s="63"/>
      <c r="BN94" s="64">
        <f t="shared" si="1746"/>
        <v>100</v>
      </c>
      <c r="BO94" s="66">
        <f t="shared" si="1476"/>
        <v>6250</v>
      </c>
      <c r="BP94" s="67">
        <f t="shared" si="1747"/>
        <v>0</v>
      </c>
      <c r="BQ94" s="64">
        <f t="shared" si="1748"/>
        <v>6250</v>
      </c>
      <c r="BR94" s="72"/>
      <c r="BS94" s="73"/>
      <c r="BT94" s="74"/>
      <c r="BU94" s="75"/>
      <c r="BV94" s="73"/>
      <c r="BW94" s="74"/>
      <c r="BX94" s="75"/>
      <c r="BY94" s="73"/>
      <c r="BZ94" s="74"/>
      <c r="CA94" s="75"/>
      <c r="CB94" s="73"/>
      <c r="CC94" s="74"/>
      <c r="CD94" s="76"/>
      <c r="CE94" s="77"/>
      <c r="CF94" s="64">
        <f t="shared" si="1749"/>
        <v>0</v>
      </c>
      <c r="CG94" s="62"/>
      <c r="CH94" s="63"/>
      <c r="CI94" s="64">
        <f t="shared" si="1750"/>
        <v>0</v>
      </c>
      <c r="CJ94" s="65"/>
      <c r="CK94" s="63"/>
      <c r="CL94" s="64">
        <f t="shared" si="1751"/>
        <v>0</v>
      </c>
      <c r="CM94" s="65"/>
      <c r="CN94" s="63"/>
      <c r="CO94" s="64">
        <f t="shared" si="1752"/>
        <v>0</v>
      </c>
      <c r="CP94" s="65"/>
      <c r="CQ94" s="63"/>
      <c r="CR94" s="64">
        <f t="shared" si="1753"/>
        <v>0</v>
      </c>
      <c r="CS94" s="66">
        <f t="shared" si="1484"/>
        <v>0</v>
      </c>
      <c r="CT94" s="67">
        <f t="shared" si="1754"/>
        <v>0</v>
      </c>
      <c r="CU94" s="64">
        <f t="shared" si="1755"/>
        <v>0</v>
      </c>
      <c r="CV94" s="62">
        <v>2916.7</v>
      </c>
      <c r="CW94" s="63"/>
      <c r="CX94" s="64">
        <f t="shared" si="1756"/>
        <v>2916.7</v>
      </c>
      <c r="CY94" s="65">
        <v>429.15</v>
      </c>
      <c r="CZ94" s="63"/>
      <c r="DA94" s="64">
        <f t="shared" si="1757"/>
        <v>429.15</v>
      </c>
      <c r="DB94" s="65"/>
      <c r="DC94" s="63"/>
      <c r="DD94" s="64">
        <f t="shared" si="1758"/>
        <v>0</v>
      </c>
      <c r="DE94" s="65"/>
      <c r="DF94" s="63"/>
      <c r="DG94" s="64">
        <f t="shared" si="1759"/>
        <v>0</v>
      </c>
      <c r="DH94" s="66">
        <f t="shared" si="1491"/>
        <v>3345.85</v>
      </c>
      <c r="DI94" s="67">
        <f t="shared" si="1760"/>
        <v>0</v>
      </c>
      <c r="DJ94" s="64">
        <f t="shared" si="1761"/>
        <v>3345.85</v>
      </c>
      <c r="DK94" s="62">
        <v>2400</v>
      </c>
      <c r="DL94" s="63"/>
      <c r="DM94" s="64">
        <f t="shared" si="1762"/>
        <v>2400</v>
      </c>
      <c r="DN94" s="65">
        <v>913.08</v>
      </c>
      <c r="DO94" s="63"/>
      <c r="DP94" s="64">
        <f t="shared" si="1763"/>
        <v>913.08</v>
      </c>
      <c r="DQ94" s="65"/>
      <c r="DR94" s="63"/>
      <c r="DS94" s="64">
        <f t="shared" si="1764"/>
        <v>0</v>
      </c>
      <c r="DT94" s="65">
        <v>100</v>
      </c>
      <c r="DU94" s="63"/>
      <c r="DV94" s="64">
        <f t="shared" si="1765"/>
        <v>100</v>
      </c>
      <c r="DW94" s="66">
        <f t="shared" si="1498"/>
        <v>3413.08</v>
      </c>
      <c r="DX94" s="67">
        <f t="shared" si="1766"/>
        <v>0</v>
      </c>
      <c r="DY94" s="64">
        <f t="shared" si="1767"/>
        <v>3413.08</v>
      </c>
      <c r="DZ94" s="62"/>
      <c r="EA94" s="63"/>
      <c r="EB94" s="64">
        <f t="shared" si="1768"/>
        <v>0</v>
      </c>
      <c r="EC94" s="65"/>
      <c r="ED94" s="63"/>
      <c r="EE94" s="64">
        <f t="shared" si="1769"/>
        <v>0</v>
      </c>
      <c r="EF94" s="65"/>
      <c r="EG94" s="63"/>
      <c r="EH94" s="64">
        <f t="shared" si="1770"/>
        <v>0</v>
      </c>
      <c r="EI94" s="65">
        <v>100</v>
      </c>
      <c r="EJ94" s="63"/>
      <c r="EK94" s="64">
        <f t="shared" si="1771"/>
        <v>100</v>
      </c>
      <c r="EL94" s="66">
        <f t="shared" si="1505"/>
        <v>100</v>
      </c>
      <c r="EM94" s="67">
        <f t="shared" si="1772"/>
        <v>0</v>
      </c>
      <c r="EN94" s="64">
        <f t="shared" si="1773"/>
        <v>100</v>
      </c>
      <c r="EO94" s="62">
        <v>6150</v>
      </c>
      <c r="EP94" s="63"/>
      <c r="EQ94" s="64">
        <f t="shared" si="1774"/>
        <v>6150</v>
      </c>
      <c r="ER94" s="65"/>
      <c r="ES94" s="63"/>
      <c r="ET94" s="64">
        <f t="shared" si="1775"/>
        <v>0</v>
      </c>
      <c r="EU94" s="65"/>
      <c r="EV94" s="63"/>
      <c r="EW94" s="64">
        <f t="shared" si="1776"/>
        <v>0</v>
      </c>
      <c r="EX94" s="65">
        <v>100</v>
      </c>
      <c r="EY94" s="63"/>
      <c r="EZ94" s="64">
        <f t="shared" si="1777"/>
        <v>100</v>
      </c>
      <c r="FA94" s="66">
        <f t="shared" si="1512"/>
        <v>6250</v>
      </c>
      <c r="FB94" s="67">
        <f t="shared" si="1778"/>
        <v>0</v>
      </c>
      <c r="FC94" s="64">
        <f t="shared" si="1779"/>
        <v>6250</v>
      </c>
      <c r="FD94" s="62">
        <v>6150</v>
      </c>
      <c r="FE94" s="63"/>
      <c r="FF94" s="64">
        <f t="shared" si="1780"/>
        <v>6150</v>
      </c>
      <c r="FG94" s="65"/>
      <c r="FH94" s="63"/>
      <c r="FI94" s="64">
        <f t="shared" si="1781"/>
        <v>0</v>
      </c>
      <c r="FJ94" s="65"/>
      <c r="FK94" s="63"/>
      <c r="FL94" s="64">
        <f t="shared" si="1782"/>
        <v>0</v>
      </c>
      <c r="FM94" s="65">
        <v>100</v>
      </c>
      <c r="FN94" s="63"/>
      <c r="FO94" s="64">
        <f t="shared" si="1783"/>
        <v>100</v>
      </c>
      <c r="FP94" s="66">
        <f t="shared" si="1519"/>
        <v>6250</v>
      </c>
      <c r="FQ94" s="67">
        <f t="shared" si="1784"/>
        <v>0</v>
      </c>
      <c r="FR94" s="64">
        <f t="shared" si="1785"/>
        <v>6250</v>
      </c>
      <c r="FS94" s="62"/>
      <c r="FT94" s="63"/>
      <c r="FU94" s="64">
        <f t="shared" si="1786"/>
        <v>0</v>
      </c>
      <c r="FV94" s="65">
        <v>485.35</v>
      </c>
      <c r="FW94" s="63"/>
      <c r="FX94" s="64">
        <f t="shared" si="1787"/>
        <v>485.35</v>
      </c>
      <c r="FY94" s="65"/>
      <c r="FZ94" s="63"/>
      <c r="GA94" s="64">
        <f t="shared" si="1788"/>
        <v>0</v>
      </c>
      <c r="GB94" s="65"/>
      <c r="GC94" s="63"/>
      <c r="GD94" s="64">
        <f t="shared" si="1789"/>
        <v>0</v>
      </c>
      <c r="GE94" s="66">
        <f t="shared" si="1526"/>
        <v>485.35</v>
      </c>
      <c r="GF94" s="67">
        <f t="shared" si="1790"/>
        <v>0</v>
      </c>
      <c r="GG94" s="64">
        <f t="shared" si="1791"/>
        <v>485.35</v>
      </c>
      <c r="GH94" s="62"/>
      <c r="GI94" s="63"/>
      <c r="GJ94" s="64">
        <f t="shared" si="1792"/>
        <v>0</v>
      </c>
      <c r="GK94" s="65">
        <v>660.33</v>
      </c>
      <c r="GL94" s="63"/>
      <c r="GM94" s="64">
        <f t="shared" si="1793"/>
        <v>660.33</v>
      </c>
      <c r="GN94" s="65"/>
      <c r="GO94" s="63"/>
      <c r="GP94" s="64">
        <f t="shared" si="1794"/>
        <v>0</v>
      </c>
      <c r="GQ94" s="65"/>
      <c r="GR94" s="63"/>
      <c r="GS94" s="64">
        <f t="shared" si="1795"/>
        <v>0</v>
      </c>
      <c r="GT94" s="66">
        <f t="shared" si="1533"/>
        <v>660.33</v>
      </c>
      <c r="GU94" s="67">
        <f t="shared" si="1796"/>
        <v>0</v>
      </c>
      <c r="GV94" s="64">
        <f t="shared" si="1797"/>
        <v>660.33</v>
      </c>
      <c r="GW94" s="62"/>
      <c r="GX94" s="63"/>
      <c r="GY94" s="64">
        <f t="shared" si="1798"/>
        <v>0</v>
      </c>
      <c r="GZ94" s="65">
        <v>568.25</v>
      </c>
      <c r="HA94" s="63"/>
      <c r="HB94" s="64">
        <f t="shared" si="1799"/>
        <v>568.25</v>
      </c>
      <c r="HC94" s="65"/>
      <c r="HD94" s="63"/>
      <c r="HE94" s="64">
        <f t="shared" si="1800"/>
        <v>0</v>
      </c>
      <c r="HF94" s="65">
        <v>100</v>
      </c>
      <c r="HG94" s="63"/>
      <c r="HH94" s="64">
        <f t="shared" si="1801"/>
        <v>100</v>
      </c>
      <c r="HI94" s="66">
        <f t="shared" si="1540"/>
        <v>668.25</v>
      </c>
      <c r="HJ94" s="67">
        <f t="shared" si="1802"/>
        <v>0</v>
      </c>
      <c r="HK94" s="64">
        <f t="shared" si="1803"/>
        <v>668.25</v>
      </c>
      <c r="HL94" s="62">
        <v>6150</v>
      </c>
      <c r="HM94" s="63"/>
      <c r="HN94" s="64">
        <f t="shared" si="1804"/>
        <v>6150</v>
      </c>
      <c r="HO94" s="65"/>
      <c r="HP94" s="63"/>
      <c r="HQ94" s="64">
        <f t="shared" si="1805"/>
        <v>0</v>
      </c>
      <c r="HR94" s="65"/>
      <c r="HS94" s="63"/>
      <c r="HT94" s="64">
        <f t="shared" si="1806"/>
        <v>0</v>
      </c>
      <c r="HU94" s="65">
        <v>100</v>
      </c>
      <c r="HV94" s="63"/>
      <c r="HW94" s="64">
        <f t="shared" si="1807"/>
        <v>100</v>
      </c>
      <c r="HX94" s="66">
        <f t="shared" si="1547"/>
        <v>6250</v>
      </c>
      <c r="HY94" s="67">
        <f t="shared" si="1808"/>
        <v>0</v>
      </c>
      <c r="HZ94" s="64">
        <f t="shared" si="1809"/>
        <v>6250</v>
      </c>
      <c r="IA94" s="62"/>
      <c r="IB94" s="63"/>
      <c r="IC94" s="64">
        <f t="shared" si="1810"/>
        <v>0</v>
      </c>
      <c r="ID94" s="65"/>
      <c r="IE94" s="63"/>
      <c r="IF94" s="64">
        <f t="shared" si="1811"/>
        <v>0</v>
      </c>
      <c r="IG94" s="65"/>
      <c r="IH94" s="63"/>
      <c r="II94" s="64">
        <f t="shared" si="1812"/>
        <v>0</v>
      </c>
      <c r="IJ94" s="65">
        <v>100</v>
      </c>
      <c r="IK94" s="63"/>
      <c r="IL94" s="64">
        <f t="shared" si="1813"/>
        <v>100</v>
      </c>
      <c r="IM94" s="66">
        <f t="shared" si="1554"/>
        <v>100</v>
      </c>
      <c r="IN94" s="67">
        <f t="shared" si="1814"/>
        <v>0</v>
      </c>
      <c r="IO94" s="64">
        <f t="shared" si="1815"/>
        <v>100</v>
      </c>
      <c r="IP94" s="62"/>
      <c r="IQ94" s="63"/>
      <c r="IR94" s="64">
        <f t="shared" si="1816"/>
        <v>0</v>
      </c>
      <c r="IS94" s="65"/>
      <c r="IT94" s="63"/>
      <c r="IU94" s="64">
        <f t="shared" si="1817"/>
        <v>0</v>
      </c>
      <c r="IV94" s="65"/>
      <c r="IW94" s="63"/>
      <c r="IX94" s="64">
        <f t="shared" si="1818"/>
        <v>0</v>
      </c>
      <c r="IY94" s="65"/>
      <c r="IZ94" s="63"/>
      <c r="JA94" s="64">
        <f t="shared" si="1819"/>
        <v>0</v>
      </c>
      <c r="JB94" s="66">
        <f t="shared" si="1561"/>
        <v>0</v>
      </c>
      <c r="JC94" s="67">
        <f t="shared" si="1820"/>
        <v>0</v>
      </c>
      <c r="JD94" s="64">
        <f t="shared" si="1821"/>
        <v>0</v>
      </c>
      <c r="JE94" s="72"/>
      <c r="JF94" s="150"/>
      <c r="JG94" s="74"/>
      <c r="JH94" s="75"/>
      <c r="JI94" s="150"/>
      <c r="JJ94" s="74"/>
      <c r="JK94" s="75"/>
      <c r="JL94" s="150"/>
      <c r="JM94" s="74"/>
      <c r="JN94" s="75"/>
      <c r="JO94" s="150"/>
      <c r="JP94" s="74"/>
      <c r="JQ94" s="76"/>
      <c r="JR94" s="77"/>
      <c r="JS94" s="74"/>
      <c r="JT94" s="72"/>
      <c r="JU94" s="73"/>
      <c r="JV94" s="74"/>
      <c r="JW94" s="75"/>
      <c r="JX94" s="73"/>
      <c r="JY94" s="74"/>
      <c r="JZ94" s="75"/>
      <c r="KA94" s="73"/>
      <c r="KB94" s="74"/>
      <c r="KC94" s="75"/>
      <c r="KD94" s="73"/>
      <c r="KE94" s="74"/>
      <c r="KF94" s="76"/>
      <c r="KG94" s="77"/>
      <c r="KH94" s="64">
        <f t="shared" si="1822"/>
        <v>0</v>
      </c>
      <c r="KI94" s="62"/>
      <c r="KJ94" s="63"/>
      <c r="KK94" s="64">
        <f t="shared" si="1823"/>
        <v>0</v>
      </c>
      <c r="KL94" s="65"/>
      <c r="KM94" s="63"/>
      <c r="KN94" s="64">
        <f t="shared" si="1824"/>
        <v>0</v>
      </c>
      <c r="KO94" s="65"/>
      <c r="KP94" s="63"/>
      <c r="KQ94" s="64">
        <f t="shared" si="1825"/>
        <v>0</v>
      </c>
      <c r="KR94" s="65"/>
      <c r="KS94" s="63"/>
      <c r="KT94" s="64">
        <f t="shared" si="1826"/>
        <v>0</v>
      </c>
      <c r="KU94" s="66">
        <f t="shared" si="1439"/>
        <v>0</v>
      </c>
      <c r="KV94" s="67">
        <f t="shared" si="1827"/>
        <v>0</v>
      </c>
      <c r="KW94" s="64">
        <f t="shared" si="1828"/>
        <v>0</v>
      </c>
      <c r="KX94" s="72"/>
      <c r="KY94" s="73"/>
      <c r="KZ94" s="74"/>
      <c r="LA94" s="75"/>
      <c r="LB94" s="73"/>
      <c r="LC94" s="74"/>
      <c r="LD94" s="75"/>
      <c r="LE94" s="73"/>
      <c r="LF94" s="74"/>
      <c r="LG94" s="75"/>
      <c r="LH94" s="73"/>
      <c r="LI94" s="74"/>
      <c r="LJ94" s="76"/>
      <c r="LK94" s="77"/>
      <c r="LL94" s="74"/>
      <c r="LM94" s="62"/>
      <c r="LN94" s="63"/>
      <c r="LO94" s="64">
        <f t="shared" si="1829"/>
        <v>0</v>
      </c>
      <c r="LP94" s="65"/>
      <c r="LQ94" s="63"/>
      <c r="LR94" s="64">
        <f t="shared" si="1830"/>
        <v>0</v>
      </c>
      <c r="LS94" s="65"/>
      <c r="LT94" s="63"/>
      <c r="LU94" s="64">
        <f t="shared" si="1831"/>
        <v>0</v>
      </c>
      <c r="LV94" s="65">
        <v>100</v>
      </c>
      <c r="LW94" s="63"/>
      <c r="LX94" s="64">
        <f t="shared" si="1832"/>
        <v>100</v>
      </c>
      <c r="LY94" s="66">
        <f t="shared" si="1575"/>
        <v>100</v>
      </c>
      <c r="LZ94" s="67">
        <f t="shared" si="1833"/>
        <v>0</v>
      </c>
      <c r="MA94" s="64">
        <f t="shared" si="1834"/>
        <v>100</v>
      </c>
      <c r="MB94" s="62"/>
      <c r="MC94" s="63"/>
      <c r="MD94" s="64">
        <f t="shared" si="1835"/>
        <v>0</v>
      </c>
      <c r="ME94" s="65">
        <v>889.11</v>
      </c>
      <c r="MF94" s="63"/>
      <c r="MG94" s="64">
        <f t="shared" si="1836"/>
        <v>889.11</v>
      </c>
      <c r="MH94" s="65"/>
      <c r="MI94" s="63"/>
      <c r="MJ94" s="64">
        <f t="shared" si="1837"/>
        <v>0</v>
      </c>
      <c r="MK94" s="65">
        <v>100</v>
      </c>
      <c r="ML94" s="63"/>
      <c r="MM94" s="64">
        <f t="shared" si="1838"/>
        <v>100</v>
      </c>
      <c r="MN94" s="66">
        <f t="shared" si="1582"/>
        <v>989.11</v>
      </c>
      <c r="MO94" s="67">
        <f t="shared" si="1839"/>
        <v>0</v>
      </c>
      <c r="MP94" s="64">
        <f t="shared" si="1840"/>
        <v>989.11</v>
      </c>
      <c r="MQ94" s="62"/>
      <c r="MR94" s="63"/>
      <c r="MS94" s="64">
        <f t="shared" si="1841"/>
        <v>0</v>
      </c>
      <c r="MT94" s="65"/>
      <c r="MU94" s="63"/>
      <c r="MV94" s="64">
        <f t="shared" si="1842"/>
        <v>0</v>
      </c>
      <c r="MW94" s="65"/>
      <c r="MX94" s="63"/>
      <c r="MY94" s="64">
        <f t="shared" si="1843"/>
        <v>0</v>
      </c>
      <c r="MZ94" s="65"/>
      <c r="NA94" s="63"/>
      <c r="NB94" s="64">
        <f t="shared" si="1844"/>
        <v>0</v>
      </c>
      <c r="NC94" s="66">
        <f t="shared" si="1589"/>
        <v>0</v>
      </c>
      <c r="ND94" s="67">
        <f t="shared" si="1845"/>
        <v>0</v>
      </c>
      <c r="NE94" s="64">
        <f t="shared" si="1846"/>
        <v>0</v>
      </c>
      <c r="NF94" s="62"/>
      <c r="NG94" s="63"/>
      <c r="NH94" s="64">
        <f t="shared" si="1847"/>
        <v>0</v>
      </c>
      <c r="NI94" s="65">
        <v>1164.04</v>
      </c>
      <c r="NJ94" s="63"/>
      <c r="NK94" s="64">
        <f t="shared" si="1848"/>
        <v>1164.04</v>
      </c>
      <c r="NL94" s="65"/>
      <c r="NM94" s="63"/>
      <c r="NN94" s="64">
        <f t="shared" si="1849"/>
        <v>0</v>
      </c>
      <c r="NO94" s="65">
        <v>100</v>
      </c>
      <c r="NP94" s="63"/>
      <c r="NQ94" s="64">
        <f t="shared" si="1850"/>
        <v>100</v>
      </c>
      <c r="NR94" s="66">
        <f t="shared" si="1596"/>
        <v>1264.04</v>
      </c>
      <c r="NS94" s="67">
        <f t="shared" si="1851"/>
        <v>0</v>
      </c>
      <c r="NT94" s="64">
        <f t="shared" si="1852"/>
        <v>1264.04</v>
      </c>
      <c r="NU94" s="62"/>
      <c r="NV94" s="63"/>
      <c r="NW94" s="64">
        <f t="shared" si="1853"/>
        <v>0</v>
      </c>
      <c r="NX94" s="65">
        <v>1152.73</v>
      </c>
      <c r="NY94" s="63"/>
      <c r="NZ94" s="64">
        <f t="shared" si="1854"/>
        <v>1152.73</v>
      </c>
      <c r="OA94" s="65"/>
      <c r="OB94" s="63"/>
      <c r="OC94" s="64">
        <f t="shared" si="1855"/>
        <v>0</v>
      </c>
      <c r="OD94" s="65">
        <v>100</v>
      </c>
      <c r="OE94" s="63"/>
      <c r="OF94" s="64">
        <f t="shared" si="1856"/>
        <v>100</v>
      </c>
      <c r="OG94" s="66">
        <f t="shared" si="1603"/>
        <v>1252.73</v>
      </c>
      <c r="OH94" s="67">
        <f t="shared" si="1857"/>
        <v>0</v>
      </c>
      <c r="OI94" s="64">
        <f t="shared" si="1858"/>
        <v>1252.73</v>
      </c>
      <c r="OJ94" s="62"/>
      <c r="OK94" s="63"/>
      <c r="OL94" s="64">
        <f t="shared" si="1859"/>
        <v>0</v>
      </c>
      <c r="OM94" s="65"/>
      <c r="ON94" s="63"/>
      <c r="OO94" s="64">
        <f t="shared" si="1860"/>
        <v>0</v>
      </c>
      <c r="OP94" s="65"/>
      <c r="OQ94" s="63"/>
      <c r="OR94" s="64">
        <f t="shared" si="1861"/>
        <v>0</v>
      </c>
      <c r="OS94" s="65">
        <v>100</v>
      </c>
      <c r="OT94" s="63"/>
      <c r="OU94" s="64">
        <f t="shared" si="1862"/>
        <v>100</v>
      </c>
      <c r="OV94" s="66">
        <f t="shared" si="1610"/>
        <v>100</v>
      </c>
      <c r="OW94" s="67">
        <f t="shared" si="1863"/>
        <v>0</v>
      </c>
      <c r="OX94" s="64">
        <f t="shared" si="1864"/>
        <v>100</v>
      </c>
      <c r="OY94" s="62"/>
      <c r="OZ94" s="63"/>
      <c r="PA94" s="64">
        <f t="shared" si="1865"/>
        <v>0</v>
      </c>
      <c r="PB94" s="65"/>
      <c r="PC94" s="63"/>
      <c r="PD94" s="64">
        <f t="shared" si="1866"/>
        <v>0</v>
      </c>
      <c r="PE94" s="65"/>
      <c r="PF94" s="63"/>
      <c r="PG94" s="64">
        <f t="shared" si="1867"/>
        <v>0</v>
      </c>
      <c r="PH94" s="65">
        <v>100</v>
      </c>
      <c r="PI94" s="63"/>
      <c r="PJ94" s="64">
        <f t="shared" si="1868"/>
        <v>100</v>
      </c>
      <c r="PK94" s="66">
        <f t="shared" si="1617"/>
        <v>100</v>
      </c>
      <c r="PL94" s="67">
        <f t="shared" si="1869"/>
        <v>0</v>
      </c>
      <c r="PM94" s="64">
        <f t="shared" si="1870"/>
        <v>100</v>
      </c>
      <c r="PN94" s="62">
        <v>1550</v>
      </c>
      <c r="PO94" s="63"/>
      <c r="PP94" s="64">
        <f t="shared" si="1871"/>
        <v>1550</v>
      </c>
      <c r="PQ94" s="65"/>
      <c r="PR94" s="63"/>
      <c r="PS94" s="64">
        <f t="shared" si="1872"/>
        <v>0</v>
      </c>
      <c r="PT94" s="65"/>
      <c r="PU94" s="63"/>
      <c r="PV94" s="64">
        <f t="shared" si="1873"/>
        <v>0</v>
      </c>
      <c r="PW94" s="65">
        <v>100</v>
      </c>
      <c r="PX94" s="63"/>
      <c r="PY94" s="64">
        <f t="shared" si="1874"/>
        <v>100</v>
      </c>
      <c r="PZ94" s="66">
        <f t="shared" si="1624"/>
        <v>1650</v>
      </c>
      <c r="QA94" s="67">
        <f t="shared" si="1875"/>
        <v>0</v>
      </c>
      <c r="QB94" s="64">
        <f t="shared" si="1876"/>
        <v>1650</v>
      </c>
      <c r="QC94" s="62"/>
      <c r="QD94" s="63"/>
      <c r="QE94" s="64">
        <f t="shared" si="1877"/>
        <v>0</v>
      </c>
      <c r="QF94" s="65"/>
      <c r="QG94" s="63"/>
      <c r="QH94" s="64">
        <f t="shared" si="1878"/>
        <v>0</v>
      </c>
      <c r="QI94" s="65"/>
      <c r="QJ94" s="63"/>
      <c r="QK94" s="64">
        <f t="shared" si="1879"/>
        <v>0</v>
      </c>
      <c r="QL94" s="65">
        <v>100</v>
      </c>
      <c r="QM94" s="63"/>
      <c r="QN94" s="64">
        <f t="shared" si="1880"/>
        <v>100</v>
      </c>
      <c r="QO94" s="66">
        <f t="shared" si="1631"/>
        <v>100</v>
      </c>
      <c r="QP94" s="67">
        <f t="shared" si="1881"/>
        <v>0</v>
      </c>
      <c r="QQ94" s="64">
        <f t="shared" si="1882"/>
        <v>100</v>
      </c>
      <c r="QR94" s="74"/>
      <c r="QS94" s="74"/>
      <c r="QT94" s="72"/>
      <c r="QU94" s="73"/>
      <c r="QV94" s="74"/>
      <c r="QW94" s="75"/>
      <c r="QX94" s="73"/>
      <c r="QY94" s="74"/>
      <c r="QZ94" s="75"/>
      <c r="RA94" s="73"/>
      <c r="RB94" s="74"/>
      <c r="RC94" s="75"/>
      <c r="RD94" s="73"/>
      <c r="RE94" s="74"/>
      <c r="RF94" s="74"/>
      <c r="RG94" s="72"/>
      <c r="RH94" s="73"/>
      <c r="RI94" s="74"/>
      <c r="RJ94" s="75"/>
      <c r="RK94" s="73"/>
      <c r="RL94" s="74"/>
      <c r="RM94" s="75"/>
      <c r="RN94" s="73"/>
      <c r="RO94" s="74"/>
      <c r="RP94" s="75"/>
      <c r="RQ94" s="73"/>
      <c r="RR94" s="74"/>
      <c r="RS94" s="76"/>
      <c r="RT94" s="77"/>
      <c r="RU94" s="74"/>
      <c r="RV94" s="74"/>
      <c r="RW94" s="72"/>
      <c r="RX94" s="73"/>
      <c r="RY94" s="74"/>
      <c r="RZ94" s="75"/>
      <c r="SA94" s="73"/>
      <c r="SB94" s="74"/>
      <c r="SC94" s="75"/>
      <c r="SD94" s="73"/>
      <c r="SE94" s="74"/>
      <c r="SF94" s="75"/>
      <c r="SG94" s="73"/>
      <c r="SH94" s="74"/>
      <c r="SI94" s="76"/>
      <c r="SJ94" s="64">
        <f t="shared" si="1883"/>
        <v>0</v>
      </c>
      <c r="SK94" s="62"/>
      <c r="SL94" s="63"/>
      <c r="SM94" s="64">
        <f t="shared" si="1884"/>
        <v>0</v>
      </c>
      <c r="SN94" s="65"/>
      <c r="SO94" s="63"/>
      <c r="SP94" s="64">
        <f t="shared" si="1885"/>
        <v>0</v>
      </c>
      <c r="SQ94" s="65"/>
      <c r="SR94" s="63"/>
      <c r="SS94" s="64">
        <f t="shared" si="1886"/>
        <v>0</v>
      </c>
      <c r="ST94" s="65">
        <v>100</v>
      </c>
      <c r="SU94" s="63"/>
      <c r="SV94" s="64">
        <f t="shared" si="1887"/>
        <v>100</v>
      </c>
      <c r="SW94" s="66">
        <f t="shared" si="1639"/>
        <v>100</v>
      </c>
      <c r="SX94" s="67">
        <f t="shared" si="1888"/>
        <v>0</v>
      </c>
      <c r="SY94" s="64">
        <f t="shared" si="1889"/>
        <v>100</v>
      </c>
      <c r="SZ94" s="62">
        <v>985.33</v>
      </c>
      <c r="TA94" s="63"/>
      <c r="TB94" s="64">
        <f t="shared" si="1890"/>
        <v>985.33</v>
      </c>
      <c r="TC94" s="65">
        <v>700.9</v>
      </c>
      <c r="TD94" s="63"/>
      <c r="TE94" s="64">
        <f t="shared" si="1891"/>
        <v>700.9</v>
      </c>
      <c r="TF94" s="65"/>
      <c r="TG94" s="63"/>
      <c r="TH94" s="64">
        <f t="shared" si="1892"/>
        <v>0</v>
      </c>
      <c r="TI94" s="65">
        <v>100</v>
      </c>
      <c r="TJ94" s="63"/>
      <c r="TK94" s="64">
        <f t="shared" si="1893"/>
        <v>100</v>
      </c>
      <c r="TL94" s="66">
        <f t="shared" si="1646"/>
        <v>1786.23</v>
      </c>
      <c r="TM94" s="67">
        <f t="shared" si="1894"/>
        <v>0</v>
      </c>
      <c r="TN94" s="64">
        <f t="shared" si="1895"/>
        <v>1786.23</v>
      </c>
      <c r="TO94" s="62">
        <v>3875</v>
      </c>
      <c r="TP94" s="63"/>
      <c r="TQ94" s="64">
        <f t="shared" si="1896"/>
        <v>3875</v>
      </c>
      <c r="TR94" s="65"/>
      <c r="TS94" s="63"/>
      <c r="TT94" s="64">
        <f t="shared" si="1897"/>
        <v>0</v>
      </c>
      <c r="TU94" s="65"/>
      <c r="TV94" s="63"/>
      <c r="TW94" s="64">
        <f t="shared" si="1898"/>
        <v>0</v>
      </c>
      <c r="TX94" s="65">
        <v>100</v>
      </c>
      <c r="TY94" s="63"/>
      <c r="TZ94" s="64">
        <f t="shared" si="1899"/>
        <v>100</v>
      </c>
      <c r="UA94" s="66">
        <f t="shared" si="1653"/>
        <v>3975</v>
      </c>
      <c r="UB94" s="67">
        <f t="shared" si="1900"/>
        <v>0</v>
      </c>
      <c r="UC94" s="64">
        <f t="shared" si="1901"/>
        <v>3975</v>
      </c>
      <c r="UD94" s="62"/>
      <c r="UE94" s="63"/>
      <c r="UF94" s="64">
        <f t="shared" si="1902"/>
        <v>0</v>
      </c>
      <c r="UG94" s="65">
        <v>497.04</v>
      </c>
      <c r="UH94" s="63"/>
      <c r="UI94" s="64">
        <f t="shared" si="1903"/>
        <v>497.04</v>
      </c>
      <c r="UJ94" s="65"/>
      <c r="UK94" s="63"/>
      <c r="UL94" s="64">
        <f t="shared" si="1904"/>
        <v>0</v>
      </c>
      <c r="UM94" s="65">
        <v>100</v>
      </c>
      <c r="UN94" s="63"/>
      <c r="UO94" s="64">
        <f t="shared" si="1905"/>
        <v>100</v>
      </c>
      <c r="UP94" s="66">
        <f t="shared" si="1660"/>
        <v>597.04</v>
      </c>
      <c r="UQ94" s="67">
        <f t="shared" si="1906"/>
        <v>0</v>
      </c>
      <c r="UR94" s="64">
        <f t="shared" si="1907"/>
        <v>597.04</v>
      </c>
      <c r="US94" s="74"/>
      <c r="UT94" s="72"/>
      <c r="UU94" s="73"/>
      <c r="UV94" s="74"/>
      <c r="UW94" s="75"/>
      <c r="UX94" s="73"/>
      <c r="UY94" s="74"/>
      <c r="UZ94" s="75"/>
      <c r="VA94" s="73"/>
      <c r="VB94" s="74"/>
      <c r="VC94" s="75"/>
      <c r="VD94" s="73"/>
      <c r="VE94" s="74"/>
      <c r="VF94" s="76"/>
      <c r="VG94" s="77"/>
      <c r="VH94" s="62"/>
      <c r="VI94" s="63"/>
      <c r="VJ94" s="64">
        <f t="shared" si="1908"/>
        <v>0</v>
      </c>
      <c r="VK94" s="65"/>
      <c r="VL94" s="63"/>
      <c r="VM94" s="64">
        <f t="shared" si="1909"/>
        <v>0</v>
      </c>
      <c r="VN94" s="65"/>
      <c r="VO94" s="63"/>
      <c r="VP94" s="64">
        <f t="shared" si="1910"/>
        <v>0</v>
      </c>
      <c r="VQ94" s="65">
        <v>100</v>
      </c>
      <c r="VR94" s="63"/>
      <c r="VS94" s="64">
        <f t="shared" si="1911"/>
        <v>100</v>
      </c>
      <c r="VT94" s="66">
        <f t="shared" si="1667"/>
        <v>100</v>
      </c>
      <c r="VU94" s="67">
        <f t="shared" si="1912"/>
        <v>0</v>
      </c>
      <c r="VV94" s="64">
        <f t="shared" si="1913"/>
        <v>100</v>
      </c>
      <c r="VW94" s="74"/>
      <c r="VX94" s="72"/>
      <c r="VY94" s="73"/>
      <c r="VZ94" s="74"/>
      <c r="WA94" s="75"/>
      <c r="WB94" s="73"/>
      <c r="WC94" s="74"/>
      <c r="WD94" s="75"/>
      <c r="WE94" s="73"/>
      <c r="WF94" s="74"/>
      <c r="WG94" s="75"/>
      <c r="WH94" s="73"/>
      <c r="WI94" s="74"/>
      <c r="WJ94" s="76"/>
      <c r="WK94" s="77"/>
      <c r="WL94" s="74"/>
      <c r="WM94" s="72"/>
      <c r="WN94" s="73"/>
      <c r="WO94" s="74"/>
      <c r="WP94" s="75"/>
      <c r="WQ94" s="73"/>
      <c r="WR94" s="74"/>
      <c r="WS94" s="75"/>
      <c r="WT94" s="73"/>
      <c r="WU94" s="74"/>
      <c r="WV94" s="75"/>
      <c r="WW94" s="73"/>
      <c r="WX94" s="74"/>
      <c r="WY94" s="76"/>
      <c r="WZ94" s="77"/>
      <c r="XA94" s="74"/>
      <c r="XB94" s="72"/>
      <c r="XC94" s="73"/>
      <c r="XD94" s="74"/>
      <c r="XE94" s="75"/>
      <c r="XF94" s="73"/>
      <c r="XG94" s="74"/>
      <c r="XH94" s="75"/>
      <c r="XI94" s="73"/>
      <c r="XJ94" s="74"/>
      <c r="XK94" s="75"/>
      <c r="XL94" s="73"/>
      <c r="XM94" s="74"/>
      <c r="XN94" s="76"/>
      <c r="XO94" s="77"/>
      <c r="XP94" s="62"/>
      <c r="XQ94" s="63"/>
      <c r="XR94" s="64">
        <f t="shared" si="1914"/>
        <v>0</v>
      </c>
      <c r="XS94" s="65">
        <v>844.24</v>
      </c>
      <c r="XT94" s="63"/>
      <c r="XU94" s="64">
        <f t="shared" si="1915"/>
        <v>844.24</v>
      </c>
      <c r="XV94" s="65"/>
      <c r="XW94" s="63"/>
      <c r="XX94" s="64">
        <f t="shared" si="1916"/>
        <v>0</v>
      </c>
      <c r="XY94" s="65">
        <v>100</v>
      </c>
      <c r="XZ94" s="63"/>
      <c r="YA94" s="64">
        <f t="shared" si="1917"/>
        <v>100</v>
      </c>
      <c r="YB94" s="66">
        <f t="shared" si="1674"/>
        <v>944.24</v>
      </c>
      <c r="YC94" s="67">
        <f t="shared" si="1918"/>
        <v>0</v>
      </c>
      <c r="YD94" s="64">
        <f t="shared" si="1919"/>
        <v>944.24</v>
      </c>
      <c r="YE94" s="62"/>
      <c r="YF94" s="63"/>
      <c r="YG94" s="64">
        <f t="shared" si="1920"/>
        <v>0</v>
      </c>
      <c r="YH94" s="65">
        <v>847.85</v>
      </c>
      <c r="YI94" s="63"/>
      <c r="YJ94" s="64">
        <f t="shared" si="1921"/>
        <v>847.85</v>
      </c>
      <c r="YK94" s="65"/>
      <c r="YL94" s="63"/>
      <c r="YM94" s="64">
        <f t="shared" si="1922"/>
        <v>0</v>
      </c>
      <c r="YN94" s="65">
        <v>100</v>
      </c>
      <c r="YO94" s="63"/>
      <c r="YP94" s="64">
        <f t="shared" si="1923"/>
        <v>100</v>
      </c>
      <c r="YQ94" s="66">
        <f t="shared" si="1681"/>
        <v>947.85</v>
      </c>
      <c r="YR94" s="67">
        <f t="shared" si="1924"/>
        <v>0</v>
      </c>
      <c r="YS94" s="64">
        <f t="shared" si="1925"/>
        <v>947.85</v>
      </c>
      <c r="YT94" s="62"/>
      <c r="YU94" s="63"/>
      <c r="YV94" s="64">
        <f t="shared" si="1926"/>
        <v>0</v>
      </c>
      <c r="YW94" s="65">
        <v>695.73</v>
      </c>
      <c r="YX94" s="63"/>
      <c r="YY94" s="64">
        <f t="shared" si="1927"/>
        <v>695.73</v>
      </c>
      <c r="YZ94" s="65"/>
      <c r="ZA94" s="63"/>
      <c r="ZB94" s="64">
        <f t="shared" si="1928"/>
        <v>0</v>
      </c>
      <c r="ZC94" s="65">
        <v>100</v>
      </c>
      <c r="ZD94" s="63"/>
      <c r="ZE94" s="64">
        <f t="shared" si="1929"/>
        <v>100</v>
      </c>
      <c r="ZF94" s="66">
        <f t="shared" si="1688"/>
        <v>795.73</v>
      </c>
      <c r="ZG94" s="67">
        <f t="shared" si="1930"/>
        <v>0</v>
      </c>
      <c r="ZH94" s="74"/>
      <c r="ZI94" s="72"/>
      <c r="ZJ94" s="73"/>
      <c r="ZK94" s="74"/>
      <c r="ZL94" s="75"/>
      <c r="ZM94" s="73"/>
      <c r="ZN94" s="74"/>
      <c r="ZO94" s="75"/>
      <c r="ZP94" s="73"/>
      <c r="ZQ94" s="74"/>
      <c r="ZR94" s="75"/>
      <c r="ZS94" s="73"/>
      <c r="ZT94" s="74"/>
      <c r="ZU94" s="76"/>
      <c r="ZV94" s="77"/>
      <c r="ZW94" s="64">
        <f t="shared" si="1931"/>
        <v>0</v>
      </c>
      <c r="ZX94" s="62">
        <v>24.71</v>
      </c>
      <c r="ZY94" s="63"/>
      <c r="ZZ94" s="64">
        <f t="shared" si="1932"/>
        <v>24.71</v>
      </c>
      <c r="AAA94" s="66">
        <f t="shared" si="1692"/>
        <v>24.71</v>
      </c>
      <c r="AAB94" s="67">
        <f t="shared" si="1692"/>
        <v>0</v>
      </c>
      <c r="AAC94" s="64">
        <f t="shared" si="1933"/>
        <v>24.71</v>
      </c>
      <c r="AAD94" s="85">
        <f t="shared" si="1694"/>
        <v>55742.71</v>
      </c>
      <c r="AAE94" s="98">
        <f t="shared" si="1694"/>
        <v>0</v>
      </c>
      <c r="AAF94" s="99">
        <f t="shared" si="1457"/>
        <v>0</v>
      </c>
      <c r="AAG94" s="100">
        <f t="shared" si="1934"/>
        <v>-55742.71</v>
      </c>
      <c r="AAH94" s="96"/>
      <c r="AAI94" s="97"/>
      <c r="AAJ94" s="97"/>
      <c r="AAK94" s="60"/>
    </row>
    <row r="95" spans="1:713" s="83" customFormat="1" ht="20" customHeight="1" thickBot="1" x14ac:dyDescent="0.25">
      <c r="A95" s="153"/>
      <c r="F95" s="101" t="s">
        <v>167</v>
      </c>
      <c r="G95" s="102">
        <f t="shared" ref="G95:X95" si="1936">SUM(G83:G94)</f>
        <v>371675.99</v>
      </c>
      <c r="H95" s="103">
        <f t="shared" si="1936"/>
        <v>0</v>
      </c>
      <c r="I95" s="104">
        <f t="shared" si="1936"/>
        <v>371675.99</v>
      </c>
      <c r="J95" s="103">
        <f t="shared" si="1936"/>
        <v>37095.769999999997</v>
      </c>
      <c r="K95" s="105">
        <f t="shared" si="1936"/>
        <v>0</v>
      </c>
      <c r="L95" s="104">
        <f t="shared" si="1936"/>
        <v>37095.769999999997</v>
      </c>
      <c r="M95" s="103">
        <f t="shared" si="1936"/>
        <v>30000</v>
      </c>
      <c r="N95" s="105">
        <f t="shared" si="1936"/>
        <v>0</v>
      </c>
      <c r="O95" s="104">
        <f t="shared" si="1936"/>
        <v>30000</v>
      </c>
      <c r="P95" s="103">
        <f t="shared" si="1936"/>
        <v>11000</v>
      </c>
      <c r="Q95" s="105">
        <f t="shared" si="1936"/>
        <v>0</v>
      </c>
      <c r="R95" s="104">
        <f t="shared" si="1936"/>
        <v>11000</v>
      </c>
      <c r="S95" s="103">
        <f t="shared" si="1936"/>
        <v>2896</v>
      </c>
      <c r="T95" s="105">
        <f t="shared" si="1936"/>
        <v>0</v>
      </c>
      <c r="U95" s="104">
        <f t="shared" si="1936"/>
        <v>2896</v>
      </c>
      <c r="V95" s="103">
        <f t="shared" si="1936"/>
        <v>452667.75999999995</v>
      </c>
      <c r="W95" s="106">
        <f t="shared" si="1936"/>
        <v>0</v>
      </c>
      <c r="X95" s="104">
        <f t="shared" si="1936"/>
        <v>452667.75999999995</v>
      </c>
      <c r="Y95" s="107"/>
      <c r="Z95" s="108"/>
      <c r="AA95" s="109"/>
      <c r="AB95" s="108"/>
      <c r="AC95" s="110"/>
      <c r="AD95" s="109"/>
      <c r="AE95" s="108"/>
      <c r="AF95" s="110"/>
      <c r="AG95" s="109"/>
      <c r="AH95" s="108"/>
      <c r="AI95" s="110"/>
      <c r="AJ95" s="109"/>
      <c r="AK95" s="108"/>
      <c r="AL95" s="111"/>
      <c r="AM95" s="104">
        <f t="shared" ref="AM95:AY95" si="1937">SUM(AM83:AM94)</f>
        <v>0</v>
      </c>
      <c r="AN95" s="102">
        <f t="shared" si="1937"/>
        <v>25000</v>
      </c>
      <c r="AO95" s="103">
        <f t="shared" si="1937"/>
        <v>0</v>
      </c>
      <c r="AP95" s="104">
        <f t="shared" si="1937"/>
        <v>25000</v>
      </c>
      <c r="AQ95" s="103">
        <f t="shared" si="1937"/>
        <v>0</v>
      </c>
      <c r="AR95" s="105">
        <f t="shared" si="1937"/>
        <v>0</v>
      </c>
      <c r="AS95" s="104">
        <f t="shared" si="1937"/>
        <v>0</v>
      </c>
      <c r="AT95" s="103">
        <f t="shared" si="1937"/>
        <v>2745.49</v>
      </c>
      <c r="AU95" s="105">
        <f t="shared" si="1937"/>
        <v>0</v>
      </c>
      <c r="AV95" s="104">
        <f t="shared" si="1937"/>
        <v>2745.49</v>
      </c>
      <c r="AW95" s="103">
        <f t="shared" si="1937"/>
        <v>0</v>
      </c>
      <c r="AX95" s="105">
        <f t="shared" si="1937"/>
        <v>0</v>
      </c>
      <c r="AY95" s="104">
        <f t="shared" si="1937"/>
        <v>0</v>
      </c>
      <c r="AZ95" s="103">
        <f t="shared" si="1469"/>
        <v>27745.489999999998</v>
      </c>
      <c r="BA95" s="106">
        <f>SUM(BA83:BA94)</f>
        <v>0</v>
      </c>
      <c r="BB95" s="104">
        <f t="shared" ref="BB95:BN95" si="1938">SUM(BB83:BB94)</f>
        <v>27745.489999999998</v>
      </c>
      <c r="BC95" s="102">
        <f t="shared" si="1938"/>
        <v>36900</v>
      </c>
      <c r="BD95" s="103">
        <f t="shared" si="1938"/>
        <v>0</v>
      </c>
      <c r="BE95" s="104">
        <f t="shared" si="1938"/>
        <v>36900</v>
      </c>
      <c r="BF95" s="103">
        <f t="shared" si="1938"/>
        <v>0</v>
      </c>
      <c r="BG95" s="105">
        <f t="shared" si="1938"/>
        <v>0</v>
      </c>
      <c r="BH95" s="104">
        <f t="shared" si="1938"/>
        <v>0</v>
      </c>
      <c r="BI95" s="103">
        <f t="shared" si="1938"/>
        <v>8000</v>
      </c>
      <c r="BJ95" s="105">
        <f t="shared" si="1938"/>
        <v>0</v>
      </c>
      <c r="BK95" s="104">
        <f t="shared" si="1938"/>
        <v>8000</v>
      </c>
      <c r="BL95" s="103">
        <f t="shared" si="1938"/>
        <v>1200</v>
      </c>
      <c r="BM95" s="105">
        <f t="shared" si="1938"/>
        <v>0</v>
      </c>
      <c r="BN95" s="104">
        <f t="shared" si="1938"/>
        <v>1200</v>
      </c>
      <c r="BO95" s="103">
        <f t="shared" si="1476"/>
        <v>46100</v>
      </c>
      <c r="BP95" s="106">
        <f>SUM(BP83:BP94)</f>
        <v>0</v>
      </c>
      <c r="BQ95" s="104">
        <f>SUM(BQ83:BQ94)</f>
        <v>46100</v>
      </c>
      <c r="BR95" s="107"/>
      <c r="BS95" s="108"/>
      <c r="BT95" s="109"/>
      <c r="BU95" s="108"/>
      <c r="BV95" s="110"/>
      <c r="BW95" s="109"/>
      <c r="BX95" s="108"/>
      <c r="BY95" s="110"/>
      <c r="BZ95" s="109"/>
      <c r="CA95" s="108"/>
      <c r="CB95" s="110"/>
      <c r="CC95" s="109"/>
      <c r="CD95" s="108"/>
      <c r="CE95" s="111"/>
      <c r="CF95" s="104">
        <f t="shared" ref="CF95:CR95" si="1939">SUM(CF83:CF94)</f>
        <v>0</v>
      </c>
      <c r="CG95" s="102">
        <f t="shared" si="1939"/>
        <v>20000</v>
      </c>
      <c r="CH95" s="103">
        <f t="shared" si="1939"/>
        <v>0</v>
      </c>
      <c r="CI95" s="104">
        <f t="shared" si="1939"/>
        <v>20000</v>
      </c>
      <c r="CJ95" s="103">
        <f t="shared" si="1939"/>
        <v>0</v>
      </c>
      <c r="CK95" s="105">
        <f t="shared" si="1939"/>
        <v>0</v>
      </c>
      <c r="CL95" s="104">
        <f t="shared" si="1939"/>
        <v>0</v>
      </c>
      <c r="CM95" s="103">
        <f t="shared" si="1939"/>
        <v>2739.5</v>
      </c>
      <c r="CN95" s="105">
        <f t="shared" si="1939"/>
        <v>0</v>
      </c>
      <c r="CO95" s="104">
        <f t="shared" si="1939"/>
        <v>2739.5</v>
      </c>
      <c r="CP95" s="103">
        <f t="shared" si="1939"/>
        <v>0</v>
      </c>
      <c r="CQ95" s="105">
        <f t="shared" si="1939"/>
        <v>0</v>
      </c>
      <c r="CR95" s="104">
        <f t="shared" si="1939"/>
        <v>0</v>
      </c>
      <c r="CS95" s="103">
        <f t="shared" si="1484"/>
        <v>22739.5</v>
      </c>
      <c r="CT95" s="106">
        <f>SUM(CT83:CT94)</f>
        <v>0</v>
      </c>
      <c r="CU95" s="104">
        <f t="shared" ref="CU95:DG95" si="1940">SUM(CU83:CU94)</f>
        <v>22739.5</v>
      </c>
      <c r="CV95" s="102">
        <f t="shared" si="1940"/>
        <v>35000.400000000001</v>
      </c>
      <c r="CW95" s="103">
        <f t="shared" si="1940"/>
        <v>0</v>
      </c>
      <c r="CX95" s="104">
        <f t="shared" si="1940"/>
        <v>35000.400000000001</v>
      </c>
      <c r="CY95" s="103">
        <f t="shared" si="1940"/>
        <v>5149.7999999999993</v>
      </c>
      <c r="CZ95" s="105">
        <f t="shared" si="1940"/>
        <v>0</v>
      </c>
      <c r="DA95" s="104">
        <f t="shared" si="1940"/>
        <v>5149.7999999999993</v>
      </c>
      <c r="DB95" s="103">
        <f t="shared" si="1940"/>
        <v>3000</v>
      </c>
      <c r="DC95" s="105">
        <f t="shared" si="1940"/>
        <v>0</v>
      </c>
      <c r="DD95" s="104">
        <f t="shared" si="1940"/>
        <v>3000</v>
      </c>
      <c r="DE95" s="103">
        <f t="shared" si="1940"/>
        <v>0</v>
      </c>
      <c r="DF95" s="105">
        <f t="shared" si="1940"/>
        <v>0</v>
      </c>
      <c r="DG95" s="104">
        <f t="shared" si="1940"/>
        <v>0</v>
      </c>
      <c r="DH95" s="103">
        <f t="shared" si="1491"/>
        <v>43150.2</v>
      </c>
      <c r="DI95" s="106">
        <f>SUM(DI83:DI94)</f>
        <v>0</v>
      </c>
      <c r="DJ95" s="104">
        <f t="shared" ref="DJ95:DV95" si="1941">SUM(DJ83:DJ94)</f>
        <v>43150.19999999999</v>
      </c>
      <c r="DK95" s="102">
        <f t="shared" si="1941"/>
        <v>28800</v>
      </c>
      <c r="DL95" s="103">
        <f t="shared" si="1941"/>
        <v>0</v>
      </c>
      <c r="DM95" s="104">
        <f t="shared" si="1941"/>
        <v>28800</v>
      </c>
      <c r="DN95" s="103">
        <f t="shared" si="1941"/>
        <v>10956.960000000001</v>
      </c>
      <c r="DO95" s="105">
        <f t="shared" si="1941"/>
        <v>0</v>
      </c>
      <c r="DP95" s="104">
        <f t="shared" si="1941"/>
        <v>10956.960000000001</v>
      </c>
      <c r="DQ95" s="103">
        <f t="shared" si="1941"/>
        <v>0</v>
      </c>
      <c r="DR95" s="105">
        <f t="shared" si="1941"/>
        <v>0</v>
      </c>
      <c r="DS95" s="104">
        <f t="shared" si="1941"/>
        <v>0</v>
      </c>
      <c r="DT95" s="103">
        <f t="shared" si="1941"/>
        <v>1200</v>
      </c>
      <c r="DU95" s="105">
        <f t="shared" si="1941"/>
        <v>0</v>
      </c>
      <c r="DV95" s="104">
        <f t="shared" si="1941"/>
        <v>1200</v>
      </c>
      <c r="DW95" s="103">
        <f t="shared" si="1498"/>
        <v>40956.959999999999</v>
      </c>
      <c r="DX95" s="106">
        <f>SUM(DX83:DX94)</f>
        <v>0</v>
      </c>
      <c r="DY95" s="104">
        <f t="shared" ref="DY95:EK95" si="1942">SUM(DY83:DY94)</f>
        <v>40956.960000000014</v>
      </c>
      <c r="DZ95" s="102">
        <f t="shared" si="1942"/>
        <v>24000</v>
      </c>
      <c r="EA95" s="103">
        <f t="shared" si="1942"/>
        <v>0</v>
      </c>
      <c r="EB95" s="104">
        <f t="shared" si="1942"/>
        <v>24000</v>
      </c>
      <c r="EC95" s="103">
        <f t="shared" si="1942"/>
        <v>0</v>
      </c>
      <c r="ED95" s="105">
        <f t="shared" si="1942"/>
        <v>0</v>
      </c>
      <c r="EE95" s="104">
        <f t="shared" si="1942"/>
        <v>0</v>
      </c>
      <c r="EF95" s="103">
        <f t="shared" si="1942"/>
        <v>0</v>
      </c>
      <c r="EG95" s="105">
        <f t="shared" si="1942"/>
        <v>0</v>
      </c>
      <c r="EH95" s="104">
        <f t="shared" si="1942"/>
        <v>0</v>
      </c>
      <c r="EI95" s="103">
        <f t="shared" si="1942"/>
        <v>1200</v>
      </c>
      <c r="EJ95" s="105">
        <f t="shared" si="1942"/>
        <v>0</v>
      </c>
      <c r="EK95" s="104">
        <f t="shared" si="1942"/>
        <v>1200</v>
      </c>
      <c r="EL95" s="103">
        <f t="shared" si="1505"/>
        <v>25200</v>
      </c>
      <c r="EM95" s="106">
        <f>SUM(EM83:EM94)</f>
        <v>0</v>
      </c>
      <c r="EN95" s="104">
        <f t="shared" ref="EN95:EZ95" si="1943">SUM(EN83:EN94)</f>
        <v>25200</v>
      </c>
      <c r="EO95" s="102">
        <f t="shared" si="1943"/>
        <v>36900</v>
      </c>
      <c r="EP95" s="103">
        <f t="shared" si="1943"/>
        <v>0</v>
      </c>
      <c r="EQ95" s="104">
        <f t="shared" si="1943"/>
        <v>36900</v>
      </c>
      <c r="ER95" s="103">
        <f t="shared" si="1943"/>
        <v>3600</v>
      </c>
      <c r="ES95" s="105">
        <f t="shared" si="1943"/>
        <v>0</v>
      </c>
      <c r="ET95" s="104">
        <f t="shared" si="1943"/>
        <v>3600</v>
      </c>
      <c r="EU95" s="103">
        <f t="shared" si="1943"/>
        <v>4500</v>
      </c>
      <c r="EV95" s="105">
        <f t="shared" si="1943"/>
        <v>0</v>
      </c>
      <c r="EW95" s="104">
        <f t="shared" si="1943"/>
        <v>4500</v>
      </c>
      <c r="EX95" s="103">
        <f t="shared" si="1943"/>
        <v>1200</v>
      </c>
      <c r="EY95" s="105">
        <f t="shared" si="1943"/>
        <v>0</v>
      </c>
      <c r="EZ95" s="104">
        <f t="shared" si="1943"/>
        <v>1200</v>
      </c>
      <c r="FA95" s="103">
        <f t="shared" si="1512"/>
        <v>46200</v>
      </c>
      <c r="FB95" s="106">
        <f>SUM(FB83:FB94)</f>
        <v>0</v>
      </c>
      <c r="FC95" s="104">
        <f t="shared" ref="FC95:FO95" si="1944">SUM(FC83:FC94)</f>
        <v>46200</v>
      </c>
      <c r="FD95" s="102">
        <f t="shared" si="1944"/>
        <v>36900</v>
      </c>
      <c r="FE95" s="103">
        <f t="shared" si="1944"/>
        <v>0</v>
      </c>
      <c r="FF95" s="104">
        <f t="shared" si="1944"/>
        <v>36900</v>
      </c>
      <c r="FG95" s="103">
        <f t="shared" si="1944"/>
        <v>3600</v>
      </c>
      <c r="FH95" s="105">
        <f t="shared" si="1944"/>
        <v>0</v>
      </c>
      <c r="FI95" s="104">
        <f t="shared" si="1944"/>
        <v>3600</v>
      </c>
      <c r="FJ95" s="103">
        <f t="shared" si="1944"/>
        <v>4500</v>
      </c>
      <c r="FK95" s="105">
        <f t="shared" si="1944"/>
        <v>0</v>
      </c>
      <c r="FL95" s="104">
        <f t="shared" si="1944"/>
        <v>4500</v>
      </c>
      <c r="FM95" s="103">
        <f t="shared" si="1944"/>
        <v>1200</v>
      </c>
      <c r="FN95" s="105">
        <f t="shared" si="1944"/>
        <v>0</v>
      </c>
      <c r="FO95" s="104">
        <f t="shared" si="1944"/>
        <v>1200</v>
      </c>
      <c r="FP95" s="103">
        <f t="shared" si="1519"/>
        <v>46200</v>
      </c>
      <c r="FQ95" s="106">
        <f>SUM(FQ83:FQ94)</f>
        <v>0</v>
      </c>
      <c r="FR95" s="104">
        <f t="shared" ref="FR95:GD95" si="1945">SUM(FR83:FR94)</f>
        <v>46200</v>
      </c>
      <c r="FS95" s="102">
        <f t="shared" si="1945"/>
        <v>18000</v>
      </c>
      <c r="FT95" s="103">
        <f t="shared" si="1945"/>
        <v>0</v>
      </c>
      <c r="FU95" s="104">
        <f t="shared" si="1945"/>
        <v>18000</v>
      </c>
      <c r="FV95" s="103">
        <f t="shared" si="1945"/>
        <v>5824.2000000000007</v>
      </c>
      <c r="FW95" s="105">
        <f t="shared" si="1945"/>
        <v>0</v>
      </c>
      <c r="FX95" s="104">
        <f t="shared" si="1945"/>
        <v>5824.2000000000007</v>
      </c>
      <c r="FY95" s="103">
        <f t="shared" si="1945"/>
        <v>3650</v>
      </c>
      <c r="FZ95" s="105">
        <f t="shared" si="1945"/>
        <v>0</v>
      </c>
      <c r="GA95" s="104">
        <f t="shared" si="1945"/>
        <v>3650</v>
      </c>
      <c r="GB95" s="103">
        <f t="shared" si="1945"/>
        <v>0</v>
      </c>
      <c r="GC95" s="105">
        <f t="shared" si="1945"/>
        <v>0</v>
      </c>
      <c r="GD95" s="104">
        <f t="shared" si="1945"/>
        <v>0</v>
      </c>
      <c r="GE95" s="103">
        <f t="shared" si="1526"/>
        <v>27474.2</v>
      </c>
      <c r="GF95" s="106">
        <f>SUM(GF83:GF94)</f>
        <v>0</v>
      </c>
      <c r="GG95" s="104">
        <f t="shared" ref="GG95:GS95" si="1946">SUM(GG83:GG94)</f>
        <v>27474.199999999993</v>
      </c>
      <c r="GH95" s="102">
        <f t="shared" si="1946"/>
        <v>18000</v>
      </c>
      <c r="GI95" s="103">
        <f t="shared" si="1946"/>
        <v>0</v>
      </c>
      <c r="GJ95" s="104">
        <f t="shared" si="1946"/>
        <v>18000</v>
      </c>
      <c r="GK95" s="103">
        <f t="shared" si="1946"/>
        <v>7923.96</v>
      </c>
      <c r="GL95" s="105">
        <f t="shared" si="1946"/>
        <v>0</v>
      </c>
      <c r="GM95" s="104">
        <f t="shared" si="1946"/>
        <v>7923.96</v>
      </c>
      <c r="GN95" s="103">
        <f t="shared" si="1946"/>
        <v>3650</v>
      </c>
      <c r="GO95" s="105">
        <f t="shared" si="1946"/>
        <v>0</v>
      </c>
      <c r="GP95" s="104">
        <f t="shared" si="1946"/>
        <v>3650</v>
      </c>
      <c r="GQ95" s="103">
        <f t="shared" si="1946"/>
        <v>0</v>
      </c>
      <c r="GR95" s="105">
        <f t="shared" si="1946"/>
        <v>0</v>
      </c>
      <c r="GS95" s="104">
        <f t="shared" si="1946"/>
        <v>0</v>
      </c>
      <c r="GT95" s="103">
        <f t="shared" si="1533"/>
        <v>29573.96</v>
      </c>
      <c r="GU95" s="106">
        <f>SUM(GU83:GU94)</f>
        <v>0</v>
      </c>
      <c r="GV95" s="104">
        <f t="shared" ref="GV95:HH95" si="1947">SUM(GV83:GV94)</f>
        <v>29573.96000000001</v>
      </c>
      <c r="GW95" s="102">
        <f t="shared" si="1947"/>
        <v>26700</v>
      </c>
      <c r="GX95" s="103">
        <f t="shared" si="1947"/>
        <v>0</v>
      </c>
      <c r="GY95" s="104">
        <f t="shared" si="1947"/>
        <v>26700</v>
      </c>
      <c r="GZ95" s="103">
        <f t="shared" si="1947"/>
        <v>6819</v>
      </c>
      <c r="HA95" s="105">
        <f t="shared" si="1947"/>
        <v>0</v>
      </c>
      <c r="HB95" s="104">
        <f t="shared" si="1947"/>
        <v>6819</v>
      </c>
      <c r="HC95" s="103">
        <f t="shared" si="1947"/>
        <v>0</v>
      </c>
      <c r="HD95" s="105">
        <f t="shared" si="1947"/>
        <v>0</v>
      </c>
      <c r="HE95" s="104">
        <f t="shared" si="1947"/>
        <v>0</v>
      </c>
      <c r="HF95" s="103">
        <f t="shared" si="1947"/>
        <v>1200</v>
      </c>
      <c r="HG95" s="105">
        <f t="shared" si="1947"/>
        <v>0</v>
      </c>
      <c r="HH95" s="104">
        <f t="shared" si="1947"/>
        <v>1200</v>
      </c>
      <c r="HI95" s="103">
        <f t="shared" si="1540"/>
        <v>34719</v>
      </c>
      <c r="HJ95" s="106">
        <f>SUM(HJ83:HJ94)</f>
        <v>0</v>
      </c>
      <c r="HK95" s="104">
        <f t="shared" ref="HK95:HW95" si="1948">SUM(HK83:HK94)</f>
        <v>34719</v>
      </c>
      <c r="HL95" s="102">
        <f t="shared" si="1948"/>
        <v>36900</v>
      </c>
      <c r="HM95" s="103">
        <f t="shared" si="1948"/>
        <v>0</v>
      </c>
      <c r="HN95" s="104">
        <f t="shared" si="1948"/>
        <v>36900</v>
      </c>
      <c r="HO95" s="103">
        <f t="shared" si="1948"/>
        <v>4400</v>
      </c>
      <c r="HP95" s="105">
        <f t="shared" si="1948"/>
        <v>0</v>
      </c>
      <c r="HQ95" s="104">
        <f t="shared" si="1948"/>
        <v>4400</v>
      </c>
      <c r="HR95" s="103">
        <f t="shared" si="1948"/>
        <v>4800</v>
      </c>
      <c r="HS95" s="105">
        <f t="shared" si="1948"/>
        <v>0</v>
      </c>
      <c r="HT95" s="104">
        <f t="shared" si="1948"/>
        <v>4800</v>
      </c>
      <c r="HU95" s="103">
        <f t="shared" si="1948"/>
        <v>1200</v>
      </c>
      <c r="HV95" s="105">
        <f t="shared" si="1948"/>
        <v>0</v>
      </c>
      <c r="HW95" s="104">
        <f t="shared" si="1948"/>
        <v>1200</v>
      </c>
      <c r="HX95" s="103">
        <f t="shared" si="1547"/>
        <v>47300</v>
      </c>
      <c r="HY95" s="106">
        <f>SUM(HY83:HY94)</f>
        <v>0</v>
      </c>
      <c r="HZ95" s="104">
        <f t="shared" ref="HZ95:IL95" si="1949">SUM(HZ83:HZ94)</f>
        <v>47300</v>
      </c>
      <c r="IA95" s="102">
        <f t="shared" si="1949"/>
        <v>19729</v>
      </c>
      <c r="IB95" s="103">
        <f t="shared" si="1949"/>
        <v>0</v>
      </c>
      <c r="IC95" s="104">
        <f t="shared" si="1949"/>
        <v>19729</v>
      </c>
      <c r="ID95" s="103">
        <f t="shared" si="1949"/>
        <v>0</v>
      </c>
      <c r="IE95" s="105">
        <f t="shared" si="1949"/>
        <v>0</v>
      </c>
      <c r="IF95" s="104">
        <f t="shared" si="1949"/>
        <v>0</v>
      </c>
      <c r="IG95" s="103">
        <f t="shared" si="1949"/>
        <v>9701.0400000000009</v>
      </c>
      <c r="IH95" s="105">
        <f t="shared" si="1949"/>
        <v>0</v>
      </c>
      <c r="II95" s="104">
        <f t="shared" si="1949"/>
        <v>9701.0400000000009</v>
      </c>
      <c r="IJ95" s="103">
        <f t="shared" si="1949"/>
        <v>1200</v>
      </c>
      <c r="IK95" s="105">
        <f t="shared" si="1949"/>
        <v>0</v>
      </c>
      <c r="IL95" s="104">
        <f t="shared" si="1949"/>
        <v>1200</v>
      </c>
      <c r="IM95" s="103">
        <f t="shared" si="1554"/>
        <v>30630.04</v>
      </c>
      <c r="IN95" s="106">
        <f>SUM(IN83:IN94)</f>
        <v>0</v>
      </c>
      <c r="IO95" s="104">
        <f t="shared" ref="IO95:JA95" si="1950">SUM(IO83:IO94)</f>
        <v>30630.04</v>
      </c>
      <c r="IP95" s="102">
        <f t="shared" si="1950"/>
        <v>20000</v>
      </c>
      <c r="IQ95" s="103">
        <f t="shared" si="1950"/>
        <v>0</v>
      </c>
      <c r="IR95" s="104">
        <f t="shared" si="1950"/>
        <v>20000</v>
      </c>
      <c r="IS95" s="103">
        <f t="shared" si="1950"/>
        <v>0</v>
      </c>
      <c r="IT95" s="105">
        <f t="shared" si="1950"/>
        <v>0</v>
      </c>
      <c r="IU95" s="104">
        <f t="shared" si="1950"/>
        <v>0</v>
      </c>
      <c r="IV95" s="103">
        <f t="shared" si="1950"/>
        <v>2739.5</v>
      </c>
      <c r="IW95" s="105">
        <f t="shared" si="1950"/>
        <v>0</v>
      </c>
      <c r="IX95" s="104">
        <f t="shared" si="1950"/>
        <v>2739.5</v>
      </c>
      <c r="IY95" s="103">
        <f t="shared" si="1950"/>
        <v>0</v>
      </c>
      <c r="IZ95" s="105">
        <f t="shared" si="1950"/>
        <v>0</v>
      </c>
      <c r="JA95" s="104">
        <f t="shared" si="1950"/>
        <v>0</v>
      </c>
      <c r="JB95" s="103">
        <f t="shared" si="1561"/>
        <v>22739.5</v>
      </c>
      <c r="JC95" s="106">
        <f>SUM(JC83:JC94)</f>
        <v>0</v>
      </c>
      <c r="JD95" s="104">
        <f>SUM(JD83:JD94)</f>
        <v>22739.5</v>
      </c>
      <c r="JE95" s="107"/>
      <c r="JF95" s="108"/>
      <c r="JG95" s="109"/>
      <c r="JH95" s="108"/>
      <c r="JI95" s="110"/>
      <c r="JJ95" s="109"/>
      <c r="JK95" s="108"/>
      <c r="JL95" s="110"/>
      <c r="JM95" s="109"/>
      <c r="JN95" s="108"/>
      <c r="JO95" s="110"/>
      <c r="JP95" s="109"/>
      <c r="JQ95" s="108"/>
      <c r="JR95" s="111"/>
      <c r="JS95" s="109"/>
      <c r="JT95" s="107"/>
      <c r="JU95" s="108"/>
      <c r="JV95" s="109"/>
      <c r="JW95" s="108"/>
      <c r="JX95" s="110"/>
      <c r="JY95" s="109"/>
      <c r="JZ95" s="108"/>
      <c r="KA95" s="110"/>
      <c r="KB95" s="109"/>
      <c r="KC95" s="108"/>
      <c r="KD95" s="110"/>
      <c r="KE95" s="109"/>
      <c r="KF95" s="108"/>
      <c r="KG95" s="111"/>
      <c r="KH95" s="104">
        <f t="shared" ref="KH95:KT95" si="1951">SUM(KH83:KH94)</f>
        <v>0</v>
      </c>
      <c r="KI95" s="102">
        <f t="shared" si="1951"/>
        <v>100000</v>
      </c>
      <c r="KJ95" s="103">
        <f t="shared" si="1951"/>
        <v>0</v>
      </c>
      <c r="KK95" s="104">
        <f t="shared" si="1951"/>
        <v>100000</v>
      </c>
      <c r="KL95" s="103">
        <f t="shared" si="1951"/>
        <v>0</v>
      </c>
      <c r="KM95" s="105">
        <f t="shared" si="1951"/>
        <v>0</v>
      </c>
      <c r="KN95" s="104">
        <f t="shared" si="1951"/>
        <v>0</v>
      </c>
      <c r="KO95" s="103">
        <f t="shared" si="1951"/>
        <v>0</v>
      </c>
      <c r="KP95" s="105">
        <f t="shared" si="1951"/>
        <v>0</v>
      </c>
      <c r="KQ95" s="104">
        <f t="shared" si="1951"/>
        <v>0</v>
      </c>
      <c r="KR95" s="103">
        <f t="shared" si="1951"/>
        <v>0</v>
      </c>
      <c r="KS95" s="105">
        <f t="shared" si="1951"/>
        <v>0</v>
      </c>
      <c r="KT95" s="104">
        <f t="shared" si="1951"/>
        <v>0</v>
      </c>
      <c r="KU95" s="103">
        <f t="shared" si="1439"/>
        <v>100000</v>
      </c>
      <c r="KV95" s="106">
        <f>SUM(KV83:KV94)</f>
        <v>0</v>
      </c>
      <c r="KW95" s="104">
        <f>SUM(KW83:KW94)</f>
        <v>100000</v>
      </c>
      <c r="KX95" s="122"/>
      <c r="KY95" s="123"/>
      <c r="KZ95" s="124"/>
      <c r="LA95" s="123"/>
      <c r="LB95" s="125"/>
      <c r="LC95" s="124"/>
      <c r="LD95" s="123"/>
      <c r="LE95" s="125"/>
      <c r="LF95" s="124"/>
      <c r="LG95" s="123"/>
      <c r="LH95" s="125"/>
      <c r="LI95" s="109"/>
      <c r="LJ95" s="108"/>
      <c r="LK95" s="111"/>
      <c r="LL95" s="109"/>
      <c r="LM95" s="102">
        <f t="shared" ref="LM95:LX95" si="1952">SUM(LM83:LM94)</f>
        <v>18600</v>
      </c>
      <c r="LN95" s="103">
        <f t="shared" si="1952"/>
        <v>0</v>
      </c>
      <c r="LO95" s="104">
        <f t="shared" si="1952"/>
        <v>18600</v>
      </c>
      <c r="LP95" s="103">
        <f t="shared" si="1952"/>
        <v>0</v>
      </c>
      <c r="LQ95" s="105">
        <f t="shared" si="1952"/>
        <v>0</v>
      </c>
      <c r="LR95" s="104">
        <f t="shared" si="1952"/>
        <v>0</v>
      </c>
      <c r="LS95" s="103">
        <f t="shared" si="1952"/>
        <v>0</v>
      </c>
      <c r="LT95" s="105">
        <f t="shared" si="1952"/>
        <v>0</v>
      </c>
      <c r="LU95" s="104">
        <f t="shared" si="1952"/>
        <v>0</v>
      </c>
      <c r="LV95" s="103">
        <f t="shared" si="1952"/>
        <v>1200</v>
      </c>
      <c r="LW95" s="105">
        <f t="shared" si="1952"/>
        <v>0</v>
      </c>
      <c r="LX95" s="104">
        <f t="shared" si="1952"/>
        <v>1200</v>
      </c>
      <c r="LY95" s="103">
        <f t="shared" si="1575"/>
        <v>19800</v>
      </c>
      <c r="LZ95" s="106">
        <f>SUM(LZ83:LZ94)</f>
        <v>0</v>
      </c>
      <c r="MA95" s="104">
        <f t="shared" ref="MA95:MM95" si="1953">SUM(MA83:MA94)</f>
        <v>19800</v>
      </c>
      <c r="MB95" s="102">
        <f t="shared" si="1953"/>
        <v>7800</v>
      </c>
      <c r="MC95" s="103">
        <f t="shared" si="1953"/>
        <v>0</v>
      </c>
      <c r="MD95" s="104">
        <f t="shared" si="1953"/>
        <v>7800</v>
      </c>
      <c r="ME95" s="103">
        <f t="shared" si="1953"/>
        <v>10669.32</v>
      </c>
      <c r="MF95" s="105">
        <f t="shared" si="1953"/>
        <v>0</v>
      </c>
      <c r="MG95" s="104">
        <f t="shared" si="1953"/>
        <v>10669.32</v>
      </c>
      <c r="MH95" s="103">
        <f t="shared" si="1953"/>
        <v>0</v>
      </c>
      <c r="MI95" s="105">
        <f t="shared" si="1953"/>
        <v>0</v>
      </c>
      <c r="MJ95" s="104">
        <f t="shared" si="1953"/>
        <v>0</v>
      </c>
      <c r="MK95" s="103">
        <f t="shared" si="1953"/>
        <v>1200</v>
      </c>
      <c r="ML95" s="105">
        <f t="shared" si="1953"/>
        <v>0</v>
      </c>
      <c r="MM95" s="104">
        <f t="shared" si="1953"/>
        <v>1200</v>
      </c>
      <c r="MN95" s="103">
        <f t="shared" si="1582"/>
        <v>19669.32</v>
      </c>
      <c r="MO95" s="106">
        <f>SUM(MO83:MO94)</f>
        <v>0</v>
      </c>
      <c r="MP95" s="104">
        <f t="shared" ref="MP95:NB95" si="1954">SUM(MP83:MP94)</f>
        <v>19669.320000000003</v>
      </c>
      <c r="MQ95" s="102">
        <f t="shared" si="1954"/>
        <v>18200</v>
      </c>
      <c r="MR95" s="103">
        <f t="shared" si="1954"/>
        <v>0</v>
      </c>
      <c r="MS95" s="104">
        <f t="shared" si="1954"/>
        <v>18200</v>
      </c>
      <c r="MT95" s="103">
        <f t="shared" si="1954"/>
        <v>0</v>
      </c>
      <c r="MU95" s="105">
        <f t="shared" si="1954"/>
        <v>0</v>
      </c>
      <c r="MV95" s="104">
        <f t="shared" si="1954"/>
        <v>0</v>
      </c>
      <c r="MW95" s="103">
        <f t="shared" si="1954"/>
        <v>0</v>
      </c>
      <c r="MX95" s="105">
        <f t="shared" si="1954"/>
        <v>0</v>
      </c>
      <c r="MY95" s="104">
        <f t="shared" si="1954"/>
        <v>0</v>
      </c>
      <c r="MZ95" s="103">
        <f t="shared" si="1954"/>
        <v>0</v>
      </c>
      <c r="NA95" s="105">
        <f t="shared" si="1954"/>
        <v>0</v>
      </c>
      <c r="NB95" s="104">
        <f t="shared" si="1954"/>
        <v>0</v>
      </c>
      <c r="NC95" s="103">
        <f t="shared" si="1589"/>
        <v>18200</v>
      </c>
      <c r="ND95" s="106">
        <f>SUM(ND83:ND94)</f>
        <v>0</v>
      </c>
      <c r="NE95" s="104">
        <f t="shared" ref="NE95:NQ95" si="1955">SUM(NE83:NE94)</f>
        <v>18200</v>
      </c>
      <c r="NF95" s="102">
        <f t="shared" si="1955"/>
        <v>12000</v>
      </c>
      <c r="NG95" s="103">
        <f t="shared" si="1955"/>
        <v>0</v>
      </c>
      <c r="NH95" s="104">
        <f t="shared" si="1955"/>
        <v>12000</v>
      </c>
      <c r="NI95" s="103">
        <f t="shared" si="1955"/>
        <v>13968.480000000003</v>
      </c>
      <c r="NJ95" s="105">
        <f t="shared" si="1955"/>
        <v>0</v>
      </c>
      <c r="NK95" s="104">
        <f t="shared" si="1955"/>
        <v>13968.480000000003</v>
      </c>
      <c r="NL95" s="103">
        <f t="shared" si="1955"/>
        <v>0</v>
      </c>
      <c r="NM95" s="105">
        <f t="shared" si="1955"/>
        <v>0</v>
      </c>
      <c r="NN95" s="104">
        <f t="shared" si="1955"/>
        <v>0</v>
      </c>
      <c r="NO95" s="103">
        <f t="shared" si="1955"/>
        <v>1200</v>
      </c>
      <c r="NP95" s="105">
        <f t="shared" si="1955"/>
        <v>0</v>
      </c>
      <c r="NQ95" s="104">
        <f t="shared" si="1955"/>
        <v>1200</v>
      </c>
      <c r="NR95" s="103">
        <f t="shared" si="1596"/>
        <v>27168.480000000003</v>
      </c>
      <c r="NS95" s="106">
        <f>SUM(NS83:NS94)</f>
        <v>0</v>
      </c>
      <c r="NT95" s="104">
        <f t="shared" ref="NT95:OF95" si="1956">SUM(NT83:NT94)</f>
        <v>27168.480000000003</v>
      </c>
      <c r="NU95" s="102">
        <f t="shared" si="1956"/>
        <v>10368</v>
      </c>
      <c r="NV95" s="103">
        <f t="shared" si="1956"/>
        <v>0</v>
      </c>
      <c r="NW95" s="104">
        <f t="shared" si="1956"/>
        <v>10368</v>
      </c>
      <c r="NX95" s="103">
        <f t="shared" si="1956"/>
        <v>13832.759999999997</v>
      </c>
      <c r="NY95" s="105">
        <f t="shared" si="1956"/>
        <v>0</v>
      </c>
      <c r="NZ95" s="104">
        <f t="shared" si="1956"/>
        <v>13832.759999999997</v>
      </c>
      <c r="OA95" s="103">
        <f t="shared" si="1956"/>
        <v>884.31</v>
      </c>
      <c r="OB95" s="105">
        <f t="shared" si="1956"/>
        <v>0</v>
      </c>
      <c r="OC95" s="104">
        <f t="shared" si="1956"/>
        <v>884.31</v>
      </c>
      <c r="OD95" s="103">
        <f t="shared" si="1956"/>
        <v>1200</v>
      </c>
      <c r="OE95" s="105">
        <f t="shared" si="1956"/>
        <v>0</v>
      </c>
      <c r="OF95" s="104">
        <f t="shared" si="1956"/>
        <v>1200</v>
      </c>
      <c r="OG95" s="103">
        <f t="shared" si="1603"/>
        <v>26285.069999999996</v>
      </c>
      <c r="OH95" s="106">
        <f>SUM(OH83:OH94)</f>
        <v>0</v>
      </c>
      <c r="OI95" s="104">
        <f t="shared" ref="OI95:OU95" si="1957">SUM(OI83:OI94)</f>
        <v>26285.069999999996</v>
      </c>
      <c r="OJ95" s="102">
        <f t="shared" si="1957"/>
        <v>17500</v>
      </c>
      <c r="OK95" s="103">
        <f t="shared" si="1957"/>
        <v>0</v>
      </c>
      <c r="OL95" s="104">
        <f t="shared" si="1957"/>
        <v>17500</v>
      </c>
      <c r="OM95" s="103">
        <f t="shared" si="1957"/>
        <v>0</v>
      </c>
      <c r="ON95" s="105">
        <f t="shared" si="1957"/>
        <v>0</v>
      </c>
      <c r="OO95" s="104">
        <f t="shared" si="1957"/>
        <v>0</v>
      </c>
      <c r="OP95" s="103">
        <f t="shared" si="1957"/>
        <v>1200</v>
      </c>
      <c r="OQ95" s="105">
        <f t="shared" si="1957"/>
        <v>0</v>
      </c>
      <c r="OR95" s="104">
        <f t="shared" si="1957"/>
        <v>1200</v>
      </c>
      <c r="OS95" s="103">
        <f t="shared" si="1957"/>
        <v>1200</v>
      </c>
      <c r="OT95" s="105">
        <f t="shared" si="1957"/>
        <v>0</v>
      </c>
      <c r="OU95" s="104">
        <f t="shared" si="1957"/>
        <v>1200</v>
      </c>
      <c r="OV95" s="103">
        <f t="shared" si="1610"/>
        <v>19900</v>
      </c>
      <c r="OW95" s="106">
        <f>SUM(OW83:OW94)</f>
        <v>0</v>
      </c>
      <c r="OX95" s="104">
        <f t="shared" ref="OX95:PJ95" si="1958">SUM(OX83:OX94)</f>
        <v>19900</v>
      </c>
      <c r="OY95" s="102">
        <f t="shared" si="1958"/>
        <v>15800</v>
      </c>
      <c r="OZ95" s="103">
        <f t="shared" si="1958"/>
        <v>0</v>
      </c>
      <c r="PA95" s="104">
        <f t="shared" si="1958"/>
        <v>15800</v>
      </c>
      <c r="PB95" s="103">
        <f t="shared" si="1958"/>
        <v>600</v>
      </c>
      <c r="PC95" s="105">
        <f t="shared" si="1958"/>
        <v>0</v>
      </c>
      <c r="PD95" s="104">
        <f t="shared" si="1958"/>
        <v>600</v>
      </c>
      <c r="PE95" s="103">
        <f t="shared" si="1958"/>
        <v>0</v>
      </c>
      <c r="PF95" s="105">
        <f t="shared" si="1958"/>
        <v>0</v>
      </c>
      <c r="PG95" s="104">
        <f t="shared" si="1958"/>
        <v>0</v>
      </c>
      <c r="PH95" s="103">
        <f t="shared" si="1958"/>
        <v>1200</v>
      </c>
      <c r="PI95" s="105">
        <f t="shared" si="1958"/>
        <v>0</v>
      </c>
      <c r="PJ95" s="104">
        <f t="shared" si="1958"/>
        <v>1200</v>
      </c>
      <c r="PK95" s="103">
        <f t="shared" si="1617"/>
        <v>17600</v>
      </c>
      <c r="PL95" s="106">
        <f>SUM(PL83:PL94)</f>
        <v>0</v>
      </c>
      <c r="PM95" s="104">
        <f t="shared" ref="PM95:PY95" si="1959">SUM(PM83:PM94)</f>
        <v>17600</v>
      </c>
      <c r="PN95" s="102">
        <f t="shared" si="1959"/>
        <v>18600</v>
      </c>
      <c r="PO95" s="103">
        <f t="shared" si="1959"/>
        <v>0</v>
      </c>
      <c r="PP95" s="104">
        <f t="shared" si="1959"/>
        <v>18600</v>
      </c>
      <c r="PQ95" s="103">
        <f t="shared" si="1959"/>
        <v>0</v>
      </c>
      <c r="PR95" s="105">
        <f t="shared" si="1959"/>
        <v>0</v>
      </c>
      <c r="PS95" s="104">
        <f t="shared" si="1959"/>
        <v>0</v>
      </c>
      <c r="PT95" s="103">
        <f t="shared" si="1959"/>
        <v>0</v>
      </c>
      <c r="PU95" s="105">
        <f t="shared" si="1959"/>
        <v>0</v>
      </c>
      <c r="PV95" s="104">
        <f t="shared" si="1959"/>
        <v>0</v>
      </c>
      <c r="PW95" s="103">
        <f t="shared" si="1959"/>
        <v>1200</v>
      </c>
      <c r="PX95" s="105">
        <f t="shared" si="1959"/>
        <v>0</v>
      </c>
      <c r="PY95" s="104">
        <f t="shared" si="1959"/>
        <v>1200</v>
      </c>
      <c r="PZ95" s="103">
        <f t="shared" si="1624"/>
        <v>19800</v>
      </c>
      <c r="QA95" s="106">
        <f>SUM(QA83:QA94)</f>
        <v>0</v>
      </c>
      <c r="QB95" s="104">
        <f t="shared" ref="QB95:QN95" si="1960">SUM(QB83:QB94)</f>
        <v>19800</v>
      </c>
      <c r="QC95" s="102">
        <f t="shared" si="1960"/>
        <v>18000</v>
      </c>
      <c r="QD95" s="103">
        <f t="shared" si="1960"/>
        <v>0</v>
      </c>
      <c r="QE95" s="104">
        <f t="shared" si="1960"/>
        <v>18000</v>
      </c>
      <c r="QF95" s="103">
        <f t="shared" si="1960"/>
        <v>0</v>
      </c>
      <c r="QG95" s="105">
        <f t="shared" si="1960"/>
        <v>0</v>
      </c>
      <c r="QH95" s="104">
        <f t="shared" si="1960"/>
        <v>0</v>
      </c>
      <c r="QI95" s="103">
        <f t="shared" si="1960"/>
        <v>0</v>
      </c>
      <c r="QJ95" s="105">
        <f t="shared" si="1960"/>
        <v>0</v>
      </c>
      <c r="QK95" s="104">
        <f t="shared" si="1960"/>
        <v>0</v>
      </c>
      <c r="QL95" s="103">
        <f t="shared" si="1960"/>
        <v>1200</v>
      </c>
      <c r="QM95" s="105">
        <f t="shared" si="1960"/>
        <v>0</v>
      </c>
      <c r="QN95" s="104">
        <f t="shared" si="1960"/>
        <v>1200</v>
      </c>
      <c r="QO95" s="103">
        <f t="shared" si="1631"/>
        <v>19200</v>
      </c>
      <c r="QP95" s="106">
        <f>SUM(QP83:QP94)</f>
        <v>0</v>
      </c>
      <c r="QQ95" s="104">
        <f>SUM(QQ83:QQ94)</f>
        <v>19200</v>
      </c>
      <c r="QR95" s="109"/>
      <c r="QS95" s="109"/>
      <c r="QT95" s="107"/>
      <c r="QU95" s="108"/>
      <c r="QV95" s="109"/>
      <c r="QW95" s="108"/>
      <c r="QX95" s="110"/>
      <c r="QY95" s="109"/>
      <c r="QZ95" s="108"/>
      <c r="RA95" s="110"/>
      <c r="RB95" s="109"/>
      <c r="RC95" s="108"/>
      <c r="RD95" s="110"/>
      <c r="RE95" s="109"/>
      <c r="RF95" s="109"/>
      <c r="RG95" s="107"/>
      <c r="RH95" s="108"/>
      <c r="RI95" s="109"/>
      <c r="RJ95" s="108"/>
      <c r="RK95" s="110"/>
      <c r="RL95" s="109"/>
      <c r="RM95" s="108"/>
      <c r="RN95" s="110"/>
      <c r="RO95" s="109"/>
      <c r="RP95" s="108"/>
      <c r="RQ95" s="110"/>
      <c r="RR95" s="109"/>
      <c r="RS95" s="108"/>
      <c r="RT95" s="111"/>
      <c r="RU95" s="109"/>
      <c r="RV95" s="109"/>
      <c r="RW95" s="107"/>
      <c r="RX95" s="108"/>
      <c r="RY95" s="109"/>
      <c r="RZ95" s="108"/>
      <c r="SA95" s="110"/>
      <c r="SB95" s="109"/>
      <c r="SC95" s="108"/>
      <c r="SD95" s="110"/>
      <c r="SE95" s="109"/>
      <c r="SF95" s="108"/>
      <c r="SG95" s="110"/>
      <c r="SH95" s="109"/>
      <c r="SI95" s="108"/>
      <c r="SJ95" s="104">
        <f t="shared" ref="SJ95:SV95" si="1961">SUM(SJ83:SJ94)</f>
        <v>0</v>
      </c>
      <c r="SK95" s="102">
        <f t="shared" si="1961"/>
        <v>17000</v>
      </c>
      <c r="SL95" s="103">
        <f t="shared" si="1961"/>
        <v>0</v>
      </c>
      <c r="SM95" s="104">
        <f t="shared" si="1961"/>
        <v>17000</v>
      </c>
      <c r="SN95" s="103">
        <f t="shared" si="1961"/>
        <v>0</v>
      </c>
      <c r="SO95" s="105">
        <f t="shared" si="1961"/>
        <v>0</v>
      </c>
      <c r="SP95" s="104">
        <f t="shared" si="1961"/>
        <v>0</v>
      </c>
      <c r="SQ95" s="103">
        <f t="shared" si="1961"/>
        <v>0</v>
      </c>
      <c r="SR95" s="105">
        <f t="shared" si="1961"/>
        <v>0</v>
      </c>
      <c r="SS95" s="104">
        <f t="shared" si="1961"/>
        <v>0</v>
      </c>
      <c r="ST95" s="103">
        <f t="shared" si="1961"/>
        <v>1200</v>
      </c>
      <c r="SU95" s="105">
        <f t="shared" si="1961"/>
        <v>0</v>
      </c>
      <c r="SV95" s="104">
        <f t="shared" si="1961"/>
        <v>1200</v>
      </c>
      <c r="SW95" s="103">
        <f t="shared" si="1639"/>
        <v>18200</v>
      </c>
      <c r="SX95" s="106">
        <f>SUM(SX83:SX94)</f>
        <v>0</v>
      </c>
      <c r="SY95" s="104">
        <f t="shared" ref="SY95:TK95" si="1962">SUM(SY83:SY94)</f>
        <v>18200</v>
      </c>
      <c r="SZ95" s="102">
        <f t="shared" si="1962"/>
        <v>11823.960000000001</v>
      </c>
      <c r="TA95" s="103">
        <f t="shared" si="1962"/>
        <v>0</v>
      </c>
      <c r="TB95" s="104">
        <f t="shared" si="1962"/>
        <v>11823.960000000001</v>
      </c>
      <c r="TC95" s="103">
        <f t="shared" si="1962"/>
        <v>8410.7999999999975</v>
      </c>
      <c r="TD95" s="105">
        <f t="shared" si="1962"/>
        <v>0</v>
      </c>
      <c r="TE95" s="104">
        <f t="shared" si="1962"/>
        <v>8410.7999999999975</v>
      </c>
      <c r="TF95" s="103">
        <f t="shared" si="1962"/>
        <v>1800</v>
      </c>
      <c r="TG95" s="105">
        <f t="shared" si="1962"/>
        <v>0</v>
      </c>
      <c r="TH95" s="104">
        <f t="shared" si="1962"/>
        <v>1800</v>
      </c>
      <c r="TI95" s="103">
        <f t="shared" si="1962"/>
        <v>1200</v>
      </c>
      <c r="TJ95" s="105">
        <f t="shared" si="1962"/>
        <v>0</v>
      </c>
      <c r="TK95" s="104">
        <f t="shared" si="1962"/>
        <v>1200</v>
      </c>
      <c r="TL95" s="103">
        <f t="shared" si="1646"/>
        <v>23234.76</v>
      </c>
      <c r="TM95" s="106">
        <f>SUM(TM83:TM94)</f>
        <v>0</v>
      </c>
      <c r="TN95" s="104">
        <f t="shared" ref="TN95:TZ95" si="1963">SUM(TN83:TN94)</f>
        <v>23234.76</v>
      </c>
      <c r="TO95" s="102">
        <f t="shared" si="1963"/>
        <v>15500</v>
      </c>
      <c r="TP95" s="103">
        <f t="shared" si="1963"/>
        <v>0</v>
      </c>
      <c r="TQ95" s="104">
        <f t="shared" si="1963"/>
        <v>15500</v>
      </c>
      <c r="TR95" s="103">
        <f t="shared" si="1963"/>
        <v>0</v>
      </c>
      <c r="TS95" s="105">
        <f t="shared" si="1963"/>
        <v>0</v>
      </c>
      <c r="TT95" s="104">
        <f t="shared" si="1963"/>
        <v>0</v>
      </c>
      <c r="TU95" s="103">
        <f t="shared" si="1963"/>
        <v>0</v>
      </c>
      <c r="TV95" s="105">
        <f t="shared" si="1963"/>
        <v>0</v>
      </c>
      <c r="TW95" s="104">
        <f t="shared" si="1963"/>
        <v>0</v>
      </c>
      <c r="TX95" s="103">
        <f t="shared" si="1963"/>
        <v>1200</v>
      </c>
      <c r="TY95" s="105">
        <f t="shared" si="1963"/>
        <v>0</v>
      </c>
      <c r="TZ95" s="104">
        <f t="shared" si="1963"/>
        <v>1200</v>
      </c>
      <c r="UA95" s="103">
        <f t="shared" si="1653"/>
        <v>16700</v>
      </c>
      <c r="UB95" s="106">
        <f>SUM(UB83:UB94)</f>
        <v>0</v>
      </c>
      <c r="UC95" s="104">
        <f t="shared" ref="UC95:UO95" si="1964">SUM(UC83:UC94)</f>
        <v>16700</v>
      </c>
      <c r="UD95" s="102">
        <f t="shared" si="1964"/>
        <v>13500</v>
      </c>
      <c r="UE95" s="103">
        <f t="shared" si="1964"/>
        <v>0</v>
      </c>
      <c r="UF95" s="104">
        <f t="shared" si="1964"/>
        <v>13500</v>
      </c>
      <c r="UG95" s="103">
        <f t="shared" si="1964"/>
        <v>5964.4800000000005</v>
      </c>
      <c r="UH95" s="105">
        <f t="shared" si="1964"/>
        <v>0</v>
      </c>
      <c r="UI95" s="104">
        <f t="shared" si="1964"/>
        <v>5964.4800000000005</v>
      </c>
      <c r="UJ95" s="103">
        <f t="shared" si="1964"/>
        <v>0</v>
      </c>
      <c r="UK95" s="105">
        <f t="shared" si="1964"/>
        <v>0</v>
      </c>
      <c r="UL95" s="104">
        <f t="shared" si="1964"/>
        <v>0</v>
      </c>
      <c r="UM95" s="103">
        <f t="shared" si="1964"/>
        <v>1200</v>
      </c>
      <c r="UN95" s="105">
        <f t="shared" si="1964"/>
        <v>0</v>
      </c>
      <c r="UO95" s="104">
        <f t="shared" si="1964"/>
        <v>1200</v>
      </c>
      <c r="UP95" s="103">
        <f t="shared" si="1660"/>
        <v>20664.48</v>
      </c>
      <c r="UQ95" s="106">
        <f>SUM(UQ83:UQ94)</f>
        <v>0</v>
      </c>
      <c r="UR95" s="104">
        <f>SUM(UR83:UR94)</f>
        <v>20664.480000000007</v>
      </c>
      <c r="US95" s="109"/>
      <c r="UT95" s="107"/>
      <c r="UU95" s="108"/>
      <c r="UV95" s="109"/>
      <c r="UW95" s="108"/>
      <c r="UX95" s="110"/>
      <c r="UY95" s="109"/>
      <c r="UZ95" s="108"/>
      <c r="VA95" s="110"/>
      <c r="VB95" s="109"/>
      <c r="VC95" s="108"/>
      <c r="VD95" s="110"/>
      <c r="VE95" s="109"/>
      <c r="VF95" s="108"/>
      <c r="VG95" s="111"/>
      <c r="VH95" s="102">
        <f t="shared" ref="VH95:VS95" si="1965">SUM(VH83:VH94)</f>
        <v>18600</v>
      </c>
      <c r="VI95" s="103">
        <f t="shared" si="1965"/>
        <v>0</v>
      </c>
      <c r="VJ95" s="104">
        <f t="shared" si="1965"/>
        <v>18600</v>
      </c>
      <c r="VK95" s="103">
        <f t="shared" si="1965"/>
        <v>0</v>
      </c>
      <c r="VL95" s="105">
        <f t="shared" si="1965"/>
        <v>0</v>
      </c>
      <c r="VM95" s="104">
        <f t="shared" si="1965"/>
        <v>0</v>
      </c>
      <c r="VN95" s="103">
        <f t="shared" si="1965"/>
        <v>0</v>
      </c>
      <c r="VO95" s="105">
        <f t="shared" si="1965"/>
        <v>0</v>
      </c>
      <c r="VP95" s="104">
        <f t="shared" si="1965"/>
        <v>0</v>
      </c>
      <c r="VQ95" s="103">
        <f t="shared" si="1965"/>
        <v>1200</v>
      </c>
      <c r="VR95" s="105">
        <f t="shared" si="1965"/>
        <v>0</v>
      </c>
      <c r="VS95" s="104">
        <f t="shared" si="1965"/>
        <v>1200</v>
      </c>
      <c r="VT95" s="103">
        <f t="shared" si="1667"/>
        <v>19800</v>
      </c>
      <c r="VU95" s="106">
        <f>SUM(VU83:VU94)</f>
        <v>0</v>
      </c>
      <c r="VV95" s="104">
        <f>SUM(VV83:VV94)</f>
        <v>19800</v>
      </c>
      <c r="VW95" s="109"/>
      <c r="VX95" s="107"/>
      <c r="VY95" s="108"/>
      <c r="VZ95" s="109"/>
      <c r="WA95" s="108"/>
      <c r="WB95" s="110"/>
      <c r="WC95" s="109"/>
      <c r="WD95" s="108"/>
      <c r="WE95" s="110"/>
      <c r="WF95" s="109"/>
      <c r="WG95" s="108"/>
      <c r="WH95" s="110"/>
      <c r="WI95" s="109"/>
      <c r="WJ95" s="108"/>
      <c r="WK95" s="111"/>
      <c r="WL95" s="109"/>
      <c r="WM95" s="107"/>
      <c r="WN95" s="108"/>
      <c r="WO95" s="109"/>
      <c r="WP95" s="108"/>
      <c r="WQ95" s="110"/>
      <c r="WR95" s="109"/>
      <c r="WS95" s="108"/>
      <c r="WT95" s="110"/>
      <c r="WU95" s="109"/>
      <c r="WV95" s="108"/>
      <c r="WW95" s="110"/>
      <c r="WX95" s="109"/>
      <c r="WY95" s="108"/>
      <c r="WZ95" s="111"/>
      <c r="XA95" s="109"/>
      <c r="XB95" s="107"/>
      <c r="XC95" s="108"/>
      <c r="XD95" s="109"/>
      <c r="XE95" s="108"/>
      <c r="XF95" s="110"/>
      <c r="XG95" s="109"/>
      <c r="XH95" s="108"/>
      <c r="XI95" s="110"/>
      <c r="XJ95" s="109"/>
      <c r="XK95" s="108"/>
      <c r="XL95" s="110"/>
      <c r="XM95" s="109"/>
      <c r="XN95" s="108"/>
      <c r="XO95" s="111"/>
      <c r="XP95" s="102">
        <f t="shared" ref="XP95:YA95" si="1966">SUM(XP83:XP94)</f>
        <v>10404</v>
      </c>
      <c r="XQ95" s="103">
        <f t="shared" si="1966"/>
        <v>0</v>
      </c>
      <c r="XR95" s="104">
        <f t="shared" si="1966"/>
        <v>10404</v>
      </c>
      <c r="XS95" s="103">
        <f t="shared" si="1966"/>
        <v>10130.879999999999</v>
      </c>
      <c r="XT95" s="105">
        <f t="shared" si="1966"/>
        <v>0</v>
      </c>
      <c r="XU95" s="104">
        <f t="shared" si="1966"/>
        <v>10130.879999999999</v>
      </c>
      <c r="XV95" s="103">
        <f t="shared" si="1966"/>
        <v>0</v>
      </c>
      <c r="XW95" s="105">
        <f t="shared" si="1966"/>
        <v>0</v>
      </c>
      <c r="XX95" s="104">
        <f t="shared" si="1966"/>
        <v>0</v>
      </c>
      <c r="XY95" s="103">
        <f t="shared" si="1966"/>
        <v>1200</v>
      </c>
      <c r="XZ95" s="105">
        <f t="shared" si="1966"/>
        <v>0</v>
      </c>
      <c r="YA95" s="104">
        <f t="shared" si="1966"/>
        <v>1200</v>
      </c>
      <c r="YB95" s="103">
        <f t="shared" si="1674"/>
        <v>21734.879999999997</v>
      </c>
      <c r="YC95" s="106">
        <f>SUM(YC83:YC94)</f>
        <v>0</v>
      </c>
      <c r="YD95" s="104">
        <f t="shared" ref="YD95:YP95" si="1967">SUM(YD83:YD94)</f>
        <v>21734.880000000008</v>
      </c>
      <c r="YE95" s="102">
        <f t="shared" si="1967"/>
        <v>10680</v>
      </c>
      <c r="YF95" s="103">
        <f t="shared" si="1967"/>
        <v>0</v>
      </c>
      <c r="YG95" s="104">
        <f t="shared" si="1967"/>
        <v>10680</v>
      </c>
      <c r="YH95" s="103">
        <f t="shared" si="1967"/>
        <v>10174.200000000003</v>
      </c>
      <c r="YI95" s="105">
        <f t="shared" si="1967"/>
        <v>0</v>
      </c>
      <c r="YJ95" s="104">
        <f t="shared" si="1967"/>
        <v>10174.200000000003</v>
      </c>
      <c r="YK95" s="103">
        <f t="shared" si="1967"/>
        <v>1000</v>
      </c>
      <c r="YL95" s="105">
        <f t="shared" si="1967"/>
        <v>0</v>
      </c>
      <c r="YM95" s="104">
        <f t="shared" si="1967"/>
        <v>1000</v>
      </c>
      <c r="YN95" s="103">
        <f t="shared" si="1967"/>
        <v>1200</v>
      </c>
      <c r="YO95" s="105">
        <f t="shared" si="1967"/>
        <v>0</v>
      </c>
      <c r="YP95" s="104">
        <f t="shared" si="1967"/>
        <v>1200</v>
      </c>
      <c r="YQ95" s="103">
        <f t="shared" si="1681"/>
        <v>23054.200000000004</v>
      </c>
      <c r="YR95" s="106">
        <f>SUM(YR83:YR94)</f>
        <v>0</v>
      </c>
      <c r="YS95" s="104">
        <f t="shared" ref="YS95:ZE95" si="1968">SUM(YS83:YS94)</f>
        <v>23054.199999999997</v>
      </c>
      <c r="YT95" s="102">
        <f t="shared" si="1968"/>
        <v>11184</v>
      </c>
      <c r="YU95" s="103">
        <f t="shared" si="1968"/>
        <v>0</v>
      </c>
      <c r="YV95" s="104">
        <f t="shared" si="1968"/>
        <v>11184</v>
      </c>
      <c r="YW95" s="103">
        <f t="shared" si="1968"/>
        <v>8348.7599999999984</v>
      </c>
      <c r="YX95" s="105">
        <f t="shared" si="1968"/>
        <v>0</v>
      </c>
      <c r="YY95" s="104">
        <f t="shared" si="1968"/>
        <v>8348.7599999999984</v>
      </c>
      <c r="YZ95" s="103">
        <f t="shared" si="1968"/>
        <v>1000</v>
      </c>
      <c r="ZA95" s="105">
        <f t="shared" si="1968"/>
        <v>0</v>
      </c>
      <c r="ZB95" s="104">
        <f t="shared" si="1968"/>
        <v>1000</v>
      </c>
      <c r="ZC95" s="103">
        <f t="shared" si="1968"/>
        <v>1200</v>
      </c>
      <c r="ZD95" s="105">
        <f t="shared" si="1968"/>
        <v>0</v>
      </c>
      <c r="ZE95" s="104">
        <f t="shared" si="1968"/>
        <v>1200</v>
      </c>
      <c r="ZF95" s="103">
        <f t="shared" si="1688"/>
        <v>21732.76</v>
      </c>
      <c r="ZG95" s="106">
        <f>SUM(ZG83:ZG94)</f>
        <v>0</v>
      </c>
      <c r="ZH95" s="109"/>
      <c r="ZI95" s="107"/>
      <c r="ZJ95" s="108"/>
      <c r="ZK95" s="109"/>
      <c r="ZL95" s="108"/>
      <c r="ZM95" s="110"/>
      <c r="ZN95" s="109"/>
      <c r="ZO95" s="108"/>
      <c r="ZP95" s="110"/>
      <c r="ZQ95" s="109"/>
      <c r="ZR95" s="108"/>
      <c r="ZS95" s="110"/>
      <c r="ZT95" s="109"/>
      <c r="ZU95" s="108"/>
      <c r="ZV95" s="111"/>
      <c r="ZW95" s="104">
        <f>SUM(ZW83:ZW94)</f>
        <v>0</v>
      </c>
      <c r="ZX95" s="102">
        <f>SUM(ZX83:ZX94)</f>
        <v>296.52000000000004</v>
      </c>
      <c r="ZY95" s="103">
        <f>SUM(ZY83:ZY94)</f>
        <v>0</v>
      </c>
      <c r="ZZ95" s="104">
        <f>SUM(ZZ83:ZZ94)</f>
        <v>296.52000000000004</v>
      </c>
      <c r="AAA95" s="103">
        <f t="shared" si="1692"/>
        <v>296.52000000000004</v>
      </c>
      <c r="AAB95" s="106">
        <f t="shared" si="1692"/>
        <v>0</v>
      </c>
      <c r="AAC95" s="104">
        <f>SUM(AAC83:AAC94)</f>
        <v>296.52000000000004</v>
      </c>
      <c r="AAD95" s="112">
        <f t="shared" si="1694"/>
        <v>1396140.5599999998</v>
      </c>
      <c r="AAE95" s="113">
        <f t="shared" si="1694"/>
        <v>0</v>
      </c>
      <c r="AAF95" s="114">
        <f t="shared" si="1457"/>
        <v>0</v>
      </c>
      <c r="AAG95" s="113">
        <f>SUM(AAG83:AAG94)</f>
        <v>-1396140.5599999998</v>
      </c>
    </row>
    <row r="96" spans="1:713" s="83" customFormat="1" ht="20" customHeight="1" x14ac:dyDescent="0.2">
      <c r="A96" s="152"/>
      <c r="B96" s="58" t="s">
        <v>136</v>
      </c>
      <c r="C96" s="59"/>
      <c r="D96" s="59"/>
      <c r="E96" s="60">
        <v>2029</v>
      </c>
      <c r="F96" s="61">
        <v>47119</v>
      </c>
      <c r="G96" s="62"/>
      <c r="H96" s="63"/>
      <c r="I96" s="64">
        <f t="shared" ref="I96:I107" si="1969">G96-H96</f>
        <v>0</v>
      </c>
      <c r="J96" s="65">
        <v>4812.04</v>
      </c>
      <c r="K96" s="63"/>
      <c r="L96" s="64">
        <f t="shared" ref="L96:L107" si="1970">J96-K96</f>
        <v>4812.04</v>
      </c>
      <c r="M96" s="65">
        <v>2500</v>
      </c>
      <c r="N96" s="63"/>
      <c r="O96" s="64">
        <f t="shared" ref="O96:O107" si="1971">M96-N96</f>
        <v>2500</v>
      </c>
      <c r="P96" s="65">
        <v>500</v>
      </c>
      <c r="Q96" s="63"/>
      <c r="R96" s="64">
        <f t="shared" ref="R96:R107" si="1972">P96-Q96</f>
        <v>500</v>
      </c>
      <c r="S96" s="65">
        <v>181</v>
      </c>
      <c r="T96" s="63"/>
      <c r="U96" s="64">
        <f t="shared" ref="U96:U107" si="1973">S96-T96</f>
        <v>181</v>
      </c>
      <c r="V96" s="66">
        <f t="shared" ref="V96:W107" si="1974">G96+J96+M96+P96+S96</f>
        <v>7993.04</v>
      </c>
      <c r="W96" s="67">
        <f t="shared" si="1974"/>
        <v>0</v>
      </c>
      <c r="X96" s="64">
        <f t="shared" ref="X96:X107" si="1975">V96-W96</f>
        <v>7993.04</v>
      </c>
      <c r="Y96" s="72"/>
      <c r="Z96" s="73"/>
      <c r="AA96" s="74"/>
      <c r="AB96" s="75"/>
      <c r="AC96" s="73"/>
      <c r="AD96" s="74"/>
      <c r="AE96" s="75"/>
      <c r="AF96" s="73"/>
      <c r="AG96" s="74"/>
      <c r="AH96" s="75"/>
      <c r="AI96" s="73"/>
      <c r="AJ96" s="74"/>
      <c r="AK96" s="76"/>
      <c r="AL96" s="77"/>
      <c r="AM96" s="64">
        <f t="shared" ref="AM96:AM107" si="1976">AK96-AL96</f>
        <v>0</v>
      </c>
      <c r="AN96" s="62"/>
      <c r="AO96" s="63"/>
      <c r="AP96" s="64">
        <f>AN96-AO96</f>
        <v>0</v>
      </c>
      <c r="AQ96" s="65"/>
      <c r="AR96" s="63"/>
      <c r="AS96" s="64">
        <f t="shared" ref="AS96:AS107" si="1977">AQ96-AR96</f>
        <v>0</v>
      </c>
      <c r="AT96" s="65"/>
      <c r="AU96" s="63"/>
      <c r="AV96" s="64">
        <f t="shared" ref="AV96:AV107" si="1978">AT96-AU96</f>
        <v>0</v>
      </c>
      <c r="AW96" s="65"/>
      <c r="AX96" s="63"/>
      <c r="AY96" s="64">
        <f t="shared" ref="AY96:AY107" si="1979">AW96-AX96</f>
        <v>0</v>
      </c>
      <c r="AZ96" s="66">
        <f t="shared" si="1469"/>
        <v>0</v>
      </c>
      <c r="BA96" s="67">
        <f t="shared" ref="BA96:BA107" si="1980">AO96+AR96+AU96++AX96</f>
        <v>0</v>
      </c>
      <c r="BB96" s="64">
        <f t="shared" ref="BB96:BB107" si="1981">AZ96-BA96</f>
        <v>0</v>
      </c>
      <c r="BC96" s="62"/>
      <c r="BD96" s="63"/>
      <c r="BE96" s="64">
        <f t="shared" ref="BE96:BE107" si="1982">BC96-BD96</f>
        <v>0</v>
      </c>
      <c r="BF96" s="65"/>
      <c r="BG96" s="63"/>
      <c r="BH96" s="64">
        <f t="shared" ref="BH96:BH107" si="1983">BF96-BG96</f>
        <v>0</v>
      </c>
      <c r="BI96" s="65"/>
      <c r="BJ96" s="63"/>
      <c r="BK96" s="64">
        <f t="shared" ref="BK96:BK107" si="1984">BI96-BJ96</f>
        <v>0</v>
      </c>
      <c r="BL96" s="65">
        <v>100</v>
      </c>
      <c r="BM96" s="63"/>
      <c r="BN96" s="64">
        <f t="shared" ref="BN96:BN107" si="1985">BL96-BM96</f>
        <v>100</v>
      </c>
      <c r="BO96" s="66">
        <f t="shared" si="1476"/>
        <v>100</v>
      </c>
      <c r="BP96" s="67">
        <f t="shared" ref="BP96:BP107" si="1986">BD96+BG96+BJ96++BM96</f>
        <v>0</v>
      </c>
      <c r="BQ96" s="64">
        <f t="shared" ref="BQ96:BQ107" si="1987">BO96-BP96</f>
        <v>100</v>
      </c>
      <c r="BR96" s="72"/>
      <c r="BS96" s="73"/>
      <c r="BT96" s="74"/>
      <c r="BU96" s="75"/>
      <c r="BV96" s="73"/>
      <c r="BW96" s="74"/>
      <c r="BX96" s="75"/>
      <c r="BY96" s="73"/>
      <c r="BZ96" s="74"/>
      <c r="CA96" s="75"/>
      <c r="CB96" s="73"/>
      <c r="CC96" s="74"/>
      <c r="CD96" s="76"/>
      <c r="CE96" s="77"/>
      <c r="CF96" s="64">
        <f t="shared" ref="CF96:CF107" si="1988">CD96-CE96</f>
        <v>0</v>
      </c>
      <c r="CG96" s="62"/>
      <c r="CH96" s="63"/>
      <c r="CI96" s="64">
        <f t="shared" ref="CI96:CI107" si="1989">CG96-CH96</f>
        <v>0</v>
      </c>
      <c r="CJ96" s="65"/>
      <c r="CK96" s="63"/>
      <c r="CL96" s="64">
        <f t="shared" ref="CL96:CL107" si="1990">CJ96-CK96</f>
        <v>0</v>
      </c>
      <c r="CM96" s="65"/>
      <c r="CN96" s="63"/>
      <c r="CO96" s="64">
        <f t="shared" ref="CO96:CO107" si="1991">CM96-CN96</f>
        <v>0</v>
      </c>
      <c r="CP96" s="65"/>
      <c r="CQ96" s="63"/>
      <c r="CR96" s="64">
        <f t="shared" ref="CR96:CR107" si="1992">CP96-CQ96</f>
        <v>0</v>
      </c>
      <c r="CS96" s="66">
        <f t="shared" si="1484"/>
        <v>0</v>
      </c>
      <c r="CT96" s="67">
        <f t="shared" ref="CT96:CT107" si="1993">CH96+CK96+CN96++CQ96</f>
        <v>0</v>
      </c>
      <c r="CU96" s="64">
        <f t="shared" ref="CU96:CU107" si="1994">CS96-CT96</f>
        <v>0</v>
      </c>
      <c r="CV96" s="62">
        <v>2916.7</v>
      </c>
      <c r="CW96" s="63"/>
      <c r="CX96" s="64">
        <f t="shared" ref="CX96:CX107" si="1995">CV96-CW96</f>
        <v>2916.7</v>
      </c>
      <c r="CY96" s="65">
        <v>429.15</v>
      </c>
      <c r="CZ96" s="63"/>
      <c r="DA96" s="64">
        <f t="shared" ref="DA96:DA107" si="1996">CY96-CZ96</f>
        <v>429.15</v>
      </c>
      <c r="DB96" s="65"/>
      <c r="DC96" s="63"/>
      <c r="DD96" s="64">
        <f t="shared" ref="DD96:DD107" si="1997">DB96-DC96</f>
        <v>0</v>
      </c>
      <c r="DE96" s="65"/>
      <c r="DF96" s="63"/>
      <c r="DG96" s="64">
        <f t="shared" ref="DG96:DG107" si="1998">DE96-DF96</f>
        <v>0</v>
      </c>
      <c r="DH96" s="66">
        <f t="shared" si="1491"/>
        <v>3345.85</v>
      </c>
      <c r="DI96" s="67">
        <f t="shared" ref="DI96:DI107" si="1999">CW96+CZ96+DC96++DF96</f>
        <v>0</v>
      </c>
      <c r="DJ96" s="64">
        <f t="shared" ref="DJ96:DJ107" si="2000">DH96-DI96</f>
        <v>3345.85</v>
      </c>
      <c r="DK96" s="62">
        <v>2400</v>
      </c>
      <c r="DL96" s="63"/>
      <c r="DM96" s="64">
        <f t="shared" ref="DM96:DM107" si="2001">DK96-DL96</f>
        <v>2400</v>
      </c>
      <c r="DN96" s="65">
        <v>913.08</v>
      </c>
      <c r="DO96" s="63"/>
      <c r="DP96" s="64">
        <f t="shared" ref="DP96:DP107" si="2002">DN96-DO96</f>
        <v>913.08</v>
      </c>
      <c r="DQ96" s="65"/>
      <c r="DR96" s="63"/>
      <c r="DS96" s="64">
        <f t="shared" ref="DS96:DS107" si="2003">DQ96-DR96</f>
        <v>0</v>
      </c>
      <c r="DT96" s="65">
        <v>100</v>
      </c>
      <c r="DU96" s="63"/>
      <c r="DV96" s="64">
        <f t="shared" ref="DV96:DV107" si="2004">DT96-DU96</f>
        <v>100</v>
      </c>
      <c r="DW96" s="66">
        <f t="shared" si="1498"/>
        <v>3413.08</v>
      </c>
      <c r="DX96" s="67">
        <f t="shared" ref="DX96:DX107" si="2005">DL96+DO96+DR96++DU96</f>
        <v>0</v>
      </c>
      <c r="DY96" s="64">
        <f t="shared" ref="DY96:DY107" si="2006">DW96-DX96</f>
        <v>3413.08</v>
      </c>
      <c r="DZ96" s="62"/>
      <c r="EA96" s="63"/>
      <c r="EB96" s="64">
        <f t="shared" ref="EB96:EB107" si="2007">DZ96-EA96</f>
        <v>0</v>
      </c>
      <c r="EC96" s="65"/>
      <c r="ED96" s="63"/>
      <c r="EE96" s="64">
        <f t="shared" ref="EE96:EE107" si="2008">EC96-ED96</f>
        <v>0</v>
      </c>
      <c r="EF96" s="65"/>
      <c r="EG96" s="63"/>
      <c r="EH96" s="64">
        <f t="shared" ref="EH96:EH107" si="2009">EF96-EG96</f>
        <v>0</v>
      </c>
      <c r="EI96" s="65">
        <v>100</v>
      </c>
      <c r="EJ96" s="63"/>
      <c r="EK96" s="64">
        <f t="shared" ref="EK96:EK107" si="2010">EI96-EJ96</f>
        <v>100</v>
      </c>
      <c r="EL96" s="66">
        <f t="shared" si="1505"/>
        <v>100</v>
      </c>
      <c r="EM96" s="67">
        <f t="shared" ref="EM96:EM107" si="2011">EA96+ED96+EG96++EJ96</f>
        <v>0</v>
      </c>
      <c r="EN96" s="64">
        <f t="shared" ref="EN96:EN107" si="2012">EL96-EM96</f>
        <v>100</v>
      </c>
      <c r="EO96" s="62"/>
      <c r="EP96" s="63"/>
      <c r="EQ96" s="64">
        <f t="shared" ref="EQ96:EQ107" si="2013">EO96-EP96</f>
        <v>0</v>
      </c>
      <c r="ER96" s="65"/>
      <c r="ES96" s="63"/>
      <c r="ET96" s="64">
        <f t="shared" ref="ET96:ET107" si="2014">ER96-ES96</f>
        <v>0</v>
      </c>
      <c r="EU96" s="65"/>
      <c r="EV96" s="63"/>
      <c r="EW96" s="64">
        <f t="shared" ref="EW96:EW107" si="2015">EU96-EV96</f>
        <v>0</v>
      </c>
      <c r="EX96" s="65">
        <v>100</v>
      </c>
      <c r="EY96" s="63"/>
      <c r="EZ96" s="64">
        <f t="shared" ref="EZ96:EZ107" si="2016">EX96-EY96</f>
        <v>100</v>
      </c>
      <c r="FA96" s="66">
        <f t="shared" si="1512"/>
        <v>100</v>
      </c>
      <c r="FB96" s="67">
        <f t="shared" ref="FB96:FB107" si="2017">EP96+ES96+EV96++EY96</f>
        <v>0</v>
      </c>
      <c r="FC96" s="64">
        <f t="shared" ref="FC96:FC107" si="2018">FA96-FB96</f>
        <v>100</v>
      </c>
      <c r="FD96" s="62"/>
      <c r="FE96" s="63"/>
      <c r="FF96" s="64">
        <f t="shared" ref="FF96:FF107" si="2019">FD96-FE96</f>
        <v>0</v>
      </c>
      <c r="FG96" s="65"/>
      <c r="FH96" s="63"/>
      <c r="FI96" s="64">
        <f t="shared" ref="FI96:FI107" si="2020">FG96-FH96</f>
        <v>0</v>
      </c>
      <c r="FJ96" s="65"/>
      <c r="FK96" s="63"/>
      <c r="FL96" s="64">
        <f t="shared" ref="FL96:FL107" si="2021">FJ96-FK96</f>
        <v>0</v>
      </c>
      <c r="FM96" s="65">
        <v>100</v>
      </c>
      <c r="FN96" s="63"/>
      <c r="FO96" s="64">
        <f t="shared" ref="FO96:FO107" si="2022">FM96-FN96</f>
        <v>100</v>
      </c>
      <c r="FP96" s="66">
        <f t="shared" si="1519"/>
        <v>100</v>
      </c>
      <c r="FQ96" s="67">
        <f t="shared" ref="FQ96:FQ107" si="2023">FE96+FH96+FK96++FN96</f>
        <v>0</v>
      </c>
      <c r="FR96" s="64">
        <f t="shared" ref="FR96:FR107" si="2024">FP96-FQ96</f>
        <v>100</v>
      </c>
      <c r="FS96" s="62"/>
      <c r="FT96" s="63"/>
      <c r="FU96" s="64">
        <f t="shared" ref="FU96:FU107" si="2025">FS96-FT96</f>
        <v>0</v>
      </c>
      <c r="FV96" s="65">
        <v>485.35</v>
      </c>
      <c r="FW96" s="63"/>
      <c r="FX96" s="64">
        <f t="shared" ref="FX96:FX107" si="2026">FV96-FW96</f>
        <v>485.35</v>
      </c>
      <c r="FY96" s="65"/>
      <c r="FZ96" s="63"/>
      <c r="GA96" s="64">
        <f t="shared" ref="GA96:GA107" si="2027">FY96-FZ96</f>
        <v>0</v>
      </c>
      <c r="GB96" s="65"/>
      <c r="GC96" s="63"/>
      <c r="GD96" s="64">
        <f t="shared" ref="GD96:GD107" si="2028">GB96-GC96</f>
        <v>0</v>
      </c>
      <c r="GE96" s="66">
        <f t="shared" si="1526"/>
        <v>485.35</v>
      </c>
      <c r="GF96" s="67">
        <f t="shared" ref="GF96:GF107" si="2029">FT96+FW96+FZ96++GC96</f>
        <v>0</v>
      </c>
      <c r="GG96" s="64">
        <f t="shared" ref="GG96:GG107" si="2030">GE96-GF96</f>
        <v>485.35</v>
      </c>
      <c r="GH96" s="62"/>
      <c r="GI96" s="63"/>
      <c r="GJ96" s="64">
        <f t="shared" ref="GJ96:GJ107" si="2031">GH96-GI96</f>
        <v>0</v>
      </c>
      <c r="GK96" s="65">
        <v>660.33</v>
      </c>
      <c r="GL96" s="63"/>
      <c r="GM96" s="64">
        <f t="shared" ref="GM96:GM107" si="2032">GK96-GL96</f>
        <v>660.33</v>
      </c>
      <c r="GN96" s="65"/>
      <c r="GO96" s="63"/>
      <c r="GP96" s="64">
        <f t="shared" ref="GP96:GP107" si="2033">GN96-GO96</f>
        <v>0</v>
      </c>
      <c r="GQ96" s="65"/>
      <c r="GR96" s="63"/>
      <c r="GS96" s="64">
        <f t="shared" ref="GS96:GS107" si="2034">GQ96-GR96</f>
        <v>0</v>
      </c>
      <c r="GT96" s="66">
        <f t="shared" si="1533"/>
        <v>660.33</v>
      </c>
      <c r="GU96" s="67">
        <f t="shared" ref="GU96:GU107" si="2035">GI96+GL96+GO96++GR96</f>
        <v>0</v>
      </c>
      <c r="GV96" s="64">
        <f t="shared" ref="GV96:GV107" si="2036">GT96-GU96</f>
        <v>660.33</v>
      </c>
      <c r="GW96" s="62"/>
      <c r="GX96" s="63"/>
      <c r="GY96" s="64">
        <f t="shared" ref="GY96:GY107" si="2037">GW96-GX96</f>
        <v>0</v>
      </c>
      <c r="GZ96" s="65">
        <v>568.25</v>
      </c>
      <c r="HA96" s="63"/>
      <c r="HB96" s="64">
        <f t="shared" ref="HB96:HB107" si="2038">GZ96-HA96</f>
        <v>568.25</v>
      </c>
      <c r="HC96" s="65"/>
      <c r="HD96" s="63"/>
      <c r="HE96" s="64">
        <f t="shared" ref="HE96:HE107" si="2039">HC96-HD96</f>
        <v>0</v>
      </c>
      <c r="HF96" s="65">
        <v>100</v>
      </c>
      <c r="HG96" s="63"/>
      <c r="HH96" s="64">
        <f t="shared" ref="HH96:HH107" si="2040">HF96-HG96</f>
        <v>100</v>
      </c>
      <c r="HI96" s="66">
        <f t="shared" si="1540"/>
        <v>668.25</v>
      </c>
      <c r="HJ96" s="67">
        <f t="shared" ref="HJ96:HJ107" si="2041">GX96+HA96+HD96++HG96</f>
        <v>0</v>
      </c>
      <c r="HK96" s="64">
        <f t="shared" ref="HK96:HK107" si="2042">HI96-HJ96</f>
        <v>668.25</v>
      </c>
      <c r="HL96" s="62"/>
      <c r="HM96" s="63"/>
      <c r="HN96" s="64">
        <f t="shared" ref="HN96:HN107" si="2043">HL96-HM96</f>
        <v>0</v>
      </c>
      <c r="HO96" s="65"/>
      <c r="HP96" s="63"/>
      <c r="HQ96" s="64">
        <f t="shared" ref="HQ96:HQ107" si="2044">HO96-HP96</f>
        <v>0</v>
      </c>
      <c r="HR96" s="65"/>
      <c r="HS96" s="63"/>
      <c r="HT96" s="64">
        <f t="shared" ref="HT96:HT107" si="2045">HR96-HS96</f>
        <v>0</v>
      </c>
      <c r="HU96" s="65">
        <v>100</v>
      </c>
      <c r="HV96" s="63"/>
      <c r="HW96" s="64">
        <f t="shared" ref="HW96:HW107" si="2046">HU96-HV96</f>
        <v>100</v>
      </c>
      <c r="HX96" s="66">
        <f t="shared" si="1547"/>
        <v>100</v>
      </c>
      <c r="HY96" s="67">
        <f t="shared" ref="HY96:HY107" si="2047">HM96+HP96+HS96++HV96</f>
        <v>0</v>
      </c>
      <c r="HZ96" s="64">
        <f t="shared" ref="HZ96:HZ107" si="2048">HX96-HY96</f>
        <v>100</v>
      </c>
      <c r="IA96" s="62"/>
      <c r="IB96" s="63"/>
      <c r="IC96" s="64">
        <f t="shared" ref="IC96:IC107" si="2049">IA96-IB96</f>
        <v>0</v>
      </c>
      <c r="ID96" s="65"/>
      <c r="IE96" s="63"/>
      <c r="IF96" s="64">
        <f t="shared" ref="IF96:IF107" si="2050">ID96-IE96</f>
        <v>0</v>
      </c>
      <c r="IG96" s="65"/>
      <c r="IH96" s="63"/>
      <c r="II96" s="64">
        <f t="shared" ref="II96:II107" si="2051">IG96-IH96</f>
        <v>0</v>
      </c>
      <c r="IJ96" s="65">
        <v>100</v>
      </c>
      <c r="IK96" s="63"/>
      <c r="IL96" s="64">
        <f t="shared" ref="IL96:IL107" si="2052">IJ96-IK96</f>
        <v>100</v>
      </c>
      <c r="IM96" s="66">
        <f t="shared" si="1554"/>
        <v>100</v>
      </c>
      <c r="IN96" s="67">
        <f t="shared" ref="IN96:IN107" si="2053">IB96+IE96+IH96++IK96</f>
        <v>0</v>
      </c>
      <c r="IO96" s="64">
        <f t="shared" ref="IO96:IO107" si="2054">IM96-IN96</f>
        <v>100</v>
      </c>
      <c r="IP96" s="62"/>
      <c r="IQ96" s="63"/>
      <c r="IR96" s="64">
        <f t="shared" ref="IR96:IR107" si="2055">IP96-IQ96</f>
        <v>0</v>
      </c>
      <c r="IS96" s="65"/>
      <c r="IT96" s="63"/>
      <c r="IU96" s="64">
        <f t="shared" ref="IU96:IU107" si="2056">IS96-IT96</f>
        <v>0</v>
      </c>
      <c r="IV96" s="65"/>
      <c r="IW96" s="63"/>
      <c r="IX96" s="64">
        <f t="shared" ref="IX96:IX107" si="2057">IV96-IW96</f>
        <v>0</v>
      </c>
      <c r="IY96" s="65"/>
      <c r="IZ96" s="63"/>
      <c r="JA96" s="64">
        <f t="shared" ref="JA96:JA107" si="2058">IY96-IZ96</f>
        <v>0</v>
      </c>
      <c r="JB96" s="66">
        <f t="shared" si="1561"/>
        <v>0</v>
      </c>
      <c r="JC96" s="67">
        <f t="shared" ref="JC96:JC107" si="2059">IQ96+IT96+IW96++IZ96</f>
        <v>0</v>
      </c>
      <c r="JD96" s="64">
        <f t="shared" ref="JD96:JD107" si="2060">JB96-JC96</f>
        <v>0</v>
      </c>
      <c r="JE96" s="72"/>
      <c r="JF96" s="150"/>
      <c r="JG96" s="74"/>
      <c r="JH96" s="75"/>
      <c r="JI96" s="150"/>
      <c r="JJ96" s="74"/>
      <c r="JK96" s="75"/>
      <c r="JL96" s="150"/>
      <c r="JM96" s="74"/>
      <c r="JN96" s="75"/>
      <c r="JO96" s="150"/>
      <c r="JP96" s="74"/>
      <c r="JQ96" s="76"/>
      <c r="JR96" s="77"/>
      <c r="JS96" s="74"/>
      <c r="JT96" s="72"/>
      <c r="JU96" s="73"/>
      <c r="JV96" s="74"/>
      <c r="JW96" s="75"/>
      <c r="JX96" s="73"/>
      <c r="JY96" s="74"/>
      <c r="JZ96" s="75"/>
      <c r="KA96" s="73"/>
      <c r="KB96" s="74"/>
      <c r="KC96" s="75"/>
      <c r="KD96" s="73"/>
      <c r="KE96" s="74"/>
      <c r="KF96" s="76"/>
      <c r="KG96" s="77"/>
      <c r="KH96" s="64">
        <f t="shared" ref="KH96:KH107" si="2061">KF96-KG96</f>
        <v>0</v>
      </c>
      <c r="KI96" s="62"/>
      <c r="KJ96" s="63"/>
      <c r="KK96" s="64">
        <f t="shared" ref="KK96:KK107" si="2062">KI96-KJ96</f>
        <v>0</v>
      </c>
      <c r="KL96" s="65"/>
      <c r="KM96" s="63"/>
      <c r="KN96" s="64">
        <f t="shared" ref="KN96:KN107" si="2063">KL96-KM96</f>
        <v>0</v>
      </c>
      <c r="KO96" s="65"/>
      <c r="KP96" s="63"/>
      <c r="KQ96" s="64">
        <f t="shared" ref="KQ96:KQ107" si="2064">KO96-KP96</f>
        <v>0</v>
      </c>
      <c r="KR96" s="65"/>
      <c r="KS96" s="63"/>
      <c r="KT96" s="64">
        <f t="shared" ref="KT96:KT107" si="2065">KR96-KS96</f>
        <v>0</v>
      </c>
      <c r="KU96" s="66">
        <f t="shared" si="1439"/>
        <v>0</v>
      </c>
      <c r="KV96" s="67">
        <f t="shared" ref="KV96:KV107" si="2066">KJ96+KM96+KP96++KS96</f>
        <v>0</v>
      </c>
      <c r="KW96" s="64">
        <f t="shared" ref="KW96:KW107" si="2067">KU96-KV96</f>
        <v>0</v>
      </c>
      <c r="KX96" s="72"/>
      <c r="KY96" s="73"/>
      <c r="KZ96" s="74"/>
      <c r="LA96" s="75"/>
      <c r="LB96" s="73"/>
      <c r="LC96" s="74"/>
      <c r="LD96" s="75"/>
      <c r="LE96" s="73"/>
      <c r="LF96" s="74"/>
      <c r="LG96" s="75"/>
      <c r="LH96" s="73"/>
      <c r="LI96" s="74"/>
      <c r="LJ96" s="76"/>
      <c r="LK96" s="77"/>
      <c r="LL96" s="74"/>
      <c r="LM96" s="62"/>
      <c r="LN96" s="63"/>
      <c r="LO96" s="64">
        <f t="shared" ref="LO96:LO107" si="2068">LM96-LN96</f>
        <v>0</v>
      </c>
      <c r="LP96" s="65"/>
      <c r="LQ96" s="63"/>
      <c r="LR96" s="64">
        <f t="shared" ref="LR96:LR107" si="2069">LP96-LQ96</f>
        <v>0</v>
      </c>
      <c r="LS96" s="65"/>
      <c r="LT96" s="63"/>
      <c r="LU96" s="64">
        <f t="shared" ref="LU96:LU107" si="2070">LS96-LT96</f>
        <v>0</v>
      </c>
      <c r="LV96" s="65">
        <v>100</v>
      </c>
      <c r="LW96" s="63"/>
      <c r="LX96" s="64">
        <f t="shared" ref="LX96:LX107" si="2071">LV96-LW96</f>
        <v>100</v>
      </c>
      <c r="LY96" s="66">
        <f t="shared" si="1575"/>
        <v>100</v>
      </c>
      <c r="LZ96" s="67">
        <f t="shared" ref="LZ96:LZ107" si="2072">LN96+LQ96+LT96++LW96</f>
        <v>0</v>
      </c>
      <c r="MA96" s="64">
        <f t="shared" ref="MA96:MA107" si="2073">LY96-LZ96</f>
        <v>100</v>
      </c>
      <c r="MB96" s="62"/>
      <c r="MC96" s="63"/>
      <c r="MD96" s="64">
        <f t="shared" ref="MD96:MD107" si="2074">MB96-MC96</f>
        <v>0</v>
      </c>
      <c r="ME96" s="65">
        <v>889.11</v>
      </c>
      <c r="MF96" s="63"/>
      <c r="MG96" s="64">
        <f t="shared" ref="MG96:MG107" si="2075">ME96-MF96</f>
        <v>889.11</v>
      </c>
      <c r="MH96" s="65"/>
      <c r="MI96" s="63"/>
      <c r="MJ96" s="64">
        <f t="shared" ref="MJ96:MJ107" si="2076">MH96-MI96</f>
        <v>0</v>
      </c>
      <c r="MK96" s="65">
        <v>100</v>
      </c>
      <c r="ML96" s="63"/>
      <c r="MM96" s="64">
        <f t="shared" ref="MM96:MM107" si="2077">MK96-ML96</f>
        <v>100</v>
      </c>
      <c r="MN96" s="66">
        <f t="shared" si="1582"/>
        <v>989.11</v>
      </c>
      <c r="MO96" s="67">
        <f t="shared" ref="MO96:MO107" si="2078">MC96+MF96+MI96++ML96</f>
        <v>0</v>
      </c>
      <c r="MP96" s="64">
        <f t="shared" ref="MP96:MP107" si="2079">MN96-MO96</f>
        <v>989.11</v>
      </c>
      <c r="MQ96" s="62"/>
      <c r="MR96" s="63"/>
      <c r="MS96" s="64">
        <f t="shared" ref="MS96:MS107" si="2080">MQ96-MR96</f>
        <v>0</v>
      </c>
      <c r="MT96" s="65"/>
      <c r="MU96" s="63"/>
      <c r="MV96" s="64">
        <f t="shared" ref="MV96:MV107" si="2081">MT96-MU96</f>
        <v>0</v>
      </c>
      <c r="MW96" s="65"/>
      <c r="MX96" s="63"/>
      <c r="MY96" s="64">
        <f t="shared" ref="MY96:MY107" si="2082">MW96-MX96</f>
        <v>0</v>
      </c>
      <c r="MZ96" s="65"/>
      <c r="NA96" s="63"/>
      <c r="NB96" s="64">
        <f t="shared" ref="NB96:NB107" si="2083">MZ96-NA96</f>
        <v>0</v>
      </c>
      <c r="NC96" s="66">
        <f t="shared" si="1589"/>
        <v>0</v>
      </c>
      <c r="ND96" s="67">
        <f t="shared" ref="ND96:ND107" si="2084">MR96+MU96+MX96++NA96</f>
        <v>0</v>
      </c>
      <c r="NE96" s="64">
        <f t="shared" ref="NE96:NE107" si="2085">NC96-ND96</f>
        <v>0</v>
      </c>
      <c r="NF96" s="62"/>
      <c r="NG96" s="63"/>
      <c r="NH96" s="64">
        <f t="shared" ref="NH96:NH107" si="2086">NF96-NG96</f>
        <v>0</v>
      </c>
      <c r="NI96" s="65">
        <v>1164.04</v>
      </c>
      <c r="NJ96" s="63"/>
      <c r="NK96" s="64">
        <f t="shared" ref="NK96:NK107" si="2087">NI96-NJ96</f>
        <v>1164.04</v>
      </c>
      <c r="NL96" s="65"/>
      <c r="NM96" s="63"/>
      <c r="NN96" s="64">
        <f t="shared" ref="NN96:NN107" si="2088">NL96-NM96</f>
        <v>0</v>
      </c>
      <c r="NO96" s="65">
        <v>100</v>
      </c>
      <c r="NP96" s="63"/>
      <c r="NQ96" s="64">
        <f t="shared" ref="NQ96:NQ107" si="2089">NO96-NP96</f>
        <v>100</v>
      </c>
      <c r="NR96" s="66">
        <f t="shared" si="1596"/>
        <v>1264.04</v>
      </c>
      <c r="NS96" s="67">
        <f t="shared" ref="NS96:NS107" si="2090">NG96+NJ96+NM96++NP96</f>
        <v>0</v>
      </c>
      <c r="NT96" s="64">
        <f t="shared" ref="NT96:NT107" si="2091">NR96-NS96</f>
        <v>1264.04</v>
      </c>
      <c r="NU96" s="62"/>
      <c r="NV96" s="63"/>
      <c r="NW96" s="64">
        <f t="shared" ref="NW96:NW107" si="2092">NU96-NV96</f>
        <v>0</v>
      </c>
      <c r="NX96" s="65">
        <v>1152.73</v>
      </c>
      <c r="NY96" s="63"/>
      <c r="NZ96" s="64">
        <f t="shared" ref="NZ96:NZ107" si="2093">NX96-NY96</f>
        <v>1152.73</v>
      </c>
      <c r="OA96" s="65"/>
      <c r="OB96" s="63"/>
      <c r="OC96" s="64">
        <f t="shared" ref="OC96:OC107" si="2094">OA96-OB96</f>
        <v>0</v>
      </c>
      <c r="OD96" s="65">
        <v>100</v>
      </c>
      <c r="OE96" s="63"/>
      <c r="OF96" s="64">
        <f t="shared" ref="OF96:OF107" si="2095">OD96-OE96</f>
        <v>100</v>
      </c>
      <c r="OG96" s="66">
        <f t="shared" si="1603"/>
        <v>1252.73</v>
      </c>
      <c r="OH96" s="67">
        <f t="shared" ref="OH96:OH107" si="2096">NV96+NY96+OB96++OE96</f>
        <v>0</v>
      </c>
      <c r="OI96" s="64">
        <f t="shared" ref="OI96:OI107" si="2097">OG96-OH96</f>
        <v>1252.73</v>
      </c>
      <c r="OJ96" s="62"/>
      <c r="OK96" s="63"/>
      <c r="OL96" s="64">
        <f t="shared" ref="OL96:OL107" si="2098">OJ96-OK96</f>
        <v>0</v>
      </c>
      <c r="OM96" s="65"/>
      <c r="ON96" s="63"/>
      <c r="OO96" s="64">
        <f t="shared" ref="OO96:OO107" si="2099">OM96-ON96</f>
        <v>0</v>
      </c>
      <c r="OP96" s="65"/>
      <c r="OQ96" s="63"/>
      <c r="OR96" s="64">
        <f t="shared" ref="OR96:OR107" si="2100">OP96-OQ96</f>
        <v>0</v>
      </c>
      <c r="OS96" s="65">
        <v>100</v>
      </c>
      <c r="OT96" s="63"/>
      <c r="OU96" s="64">
        <f t="shared" ref="OU96:OU107" si="2101">OS96-OT96</f>
        <v>100</v>
      </c>
      <c r="OV96" s="66">
        <f t="shared" si="1610"/>
        <v>100</v>
      </c>
      <c r="OW96" s="67">
        <f t="shared" ref="OW96:OW107" si="2102">OK96+ON96+OQ96++OT96</f>
        <v>0</v>
      </c>
      <c r="OX96" s="64">
        <f t="shared" ref="OX96:OX107" si="2103">OV96-OW96</f>
        <v>100</v>
      </c>
      <c r="OY96" s="62"/>
      <c r="OZ96" s="63"/>
      <c r="PA96" s="64">
        <f t="shared" ref="PA96:PA107" si="2104">OY96-OZ96</f>
        <v>0</v>
      </c>
      <c r="PB96" s="65"/>
      <c r="PC96" s="63"/>
      <c r="PD96" s="64">
        <f t="shared" ref="PD96:PD107" si="2105">PB96-PC96</f>
        <v>0</v>
      </c>
      <c r="PE96" s="65"/>
      <c r="PF96" s="63"/>
      <c r="PG96" s="64">
        <f t="shared" ref="PG96:PG107" si="2106">PE96-PF96</f>
        <v>0</v>
      </c>
      <c r="PH96" s="65">
        <v>100</v>
      </c>
      <c r="PI96" s="63"/>
      <c r="PJ96" s="64">
        <f t="shared" ref="PJ96:PJ107" si="2107">PH96-PI96</f>
        <v>100</v>
      </c>
      <c r="PK96" s="66">
        <f t="shared" si="1617"/>
        <v>100</v>
      </c>
      <c r="PL96" s="67">
        <f t="shared" ref="PL96:PL107" si="2108">OZ96+PC96+PF96++PI96</f>
        <v>0</v>
      </c>
      <c r="PM96" s="64">
        <f t="shared" ref="PM96:PM107" si="2109">PK96-PL96</f>
        <v>100</v>
      </c>
      <c r="PN96" s="62">
        <v>1550</v>
      </c>
      <c r="PO96" s="63"/>
      <c r="PP96" s="64">
        <f t="shared" ref="PP96:PP107" si="2110">PN96-PO96</f>
        <v>1550</v>
      </c>
      <c r="PQ96" s="65"/>
      <c r="PR96" s="63"/>
      <c r="PS96" s="64">
        <f t="shared" ref="PS96:PS107" si="2111">PQ96-PR96</f>
        <v>0</v>
      </c>
      <c r="PT96" s="65"/>
      <c r="PU96" s="63"/>
      <c r="PV96" s="64">
        <f t="shared" ref="PV96:PV107" si="2112">PT96-PU96</f>
        <v>0</v>
      </c>
      <c r="PW96" s="65">
        <v>100</v>
      </c>
      <c r="PX96" s="63"/>
      <c r="PY96" s="64">
        <f t="shared" ref="PY96:PY107" si="2113">PW96-PX96</f>
        <v>100</v>
      </c>
      <c r="PZ96" s="66">
        <f t="shared" si="1624"/>
        <v>1650</v>
      </c>
      <c r="QA96" s="67">
        <f t="shared" ref="QA96:QA107" si="2114">PO96+PR96+PU96++PX96</f>
        <v>0</v>
      </c>
      <c r="QB96" s="64">
        <f t="shared" ref="QB96:QB107" si="2115">PZ96-QA96</f>
        <v>1650</v>
      </c>
      <c r="QC96" s="62"/>
      <c r="QD96" s="63"/>
      <c r="QE96" s="64">
        <f t="shared" ref="QE96:QE107" si="2116">QC96-QD96</f>
        <v>0</v>
      </c>
      <c r="QF96" s="65"/>
      <c r="QG96" s="63"/>
      <c r="QH96" s="64">
        <f t="shared" ref="QH96:QH107" si="2117">QF96-QG96</f>
        <v>0</v>
      </c>
      <c r="QI96" s="65"/>
      <c r="QJ96" s="63"/>
      <c r="QK96" s="64">
        <f t="shared" ref="QK96:QK107" si="2118">QI96-QJ96</f>
        <v>0</v>
      </c>
      <c r="QL96" s="65">
        <v>100</v>
      </c>
      <c r="QM96" s="63"/>
      <c r="QN96" s="64">
        <f t="shared" ref="QN96:QN107" si="2119">QL96-QM96</f>
        <v>100</v>
      </c>
      <c r="QO96" s="66">
        <f t="shared" si="1631"/>
        <v>100</v>
      </c>
      <c r="QP96" s="67">
        <f t="shared" ref="QP96:QP107" si="2120">QD96+QG96+QJ96++QM96</f>
        <v>0</v>
      </c>
      <c r="QQ96" s="64">
        <f t="shared" ref="QQ96:QQ107" si="2121">QO96-QP96</f>
        <v>100</v>
      </c>
      <c r="QR96" s="74"/>
      <c r="QS96" s="74"/>
      <c r="QT96" s="72"/>
      <c r="QU96" s="73"/>
      <c r="QV96" s="74"/>
      <c r="QW96" s="75"/>
      <c r="QX96" s="73"/>
      <c r="QY96" s="74"/>
      <c r="QZ96" s="75"/>
      <c r="RA96" s="73"/>
      <c r="RB96" s="74"/>
      <c r="RC96" s="75"/>
      <c r="RD96" s="73"/>
      <c r="RE96" s="74"/>
      <c r="RF96" s="74"/>
      <c r="RG96" s="72"/>
      <c r="RH96" s="73"/>
      <c r="RI96" s="74"/>
      <c r="RJ96" s="75"/>
      <c r="RK96" s="73"/>
      <c r="RL96" s="74"/>
      <c r="RM96" s="75"/>
      <c r="RN96" s="73"/>
      <c r="RO96" s="74"/>
      <c r="RP96" s="75"/>
      <c r="RQ96" s="73"/>
      <c r="RR96" s="74"/>
      <c r="RS96" s="76"/>
      <c r="RT96" s="77"/>
      <c r="RU96" s="74"/>
      <c r="RV96" s="74"/>
      <c r="RW96" s="72"/>
      <c r="RX96" s="73"/>
      <c r="RY96" s="74"/>
      <c r="RZ96" s="75"/>
      <c r="SA96" s="73"/>
      <c r="SB96" s="74"/>
      <c r="SC96" s="75"/>
      <c r="SD96" s="73"/>
      <c r="SE96" s="74"/>
      <c r="SF96" s="75"/>
      <c r="SG96" s="73"/>
      <c r="SH96" s="74"/>
      <c r="SI96" s="76"/>
      <c r="SJ96" s="64">
        <f t="shared" ref="SJ96:SJ107" si="2122">SH96-SI96</f>
        <v>0</v>
      </c>
      <c r="SK96" s="62"/>
      <c r="SL96" s="63"/>
      <c r="SM96" s="64">
        <f t="shared" ref="SM96:SM107" si="2123">SK96-SL96</f>
        <v>0</v>
      </c>
      <c r="SN96" s="65"/>
      <c r="SO96" s="63"/>
      <c r="SP96" s="64">
        <f t="shared" ref="SP96:SP107" si="2124">SN96-SO96</f>
        <v>0</v>
      </c>
      <c r="SQ96" s="65"/>
      <c r="SR96" s="63"/>
      <c r="SS96" s="64">
        <f t="shared" ref="SS96:SS107" si="2125">SQ96-SR96</f>
        <v>0</v>
      </c>
      <c r="ST96" s="65">
        <v>100</v>
      </c>
      <c r="SU96" s="63"/>
      <c r="SV96" s="64">
        <f t="shared" ref="SV96:SV107" si="2126">ST96-SU96</f>
        <v>100</v>
      </c>
      <c r="SW96" s="66">
        <f t="shared" si="1639"/>
        <v>100</v>
      </c>
      <c r="SX96" s="67">
        <f t="shared" ref="SX96:SX107" si="2127">SL96+SO96+SR96++SU96</f>
        <v>0</v>
      </c>
      <c r="SY96" s="64">
        <f t="shared" ref="SY96:SY107" si="2128">SW96-SX96</f>
        <v>100</v>
      </c>
      <c r="SZ96" s="62">
        <v>985.33</v>
      </c>
      <c r="TA96" s="63"/>
      <c r="TB96" s="64">
        <f t="shared" ref="TB96:TB107" si="2129">SZ96-TA96</f>
        <v>985.33</v>
      </c>
      <c r="TC96" s="65">
        <v>700.9</v>
      </c>
      <c r="TD96" s="63"/>
      <c r="TE96" s="64">
        <f t="shared" ref="TE96:TE107" si="2130">TC96-TD96</f>
        <v>700.9</v>
      </c>
      <c r="TF96" s="65"/>
      <c r="TG96" s="63"/>
      <c r="TH96" s="64">
        <f t="shared" ref="TH96:TH107" si="2131">TF96-TG96</f>
        <v>0</v>
      </c>
      <c r="TI96" s="65">
        <v>100</v>
      </c>
      <c r="TJ96" s="63"/>
      <c r="TK96" s="64">
        <f t="shared" ref="TK96:TK107" si="2132">TI96-TJ96</f>
        <v>100</v>
      </c>
      <c r="TL96" s="66">
        <f t="shared" si="1646"/>
        <v>1786.23</v>
      </c>
      <c r="TM96" s="67">
        <f t="shared" ref="TM96:TM107" si="2133">TA96+TD96+TG96++TJ96</f>
        <v>0</v>
      </c>
      <c r="TN96" s="64">
        <f t="shared" ref="TN96:TN107" si="2134">TL96-TM96</f>
        <v>1786.23</v>
      </c>
      <c r="TO96" s="62"/>
      <c r="TP96" s="63"/>
      <c r="TQ96" s="64">
        <f t="shared" ref="TQ96:TQ107" si="2135">TO96-TP96</f>
        <v>0</v>
      </c>
      <c r="TR96" s="65"/>
      <c r="TS96" s="63"/>
      <c r="TT96" s="64">
        <f t="shared" ref="TT96:TT107" si="2136">TR96-TS96</f>
        <v>0</v>
      </c>
      <c r="TU96" s="65"/>
      <c r="TV96" s="63"/>
      <c r="TW96" s="64">
        <f t="shared" ref="TW96:TW107" si="2137">TU96-TV96</f>
        <v>0</v>
      </c>
      <c r="TX96" s="65">
        <v>100</v>
      </c>
      <c r="TY96" s="63"/>
      <c r="TZ96" s="64">
        <f t="shared" ref="TZ96:TZ107" si="2138">TX96-TY96</f>
        <v>100</v>
      </c>
      <c r="UA96" s="66">
        <f t="shared" si="1653"/>
        <v>100</v>
      </c>
      <c r="UB96" s="67">
        <f t="shared" ref="UB96:UB107" si="2139">TP96+TS96+TV96++TY96</f>
        <v>0</v>
      </c>
      <c r="UC96" s="64">
        <f t="shared" ref="UC96:UC107" si="2140">UA96-UB96</f>
        <v>100</v>
      </c>
      <c r="UD96" s="62">
        <v>1125</v>
      </c>
      <c r="UE96" s="63"/>
      <c r="UF96" s="64">
        <f t="shared" ref="UF96:UF107" si="2141">UD96-UE96</f>
        <v>1125</v>
      </c>
      <c r="UG96" s="65">
        <v>497.04</v>
      </c>
      <c r="UH96" s="63"/>
      <c r="UI96" s="64">
        <f t="shared" ref="UI96:UI107" si="2142">UG96-UH96</f>
        <v>497.04</v>
      </c>
      <c r="UJ96" s="65"/>
      <c r="UK96" s="63"/>
      <c r="UL96" s="64">
        <f t="shared" ref="UL96:UL107" si="2143">UJ96-UK96</f>
        <v>0</v>
      </c>
      <c r="UM96" s="65">
        <v>100</v>
      </c>
      <c r="UN96" s="63"/>
      <c r="UO96" s="64">
        <f t="shared" ref="UO96:UO107" si="2144">UM96-UN96</f>
        <v>100</v>
      </c>
      <c r="UP96" s="66">
        <f t="shared" si="1660"/>
        <v>1722.04</v>
      </c>
      <c r="UQ96" s="67">
        <f t="shared" ref="UQ96:UQ107" si="2145">UE96+UH96+UK96++UN96</f>
        <v>0</v>
      </c>
      <c r="UR96" s="64">
        <f t="shared" ref="UR96:UR107" si="2146">UP96-UQ96</f>
        <v>1722.04</v>
      </c>
      <c r="US96" s="74"/>
      <c r="UT96" s="72"/>
      <c r="UU96" s="73"/>
      <c r="UV96" s="74"/>
      <c r="UW96" s="75"/>
      <c r="UX96" s="73"/>
      <c r="UY96" s="74"/>
      <c r="UZ96" s="75"/>
      <c r="VA96" s="73"/>
      <c r="VB96" s="74"/>
      <c r="VC96" s="75"/>
      <c r="VD96" s="73"/>
      <c r="VE96" s="74"/>
      <c r="VF96" s="76"/>
      <c r="VG96" s="77"/>
      <c r="VH96" s="62"/>
      <c r="VI96" s="63"/>
      <c r="VJ96" s="64">
        <f t="shared" ref="VJ96:VJ107" si="2147">VH96-VI96</f>
        <v>0</v>
      </c>
      <c r="VK96" s="65"/>
      <c r="VL96" s="63"/>
      <c r="VM96" s="64">
        <f t="shared" ref="VM96:VM107" si="2148">VK96-VL96</f>
        <v>0</v>
      </c>
      <c r="VN96" s="65"/>
      <c r="VO96" s="63"/>
      <c r="VP96" s="64">
        <f t="shared" ref="VP96:VP107" si="2149">VN96-VO96</f>
        <v>0</v>
      </c>
      <c r="VQ96" s="65">
        <v>100</v>
      </c>
      <c r="VR96" s="63"/>
      <c r="VS96" s="64">
        <f t="shared" ref="VS96:VS107" si="2150">VQ96-VR96</f>
        <v>100</v>
      </c>
      <c r="VT96" s="66">
        <f t="shared" si="1667"/>
        <v>100</v>
      </c>
      <c r="VU96" s="67">
        <f t="shared" ref="VU96:VU107" si="2151">VI96+VL96+VO96++VR96</f>
        <v>0</v>
      </c>
      <c r="VV96" s="64">
        <f t="shared" ref="VV96:VV107" si="2152">VT96-VU96</f>
        <v>100</v>
      </c>
      <c r="VW96" s="74"/>
      <c r="VX96" s="72"/>
      <c r="VY96" s="73"/>
      <c r="VZ96" s="74"/>
      <c r="WA96" s="75"/>
      <c r="WB96" s="73"/>
      <c r="WC96" s="74"/>
      <c r="WD96" s="75"/>
      <c r="WE96" s="73"/>
      <c r="WF96" s="74"/>
      <c r="WG96" s="75"/>
      <c r="WH96" s="73"/>
      <c r="WI96" s="74"/>
      <c r="WJ96" s="76"/>
      <c r="WK96" s="77"/>
      <c r="WL96" s="74"/>
      <c r="WM96" s="72"/>
      <c r="WN96" s="73"/>
      <c r="WO96" s="74"/>
      <c r="WP96" s="75"/>
      <c r="WQ96" s="73"/>
      <c r="WR96" s="74"/>
      <c r="WS96" s="75"/>
      <c r="WT96" s="73"/>
      <c r="WU96" s="74"/>
      <c r="WV96" s="75"/>
      <c r="WW96" s="73"/>
      <c r="WX96" s="74"/>
      <c r="WY96" s="76"/>
      <c r="WZ96" s="77"/>
      <c r="XA96" s="74"/>
      <c r="XB96" s="72"/>
      <c r="XC96" s="73"/>
      <c r="XD96" s="74"/>
      <c r="XE96" s="75"/>
      <c r="XF96" s="73"/>
      <c r="XG96" s="74"/>
      <c r="XH96" s="75"/>
      <c r="XI96" s="73"/>
      <c r="XJ96" s="74"/>
      <c r="XK96" s="75"/>
      <c r="XL96" s="73"/>
      <c r="XM96" s="74"/>
      <c r="XN96" s="76"/>
      <c r="XO96" s="77"/>
      <c r="XP96" s="62"/>
      <c r="XQ96" s="63"/>
      <c r="XR96" s="64">
        <f t="shared" ref="XR96:XR107" si="2153">XP96-XQ96</f>
        <v>0</v>
      </c>
      <c r="XS96" s="65">
        <v>844.24</v>
      </c>
      <c r="XT96" s="63"/>
      <c r="XU96" s="64">
        <f t="shared" ref="XU96:XU107" si="2154">XS96-XT96</f>
        <v>844.24</v>
      </c>
      <c r="XV96" s="65"/>
      <c r="XW96" s="63"/>
      <c r="XX96" s="64">
        <f t="shared" ref="XX96:XX107" si="2155">XV96-XW96</f>
        <v>0</v>
      </c>
      <c r="XY96" s="65">
        <v>100</v>
      </c>
      <c r="XZ96" s="63"/>
      <c r="YA96" s="64">
        <f t="shared" ref="YA96:YA107" si="2156">XY96-XZ96</f>
        <v>100</v>
      </c>
      <c r="YB96" s="66">
        <f t="shared" si="1674"/>
        <v>944.24</v>
      </c>
      <c r="YC96" s="67">
        <f t="shared" ref="YC96:YC107" si="2157">XQ96+XT96+XW96++XZ96</f>
        <v>0</v>
      </c>
      <c r="YD96" s="64">
        <f t="shared" ref="YD96:YD107" si="2158">YB96-YC96</f>
        <v>944.24</v>
      </c>
      <c r="YE96" s="62"/>
      <c r="YF96" s="63"/>
      <c r="YG96" s="64">
        <f t="shared" ref="YG96:YG107" si="2159">YE96-YF96</f>
        <v>0</v>
      </c>
      <c r="YH96" s="65">
        <v>847.85</v>
      </c>
      <c r="YI96" s="63"/>
      <c r="YJ96" s="64">
        <f t="shared" ref="YJ96:YJ107" si="2160">YH96-YI96</f>
        <v>847.85</v>
      </c>
      <c r="YK96" s="65"/>
      <c r="YL96" s="63"/>
      <c r="YM96" s="64">
        <f t="shared" ref="YM96:YM107" si="2161">YK96-YL96</f>
        <v>0</v>
      </c>
      <c r="YN96" s="65">
        <v>100</v>
      </c>
      <c r="YO96" s="63"/>
      <c r="YP96" s="64">
        <f t="shared" ref="YP96:YP107" si="2162">YN96-YO96</f>
        <v>100</v>
      </c>
      <c r="YQ96" s="66">
        <f t="shared" si="1681"/>
        <v>947.85</v>
      </c>
      <c r="YR96" s="67">
        <f t="shared" ref="YR96:YR107" si="2163">YF96+YI96+YL96++YO96</f>
        <v>0</v>
      </c>
      <c r="YS96" s="64">
        <f t="shared" ref="YS96:YS107" si="2164">YQ96-YR96</f>
        <v>947.85</v>
      </c>
      <c r="YT96" s="62"/>
      <c r="YU96" s="63"/>
      <c r="YV96" s="64">
        <f t="shared" ref="YV96:YV107" si="2165">YT96-YU96</f>
        <v>0</v>
      </c>
      <c r="YW96" s="65">
        <v>695.73</v>
      </c>
      <c r="YX96" s="63"/>
      <c r="YY96" s="64">
        <f t="shared" ref="YY96:YY107" si="2166">YW96-YX96</f>
        <v>695.73</v>
      </c>
      <c r="YZ96" s="65"/>
      <c r="ZA96" s="63"/>
      <c r="ZB96" s="64">
        <f t="shared" ref="ZB96:ZB107" si="2167">YZ96-ZA96</f>
        <v>0</v>
      </c>
      <c r="ZC96" s="65">
        <v>100</v>
      </c>
      <c r="ZD96" s="63"/>
      <c r="ZE96" s="64">
        <f t="shared" ref="ZE96:ZE107" si="2168">ZC96-ZD96</f>
        <v>100</v>
      </c>
      <c r="ZF96" s="66">
        <f t="shared" si="1688"/>
        <v>795.73</v>
      </c>
      <c r="ZG96" s="67">
        <f t="shared" ref="ZG96:ZG107" si="2169">YU96+YX96+ZA96++ZD96</f>
        <v>0</v>
      </c>
      <c r="ZH96" s="74"/>
      <c r="ZI96" s="72"/>
      <c r="ZJ96" s="73"/>
      <c r="ZK96" s="74"/>
      <c r="ZL96" s="75"/>
      <c r="ZM96" s="73"/>
      <c r="ZN96" s="74"/>
      <c r="ZO96" s="75"/>
      <c r="ZP96" s="73"/>
      <c r="ZQ96" s="74"/>
      <c r="ZR96" s="75"/>
      <c r="ZS96" s="73"/>
      <c r="ZT96" s="74"/>
      <c r="ZU96" s="76"/>
      <c r="ZV96" s="77"/>
      <c r="ZW96" s="64">
        <f t="shared" ref="ZW96:ZW107" si="2170">ZU96-ZV96</f>
        <v>0</v>
      </c>
      <c r="ZX96" s="62">
        <v>24.71</v>
      </c>
      <c r="ZY96" s="63"/>
      <c r="ZZ96" s="64">
        <f t="shared" ref="ZZ96:ZZ107" si="2171">ZX96-ZY96</f>
        <v>24.71</v>
      </c>
      <c r="AAA96" s="66">
        <f t="shared" si="1692"/>
        <v>24.71</v>
      </c>
      <c r="AAB96" s="67">
        <f t="shared" si="1692"/>
        <v>0</v>
      </c>
      <c r="AAC96" s="64">
        <f t="shared" ref="AAC96:AAC107" si="2172">AAA96-AAB96</f>
        <v>24.71</v>
      </c>
      <c r="AAD96" s="78">
        <f t="shared" si="1694"/>
        <v>29217.870000000003</v>
      </c>
      <c r="AAE96" s="79">
        <f t="shared" si="1694"/>
        <v>0</v>
      </c>
      <c r="AAF96" s="80">
        <f t="shared" si="1457"/>
        <v>0</v>
      </c>
      <c r="AAG96" s="81">
        <f t="shared" ref="AAG96:AAG107" si="2173">AAE96-AAD96</f>
        <v>-29217.870000000003</v>
      </c>
      <c r="AAH96" s="58" t="s">
        <v>136</v>
      </c>
      <c r="AAI96" s="59"/>
      <c r="AAJ96" s="59"/>
      <c r="AAK96" s="60">
        <v>2029</v>
      </c>
    </row>
    <row r="97" spans="1:713" s="83" customFormat="1" ht="20" customHeight="1" x14ac:dyDescent="0.2">
      <c r="A97" s="153"/>
      <c r="B97" s="58"/>
      <c r="C97" s="59"/>
      <c r="D97" s="59"/>
      <c r="E97" s="60"/>
      <c r="F97" s="61">
        <v>47150</v>
      </c>
      <c r="G97" s="62"/>
      <c r="H97" s="63"/>
      <c r="I97" s="64">
        <f t="shared" si="1969"/>
        <v>0</v>
      </c>
      <c r="J97" s="65">
        <v>4160.16</v>
      </c>
      <c r="K97" s="63"/>
      <c r="L97" s="64">
        <f t="shared" si="1970"/>
        <v>4160.16</v>
      </c>
      <c r="M97" s="65">
        <v>2500</v>
      </c>
      <c r="N97" s="63"/>
      <c r="O97" s="64">
        <f t="shared" si="1971"/>
        <v>2500</v>
      </c>
      <c r="P97" s="65">
        <v>500</v>
      </c>
      <c r="Q97" s="63"/>
      <c r="R97" s="64">
        <f t="shared" si="1972"/>
        <v>500</v>
      </c>
      <c r="S97" s="65">
        <v>181</v>
      </c>
      <c r="T97" s="63"/>
      <c r="U97" s="64">
        <f t="shared" si="1973"/>
        <v>181</v>
      </c>
      <c r="V97" s="66">
        <f t="shared" si="1974"/>
        <v>7341.16</v>
      </c>
      <c r="W97" s="67">
        <f t="shared" si="1974"/>
        <v>0</v>
      </c>
      <c r="X97" s="64">
        <f t="shared" si="1975"/>
        <v>7341.16</v>
      </c>
      <c r="Y97" s="72"/>
      <c r="Z97" s="73"/>
      <c r="AA97" s="74"/>
      <c r="AB97" s="75"/>
      <c r="AC97" s="73"/>
      <c r="AD97" s="74"/>
      <c r="AE97" s="75"/>
      <c r="AF97" s="73"/>
      <c r="AG97" s="74"/>
      <c r="AH97" s="75"/>
      <c r="AI97" s="73"/>
      <c r="AJ97" s="74"/>
      <c r="AK97" s="76"/>
      <c r="AL97" s="77"/>
      <c r="AM97" s="64">
        <f t="shared" si="1976"/>
        <v>0</v>
      </c>
      <c r="AN97" s="62"/>
      <c r="AO97" s="63"/>
      <c r="AP97" s="64">
        <f t="shared" ref="AP97:AP107" si="2174">AN97-AO97</f>
        <v>0</v>
      </c>
      <c r="AQ97" s="65"/>
      <c r="AR97" s="63"/>
      <c r="AS97" s="64">
        <f t="shared" si="1977"/>
        <v>0</v>
      </c>
      <c r="AT97" s="65"/>
      <c r="AU97" s="63"/>
      <c r="AV97" s="64">
        <f t="shared" si="1978"/>
        <v>0</v>
      </c>
      <c r="AW97" s="65"/>
      <c r="AX97" s="63"/>
      <c r="AY97" s="64">
        <f t="shared" si="1979"/>
        <v>0</v>
      </c>
      <c r="AZ97" s="66">
        <f t="shared" si="1469"/>
        <v>0</v>
      </c>
      <c r="BA97" s="67">
        <f t="shared" si="1980"/>
        <v>0</v>
      </c>
      <c r="BB97" s="64">
        <f t="shared" si="1981"/>
        <v>0</v>
      </c>
      <c r="BC97" s="62">
        <v>6150</v>
      </c>
      <c r="BD97" s="63"/>
      <c r="BE97" s="64">
        <f t="shared" si="1982"/>
        <v>6150</v>
      </c>
      <c r="BF97" s="65"/>
      <c r="BG97" s="63"/>
      <c r="BH97" s="64">
        <f t="shared" si="1983"/>
        <v>0</v>
      </c>
      <c r="BI97" s="65"/>
      <c r="BJ97" s="63"/>
      <c r="BK97" s="64">
        <f t="shared" si="1984"/>
        <v>0</v>
      </c>
      <c r="BL97" s="65">
        <v>100</v>
      </c>
      <c r="BM97" s="63"/>
      <c r="BN97" s="64">
        <f t="shared" si="1985"/>
        <v>100</v>
      </c>
      <c r="BO97" s="66">
        <f t="shared" si="1476"/>
        <v>6250</v>
      </c>
      <c r="BP97" s="67">
        <f t="shared" si="1986"/>
        <v>0</v>
      </c>
      <c r="BQ97" s="64">
        <f t="shared" si="1987"/>
        <v>6250</v>
      </c>
      <c r="BR97" s="72"/>
      <c r="BS97" s="73"/>
      <c r="BT97" s="74"/>
      <c r="BU97" s="75"/>
      <c r="BV97" s="73"/>
      <c r="BW97" s="74"/>
      <c r="BX97" s="75"/>
      <c r="BY97" s="73"/>
      <c r="BZ97" s="74"/>
      <c r="CA97" s="75"/>
      <c r="CB97" s="73"/>
      <c r="CC97" s="74"/>
      <c r="CD97" s="76"/>
      <c r="CE97" s="77"/>
      <c r="CF97" s="64">
        <f t="shared" si="1988"/>
        <v>0</v>
      </c>
      <c r="CG97" s="62"/>
      <c r="CH97" s="63"/>
      <c r="CI97" s="64">
        <f t="shared" si="1989"/>
        <v>0</v>
      </c>
      <c r="CJ97" s="65"/>
      <c r="CK97" s="63"/>
      <c r="CL97" s="64">
        <f t="shared" si="1990"/>
        <v>0</v>
      </c>
      <c r="CM97" s="65"/>
      <c r="CN97" s="63"/>
      <c r="CO97" s="64">
        <f t="shared" si="1991"/>
        <v>0</v>
      </c>
      <c r="CP97" s="65"/>
      <c r="CQ97" s="63"/>
      <c r="CR97" s="64">
        <f t="shared" si="1992"/>
        <v>0</v>
      </c>
      <c r="CS97" s="66">
        <f t="shared" si="1484"/>
        <v>0</v>
      </c>
      <c r="CT97" s="67">
        <f t="shared" si="1993"/>
        <v>0</v>
      </c>
      <c r="CU97" s="64">
        <f t="shared" si="1994"/>
        <v>0</v>
      </c>
      <c r="CV97" s="62">
        <v>2916.7</v>
      </c>
      <c r="CW97" s="63"/>
      <c r="CX97" s="64">
        <f t="shared" si="1995"/>
        <v>2916.7</v>
      </c>
      <c r="CY97" s="65">
        <v>429.15</v>
      </c>
      <c r="CZ97" s="63"/>
      <c r="DA97" s="64">
        <f t="shared" si="1996"/>
        <v>429.15</v>
      </c>
      <c r="DB97" s="65"/>
      <c r="DC97" s="63"/>
      <c r="DD97" s="64">
        <f t="shared" si="1997"/>
        <v>0</v>
      </c>
      <c r="DE97" s="65"/>
      <c r="DF97" s="63"/>
      <c r="DG97" s="64">
        <f t="shared" si="1998"/>
        <v>0</v>
      </c>
      <c r="DH97" s="66">
        <f t="shared" si="1491"/>
        <v>3345.85</v>
      </c>
      <c r="DI97" s="67">
        <f t="shared" si="1999"/>
        <v>0</v>
      </c>
      <c r="DJ97" s="64">
        <f t="shared" si="2000"/>
        <v>3345.85</v>
      </c>
      <c r="DK97" s="62">
        <v>2400</v>
      </c>
      <c r="DL97" s="63"/>
      <c r="DM97" s="64">
        <f t="shared" si="2001"/>
        <v>2400</v>
      </c>
      <c r="DN97" s="65">
        <v>913.08</v>
      </c>
      <c r="DO97" s="63"/>
      <c r="DP97" s="64">
        <f t="shared" si="2002"/>
        <v>913.08</v>
      </c>
      <c r="DQ97" s="65"/>
      <c r="DR97" s="63"/>
      <c r="DS97" s="64">
        <f t="shared" si="2003"/>
        <v>0</v>
      </c>
      <c r="DT97" s="65">
        <v>100</v>
      </c>
      <c r="DU97" s="63"/>
      <c r="DV97" s="64">
        <f t="shared" si="2004"/>
        <v>100</v>
      </c>
      <c r="DW97" s="66">
        <f t="shared" si="1498"/>
        <v>3413.08</v>
      </c>
      <c r="DX97" s="67">
        <f t="shared" si="2005"/>
        <v>0</v>
      </c>
      <c r="DY97" s="64">
        <f t="shared" si="2006"/>
        <v>3413.08</v>
      </c>
      <c r="DZ97" s="62"/>
      <c r="EA97" s="63"/>
      <c r="EB97" s="64">
        <f t="shared" si="2007"/>
        <v>0</v>
      </c>
      <c r="EC97" s="65"/>
      <c r="ED97" s="63"/>
      <c r="EE97" s="64">
        <f t="shared" si="2008"/>
        <v>0</v>
      </c>
      <c r="EF97" s="65"/>
      <c r="EG97" s="63"/>
      <c r="EH97" s="64">
        <f t="shared" si="2009"/>
        <v>0</v>
      </c>
      <c r="EI97" s="65">
        <v>100</v>
      </c>
      <c r="EJ97" s="63"/>
      <c r="EK97" s="64">
        <f t="shared" si="2010"/>
        <v>100</v>
      </c>
      <c r="EL97" s="66">
        <f t="shared" si="1505"/>
        <v>100</v>
      </c>
      <c r="EM97" s="67">
        <f t="shared" si="2011"/>
        <v>0</v>
      </c>
      <c r="EN97" s="64">
        <f t="shared" si="2012"/>
        <v>100</v>
      </c>
      <c r="EO97" s="62">
        <v>6150</v>
      </c>
      <c r="EP97" s="63"/>
      <c r="EQ97" s="64">
        <f t="shared" si="2013"/>
        <v>6150</v>
      </c>
      <c r="ER97" s="65"/>
      <c r="ES97" s="63"/>
      <c r="ET97" s="64">
        <f t="shared" si="2014"/>
        <v>0</v>
      </c>
      <c r="EU97" s="65"/>
      <c r="EV97" s="63"/>
      <c r="EW97" s="64">
        <f t="shared" si="2015"/>
        <v>0</v>
      </c>
      <c r="EX97" s="65">
        <v>100</v>
      </c>
      <c r="EY97" s="63"/>
      <c r="EZ97" s="64">
        <f t="shared" si="2016"/>
        <v>100</v>
      </c>
      <c r="FA97" s="66">
        <f t="shared" si="1512"/>
        <v>6250</v>
      </c>
      <c r="FB97" s="67">
        <f t="shared" si="2017"/>
        <v>0</v>
      </c>
      <c r="FC97" s="64">
        <f t="shared" si="2018"/>
        <v>6250</v>
      </c>
      <c r="FD97" s="62">
        <v>6150</v>
      </c>
      <c r="FE97" s="63"/>
      <c r="FF97" s="64">
        <f t="shared" si="2019"/>
        <v>6150</v>
      </c>
      <c r="FG97" s="65"/>
      <c r="FH97" s="63"/>
      <c r="FI97" s="64">
        <f t="shared" si="2020"/>
        <v>0</v>
      </c>
      <c r="FJ97" s="65"/>
      <c r="FK97" s="63"/>
      <c r="FL97" s="64">
        <f t="shared" si="2021"/>
        <v>0</v>
      </c>
      <c r="FM97" s="65">
        <v>100</v>
      </c>
      <c r="FN97" s="63"/>
      <c r="FO97" s="64">
        <f t="shared" si="2022"/>
        <v>100</v>
      </c>
      <c r="FP97" s="66">
        <f t="shared" si="1519"/>
        <v>6250</v>
      </c>
      <c r="FQ97" s="67">
        <f t="shared" si="2023"/>
        <v>0</v>
      </c>
      <c r="FR97" s="64">
        <f t="shared" si="2024"/>
        <v>6250</v>
      </c>
      <c r="FS97" s="62"/>
      <c r="FT97" s="63"/>
      <c r="FU97" s="64">
        <f t="shared" si="2025"/>
        <v>0</v>
      </c>
      <c r="FV97" s="65">
        <v>485.35</v>
      </c>
      <c r="FW97" s="63"/>
      <c r="FX97" s="64">
        <f t="shared" si="2026"/>
        <v>485.35</v>
      </c>
      <c r="FY97" s="65"/>
      <c r="FZ97" s="63"/>
      <c r="GA97" s="64">
        <f t="shared" si="2027"/>
        <v>0</v>
      </c>
      <c r="GB97" s="65"/>
      <c r="GC97" s="63"/>
      <c r="GD97" s="64">
        <f t="shared" si="2028"/>
        <v>0</v>
      </c>
      <c r="GE97" s="66">
        <f t="shared" si="1526"/>
        <v>485.35</v>
      </c>
      <c r="GF97" s="67">
        <f t="shared" si="2029"/>
        <v>0</v>
      </c>
      <c r="GG97" s="64">
        <f t="shared" si="2030"/>
        <v>485.35</v>
      </c>
      <c r="GH97" s="62"/>
      <c r="GI97" s="63"/>
      <c r="GJ97" s="64">
        <f t="shared" si="2031"/>
        <v>0</v>
      </c>
      <c r="GK97" s="65">
        <v>660.33</v>
      </c>
      <c r="GL97" s="63"/>
      <c r="GM97" s="64">
        <f t="shared" si="2032"/>
        <v>660.33</v>
      </c>
      <c r="GN97" s="65"/>
      <c r="GO97" s="63"/>
      <c r="GP97" s="64">
        <f t="shared" si="2033"/>
        <v>0</v>
      </c>
      <c r="GQ97" s="65"/>
      <c r="GR97" s="63"/>
      <c r="GS97" s="64">
        <f t="shared" si="2034"/>
        <v>0</v>
      </c>
      <c r="GT97" s="66">
        <f t="shared" si="1533"/>
        <v>660.33</v>
      </c>
      <c r="GU97" s="67">
        <f t="shared" si="2035"/>
        <v>0</v>
      </c>
      <c r="GV97" s="64">
        <f t="shared" si="2036"/>
        <v>660.33</v>
      </c>
      <c r="GW97" s="62"/>
      <c r="GX97" s="63"/>
      <c r="GY97" s="64">
        <f t="shared" si="2037"/>
        <v>0</v>
      </c>
      <c r="GZ97" s="65">
        <v>568.25</v>
      </c>
      <c r="HA97" s="63"/>
      <c r="HB97" s="64">
        <f t="shared" si="2038"/>
        <v>568.25</v>
      </c>
      <c r="HC97" s="65"/>
      <c r="HD97" s="63"/>
      <c r="HE97" s="64">
        <f t="shared" si="2039"/>
        <v>0</v>
      </c>
      <c r="HF97" s="65">
        <v>100</v>
      </c>
      <c r="HG97" s="63"/>
      <c r="HH97" s="64">
        <f t="shared" si="2040"/>
        <v>100</v>
      </c>
      <c r="HI97" s="66">
        <f t="shared" si="1540"/>
        <v>668.25</v>
      </c>
      <c r="HJ97" s="67">
        <f t="shared" si="2041"/>
        <v>0</v>
      </c>
      <c r="HK97" s="64">
        <f t="shared" si="2042"/>
        <v>668.25</v>
      </c>
      <c r="HL97" s="62">
        <v>6150</v>
      </c>
      <c r="HM97" s="63"/>
      <c r="HN97" s="64">
        <f t="shared" si="2043"/>
        <v>6150</v>
      </c>
      <c r="HO97" s="65"/>
      <c r="HP97" s="63"/>
      <c r="HQ97" s="64">
        <f t="shared" si="2044"/>
        <v>0</v>
      </c>
      <c r="HR97" s="65"/>
      <c r="HS97" s="63"/>
      <c r="HT97" s="64">
        <f t="shared" si="2045"/>
        <v>0</v>
      </c>
      <c r="HU97" s="65">
        <v>100</v>
      </c>
      <c r="HV97" s="63"/>
      <c r="HW97" s="64">
        <f t="shared" si="2046"/>
        <v>100</v>
      </c>
      <c r="HX97" s="66">
        <f t="shared" si="1547"/>
        <v>6250</v>
      </c>
      <c r="HY97" s="67">
        <f t="shared" si="2047"/>
        <v>0</v>
      </c>
      <c r="HZ97" s="64">
        <f t="shared" si="2048"/>
        <v>6250</v>
      </c>
      <c r="IA97" s="62"/>
      <c r="IB97" s="63"/>
      <c r="IC97" s="64">
        <f t="shared" si="2049"/>
        <v>0</v>
      </c>
      <c r="ID97" s="65"/>
      <c r="IE97" s="63"/>
      <c r="IF97" s="64">
        <f t="shared" si="2050"/>
        <v>0</v>
      </c>
      <c r="IG97" s="65"/>
      <c r="IH97" s="63"/>
      <c r="II97" s="64">
        <f t="shared" si="2051"/>
        <v>0</v>
      </c>
      <c r="IJ97" s="65">
        <v>100</v>
      </c>
      <c r="IK97" s="63"/>
      <c r="IL97" s="64">
        <f t="shared" si="2052"/>
        <v>100</v>
      </c>
      <c r="IM97" s="66">
        <f t="shared" si="1554"/>
        <v>100</v>
      </c>
      <c r="IN97" s="67">
        <f t="shared" si="2053"/>
        <v>0</v>
      </c>
      <c r="IO97" s="64">
        <f t="shared" si="2054"/>
        <v>100</v>
      </c>
      <c r="IP97" s="62"/>
      <c r="IQ97" s="63"/>
      <c r="IR97" s="64">
        <f t="shared" si="2055"/>
        <v>0</v>
      </c>
      <c r="IS97" s="65"/>
      <c r="IT97" s="63"/>
      <c r="IU97" s="64">
        <f t="shared" si="2056"/>
        <v>0</v>
      </c>
      <c r="IV97" s="65"/>
      <c r="IW97" s="63"/>
      <c r="IX97" s="64">
        <f t="shared" si="2057"/>
        <v>0</v>
      </c>
      <c r="IY97" s="65"/>
      <c r="IZ97" s="63"/>
      <c r="JA97" s="64">
        <f t="shared" si="2058"/>
        <v>0</v>
      </c>
      <c r="JB97" s="66">
        <f t="shared" si="1561"/>
        <v>0</v>
      </c>
      <c r="JC97" s="67">
        <f t="shared" si="2059"/>
        <v>0</v>
      </c>
      <c r="JD97" s="64">
        <f t="shared" si="2060"/>
        <v>0</v>
      </c>
      <c r="JE97" s="72"/>
      <c r="JF97" s="150"/>
      <c r="JG97" s="74"/>
      <c r="JH97" s="75"/>
      <c r="JI97" s="150"/>
      <c r="JJ97" s="74"/>
      <c r="JK97" s="75"/>
      <c r="JL97" s="150"/>
      <c r="JM97" s="74"/>
      <c r="JN97" s="75"/>
      <c r="JO97" s="150"/>
      <c r="JP97" s="74"/>
      <c r="JQ97" s="76"/>
      <c r="JR97" s="77"/>
      <c r="JS97" s="74"/>
      <c r="JT97" s="72"/>
      <c r="JU97" s="73"/>
      <c r="JV97" s="74"/>
      <c r="JW97" s="75"/>
      <c r="JX97" s="73"/>
      <c r="JY97" s="74"/>
      <c r="JZ97" s="75"/>
      <c r="KA97" s="73"/>
      <c r="KB97" s="74"/>
      <c r="KC97" s="75"/>
      <c r="KD97" s="73"/>
      <c r="KE97" s="74"/>
      <c r="KF97" s="76"/>
      <c r="KG97" s="77"/>
      <c r="KH97" s="64">
        <f t="shared" si="2061"/>
        <v>0</v>
      </c>
      <c r="KI97" s="62"/>
      <c r="KJ97" s="63"/>
      <c r="KK97" s="64">
        <f t="shared" si="2062"/>
        <v>0</v>
      </c>
      <c r="KL97" s="65"/>
      <c r="KM97" s="63"/>
      <c r="KN97" s="64">
        <f t="shared" si="2063"/>
        <v>0</v>
      </c>
      <c r="KO97" s="65"/>
      <c r="KP97" s="63"/>
      <c r="KQ97" s="64">
        <f t="shared" si="2064"/>
        <v>0</v>
      </c>
      <c r="KR97" s="65"/>
      <c r="KS97" s="63"/>
      <c r="KT97" s="64">
        <f t="shared" si="2065"/>
        <v>0</v>
      </c>
      <c r="KU97" s="66">
        <f t="shared" si="1439"/>
        <v>0</v>
      </c>
      <c r="KV97" s="67">
        <f t="shared" si="2066"/>
        <v>0</v>
      </c>
      <c r="KW97" s="64">
        <f t="shared" si="2067"/>
        <v>0</v>
      </c>
      <c r="KX97" s="72"/>
      <c r="KY97" s="73"/>
      <c r="KZ97" s="74"/>
      <c r="LA97" s="75"/>
      <c r="LB97" s="73"/>
      <c r="LC97" s="74"/>
      <c r="LD97" s="75"/>
      <c r="LE97" s="73"/>
      <c r="LF97" s="74"/>
      <c r="LG97" s="75"/>
      <c r="LH97" s="73"/>
      <c r="LI97" s="74"/>
      <c r="LJ97" s="76"/>
      <c r="LK97" s="77"/>
      <c r="LL97" s="74"/>
      <c r="LM97" s="62"/>
      <c r="LN97" s="63"/>
      <c r="LO97" s="64">
        <f t="shared" si="2068"/>
        <v>0</v>
      </c>
      <c r="LP97" s="65"/>
      <c r="LQ97" s="63"/>
      <c r="LR97" s="64">
        <f t="shared" si="2069"/>
        <v>0</v>
      </c>
      <c r="LS97" s="65"/>
      <c r="LT97" s="63"/>
      <c r="LU97" s="64">
        <f t="shared" si="2070"/>
        <v>0</v>
      </c>
      <c r="LV97" s="65">
        <v>100</v>
      </c>
      <c r="LW97" s="63"/>
      <c r="LX97" s="64">
        <f t="shared" si="2071"/>
        <v>100</v>
      </c>
      <c r="LY97" s="66">
        <f t="shared" si="1575"/>
        <v>100</v>
      </c>
      <c r="LZ97" s="67">
        <f t="shared" si="2072"/>
        <v>0</v>
      </c>
      <c r="MA97" s="64">
        <f t="shared" si="2073"/>
        <v>100</v>
      </c>
      <c r="MB97" s="62"/>
      <c r="MC97" s="63"/>
      <c r="MD97" s="64">
        <f t="shared" si="2074"/>
        <v>0</v>
      </c>
      <c r="ME97" s="65">
        <v>889.11</v>
      </c>
      <c r="MF97" s="63"/>
      <c r="MG97" s="64">
        <f t="shared" si="2075"/>
        <v>889.11</v>
      </c>
      <c r="MH97" s="65"/>
      <c r="MI97" s="63"/>
      <c r="MJ97" s="64">
        <f t="shared" si="2076"/>
        <v>0</v>
      </c>
      <c r="MK97" s="65">
        <v>100</v>
      </c>
      <c r="ML97" s="63"/>
      <c r="MM97" s="64">
        <f t="shared" si="2077"/>
        <v>100</v>
      </c>
      <c r="MN97" s="66">
        <f t="shared" si="1582"/>
        <v>989.11</v>
      </c>
      <c r="MO97" s="67">
        <f t="shared" si="2078"/>
        <v>0</v>
      </c>
      <c r="MP97" s="64">
        <f t="shared" si="2079"/>
        <v>989.11</v>
      </c>
      <c r="MQ97" s="62"/>
      <c r="MR97" s="63"/>
      <c r="MS97" s="64">
        <f t="shared" si="2080"/>
        <v>0</v>
      </c>
      <c r="MT97" s="65"/>
      <c r="MU97" s="63"/>
      <c r="MV97" s="64">
        <f t="shared" si="2081"/>
        <v>0</v>
      </c>
      <c r="MW97" s="65"/>
      <c r="MX97" s="63"/>
      <c r="MY97" s="64">
        <f t="shared" si="2082"/>
        <v>0</v>
      </c>
      <c r="MZ97" s="65"/>
      <c r="NA97" s="63"/>
      <c r="NB97" s="64">
        <f t="shared" si="2083"/>
        <v>0</v>
      </c>
      <c r="NC97" s="66">
        <f t="shared" si="1589"/>
        <v>0</v>
      </c>
      <c r="ND97" s="67">
        <f t="shared" si="2084"/>
        <v>0</v>
      </c>
      <c r="NE97" s="64">
        <f t="shared" si="2085"/>
        <v>0</v>
      </c>
      <c r="NF97" s="62"/>
      <c r="NG97" s="63"/>
      <c r="NH97" s="64">
        <f t="shared" si="2086"/>
        <v>0</v>
      </c>
      <c r="NI97" s="65">
        <v>1164.04</v>
      </c>
      <c r="NJ97" s="63"/>
      <c r="NK97" s="64">
        <f t="shared" si="2087"/>
        <v>1164.04</v>
      </c>
      <c r="NL97" s="65"/>
      <c r="NM97" s="63"/>
      <c r="NN97" s="64">
        <f t="shared" si="2088"/>
        <v>0</v>
      </c>
      <c r="NO97" s="65">
        <v>100</v>
      </c>
      <c r="NP97" s="63"/>
      <c r="NQ97" s="64">
        <f t="shared" si="2089"/>
        <v>100</v>
      </c>
      <c r="NR97" s="66">
        <f t="shared" si="1596"/>
        <v>1264.04</v>
      </c>
      <c r="NS97" s="67">
        <f t="shared" si="2090"/>
        <v>0</v>
      </c>
      <c r="NT97" s="64">
        <f t="shared" si="2091"/>
        <v>1264.04</v>
      </c>
      <c r="NU97" s="62"/>
      <c r="NV97" s="63"/>
      <c r="NW97" s="64">
        <f t="shared" si="2092"/>
        <v>0</v>
      </c>
      <c r="NX97" s="65">
        <v>1152.73</v>
      </c>
      <c r="NY97" s="63"/>
      <c r="NZ97" s="64">
        <f t="shared" si="2093"/>
        <v>1152.73</v>
      </c>
      <c r="OA97" s="65"/>
      <c r="OB97" s="63"/>
      <c r="OC97" s="64">
        <f t="shared" si="2094"/>
        <v>0</v>
      </c>
      <c r="OD97" s="65">
        <v>100</v>
      </c>
      <c r="OE97" s="63"/>
      <c r="OF97" s="64">
        <f t="shared" si="2095"/>
        <v>100</v>
      </c>
      <c r="OG97" s="66">
        <f t="shared" si="1603"/>
        <v>1252.73</v>
      </c>
      <c r="OH97" s="67">
        <f t="shared" si="2096"/>
        <v>0</v>
      </c>
      <c r="OI97" s="64">
        <f t="shared" si="2097"/>
        <v>1252.73</v>
      </c>
      <c r="OJ97" s="62"/>
      <c r="OK97" s="63"/>
      <c r="OL97" s="64">
        <f t="shared" si="2098"/>
        <v>0</v>
      </c>
      <c r="OM97" s="65"/>
      <c r="ON97" s="63"/>
      <c r="OO97" s="64">
        <f t="shared" si="2099"/>
        <v>0</v>
      </c>
      <c r="OP97" s="65"/>
      <c r="OQ97" s="63"/>
      <c r="OR97" s="64">
        <f t="shared" si="2100"/>
        <v>0</v>
      </c>
      <c r="OS97" s="65">
        <v>100</v>
      </c>
      <c r="OT97" s="63"/>
      <c r="OU97" s="64">
        <f t="shared" si="2101"/>
        <v>100</v>
      </c>
      <c r="OV97" s="66">
        <f t="shared" si="1610"/>
        <v>100</v>
      </c>
      <c r="OW97" s="67">
        <f t="shared" si="2102"/>
        <v>0</v>
      </c>
      <c r="OX97" s="64">
        <f t="shared" si="2103"/>
        <v>100</v>
      </c>
      <c r="OY97" s="62"/>
      <c r="OZ97" s="63"/>
      <c r="PA97" s="64">
        <f t="shared" si="2104"/>
        <v>0</v>
      </c>
      <c r="PB97" s="65"/>
      <c r="PC97" s="63"/>
      <c r="PD97" s="64">
        <f t="shared" si="2105"/>
        <v>0</v>
      </c>
      <c r="PE97" s="65"/>
      <c r="PF97" s="63"/>
      <c r="PG97" s="64">
        <f t="shared" si="2106"/>
        <v>0</v>
      </c>
      <c r="PH97" s="65">
        <v>100</v>
      </c>
      <c r="PI97" s="63"/>
      <c r="PJ97" s="64">
        <f t="shared" si="2107"/>
        <v>100</v>
      </c>
      <c r="PK97" s="66">
        <f t="shared" si="1617"/>
        <v>100</v>
      </c>
      <c r="PL97" s="67">
        <f t="shared" si="2108"/>
        <v>0</v>
      </c>
      <c r="PM97" s="64">
        <f t="shared" si="2109"/>
        <v>100</v>
      </c>
      <c r="PN97" s="62">
        <v>1550</v>
      </c>
      <c r="PO97" s="63"/>
      <c r="PP97" s="64">
        <f t="shared" si="2110"/>
        <v>1550</v>
      </c>
      <c r="PQ97" s="65"/>
      <c r="PR97" s="63"/>
      <c r="PS97" s="64">
        <f t="shared" si="2111"/>
        <v>0</v>
      </c>
      <c r="PT97" s="65"/>
      <c r="PU97" s="63"/>
      <c r="PV97" s="64">
        <f t="shared" si="2112"/>
        <v>0</v>
      </c>
      <c r="PW97" s="65">
        <v>100</v>
      </c>
      <c r="PX97" s="63"/>
      <c r="PY97" s="64">
        <f t="shared" si="2113"/>
        <v>100</v>
      </c>
      <c r="PZ97" s="66">
        <f t="shared" si="1624"/>
        <v>1650</v>
      </c>
      <c r="QA97" s="67">
        <f t="shared" si="2114"/>
        <v>0</v>
      </c>
      <c r="QB97" s="64">
        <f t="shared" si="2115"/>
        <v>1650</v>
      </c>
      <c r="QC97" s="62"/>
      <c r="QD97" s="63"/>
      <c r="QE97" s="64">
        <f t="shared" si="2116"/>
        <v>0</v>
      </c>
      <c r="QF97" s="65"/>
      <c r="QG97" s="63"/>
      <c r="QH97" s="64">
        <f t="shared" si="2117"/>
        <v>0</v>
      </c>
      <c r="QI97" s="65"/>
      <c r="QJ97" s="63"/>
      <c r="QK97" s="64">
        <f t="shared" si="2118"/>
        <v>0</v>
      </c>
      <c r="QL97" s="65">
        <v>100</v>
      </c>
      <c r="QM97" s="63"/>
      <c r="QN97" s="64">
        <f t="shared" si="2119"/>
        <v>100</v>
      </c>
      <c r="QO97" s="66">
        <f t="shared" si="1631"/>
        <v>100</v>
      </c>
      <c r="QP97" s="67">
        <f t="shared" si="2120"/>
        <v>0</v>
      </c>
      <c r="QQ97" s="64">
        <f t="shared" si="2121"/>
        <v>100</v>
      </c>
      <c r="QR97" s="74"/>
      <c r="QS97" s="74"/>
      <c r="QT97" s="72"/>
      <c r="QU97" s="73"/>
      <c r="QV97" s="74"/>
      <c r="QW97" s="75"/>
      <c r="QX97" s="73"/>
      <c r="QY97" s="74"/>
      <c r="QZ97" s="75"/>
      <c r="RA97" s="73"/>
      <c r="RB97" s="74"/>
      <c r="RC97" s="75"/>
      <c r="RD97" s="73"/>
      <c r="RE97" s="74"/>
      <c r="RF97" s="74"/>
      <c r="RG97" s="72"/>
      <c r="RH97" s="73"/>
      <c r="RI97" s="74"/>
      <c r="RJ97" s="75"/>
      <c r="RK97" s="73"/>
      <c r="RL97" s="74"/>
      <c r="RM97" s="75"/>
      <c r="RN97" s="73"/>
      <c r="RO97" s="74"/>
      <c r="RP97" s="75"/>
      <c r="RQ97" s="73"/>
      <c r="RR97" s="74"/>
      <c r="RS97" s="76"/>
      <c r="RT97" s="77"/>
      <c r="RU97" s="74"/>
      <c r="RV97" s="74"/>
      <c r="RW97" s="72"/>
      <c r="RX97" s="73"/>
      <c r="RY97" s="74"/>
      <c r="RZ97" s="75"/>
      <c r="SA97" s="73"/>
      <c r="SB97" s="74"/>
      <c r="SC97" s="75"/>
      <c r="SD97" s="73"/>
      <c r="SE97" s="74"/>
      <c r="SF97" s="75"/>
      <c r="SG97" s="73"/>
      <c r="SH97" s="74"/>
      <c r="SI97" s="76"/>
      <c r="SJ97" s="64">
        <f t="shared" si="2122"/>
        <v>0</v>
      </c>
      <c r="SK97" s="62"/>
      <c r="SL97" s="63"/>
      <c r="SM97" s="64">
        <f t="shared" si="2123"/>
        <v>0</v>
      </c>
      <c r="SN97" s="65"/>
      <c r="SO97" s="63"/>
      <c r="SP97" s="64">
        <f t="shared" si="2124"/>
        <v>0</v>
      </c>
      <c r="SQ97" s="65"/>
      <c r="SR97" s="63"/>
      <c r="SS97" s="64">
        <f t="shared" si="2125"/>
        <v>0</v>
      </c>
      <c r="ST97" s="65">
        <v>100</v>
      </c>
      <c r="SU97" s="63"/>
      <c r="SV97" s="64">
        <f t="shared" si="2126"/>
        <v>100</v>
      </c>
      <c r="SW97" s="66">
        <f t="shared" si="1639"/>
        <v>100</v>
      </c>
      <c r="SX97" s="67">
        <f t="shared" si="2127"/>
        <v>0</v>
      </c>
      <c r="SY97" s="64">
        <f t="shared" si="2128"/>
        <v>100</v>
      </c>
      <c r="SZ97" s="62">
        <v>985.33</v>
      </c>
      <c r="TA97" s="63"/>
      <c r="TB97" s="64">
        <f t="shared" si="2129"/>
        <v>985.33</v>
      </c>
      <c r="TC97" s="65">
        <v>700.9</v>
      </c>
      <c r="TD97" s="63"/>
      <c r="TE97" s="64">
        <f t="shared" si="2130"/>
        <v>700.9</v>
      </c>
      <c r="TF97" s="65">
        <v>1800</v>
      </c>
      <c r="TG97" s="63"/>
      <c r="TH97" s="64">
        <f t="shared" si="2131"/>
        <v>1800</v>
      </c>
      <c r="TI97" s="65">
        <v>100</v>
      </c>
      <c r="TJ97" s="63"/>
      <c r="TK97" s="64">
        <f t="shared" si="2132"/>
        <v>100</v>
      </c>
      <c r="TL97" s="66">
        <f t="shared" si="1646"/>
        <v>3586.23</v>
      </c>
      <c r="TM97" s="67">
        <f t="shared" si="2133"/>
        <v>0</v>
      </c>
      <c r="TN97" s="64">
        <f t="shared" si="2134"/>
        <v>3586.23</v>
      </c>
      <c r="TO97" s="62"/>
      <c r="TP97" s="63"/>
      <c r="TQ97" s="64">
        <f t="shared" si="2135"/>
        <v>0</v>
      </c>
      <c r="TR97" s="65"/>
      <c r="TS97" s="63"/>
      <c r="TT97" s="64">
        <f t="shared" si="2136"/>
        <v>0</v>
      </c>
      <c r="TU97" s="65"/>
      <c r="TV97" s="63"/>
      <c r="TW97" s="64">
        <f t="shared" si="2137"/>
        <v>0</v>
      </c>
      <c r="TX97" s="65">
        <v>100</v>
      </c>
      <c r="TY97" s="63"/>
      <c r="TZ97" s="64">
        <f t="shared" si="2138"/>
        <v>100</v>
      </c>
      <c r="UA97" s="66">
        <f t="shared" si="1653"/>
        <v>100</v>
      </c>
      <c r="UB97" s="67">
        <f t="shared" si="2139"/>
        <v>0</v>
      </c>
      <c r="UC97" s="64">
        <f t="shared" si="2140"/>
        <v>100</v>
      </c>
      <c r="UD97" s="62">
        <v>1125</v>
      </c>
      <c r="UE97" s="63"/>
      <c r="UF97" s="64">
        <f t="shared" si="2141"/>
        <v>1125</v>
      </c>
      <c r="UG97" s="65">
        <v>497.04</v>
      </c>
      <c r="UH97" s="63"/>
      <c r="UI97" s="64">
        <f t="shared" si="2142"/>
        <v>497.04</v>
      </c>
      <c r="UJ97" s="65"/>
      <c r="UK97" s="63"/>
      <c r="UL97" s="64">
        <f t="shared" si="2143"/>
        <v>0</v>
      </c>
      <c r="UM97" s="65">
        <v>100</v>
      </c>
      <c r="UN97" s="63"/>
      <c r="UO97" s="64">
        <f t="shared" si="2144"/>
        <v>100</v>
      </c>
      <c r="UP97" s="66">
        <f t="shared" si="1660"/>
        <v>1722.04</v>
      </c>
      <c r="UQ97" s="67">
        <f t="shared" si="2145"/>
        <v>0</v>
      </c>
      <c r="UR97" s="64">
        <f t="shared" si="2146"/>
        <v>1722.04</v>
      </c>
      <c r="US97" s="74"/>
      <c r="UT97" s="72"/>
      <c r="UU97" s="73"/>
      <c r="UV97" s="74"/>
      <c r="UW97" s="75"/>
      <c r="UX97" s="73"/>
      <c r="UY97" s="74"/>
      <c r="UZ97" s="75"/>
      <c r="VA97" s="73"/>
      <c r="VB97" s="74"/>
      <c r="VC97" s="75"/>
      <c r="VD97" s="73"/>
      <c r="VE97" s="74"/>
      <c r="VF97" s="76"/>
      <c r="VG97" s="77"/>
      <c r="VH97" s="62"/>
      <c r="VI97" s="63"/>
      <c r="VJ97" s="64">
        <f t="shared" si="2147"/>
        <v>0</v>
      </c>
      <c r="VK97" s="65"/>
      <c r="VL97" s="63"/>
      <c r="VM97" s="64">
        <f t="shared" si="2148"/>
        <v>0</v>
      </c>
      <c r="VN97" s="65"/>
      <c r="VO97" s="63"/>
      <c r="VP97" s="64">
        <f t="shared" si="2149"/>
        <v>0</v>
      </c>
      <c r="VQ97" s="65">
        <v>100</v>
      </c>
      <c r="VR97" s="63"/>
      <c r="VS97" s="64">
        <f t="shared" si="2150"/>
        <v>100</v>
      </c>
      <c r="VT97" s="66">
        <f t="shared" si="1667"/>
        <v>100</v>
      </c>
      <c r="VU97" s="67">
        <f t="shared" si="2151"/>
        <v>0</v>
      </c>
      <c r="VV97" s="64">
        <f t="shared" si="2152"/>
        <v>100</v>
      </c>
      <c r="VW97" s="74"/>
      <c r="VX97" s="72"/>
      <c r="VY97" s="73"/>
      <c r="VZ97" s="74"/>
      <c r="WA97" s="75"/>
      <c r="WB97" s="73"/>
      <c r="WC97" s="74"/>
      <c r="WD97" s="75"/>
      <c r="WE97" s="73"/>
      <c r="WF97" s="74"/>
      <c r="WG97" s="75"/>
      <c r="WH97" s="73"/>
      <c r="WI97" s="74"/>
      <c r="WJ97" s="76"/>
      <c r="WK97" s="77"/>
      <c r="WL97" s="74"/>
      <c r="WM97" s="72"/>
      <c r="WN97" s="73"/>
      <c r="WO97" s="74"/>
      <c r="WP97" s="75"/>
      <c r="WQ97" s="73"/>
      <c r="WR97" s="74"/>
      <c r="WS97" s="75"/>
      <c r="WT97" s="73"/>
      <c r="WU97" s="74"/>
      <c r="WV97" s="75"/>
      <c r="WW97" s="73"/>
      <c r="WX97" s="74"/>
      <c r="WY97" s="76"/>
      <c r="WZ97" s="77"/>
      <c r="XA97" s="74"/>
      <c r="XB97" s="72"/>
      <c r="XC97" s="73"/>
      <c r="XD97" s="74"/>
      <c r="XE97" s="75"/>
      <c r="XF97" s="73"/>
      <c r="XG97" s="74"/>
      <c r="XH97" s="75"/>
      <c r="XI97" s="73"/>
      <c r="XJ97" s="74"/>
      <c r="XK97" s="75"/>
      <c r="XL97" s="73"/>
      <c r="XM97" s="74"/>
      <c r="XN97" s="76"/>
      <c r="XO97" s="77"/>
      <c r="XP97" s="62"/>
      <c r="XQ97" s="63"/>
      <c r="XR97" s="64">
        <f t="shared" si="2153"/>
        <v>0</v>
      </c>
      <c r="XS97" s="65">
        <v>844.24</v>
      </c>
      <c r="XT97" s="63"/>
      <c r="XU97" s="64">
        <f t="shared" si="2154"/>
        <v>844.24</v>
      </c>
      <c r="XV97" s="65"/>
      <c r="XW97" s="63"/>
      <c r="XX97" s="64">
        <f t="shared" si="2155"/>
        <v>0</v>
      </c>
      <c r="XY97" s="65">
        <v>100</v>
      </c>
      <c r="XZ97" s="63"/>
      <c r="YA97" s="64">
        <f t="shared" si="2156"/>
        <v>100</v>
      </c>
      <c r="YB97" s="66">
        <f t="shared" si="1674"/>
        <v>944.24</v>
      </c>
      <c r="YC97" s="67">
        <f t="shared" si="2157"/>
        <v>0</v>
      </c>
      <c r="YD97" s="64">
        <f t="shared" si="2158"/>
        <v>944.24</v>
      </c>
      <c r="YE97" s="62"/>
      <c r="YF97" s="63"/>
      <c r="YG97" s="64">
        <f t="shared" si="2159"/>
        <v>0</v>
      </c>
      <c r="YH97" s="65">
        <v>847.85</v>
      </c>
      <c r="YI97" s="63"/>
      <c r="YJ97" s="64">
        <f t="shared" si="2160"/>
        <v>847.85</v>
      </c>
      <c r="YK97" s="65"/>
      <c r="YL97" s="63"/>
      <c r="YM97" s="64">
        <f t="shared" si="2161"/>
        <v>0</v>
      </c>
      <c r="YN97" s="65">
        <v>100</v>
      </c>
      <c r="YO97" s="63"/>
      <c r="YP97" s="64">
        <f t="shared" si="2162"/>
        <v>100</v>
      </c>
      <c r="YQ97" s="66">
        <f t="shared" si="1681"/>
        <v>947.85</v>
      </c>
      <c r="YR97" s="67">
        <f t="shared" si="2163"/>
        <v>0</v>
      </c>
      <c r="YS97" s="64">
        <f t="shared" si="2164"/>
        <v>947.85</v>
      </c>
      <c r="YT97" s="62"/>
      <c r="YU97" s="63"/>
      <c r="YV97" s="64">
        <f t="shared" si="2165"/>
        <v>0</v>
      </c>
      <c r="YW97" s="65">
        <v>695.73</v>
      </c>
      <c r="YX97" s="63"/>
      <c r="YY97" s="64">
        <f t="shared" si="2166"/>
        <v>695.73</v>
      </c>
      <c r="YZ97" s="65"/>
      <c r="ZA97" s="63"/>
      <c r="ZB97" s="64">
        <f t="shared" si="2167"/>
        <v>0</v>
      </c>
      <c r="ZC97" s="65">
        <v>100</v>
      </c>
      <c r="ZD97" s="63"/>
      <c r="ZE97" s="64">
        <f t="shared" si="2168"/>
        <v>100</v>
      </c>
      <c r="ZF97" s="66">
        <f t="shared" si="1688"/>
        <v>795.73</v>
      </c>
      <c r="ZG97" s="67">
        <f t="shared" si="2169"/>
        <v>0</v>
      </c>
      <c r="ZH97" s="74"/>
      <c r="ZI97" s="72"/>
      <c r="ZJ97" s="73"/>
      <c r="ZK97" s="74"/>
      <c r="ZL97" s="75"/>
      <c r="ZM97" s="73"/>
      <c r="ZN97" s="74"/>
      <c r="ZO97" s="75"/>
      <c r="ZP97" s="73"/>
      <c r="ZQ97" s="74"/>
      <c r="ZR97" s="75"/>
      <c r="ZS97" s="73"/>
      <c r="ZT97" s="74"/>
      <c r="ZU97" s="76"/>
      <c r="ZV97" s="77"/>
      <c r="ZW97" s="64">
        <f t="shared" si="2170"/>
        <v>0</v>
      </c>
      <c r="ZX97" s="62">
        <v>24.71</v>
      </c>
      <c r="ZY97" s="63"/>
      <c r="ZZ97" s="64">
        <f t="shared" si="2171"/>
        <v>24.71</v>
      </c>
      <c r="AAA97" s="66">
        <f t="shared" si="1692"/>
        <v>24.71</v>
      </c>
      <c r="AAB97" s="67">
        <f t="shared" si="1692"/>
        <v>0</v>
      </c>
      <c r="AAC97" s="64">
        <f t="shared" si="2172"/>
        <v>24.71</v>
      </c>
      <c r="AAD97" s="85">
        <f t="shared" si="1694"/>
        <v>54965.990000000005</v>
      </c>
      <c r="AAE97" s="86">
        <f t="shared" si="1694"/>
        <v>0</v>
      </c>
      <c r="AAF97" s="87">
        <f t="shared" si="1457"/>
        <v>0</v>
      </c>
      <c r="AAG97" s="88">
        <f t="shared" si="2173"/>
        <v>-54965.990000000005</v>
      </c>
      <c r="AAH97" s="58"/>
      <c r="AAI97" s="59"/>
      <c r="AAJ97" s="59"/>
      <c r="AAK97" s="60"/>
    </row>
    <row r="98" spans="1:713" s="83" customFormat="1" ht="20" customHeight="1" x14ac:dyDescent="0.2">
      <c r="A98" s="152"/>
      <c r="B98" s="89">
        <f>AAH98</f>
        <v>1396140.5599999998</v>
      </c>
      <c r="C98" s="90"/>
      <c r="D98" s="90"/>
      <c r="E98" s="60"/>
      <c r="F98" s="61">
        <v>47178</v>
      </c>
      <c r="G98" s="62"/>
      <c r="H98" s="63"/>
      <c r="I98" s="64">
        <f t="shared" si="1969"/>
        <v>0</v>
      </c>
      <c r="J98" s="65">
        <v>4134.46</v>
      </c>
      <c r="K98" s="63"/>
      <c r="L98" s="64">
        <f t="shared" si="1970"/>
        <v>4134.46</v>
      </c>
      <c r="M98" s="65">
        <v>2500</v>
      </c>
      <c r="N98" s="63"/>
      <c r="O98" s="64">
        <f t="shared" si="1971"/>
        <v>2500</v>
      </c>
      <c r="P98" s="65">
        <v>500</v>
      </c>
      <c r="Q98" s="63"/>
      <c r="R98" s="64">
        <f t="shared" si="1972"/>
        <v>500</v>
      </c>
      <c r="S98" s="65">
        <v>181</v>
      </c>
      <c r="T98" s="63"/>
      <c r="U98" s="64">
        <f t="shared" si="1973"/>
        <v>181</v>
      </c>
      <c r="V98" s="66">
        <f t="shared" si="1974"/>
        <v>7315.46</v>
      </c>
      <c r="W98" s="67">
        <f t="shared" si="1974"/>
        <v>0</v>
      </c>
      <c r="X98" s="64">
        <f t="shared" si="1975"/>
        <v>7315.46</v>
      </c>
      <c r="Y98" s="72"/>
      <c r="Z98" s="73"/>
      <c r="AA98" s="74"/>
      <c r="AB98" s="75"/>
      <c r="AC98" s="73"/>
      <c r="AD98" s="74"/>
      <c r="AE98" s="75"/>
      <c r="AF98" s="73"/>
      <c r="AG98" s="74"/>
      <c r="AH98" s="75"/>
      <c r="AI98" s="73"/>
      <c r="AJ98" s="74"/>
      <c r="AK98" s="76"/>
      <c r="AL98" s="77"/>
      <c r="AM98" s="64">
        <f t="shared" si="1976"/>
        <v>0</v>
      </c>
      <c r="AN98" s="62"/>
      <c r="AO98" s="63"/>
      <c r="AP98" s="64">
        <f t="shared" si="2174"/>
        <v>0</v>
      </c>
      <c r="AQ98" s="65"/>
      <c r="AR98" s="63"/>
      <c r="AS98" s="64">
        <f t="shared" si="1977"/>
        <v>0</v>
      </c>
      <c r="AT98" s="65"/>
      <c r="AU98" s="63"/>
      <c r="AV98" s="64">
        <f t="shared" si="1978"/>
        <v>0</v>
      </c>
      <c r="AW98" s="65"/>
      <c r="AX98" s="63"/>
      <c r="AY98" s="64">
        <f t="shared" si="1979"/>
        <v>0</v>
      </c>
      <c r="AZ98" s="66">
        <f t="shared" si="1469"/>
        <v>0</v>
      </c>
      <c r="BA98" s="67">
        <f t="shared" si="1980"/>
        <v>0</v>
      </c>
      <c r="BB98" s="64">
        <f t="shared" si="1981"/>
        <v>0</v>
      </c>
      <c r="BC98" s="62"/>
      <c r="BD98" s="63"/>
      <c r="BE98" s="64">
        <f t="shared" si="1982"/>
        <v>0</v>
      </c>
      <c r="BF98" s="65"/>
      <c r="BG98" s="63"/>
      <c r="BH98" s="64">
        <f t="shared" si="1983"/>
        <v>0</v>
      </c>
      <c r="BI98" s="65"/>
      <c r="BJ98" s="63"/>
      <c r="BK98" s="64">
        <f t="shared" si="1984"/>
        <v>0</v>
      </c>
      <c r="BL98" s="65">
        <v>100</v>
      </c>
      <c r="BM98" s="63"/>
      <c r="BN98" s="64">
        <f t="shared" si="1985"/>
        <v>100</v>
      </c>
      <c r="BO98" s="66">
        <f t="shared" si="1476"/>
        <v>100</v>
      </c>
      <c r="BP98" s="67">
        <f t="shared" si="1986"/>
        <v>0</v>
      </c>
      <c r="BQ98" s="64">
        <f t="shared" si="1987"/>
        <v>100</v>
      </c>
      <c r="BR98" s="72"/>
      <c r="BS98" s="73"/>
      <c r="BT98" s="74"/>
      <c r="BU98" s="75"/>
      <c r="BV98" s="73"/>
      <c r="BW98" s="74"/>
      <c r="BX98" s="75"/>
      <c r="BY98" s="73"/>
      <c r="BZ98" s="74"/>
      <c r="CA98" s="75"/>
      <c r="CB98" s="73"/>
      <c r="CC98" s="74"/>
      <c r="CD98" s="76"/>
      <c r="CE98" s="77"/>
      <c r="CF98" s="64">
        <f t="shared" si="1988"/>
        <v>0</v>
      </c>
      <c r="CG98" s="62"/>
      <c r="CH98" s="63"/>
      <c r="CI98" s="64">
        <f t="shared" si="1989"/>
        <v>0</v>
      </c>
      <c r="CJ98" s="65"/>
      <c r="CK98" s="63"/>
      <c r="CL98" s="64">
        <f t="shared" si="1990"/>
        <v>0</v>
      </c>
      <c r="CM98" s="65"/>
      <c r="CN98" s="63"/>
      <c r="CO98" s="64">
        <f t="shared" si="1991"/>
        <v>0</v>
      </c>
      <c r="CP98" s="65"/>
      <c r="CQ98" s="63"/>
      <c r="CR98" s="64">
        <f t="shared" si="1992"/>
        <v>0</v>
      </c>
      <c r="CS98" s="66">
        <f t="shared" si="1484"/>
        <v>0</v>
      </c>
      <c r="CT98" s="67">
        <f t="shared" si="1993"/>
        <v>0</v>
      </c>
      <c r="CU98" s="64">
        <f t="shared" si="1994"/>
        <v>0</v>
      </c>
      <c r="CV98" s="62">
        <v>2916.7</v>
      </c>
      <c r="CW98" s="63"/>
      <c r="CX98" s="64">
        <f t="shared" si="1995"/>
        <v>2916.7</v>
      </c>
      <c r="CY98" s="65">
        <v>429.15</v>
      </c>
      <c r="CZ98" s="63"/>
      <c r="DA98" s="64">
        <f t="shared" si="1996"/>
        <v>429.15</v>
      </c>
      <c r="DB98" s="65"/>
      <c r="DC98" s="63"/>
      <c r="DD98" s="64">
        <f t="shared" si="1997"/>
        <v>0</v>
      </c>
      <c r="DE98" s="65"/>
      <c r="DF98" s="63"/>
      <c r="DG98" s="64">
        <f t="shared" si="1998"/>
        <v>0</v>
      </c>
      <c r="DH98" s="66">
        <f t="shared" si="1491"/>
        <v>3345.85</v>
      </c>
      <c r="DI98" s="67">
        <f t="shared" si="1999"/>
        <v>0</v>
      </c>
      <c r="DJ98" s="64">
        <f t="shared" si="2000"/>
        <v>3345.85</v>
      </c>
      <c r="DK98" s="62">
        <v>2400</v>
      </c>
      <c r="DL98" s="63"/>
      <c r="DM98" s="64">
        <f t="shared" si="2001"/>
        <v>2400</v>
      </c>
      <c r="DN98" s="65">
        <v>913.08</v>
      </c>
      <c r="DO98" s="63"/>
      <c r="DP98" s="64">
        <f t="shared" si="2002"/>
        <v>913.08</v>
      </c>
      <c r="DQ98" s="65"/>
      <c r="DR98" s="63"/>
      <c r="DS98" s="64">
        <f t="shared" si="2003"/>
        <v>0</v>
      </c>
      <c r="DT98" s="65">
        <v>100</v>
      </c>
      <c r="DU98" s="63"/>
      <c r="DV98" s="64">
        <f t="shared" si="2004"/>
        <v>100</v>
      </c>
      <c r="DW98" s="66">
        <f t="shared" si="1498"/>
        <v>3413.08</v>
      </c>
      <c r="DX98" s="67">
        <f t="shared" si="2005"/>
        <v>0</v>
      </c>
      <c r="DY98" s="64">
        <f t="shared" si="2006"/>
        <v>3413.08</v>
      </c>
      <c r="DZ98" s="62"/>
      <c r="EA98" s="63"/>
      <c r="EB98" s="64">
        <f t="shared" si="2007"/>
        <v>0</v>
      </c>
      <c r="EC98" s="65"/>
      <c r="ED98" s="63"/>
      <c r="EE98" s="64">
        <f t="shared" si="2008"/>
        <v>0</v>
      </c>
      <c r="EF98" s="65"/>
      <c r="EG98" s="63"/>
      <c r="EH98" s="64">
        <f t="shared" si="2009"/>
        <v>0</v>
      </c>
      <c r="EI98" s="65">
        <v>100</v>
      </c>
      <c r="EJ98" s="63"/>
      <c r="EK98" s="64">
        <f t="shared" si="2010"/>
        <v>100</v>
      </c>
      <c r="EL98" s="66">
        <f t="shared" si="1505"/>
        <v>100</v>
      </c>
      <c r="EM98" s="67">
        <f t="shared" si="2011"/>
        <v>0</v>
      </c>
      <c r="EN98" s="64">
        <f t="shared" si="2012"/>
        <v>100</v>
      </c>
      <c r="EO98" s="62"/>
      <c r="EP98" s="63"/>
      <c r="EQ98" s="64">
        <f t="shared" si="2013"/>
        <v>0</v>
      </c>
      <c r="ER98" s="65"/>
      <c r="ES98" s="63"/>
      <c r="ET98" s="64">
        <f t="shared" si="2014"/>
        <v>0</v>
      </c>
      <c r="EU98" s="65"/>
      <c r="EV98" s="63"/>
      <c r="EW98" s="64">
        <f t="shared" si="2015"/>
        <v>0</v>
      </c>
      <c r="EX98" s="65">
        <v>100</v>
      </c>
      <c r="EY98" s="63"/>
      <c r="EZ98" s="64">
        <f t="shared" si="2016"/>
        <v>100</v>
      </c>
      <c r="FA98" s="66">
        <f t="shared" si="1512"/>
        <v>100</v>
      </c>
      <c r="FB98" s="67">
        <f t="shared" si="2017"/>
        <v>0</v>
      </c>
      <c r="FC98" s="64">
        <f t="shared" si="2018"/>
        <v>100</v>
      </c>
      <c r="FD98" s="62"/>
      <c r="FE98" s="63"/>
      <c r="FF98" s="64">
        <f t="shared" si="2019"/>
        <v>0</v>
      </c>
      <c r="FG98" s="65"/>
      <c r="FH98" s="63"/>
      <c r="FI98" s="64">
        <f t="shared" si="2020"/>
        <v>0</v>
      </c>
      <c r="FJ98" s="65"/>
      <c r="FK98" s="63"/>
      <c r="FL98" s="64">
        <f t="shared" si="2021"/>
        <v>0</v>
      </c>
      <c r="FM98" s="65">
        <v>100</v>
      </c>
      <c r="FN98" s="63"/>
      <c r="FO98" s="64">
        <f t="shared" si="2022"/>
        <v>100</v>
      </c>
      <c r="FP98" s="66">
        <f t="shared" si="1519"/>
        <v>100</v>
      </c>
      <c r="FQ98" s="67">
        <f t="shared" si="2023"/>
        <v>0</v>
      </c>
      <c r="FR98" s="64">
        <f t="shared" si="2024"/>
        <v>100</v>
      </c>
      <c r="FS98" s="62"/>
      <c r="FT98" s="63"/>
      <c r="FU98" s="64">
        <f t="shared" si="2025"/>
        <v>0</v>
      </c>
      <c r="FV98" s="65">
        <v>485.35</v>
      </c>
      <c r="FW98" s="63"/>
      <c r="FX98" s="64">
        <f t="shared" si="2026"/>
        <v>485.35</v>
      </c>
      <c r="FY98" s="65">
        <v>3650</v>
      </c>
      <c r="FZ98" s="63"/>
      <c r="GA98" s="64">
        <f t="shared" si="2027"/>
        <v>3650</v>
      </c>
      <c r="GB98" s="65"/>
      <c r="GC98" s="63"/>
      <c r="GD98" s="64">
        <f t="shared" si="2028"/>
        <v>0</v>
      </c>
      <c r="GE98" s="66">
        <f t="shared" si="1526"/>
        <v>4135.3500000000004</v>
      </c>
      <c r="GF98" s="67">
        <f t="shared" si="2029"/>
        <v>0</v>
      </c>
      <c r="GG98" s="64">
        <f t="shared" si="2030"/>
        <v>4135.3500000000004</v>
      </c>
      <c r="GH98" s="62"/>
      <c r="GI98" s="63"/>
      <c r="GJ98" s="64">
        <f t="shared" si="2031"/>
        <v>0</v>
      </c>
      <c r="GK98" s="65">
        <v>660.33</v>
      </c>
      <c r="GL98" s="63"/>
      <c r="GM98" s="64">
        <f t="shared" si="2032"/>
        <v>660.33</v>
      </c>
      <c r="GN98" s="65">
        <v>3650</v>
      </c>
      <c r="GO98" s="63"/>
      <c r="GP98" s="64">
        <f t="shared" si="2033"/>
        <v>3650</v>
      </c>
      <c r="GQ98" s="65"/>
      <c r="GR98" s="63"/>
      <c r="GS98" s="64">
        <f t="shared" si="2034"/>
        <v>0</v>
      </c>
      <c r="GT98" s="66">
        <f t="shared" si="1533"/>
        <v>4310.33</v>
      </c>
      <c r="GU98" s="67">
        <f t="shared" si="2035"/>
        <v>0</v>
      </c>
      <c r="GV98" s="64">
        <f t="shared" si="2036"/>
        <v>4310.33</v>
      </c>
      <c r="GW98" s="62"/>
      <c r="GX98" s="63"/>
      <c r="GY98" s="64">
        <f t="shared" si="2037"/>
        <v>0</v>
      </c>
      <c r="GZ98" s="65">
        <v>568.25</v>
      </c>
      <c r="HA98" s="63"/>
      <c r="HB98" s="64">
        <f t="shared" si="2038"/>
        <v>568.25</v>
      </c>
      <c r="HC98" s="65"/>
      <c r="HD98" s="63"/>
      <c r="HE98" s="64">
        <f t="shared" si="2039"/>
        <v>0</v>
      </c>
      <c r="HF98" s="65">
        <v>100</v>
      </c>
      <c r="HG98" s="63"/>
      <c r="HH98" s="64">
        <f t="shared" si="2040"/>
        <v>100</v>
      </c>
      <c r="HI98" s="66">
        <f t="shared" si="1540"/>
        <v>668.25</v>
      </c>
      <c r="HJ98" s="67">
        <f t="shared" si="2041"/>
        <v>0</v>
      </c>
      <c r="HK98" s="64">
        <f t="shared" si="2042"/>
        <v>668.25</v>
      </c>
      <c r="HL98" s="62"/>
      <c r="HM98" s="63"/>
      <c r="HN98" s="64">
        <f t="shared" si="2043"/>
        <v>0</v>
      </c>
      <c r="HO98" s="65"/>
      <c r="HP98" s="63"/>
      <c r="HQ98" s="64">
        <f t="shared" si="2044"/>
        <v>0</v>
      </c>
      <c r="HR98" s="65"/>
      <c r="HS98" s="63"/>
      <c r="HT98" s="64">
        <f t="shared" si="2045"/>
        <v>0</v>
      </c>
      <c r="HU98" s="65">
        <v>100</v>
      </c>
      <c r="HV98" s="63"/>
      <c r="HW98" s="64">
        <f t="shared" si="2046"/>
        <v>100</v>
      </c>
      <c r="HX98" s="66">
        <f t="shared" si="1547"/>
        <v>100</v>
      </c>
      <c r="HY98" s="67">
        <f t="shared" si="2047"/>
        <v>0</v>
      </c>
      <c r="HZ98" s="64">
        <f t="shared" si="2048"/>
        <v>100</v>
      </c>
      <c r="IA98" s="62"/>
      <c r="IB98" s="63"/>
      <c r="IC98" s="64">
        <f t="shared" si="2049"/>
        <v>0</v>
      </c>
      <c r="ID98" s="65"/>
      <c r="IE98" s="63"/>
      <c r="IF98" s="64">
        <f t="shared" si="2050"/>
        <v>0</v>
      </c>
      <c r="IG98" s="65"/>
      <c r="IH98" s="63"/>
      <c r="II98" s="64">
        <f t="shared" si="2051"/>
        <v>0</v>
      </c>
      <c r="IJ98" s="65">
        <v>100</v>
      </c>
      <c r="IK98" s="63"/>
      <c r="IL98" s="64">
        <f t="shared" si="2052"/>
        <v>100</v>
      </c>
      <c r="IM98" s="66">
        <f t="shared" si="1554"/>
        <v>100</v>
      </c>
      <c r="IN98" s="67">
        <f t="shared" si="2053"/>
        <v>0</v>
      </c>
      <c r="IO98" s="64">
        <f t="shared" si="2054"/>
        <v>100</v>
      </c>
      <c r="IP98" s="62"/>
      <c r="IQ98" s="63"/>
      <c r="IR98" s="64">
        <f t="shared" si="2055"/>
        <v>0</v>
      </c>
      <c r="IS98" s="65"/>
      <c r="IT98" s="63"/>
      <c r="IU98" s="64">
        <f t="shared" si="2056"/>
        <v>0</v>
      </c>
      <c r="IV98" s="65"/>
      <c r="IW98" s="63"/>
      <c r="IX98" s="64">
        <f t="shared" si="2057"/>
        <v>0</v>
      </c>
      <c r="IY98" s="65"/>
      <c r="IZ98" s="63"/>
      <c r="JA98" s="64">
        <f t="shared" si="2058"/>
        <v>0</v>
      </c>
      <c r="JB98" s="66">
        <f t="shared" si="1561"/>
        <v>0</v>
      </c>
      <c r="JC98" s="67">
        <f t="shared" si="2059"/>
        <v>0</v>
      </c>
      <c r="JD98" s="64">
        <f t="shared" si="2060"/>
        <v>0</v>
      </c>
      <c r="JE98" s="72"/>
      <c r="JF98" s="150"/>
      <c r="JG98" s="74"/>
      <c r="JH98" s="75"/>
      <c r="JI98" s="150"/>
      <c r="JJ98" s="74"/>
      <c r="JK98" s="75"/>
      <c r="JL98" s="150"/>
      <c r="JM98" s="74"/>
      <c r="JN98" s="75"/>
      <c r="JO98" s="150"/>
      <c r="JP98" s="74"/>
      <c r="JQ98" s="76"/>
      <c r="JR98" s="77"/>
      <c r="JS98" s="74"/>
      <c r="JT98" s="72"/>
      <c r="JU98" s="73"/>
      <c r="JV98" s="74"/>
      <c r="JW98" s="75"/>
      <c r="JX98" s="73"/>
      <c r="JY98" s="74"/>
      <c r="JZ98" s="75"/>
      <c r="KA98" s="73"/>
      <c r="KB98" s="74"/>
      <c r="KC98" s="75"/>
      <c r="KD98" s="73"/>
      <c r="KE98" s="74"/>
      <c r="KF98" s="76"/>
      <c r="KG98" s="77"/>
      <c r="KH98" s="64">
        <f t="shared" si="2061"/>
        <v>0</v>
      </c>
      <c r="KI98" s="62"/>
      <c r="KJ98" s="63"/>
      <c r="KK98" s="64">
        <f t="shared" si="2062"/>
        <v>0</v>
      </c>
      <c r="KL98" s="65"/>
      <c r="KM98" s="63"/>
      <c r="KN98" s="64">
        <f t="shared" si="2063"/>
        <v>0</v>
      </c>
      <c r="KO98" s="65"/>
      <c r="KP98" s="63"/>
      <c r="KQ98" s="64">
        <f t="shared" si="2064"/>
        <v>0</v>
      </c>
      <c r="KR98" s="65"/>
      <c r="KS98" s="63"/>
      <c r="KT98" s="64">
        <f t="shared" si="2065"/>
        <v>0</v>
      </c>
      <c r="KU98" s="66">
        <f t="shared" si="1439"/>
        <v>0</v>
      </c>
      <c r="KV98" s="67">
        <f t="shared" si="2066"/>
        <v>0</v>
      </c>
      <c r="KW98" s="64">
        <f t="shared" si="2067"/>
        <v>0</v>
      </c>
      <c r="KX98" s="72"/>
      <c r="KY98" s="73"/>
      <c r="KZ98" s="74"/>
      <c r="LA98" s="75"/>
      <c r="LB98" s="73"/>
      <c r="LC98" s="74"/>
      <c r="LD98" s="75"/>
      <c r="LE98" s="73"/>
      <c r="LF98" s="74"/>
      <c r="LG98" s="75"/>
      <c r="LH98" s="73"/>
      <c r="LI98" s="74"/>
      <c r="LJ98" s="76"/>
      <c r="LK98" s="77"/>
      <c r="LL98" s="74"/>
      <c r="LM98" s="62"/>
      <c r="LN98" s="63"/>
      <c r="LO98" s="64">
        <f t="shared" si="2068"/>
        <v>0</v>
      </c>
      <c r="LP98" s="65"/>
      <c r="LQ98" s="63"/>
      <c r="LR98" s="64">
        <f t="shared" si="2069"/>
        <v>0</v>
      </c>
      <c r="LS98" s="65"/>
      <c r="LT98" s="63"/>
      <c r="LU98" s="64">
        <f t="shared" si="2070"/>
        <v>0</v>
      </c>
      <c r="LV98" s="65">
        <v>100</v>
      </c>
      <c r="LW98" s="63"/>
      <c r="LX98" s="64">
        <f t="shared" si="2071"/>
        <v>100</v>
      </c>
      <c r="LY98" s="66">
        <f t="shared" si="1575"/>
        <v>100</v>
      </c>
      <c r="LZ98" s="67">
        <f t="shared" si="2072"/>
        <v>0</v>
      </c>
      <c r="MA98" s="64">
        <f t="shared" si="2073"/>
        <v>100</v>
      </c>
      <c r="MB98" s="62"/>
      <c r="MC98" s="63"/>
      <c r="MD98" s="64">
        <f t="shared" si="2074"/>
        <v>0</v>
      </c>
      <c r="ME98" s="65">
        <v>889.11</v>
      </c>
      <c r="MF98" s="63"/>
      <c r="MG98" s="64">
        <f t="shared" si="2075"/>
        <v>889.11</v>
      </c>
      <c r="MH98" s="65"/>
      <c r="MI98" s="63"/>
      <c r="MJ98" s="64">
        <f t="shared" si="2076"/>
        <v>0</v>
      </c>
      <c r="MK98" s="65">
        <v>100</v>
      </c>
      <c r="ML98" s="63"/>
      <c r="MM98" s="64">
        <f t="shared" si="2077"/>
        <v>100</v>
      </c>
      <c r="MN98" s="66">
        <f t="shared" si="1582"/>
        <v>989.11</v>
      </c>
      <c r="MO98" s="67">
        <f t="shared" si="2078"/>
        <v>0</v>
      </c>
      <c r="MP98" s="64">
        <f t="shared" si="2079"/>
        <v>989.11</v>
      </c>
      <c r="MQ98" s="62"/>
      <c r="MR98" s="63"/>
      <c r="MS98" s="64">
        <f t="shared" si="2080"/>
        <v>0</v>
      </c>
      <c r="MT98" s="65"/>
      <c r="MU98" s="63"/>
      <c r="MV98" s="64">
        <f t="shared" si="2081"/>
        <v>0</v>
      </c>
      <c r="MW98" s="65"/>
      <c r="MX98" s="63"/>
      <c r="MY98" s="64">
        <f t="shared" si="2082"/>
        <v>0</v>
      </c>
      <c r="MZ98" s="65"/>
      <c r="NA98" s="63"/>
      <c r="NB98" s="64">
        <f t="shared" si="2083"/>
        <v>0</v>
      </c>
      <c r="NC98" s="66">
        <f t="shared" si="1589"/>
        <v>0</v>
      </c>
      <c r="ND98" s="67">
        <f t="shared" si="2084"/>
        <v>0</v>
      </c>
      <c r="NE98" s="64">
        <f t="shared" si="2085"/>
        <v>0</v>
      </c>
      <c r="NF98" s="62"/>
      <c r="NG98" s="63"/>
      <c r="NH98" s="64">
        <f t="shared" si="2086"/>
        <v>0</v>
      </c>
      <c r="NI98" s="65">
        <v>1164.04</v>
      </c>
      <c r="NJ98" s="63"/>
      <c r="NK98" s="64">
        <f t="shared" si="2087"/>
        <v>1164.04</v>
      </c>
      <c r="NL98" s="65"/>
      <c r="NM98" s="63"/>
      <c r="NN98" s="64">
        <f t="shared" si="2088"/>
        <v>0</v>
      </c>
      <c r="NO98" s="65">
        <v>100</v>
      </c>
      <c r="NP98" s="63"/>
      <c r="NQ98" s="64">
        <f t="shared" si="2089"/>
        <v>100</v>
      </c>
      <c r="NR98" s="66">
        <f t="shared" si="1596"/>
        <v>1264.04</v>
      </c>
      <c r="NS98" s="67">
        <f t="shared" si="2090"/>
        <v>0</v>
      </c>
      <c r="NT98" s="64">
        <f t="shared" si="2091"/>
        <v>1264.04</v>
      </c>
      <c r="NU98" s="62"/>
      <c r="NV98" s="63"/>
      <c r="NW98" s="64">
        <f t="shared" si="2092"/>
        <v>0</v>
      </c>
      <c r="NX98" s="65">
        <v>1152.73</v>
      </c>
      <c r="NY98" s="63"/>
      <c r="NZ98" s="64">
        <f t="shared" si="2093"/>
        <v>1152.73</v>
      </c>
      <c r="OA98" s="65">
        <v>884.31</v>
      </c>
      <c r="OB98" s="63"/>
      <c r="OC98" s="64">
        <f t="shared" si="2094"/>
        <v>884.31</v>
      </c>
      <c r="OD98" s="65">
        <v>100</v>
      </c>
      <c r="OE98" s="63"/>
      <c r="OF98" s="64">
        <f t="shared" si="2095"/>
        <v>100</v>
      </c>
      <c r="OG98" s="66">
        <f t="shared" si="1603"/>
        <v>2137.04</v>
      </c>
      <c r="OH98" s="67">
        <f t="shared" si="2096"/>
        <v>0</v>
      </c>
      <c r="OI98" s="64">
        <f t="shared" si="2097"/>
        <v>2137.04</v>
      </c>
      <c r="OJ98" s="62"/>
      <c r="OK98" s="63"/>
      <c r="OL98" s="64">
        <f t="shared" si="2098"/>
        <v>0</v>
      </c>
      <c r="OM98" s="65"/>
      <c r="ON98" s="63"/>
      <c r="OO98" s="64">
        <f t="shared" si="2099"/>
        <v>0</v>
      </c>
      <c r="OP98" s="65"/>
      <c r="OQ98" s="63"/>
      <c r="OR98" s="64">
        <f t="shared" si="2100"/>
        <v>0</v>
      </c>
      <c r="OS98" s="65">
        <v>100</v>
      </c>
      <c r="OT98" s="63"/>
      <c r="OU98" s="64">
        <f t="shared" si="2101"/>
        <v>100</v>
      </c>
      <c r="OV98" s="66">
        <f t="shared" si="1610"/>
        <v>100</v>
      </c>
      <c r="OW98" s="67">
        <f t="shared" si="2102"/>
        <v>0</v>
      </c>
      <c r="OX98" s="64">
        <f t="shared" si="2103"/>
        <v>100</v>
      </c>
      <c r="OY98" s="62"/>
      <c r="OZ98" s="63"/>
      <c r="PA98" s="64">
        <f t="shared" si="2104"/>
        <v>0</v>
      </c>
      <c r="PB98" s="65"/>
      <c r="PC98" s="63"/>
      <c r="PD98" s="64">
        <f t="shared" si="2105"/>
        <v>0</v>
      </c>
      <c r="PE98" s="65"/>
      <c r="PF98" s="63"/>
      <c r="PG98" s="64">
        <f t="shared" si="2106"/>
        <v>0</v>
      </c>
      <c r="PH98" s="65">
        <v>100</v>
      </c>
      <c r="PI98" s="63"/>
      <c r="PJ98" s="64">
        <f t="shared" si="2107"/>
        <v>100</v>
      </c>
      <c r="PK98" s="66">
        <f t="shared" si="1617"/>
        <v>100</v>
      </c>
      <c r="PL98" s="67">
        <f t="shared" si="2108"/>
        <v>0</v>
      </c>
      <c r="PM98" s="64">
        <f t="shared" si="2109"/>
        <v>100</v>
      </c>
      <c r="PN98" s="62">
        <v>1550</v>
      </c>
      <c r="PO98" s="63"/>
      <c r="PP98" s="64">
        <f t="shared" si="2110"/>
        <v>1550</v>
      </c>
      <c r="PQ98" s="65"/>
      <c r="PR98" s="63"/>
      <c r="PS98" s="64">
        <f t="shared" si="2111"/>
        <v>0</v>
      </c>
      <c r="PT98" s="65"/>
      <c r="PU98" s="63"/>
      <c r="PV98" s="64">
        <f t="shared" si="2112"/>
        <v>0</v>
      </c>
      <c r="PW98" s="65">
        <v>100</v>
      </c>
      <c r="PX98" s="63"/>
      <c r="PY98" s="64">
        <f t="shared" si="2113"/>
        <v>100</v>
      </c>
      <c r="PZ98" s="66">
        <f t="shared" si="1624"/>
        <v>1650</v>
      </c>
      <c r="QA98" s="67">
        <f t="shared" si="2114"/>
        <v>0</v>
      </c>
      <c r="QB98" s="64">
        <f t="shared" si="2115"/>
        <v>1650</v>
      </c>
      <c r="QC98" s="62"/>
      <c r="QD98" s="63"/>
      <c r="QE98" s="64">
        <f t="shared" si="2116"/>
        <v>0</v>
      </c>
      <c r="QF98" s="65"/>
      <c r="QG98" s="63"/>
      <c r="QH98" s="64">
        <f t="shared" si="2117"/>
        <v>0</v>
      </c>
      <c r="QI98" s="65"/>
      <c r="QJ98" s="63"/>
      <c r="QK98" s="64">
        <f t="shared" si="2118"/>
        <v>0</v>
      </c>
      <c r="QL98" s="65">
        <v>100</v>
      </c>
      <c r="QM98" s="63"/>
      <c r="QN98" s="64">
        <f t="shared" si="2119"/>
        <v>100</v>
      </c>
      <c r="QO98" s="66">
        <f t="shared" si="1631"/>
        <v>100</v>
      </c>
      <c r="QP98" s="67">
        <f t="shared" si="2120"/>
        <v>0</v>
      </c>
      <c r="QQ98" s="64">
        <f t="shared" si="2121"/>
        <v>100</v>
      </c>
      <c r="QR98" s="74"/>
      <c r="QS98" s="74"/>
      <c r="QT98" s="72"/>
      <c r="QU98" s="73"/>
      <c r="QV98" s="74"/>
      <c r="QW98" s="75"/>
      <c r="QX98" s="73"/>
      <c r="QY98" s="74"/>
      <c r="QZ98" s="75"/>
      <c r="RA98" s="73"/>
      <c r="RB98" s="74"/>
      <c r="RC98" s="75"/>
      <c r="RD98" s="73"/>
      <c r="RE98" s="74"/>
      <c r="RF98" s="74"/>
      <c r="RG98" s="72"/>
      <c r="RH98" s="73"/>
      <c r="RI98" s="74"/>
      <c r="RJ98" s="75"/>
      <c r="RK98" s="73"/>
      <c r="RL98" s="74"/>
      <c r="RM98" s="75"/>
      <c r="RN98" s="73"/>
      <c r="RO98" s="74"/>
      <c r="RP98" s="75"/>
      <c r="RQ98" s="73"/>
      <c r="RR98" s="74"/>
      <c r="RS98" s="76"/>
      <c r="RT98" s="77"/>
      <c r="RU98" s="74"/>
      <c r="RV98" s="74"/>
      <c r="RW98" s="72"/>
      <c r="RX98" s="73"/>
      <c r="RY98" s="74"/>
      <c r="RZ98" s="75"/>
      <c r="SA98" s="73"/>
      <c r="SB98" s="74"/>
      <c r="SC98" s="75"/>
      <c r="SD98" s="73"/>
      <c r="SE98" s="74"/>
      <c r="SF98" s="75"/>
      <c r="SG98" s="73"/>
      <c r="SH98" s="74"/>
      <c r="SI98" s="76"/>
      <c r="SJ98" s="64">
        <f t="shared" si="2122"/>
        <v>0</v>
      </c>
      <c r="SK98" s="62"/>
      <c r="SL98" s="63"/>
      <c r="SM98" s="64">
        <f t="shared" si="2123"/>
        <v>0</v>
      </c>
      <c r="SN98" s="65"/>
      <c r="SO98" s="63"/>
      <c r="SP98" s="64">
        <f t="shared" si="2124"/>
        <v>0</v>
      </c>
      <c r="SQ98" s="65"/>
      <c r="SR98" s="63"/>
      <c r="SS98" s="64">
        <f t="shared" si="2125"/>
        <v>0</v>
      </c>
      <c r="ST98" s="65">
        <v>100</v>
      </c>
      <c r="SU98" s="63"/>
      <c r="SV98" s="64">
        <f t="shared" si="2126"/>
        <v>100</v>
      </c>
      <c r="SW98" s="66">
        <f t="shared" si="1639"/>
        <v>100</v>
      </c>
      <c r="SX98" s="67">
        <f t="shared" si="2127"/>
        <v>0</v>
      </c>
      <c r="SY98" s="64">
        <f t="shared" si="2128"/>
        <v>100</v>
      </c>
      <c r="SZ98" s="62">
        <v>985.33</v>
      </c>
      <c r="TA98" s="63"/>
      <c r="TB98" s="64">
        <f t="shared" si="2129"/>
        <v>985.33</v>
      </c>
      <c r="TC98" s="65">
        <v>700.9</v>
      </c>
      <c r="TD98" s="63"/>
      <c r="TE98" s="64">
        <f t="shared" si="2130"/>
        <v>700.9</v>
      </c>
      <c r="TF98" s="65"/>
      <c r="TG98" s="63"/>
      <c r="TH98" s="64">
        <f t="shared" si="2131"/>
        <v>0</v>
      </c>
      <c r="TI98" s="65">
        <v>100</v>
      </c>
      <c r="TJ98" s="63"/>
      <c r="TK98" s="64">
        <f t="shared" si="2132"/>
        <v>100</v>
      </c>
      <c r="TL98" s="66">
        <f t="shared" si="1646"/>
        <v>1786.23</v>
      </c>
      <c r="TM98" s="67">
        <f t="shared" si="2133"/>
        <v>0</v>
      </c>
      <c r="TN98" s="64">
        <f t="shared" si="2134"/>
        <v>1786.23</v>
      </c>
      <c r="TO98" s="62">
        <v>3875</v>
      </c>
      <c r="TP98" s="63"/>
      <c r="TQ98" s="64">
        <f t="shared" si="2135"/>
        <v>3875</v>
      </c>
      <c r="TR98" s="65"/>
      <c r="TS98" s="63"/>
      <c r="TT98" s="64">
        <f t="shared" si="2136"/>
        <v>0</v>
      </c>
      <c r="TU98" s="65"/>
      <c r="TV98" s="63"/>
      <c r="TW98" s="64">
        <f t="shared" si="2137"/>
        <v>0</v>
      </c>
      <c r="TX98" s="65">
        <v>100</v>
      </c>
      <c r="TY98" s="63"/>
      <c r="TZ98" s="64">
        <f t="shared" si="2138"/>
        <v>100</v>
      </c>
      <c r="UA98" s="66">
        <f t="shared" si="1653"/>
        <v>3975</v>
      </c>
      <c r="UB98" s="67">
        <f t="shared" si="2139"/>
        <v>0</v>
      </c>
      <c r="UC98" s="64">
        <f t="shared" si="2140"/>
        <v>3975</v>
      </c>
      <c r="UD98" s="62">
        <v>1125</v>
      </c>
      <c r="UE98" s="63"/>
      <c r="UF98" s="64">
        <f t="shared" si="2141"/>
        <v>1125</v>
      </c>
      <c r="UG98" s="65">
        <v>497.04</v>
      </c>
      <c r="UH98" s="63"/>
      <c r="UI98" s="64">
        <f t="shared" si="2142"/>
        <v>497.04</v>
      </c>
      <c r="UJ98" s="65"/>
      <c r="UK98" s="63"/>
      <c r="UL98" s="64">
        <f t="shared" si="2143"/>
        <v>0</v>
      </c>
      <c r="UM98" s="65">
        <v>100</v>
      </c>
      <c r="UN98" s="63"/>
      <c r="UO98" s="64">
        <f t="shared" si="2144"/>
        <v>100</v>
      </c>
      <c r="UP98" s="66">
        <f t="shared" si="1660"/>
        <v>1722.04</v>
      </c>
      <c r="UQ98" s="67">
        <f t="shared" si="2145"/>
        <v>0</v>
      </c>
      <c r="UR98" s="64">
        <f t="shared" si="2146"/>
        <v>1722.04</v>
      </c>
      <c r="US98" s="74"/>
      <c r="UT98" s="72"/>
      <c r="UU98" s="73"/>
      <c r="UV98" s="74"/>
      <c r="UW98" s="75"/>
      <c r="UX98" s="73"/>
      <c r="UY98" s="74"/>
      <c r="UZ98" s="75"/>
      <c r="VA98" s="73"/>
      <c r="VB98" s="74"/>
      <c r="VC98" s="75"/>
      <c r="VD98" s="73"/>
      <c r="VE98" s="74"/>
      <c r="VF98" s="76"/>
      <c r="VG98" s="77"/>
      <c r="VH98" s="62"/>
      <c r="VI98" s="63"/>
      <c r="VJ98" s="64">
        <f t="shared" si="2147"/>
        <v>0</v>
      </c>
      <c r="VK98" s="65"/>
      <c r="VL98" s="63"/>
      <c r="VM98" s="64">
        <f t="shared" si="2148"/>
        <v>0</v>
      </c>
      <c r="VN98" s="65"/>
      <c r="VO98" s="63"/>
      <c r="VP98" s="64">
        <f t="shared" si="2149"/>
        <v>0</v>
      </c>
      <c r="VQ98" s="65">
        <v>100</v>
      </c>
      <c r="VR98" s="63"/>
      <c r="VS98" s="64">
        <f t="shared" si="2150"/>
        <v>100</v>
      </c>
      <c r="VT98" s="66">
        <f t="shared" si="1667"/>
        <v>100</v>
      </c>
      <c r="VU98" s="67">
        <f t="shared" si="2151"/>
        <v>0</v>
      </c>
      <c r="VV98" s="64">
        <f t="shared" si="2152"/>
        <v>100</v>
      </c>
      <c r="VW98" s="74"/>
      <c r="VX98" s="72"/>
      <c r="VY98" s="73"/>
      <c r="VZ98" s="74"/>
      <c r="WA98" s="75"/>
      <c r="WB98" s="73"/>
      <c r="WC98" s="74"/>
      <c r="WD98" s="75"/>
      <c r="WE98" s="73"/>
      <c r="WF98" s="74"/>
      <c r="WG98" s="75"/>
      <c r="WH98" s="73"/>
      <c r="WI98" s="74"/>
      <c r="WJ98" s="76"/>
      <c r="WK98" s="77"/>
      <c r="WL98" s="74"/>
      <c r="WM98" s="72"/>
      <c r="WN98" s="73"/>
      <c r="WO98" s="74"/>
      <c r="WP98" s="75"/>
      <c r="WQ98" s="73"/>
      <c r="WR98" s="74"/>
      <c r="WS98" s="75"/>
      <c r="WT98" s="73"/>
      <c r="WU98" s="74"/>
      <c r="WV98" s="75"/>
      <c r="WW98" s="73"/>
      <c r="WX98" s="74"/>
      <c r="WY98" s="76"/>
      <c r="WZ98" s="77"/>
      <c r="XA98" s="74"/>
      <c r="XB98" s="72"/>
      <c r="XC98" s="73"/>
      <c r="XD98" s="74"/>
      <c r="XE98" s="75"/>
      <c r="XF98" s="73"/>
      <c r="XG98" s="74"/>
      <c r="XH98" s="75"/>
      <c r="XI98" s="73"/>
      <c r="XJ98" s="74"/>
      <c r="XK98" s="75"/>
      <c r="XL98" s="73"/>
      <c r="XM98" s="74"/>
      <c r="XN98" s="76"/>
      <c r="XO98" s="77"/>
      <c r="XP98" s="62"/>
      <c r="XQ98" s="63"/>
      <c r="XR98" s="64">
        <f t="shared" si="2153"/>
        <v>0</v>
      </c>
      <c r="XS98" s="65">
        <v>844.24</v>
      </c>
      <c r="XT98" s="63"/>
      <c r="XU98" s="64">
        <f t="shared" si="2154"/>
        <v>844.24</v>
      </c>
      <c r="XV98" s="65"/>
      <c r="XW98" s="63"/>
      <c r="XX98" s="64">
        <f t="shared" si="2155"/>
        <v>0</v>
      </c>
      <c r="XY98" s="65">
        <v>100</v>
      </c>
      <c r="XZ98" s="63"/>
      <c r="YA98" s="64">
        <f t="shared" si="2156"/>
        <v>100</v>
      </c>
      <c r="YB98" s="66">
        <f t="shared" si="1674"/>
        <v>944.24</v>
      </c>
      <c r="YC98" s="67">
        <f t="shared" si="2157"/>
        <v>0</v>
      </c>
      <c r="YD98" s="64">
        <f t="shared" si="2158"/>
        <v>944.24</v>
      </c>
      <c r="YE98" s="62"/>
      <c r="YF98" s="63"/>
      <c r="YG98" s="64">
        <f t="shared" si="2159"/>
        <v>0</v>
      </c>
      <c r="YH98" s="65">
        <v>847.85</v>
      </c>
      <c r="YI98" s="63"/>
      <c r="YJ98" s="64">
        <f t="shared" si="2160"/>
        <v>847.85</v>
      </c>
      <c r="YK98" s="65">
        <v>1000</v>
      </c>
      <c r="YL98" s="63"/>
      <c r="YM98" s="64">
        <f t="shared" si="2161"/>
        <v>1000</v>
      </c>
      <c r="YN98" s="65">
        <v>100</v>
      </c>
      <c r="YO98" s="63"/>
      <c r="YP98" s="64">
        <f t="shared" si="2162"/>
        <v>100</v>
      </c>
      <c r="YQ98" s="66">
        <f t="shared" si="1681"/>
        <v>1947.85</v>
      </c>
      <c r="YR98" s="67">
        <f t="shared" si="2163"/>
        <v>0</v>
      </c>
      <c r="YS98" s="64">
        <f t="shared" si="2164"/>
        <v>1947.85</v>
      </c>
      <c r="YT98" s="62"/>
      <c r="YU98" s="63"/>
      <c r="YV98" s="64">
        <f t="shared" si="2165"/>
        <v>0</v>
      </c>
      <c r="YW98" s="65">
        <v>695.73</v>
      </c>
      <c r="YX98" s="63"/>
      <c r="YY98" s="64">
        <f t="shared" si="2166"/>
        <v>695.73</v>
      </c>
      <c r="YZ98" s="65">
        <v>1000</v>
      </c>
      <c r="ZA98" s="63"/>
      <c r="ZB98" s="64">
        <f t="shared" si="2167"/>
        <v>1000</v>
      </c>
      <c r="ZC98" s="65">
        <v>100</v>
      </c>
      <c r="ZD98" s="63"/>
      <c r="ZE98" s="64">
        <f t="shared" si="2168"/>
        <v>100</v>
      </c>
      <c r="ZF98" s="66">
        <f t="shared" si="1688"/>
        <v>1795.73</v>
      </c>
      <c r="ZG98" s="67">
        <f t="shared" si="2169"/>
        <v>0</v>
      </c>
      <c r="ZH98" s="74"/>
      <c r="ZI98" s="72"/>
      <c r="ZJ98" s="73"/>
      <c r="ZK98" s="74"/>
      <c r="ZL98" s="75"/>
      <c r="ZM98" s="73"/>
      <c r="ZN98" s="74"/>
      <c r="ZO98" s="75"/>
      <c r="ZP98" s="73"/>
      <c r="ZQ98" s="74"/>
      <c r="ZR98" s="75"/>
      <c r="ZS98" s="73"/>
      <c r="ZT98" s="74"/>
      <c r="ZU98" s="76"/>
      <c r="ZV98" s="77"/>
      <c r="ZW98" s="64">
        <f t="shared" si="2170"/>
        <v>0</v>
      </c>
      <c r="ZX98" s="62">
        <v>24.71</v>
      </c>
      <c r="ZY98" s="63"/>
      <c r="ZZ98" s="64">
        <f t="shared" si="2171"/>
        <v>24.71</v>
      </c>
      <c r="AAA98" s="66">
        <f t="shared" si="1692"/>
        <v>24.71</v>
      </c>
      <c r="AAB98" s="67">
        <f t="shared" si="1692"/>
        <v>0</v>
      </c>
      <c r="AAC98" s="64">
        <f t="shared" si="2172"/>
        <v>24.71</v>
      </c>
      <c r="AAD98" s="85">
        <f t="shared" si="1694"/>
        <v>42599.6</v>
      </c>
      <c r="AAE98" s="86">
        <f t="shared" si="1694"/>
        <v>0</v>
      </c>
      <c r="AAF98" s="87">
        <f t="shared" si="1457"/>
        <v>0</v>
      </c>
      <c r="AAG98" s="88">
        <f t="shared" si="2173"/>
        <v>-42599.6</v>
      </c>
      <c r="AAH98" s="91">
        <f>AAD108</f>
        <v>1396140.5599999998</v>
      </c>
      <c r="AAI98" s="92"/>
      <c r="AAJ98" s="92"/>
      <c r="AAK98" s="60"/>
    </row>
    <row r="99" spans="1:713" s="83" customFormat="1" ht="20" customHeight="1" x14ac:dyDescent="0.2">
      <c r="A99" s="153"/>
      <c r="B99" s="93"/>
      <c r="C99" s="90"/>
      <c r="D99" s="90"/>
      <c r="E99" s="60"/>
      <c r="F99" s="61">
        <v>47209</v>
      </c>
      <c r="G99" s="62"/>
      <c r="H99" s="63"/>
      <c r="I99" s="64">
        <f t="shared" si="1969"/>
        <v>0</v>
      </c>
      <c r="J99" s="65">
        <v>3418.12</v>
      </c>
      <c r="K99" s="63"/>
      <c r="L99" s="64">
        <f t="shared" si="1970"/>
        <v>3418.12</v>
      </c>
      <c r="M99" s="65">
        <v>2500</v>
      </c>
      <c r="N99" s="63"/>
      <c r="O99" s="64">
        <f t="shared" si="1971"/>
        <v>2500</v>
      </c>
      <c r="P99" s="65">
        <v>500</v>
      </c>
      <c r="Q99" s="63"/>
      <c r="R99" s="64">
        <f t="shared" si="1972"/>
        <v>500</v>
      </c>
      <c r="S99" s="65">
        <v>181</v>
      </c>
      <c r="T99" s="63"/>
      <c r="U99" s="64">
        <f t="shared" si="1973"/>
        <v>181</v>
      </c>
      <c r="V99" s="66">
        <f t="shared" si="1974"/>
        <v>6599.12</v>
      </c>
      <c r="W99" s="67">
        <f t="shared" si="1974"/>
        <v>0</v>
      </c>
      <c r="X99" s="64">
        <f t="shared" si="1975"/>
        <v>6599.12</v>
      </c>
      <c r="Y99" s="72"/>
      <c r="Z99" s="73"/>
      <c r="AA99" s="74"/>
      <c r="AB99" s="75"/>
      <c r="AC99" s="73"/>
      <c r="AD99" s="74"/>
      <c r="AE99" s="75"/>
      <c r="AF99" s="73"/>
      <c r="AG99" s="74"/>
      <c r="AH99" s="75"/>
      <c r="AI99" s="73"/>
      <c r="AJ99" s="74"/>
      <c r="AK99" s="76"/>
      <c r="AL99" s="77"/>
      <c r="AM99" s="64">
        <f t="shared" si="1976"/>
        <v>0</v>
      </c>
      <c r="AN99" s="62"/>
      <c r="AO99" s="63"/>
      <c r="AP99" s="64">
        <f t="shared" si="2174"/>
        <v>0</v>
      </c>
      <c r="AQ99" s="65"/>
      <c r="AR99" s="63"/>
      <c r="AS99" s="64">
        <f t="shared" si="1977"/>
        <v>0</v>
      </c>
      <c r="AT99" s="65"/>
      <c r="AU99" s="63"/>
      <c r="AV99" s="64">
        <f t="shared" si="1978"/>
        <v>0</v>
      </c>
      <c r="AW99" s="65"/>
      <c r="AX99" s="63"/>
      <c r="AY99" s="64">
        <f t="shared" si="1979"/>
        <v>0</v>
      </c>
      <c r="AZ99" s="66">
        <f t="shared" si="1469"/>
        <v>0</v>
      </c>
      <c r="BA99" s="67">
        <f t="shared" si="1980"/>
        <v>0</v>
      </c>
      <c r="BB99" s="64">
        <f t="shared" si="1981"/>
        <v>0</v>
      </c>
      <c r="BC99" s="62">
        <v>6150</v>
      </c>
      <c r="BD99" s="63"/>
      <c r="BE99" s="64">
        <f t="shared" si="1982"/>
        <v>6150</v>
      </c>
      <c r="BF99" s="65"/>
      <c r="BG99" s="63"/>
      <c r="BH99" s="64">
        <f t="shared" si="1983"/>
        <v>0</v>
      </c>
      <c r="BI99" s="65">
        <v>8000</v>
      </c>
      <c r="BJ99" s="63"/>
      <c r="BK99" s="64">
        <f t="shared" si="1984"/>
        <v>8000</v>
      </c>
      <c r="BL99" s="65">
        <v>100</v>
      </c>
      <c r="BM99" s="63"/>
      <c r="BN99" s="64">
        <f t="shared" si="1985"/>
        <v>100</v>
      </c>
      <c r="BO99" s="66">
        <f t="shared" si="1476"/>
        <v>14250</v>
      </c>
      <c r="BP99" s="67">
        <f t="shared" si="1986"/>
        <v>0</v>
      </c>
      <c r="BQ99" s="64">
        <f t="shared" si="1987"/>
        <v>14250</v>
      </c>
      <c r="BR99" s="72"/>
      <c r="BS99" s="73"/>
      <c r="BT99" s="74"/>
      <c r="BU99" s="75"/>
      <c r="BV99" s="73"/>
      <c r="BW99" s="74"/>
      <c r="BX99" s="75"/>
      <c r="BY99" s="73"/>
      <c r="BZ99" s="74"/>
      <c r="CA99" s="75"/>
      <c r="CB99" s="73"/>
      <c r="CC99" s="74"/>
      <c r="CD99" s="76"/>
      <c r="CE99" s="77"/>
      <c r="CF99" s="64">
        <f t="shared" si="1988"/>
        <v>0</v>
      </c>
      <c r="CG99" s="62"/>
      <c r="CH99" s="63"/>
      <c r="CI99" s="64">
        <f t="shared" si="1989"/>
        <v>0</v>
      </c>
      <c r="CJ99" s="65"/>
      <c r="CK99" s="63"/>
      <c r="CL99" s="64">
        <f t="shared" si="1990"/>
        <v>0</v>
      </c>
      <c r="CM99" s="65"/>
      <c r="CN99" s="63"/>
      <c r="CO99" s="64">
        <f t="shared" si="1991"/>
        <v>0</v>
      </c>
      <c r="CP99" s="65"/>
      <c r="CQ99" s="63"/>
      <c r="CR99" s="64">
        <f t="shared" si="1992"/>
        <v>0</v>
      </c>
      <c r="CS99" s="66">
        <f t="shared" si="1484"/>
        <v>0</v>
      </c>
      <c r="CT99" s="67">
        <f t="shared" si="1993"/>
        <v>0</v>
      </c>
      <c r="CU99" s="64">
        <f t="shared" si="1994"/>
        <v>0</v>
      </c>
      <c r="CV99" s="62">
        <v>2916.7</v>
      </c>
      <c r="CW99" s="63"/>
      <c r="CX99" s="64">
        <f t="shared" si="1995"/>
        <v>2916.7</v>
      </c>
      <c r="CY99" s="65">
        <v>429.15</v>
      </c>
      <c r="CZ99" s="63"/>
      <c r="DA99" s="64">
        <f t="shared" si="1996"/>
        <v>429.15</v>
      </c>
      <c r="DB99" s="65">
        <v>3000</v>
      </c>
      <c r="DC99" s="63"/>
      <c r="DD99" s="64">
        <f t="shared" si="1997"/>
        <v>3000</v>
      </c>
      <c r="DE99" s="65"/>
      <c r="DF99" s="63"/>
      <c r="DG99" s="64">
        <f t="shared" si="1998"/>
        <v>0</v>
      </c>
      <c r="DH99" s="66">
        <f t="shared" si="1491"/>
        <v>6345.85</v>
      </c>
      <c r="DI99" s="67">
        <f t="shared" si="1999"/>
        <v>0</v>
      </c>
      <c r="DJ99" s="64">
        <f t="shared" si="2000"/>
        <v>6345.85</v>
      </c>
      <c r="DK99" s="62">
        <v>2400</v>
      </c>
      <c r="DL99" s="63"/>
      <c r="DM99" s="64">
        <f t="shared" si="2001"/>
        <v>2400</v>
      </c>
      <c r="DN99" s="65">
        <v>913.08</v>
      </c>
      <c r="DO99" s="63"/>
      <c r="DP99" s="64">
        <f t="shared" si="2002"/>
        <v>913.08</v>
      </c>
      <c r="DQ99" s="65"/>
      <c r="DR99" s="63"/>
      <c r="DS99" s="64">
        <f t="shared" si="2003"/>
        <v>0</v>
      </c>
      <c r="DT99" s="65">
        <v>100</v>
      </c>
      <c r="DU99" s="63"/>
      <c r="DV99" s="64">
        <f t="shared" si="2004"/>
        <v>100</v>
      </c>
      <c r="DW99" s="66">
        <f t="shared" si="1498"/>
        <v>3413.08</v>
      </c>
      <c r="DX99" s="67">
        <f t="shared" si="2005"/>
        <v>0</v>
      </c>
      <c r="DY99" s="64">
        <f t="shared" si="2006"/>
        <v>3413.08</v>
      </c>
      <c r="DZ99" s="62"/>
      <c r="EA99" s="63"/>
      <c r="EB99" s="64">
        <f t="shared" si="2007"/>
        <v>0</v>
      </c>
      <c r="EC99" s="65"/>
      <c r="ED99" s="63"/>
      <c r="EE99" s="64">
        <f t="shared" si="2008"/>
        <v>0</v>
      </c>
      <c r="EF99" s="65"/>
      <c r="EG99" s="63"/>
      <c r="EH99" s="64">
        <f t="shared" si="2009"/>
        <v>0</v>
      </c>
      <c r="EI99" s="65">
        <v>100</v>
      </c>
      <c r="EJ99" s="63"/>
      <c r="EK99" s="64">
        <f t="shared" si="2010"/>
        <v>100</v>
      </c>
      <c r="EL99" s="66">
        <f t="shared" si="1505"/>
        <v>100</v>
      </c>
      <c r="EM99" s="67">
        <f t="shared" si="2011"/>
        <v>0</v>
      </c>
      <c r="EN99" s="64">
        <f t="shared" si="2012"/>
        <v>100</v>
      </c>
      <c r="EO99" s="62">
        <v>6150</v>
      </c>
      <c r="EP99" s="63"/>
      <c r="EQ99" s="64">
        <f t="shared" si="2013"/>
        <v>6150</v>
      </c>
      <c r="ER99" s="65"/>
      <c r="ES99" s="63"/>
      <c r="ET99" s="64">
        <f t="shared" si="2014"/>
        <v>0</v>
      </c>
      <c r="EU99" s="65"/>
      <c r="EV99" s="63"/>
      <c r="EW99" s="64">
        <f t="shared" si="2015"/>
        <v>0</v>
      </c>
      <c r="EX99" s="65">
        <v>100</v>
      </c>
      <c r="EY99" s="63"/>
      <c r="EZ99" s="64">
        <f t="shared" si="2016"/>
        <v>100</v>
      </c>
      <c r="FA99" s="66">
        <f t="shared" si="1512"/>
        <v>6250</v>
      </c>
      <c r="FB99" s="67">
        <f t="shared" si="2017"/>
        <v>0</v>
      </c>
      <c r="FC99" s="64">
        <f t="shared" si="2018"/>
        <v>6250</v>
      </c>
      <c r="FD99" s="62">
        <v>6150</v>
      </c>
      <c r="FE99" s="63"/>
      <c r="FF99" s="64">
        <f t="shared" si="2019"/>
        <v>6150</v>
      </c>
      <c r="FG99" s="65"/>
      <c r="FH99" s="63"/>
      <c r="FI99" s="64">
        <f t="shared" si="2020"/>
        <v>0</v>
      </c>
      <c r="FJ99" s="65"/>
      <c r="FK99" s="63"/>
      <c r="FL99" s="64">
        <f t="shared" si="2021"/>
        <v>0</v>
      </c>
      <c r="FM99" s="65">
        <v>100</v>
      </c>
      <c r="FN99" s="63"/>
      <c r="FO99" s="64">
        <f t="shared" si="2022"/>
        <v>100</v>
      </c>
      <c r="FP99" s="66">
        <f t="shared" si="1519"/>
        <v>6250</v>
      </c>
      <c r="FQ99" s="67">
        <f t="shared" si="2023"/>
        <v>0</v>
      </c>
      <c r="FR99" s="64">
        <f t="shared" si="2024"/>
        <v>6250</v>
      </c>
      <c r="FS99" s="62"/>
      <c r="FT99" s="63"/>
      <c r="FU99" s="64">
        <f t="shared" si="2025"/>
        <v>0</v>
      </c>
      <c r="FV99" s="65">
        <v>485.35</v>
      </c>
      <c r="FW99" s="63"/>
      <c r="FX99" s="64">
        <f t="shared" si="2026"/>
        <v>485.35</v>
      </c>
      <c r="FY99" s="65"/>
      <c r="FZ99" s="63"/>
      <c r="GA99" s="64">
        <f t="shared" si="2027"/>
        <v>0</v>
      </c>
      <c r="GB99" s="65"/>
      <c r="GC99" s="63"/>
      <c r="GD99" s="64">
        <f t="shared" si="2028"/>
        <v>0</v>
      </c>
      <c r="GE99" s="66">
        <f t="shared" si="1526"/>
        <v>485.35</v>
      </c>
      <c r="GF99" s="67">
        <f t="shared" si="2029"/>
        <v>0</v>
      </c>
      <c r="GG99" s="64">
        <f t="shared" si="2030"/>
        <v>485.35</v>
      </c>
      <c r="GH99" s="62"/>
      <c r="GI99" s="63"/>
      <c r="GJ99" s="64">
        <f t="shared" si="2031"/>
        <v>0</v>
      </c>
      <c r="GK99" s="65">
        <v>660.33</v>
      </c>
      <c r="GL99" s="63"/>
      <c r="GM99" s="64">
        <f t="shared" si="2032"/>
        <v>660.33</v>
      </c>
      <c r="GN99" s="65"/>
      <c r="GO99" s="63"/>
      <c r="GP99" s="64">
        <f t="shared" si="2033"/>
        <v>0</v>
      </c>
      <c r="GQ99" s="65"/>
      <c r="GR99" s="63"/>
      <c r="GS99" s="64">
        <f t="shared" si="2034"/>
        <v>0</v>
      </c>
      <c r="GT99" s="66">
        <f t="shared" si="1533"/>
        <v>660.33</v>
      </c>
      <c r="GU99" s="67">
        <f t="shared" si="2035"/>
        <v>0</v>
      </c>
      <c r="GV99" s="64">
        <f t="shared" si="2036"/>
        <v>660.33</v>
      </c>
      <c r="GW99" s="62"/>
      <c r="GX99" s="63"/>
      <c r="GY99" s="64">
        <f t="shared" si="2037"/>
        <v>0</v>
      </c>
      <c r="GZ99" s="65">
        <v>568.25</v>
      </c>
      <c r="HA99" s="63"/>
      <c r="HB99" s="64">
        <f t="shared" si="2038"/>
        <v>568.25</v>
      </c>
      <c r="HC99" s="65"/>
      <c r="HD99" s="63"/>
      <c r="HE99" s="64">
        <f t="shared" si="2039"/>
        <v>0</v>
      </c>
      <c r="HF99" s="65">
        <v>100</v>
      </c>
      <c r="HG99" s="63"/>
      <c r="HH99" s="64">
        <f t="shared" si="2040"/>
        <v>100</v>
      </c>
      <c r="HI99" s="66">
        <f t="shared" si="1540"/>
        <v>668.25</v>
      </c>
      <c r="HJ99" s="67">
        <f t="shared" si="2041"/>
        <v>0</v>
      </c>
      <c r="HK99" s="64">
        <f t="shared" si="2042"/>
        <v>668.25</v>
      </c>
      <c r="HL99" s="62">
        <v>6150</v>
      </c>
      <c r="HM99" s="63"/>
      <c r="HN99" s="64">
        <f t="shared" si="2043"/>
        <v>6150</v>
      </c>
      <c r="HO99" s="65"/>
      <c r="HP99" s="63"/>
      <c r="HQ99" s="64">
        <f t="shared" si="2044"/>
        <v>0</v>
      </c>
      <c r="HR99" s="65">
        <v>4800</v>
      </c>
      <c r="HS99" s="63"/>
      <c r="HT99" s="64">
        <f t="shared" si="2045"/>
        <v>4800</v>
      </c>
      <c r="HU99" s="65">
        <v>100</v>
      </c>
      <c r="HV99" s="63"/>
      <c r="HW99" s="64">
        <f t="shared" si="2046"/>
        <v>100</v>
      </c>
      <c r="HX99" s="66">
        <f t="shared" si="1547"/>
        <v>11050</v>
      </c>
      <c r="HY99" s="67">
        <f t="shared" si="2047"/>
        <v>0</v>
      </c>
      <c r="HZ99" s="64">
        <f t="shared" si="2048"/>
        <v>11050</v>
      </c>
      <c r="IA99" s="62"/>
      <c r="IB99" s="63"/>
      <c r="IC99" s="64">
        <f t="shared" si="2049"/>
        <v>0</v>
      </c>
      <c r="ID99" s="65"/>
      <c r="IE99" s="63"/>
      <c r="IF99" s="64">
        <f t="shared" si="2050"/>
        <v>0</v>
      </c>
      <c r="IG99" s="65"/>
      <c r="IH99" s="63"/>
      <c r="II99" s="64">
        <f t="shared" si="2051"/>
        <v>0</v>
      </c>
      <c r="IJ99" s="65">
        <v>100</v>
      </c>
      <c r="IK99" s="63"/>
      <c r="IL99" s="64">
        <f t="shared" si="2052"/>
        <v>100</v>
      </c>
      <c r="IM99" s="66">
        <f t="shared" si="1554"/>
        <v>100</v>
      </c>
      <c r="IN99" s="67">
        <f t="shared" si="2053"/>
        <v>0</v>
      </c>
      <c r="IO99" s="64">
        <f t="shared" si="2054"/>
        <v>100</v>
      </c>
      <c r="IP99" s="62"/>
      <c r="IQ99" s="63"/>
      <c r="IR99" s="64">
        <f t="shared" si="2055"/>
        <v>0</v>
      </c>
      <c r="IS99" s="65"/>
      <c r="IT99" s="63"/>
      <c r="IU99" s="64">
        <f t="shared" si="2056"/>
        <v>0</v>
      </c>
      <c r="IV99" s="65"/>
      <c r="IW99" s="63"/>
      <c r="IX99" s="64">
        <f t="shared" si="2057"/>
        <v>0</v>
      </c>
      <c r="IY99" s="65"/>
      <c r="IZ99" s="63"/>
      <c r="JA99" s="64">
        <f t="shared" si="2058"/>
        <v>0</v>
      </c>
      <c r="JB99" s="66">
        <f t="shared" si="1561"/>
        <v>0</v>
      </c>
      <c r="JC99" s="67">
        <f t="shared" si="2059"/>
        <v>0</v>
      </c>
      <c r="JD99" s="64">
        <f t="shared" si="2060"/>
        <v>0</v>
      </c>
      <c r="JE99" s="72"/>
      <c r="JF99" s="150"/>
      <c r="JG99" s="74"/>
      <c r="JH99" s="75"/>
      <c r="JI99" s="150"/>
      <c r="JJ99" s="74"/>
      <c r="JK99" s="75"/>
      <c r="JL99" s="150"/>
      <c r="JM99" s="74"/>
      <c r="JN99" s="75"/>
      <c r="JO99" s="150"/>
      <c r="JP99" s="74"/>
      <c r="JQ99" s="76"/>
      <c r="JR99" s="77"/>
      <c r="JS99" s="74"/>
      <c r="JT99" s="72"/>
      <c r="JU99" s="73"/>
      <c r="JV99" s="74"/>
      <c r="JW99" s="75"/>
      <c r="JX99" s="73"/>
      <c r="JY99" s="74"/>
      <c r="JZ99" s="75"/>
      <c r="KA99" s="73"/>
      <c r="KB99" s="74"/>
      <c r="KC99" s="75"/>
      <c r="KD99" s="73"/>
      <c r="KE99" s="74"/>
      <c r="KF99" s="76"/>
      <c r="KG99" s="77"/>
      <c r="KH99" s="64">
        <f t="shared" si="2061"/>
        <v>0</v>
      </c>
      <c r="KI99" s="62"/>
      <c r="KJ99" s="63"/>
      <c r="KK99" s="64">
        <f t="shared" si="2062"/>
        <v>0</v>
      </c>
      <c r="KL99" s="65"/>
      <c r="KM99" s="63"/>
      <c r="KN99" s="64">
        <f t="shared" si="2063"/>
        <v>0</v>
      </c>
      <c r="KO99" s="65"/>
      <c r="KP99" s="63"/>
      <c r="KQ99" s="64">
        <f t="shared" si="2064"/>
        <v>0</v>
      </c>
      <c r="KR99" s="65"/>
      <c r="KS99" s="63"/>
      <c r="KT99" s="64">
        <f t="shared" si="2065"/>
        <v>0</v>
      </c>
      <c r="KU99" s="66">
        <f t="shared" si="1439"/>
        <v>0</v>
      </c>
      <c r="KV99" s="67">
        <f t="shared" si="2066"/>
        <v>0</v>
      </c>
      <c r="KW99" s="64">
        <f t="shared" si="2067"/>
        <v>0</v>
      </c>
      <c r="KX99" s="72"/>
      <c r="KY99" s="73"/>
      <c r="KZ99" s="74"/>
      <c r="LA99" s="75"/>
      <c r="LB99" s="73"/>
      <c r="LC99" s="74"/>
      <c r="LD99" s="75"/>
      <c r="LE99" s="73"/>
      <c r="LF99" s="74"/>
      <c r="LG99" s="75"/>
      <c r="LH99" s="73"/>
      <c r="LI99" s="74"/>
      <c r="LJ99" s="76"/>
      <c r="LK99" s="77"/>
      <c r="LL99" s="74"/>
      <c r="LM99" s="62"/>
      <c r="LN99" s="63"/>
      <c r="LO99" s="64">
        <f t="shared" si="2068"/>
        <v>0</v>
      </c>
      <c r="LP99" s="65"/>
      <c r="LQ99" s="63"/>
      <c r="LR99" s="64">
        <f t="shared" si="2069"/>
        <v>0</v>
      </c>
      <c r="LS99" s="65"/>
      <c r="LT99" s="63"/>
      <c r="LU99" s="64">
        <f t="shared" si="2070"/>
        <v>0</v>
      </c>
      <c r="LV99" s="65">
        <v>100</v>
      </c>
      <c r="LW99" s="63"/>
      <c r="LX99" s="64">
        <f t="shared" si="2071"/>
        <v>100</v>
      </c>
      <c r="LY99" s="66">
        <f t="shared" si="1575"/>
        <v>100</v>
      </c>
      <c r="LZ99" s="67">
        <f t="shared" si="2072"/>
        <v>0</v>
      </c>
      <c r="MA99" s="64">
        <f t="shared" si="2073"/>
        <v>100</v>
      </c>
      <c r="MB99" s="62"/>
      <c r="MC99" s="63"/>
      <c r="MD99" s="64">
        <f t="shared" si="2074"/>
        <v>0</v>
      </c>
      <c r="ME99" s="65">
        <v>889.11</v>
      </c>
      <c r="MF99" s="63"/>
      <c r="MG99" s="64">
        <f t="shared" si="2075"/>
        <v>889.11</v>
      </c>
      <c r="MH99" s="65"/>
      <c r="MI99" s="63"/>
      <c r="MJ99" s="64">
        <f t="shared" si="2076"/>
        <v>0</v>
      </c>
      <c r="MK99" s="65">
        <v>100</v>
      </c>
      <c r="ML99" s="63"/>
      <c r="MM99" s="64">
        <f t="shared" si="2077"/>
        <v>100</v>
      </c>
      <c r="MN99" s="66">
        <f t="shared" si="1582"/>
        <v>989.11</v>
      </c>
      <c r="MO99" s="67">
        <f t="shared" si="2078"/>
        <v>0</v>
      </c>
      <c r="MP99" s="64">
        <f t="shared" si="2079"/>
        <v>989.11</v>
      </c>
      <c r="MQ99" s="62"/>
      <c r="MR99" s="63"/>
      <c r="MS99" s="64">
        <f t="shared" si="2080"/>
        <v>0</v>
      </c>
      <c r="MT99" s="65"/>
      <c r="MU99" s="63"/>
      <c r="MV99" s="64">
        <f t="shared" si="2081"/>
        <v>0</v>
      </c>
      <c r="MW99" s="65"/>
      <c r="MX99" s="63"/>
      <c r="MY99" s="64">
        <f t="shared" si="2082"/>
        <v>0</v>
      </c>
      <c r="MZ99" s="65"/>
      <c r="NA99" s="63"/>
      <c r="NB99" s="64">
        <f t="shared" si="2083"/>
        <v>0</v>
      </c>
      <c r="NC99" s="66">
        <f t="shared" si="1589"/>
        <v>0</v>
      </c>
      <c r="ND99" s="67">
        <f t="shared" si="2084"/>
        <v>0</v>
      </c>
      <c r="NE99" s="64">
        <f t="shared" si="2085"/>
        <v>0</v>
      </c>
      <c r="NF99" s="62"/>
      <c r="NG99" s="63"/>
      <c r="NH99" s="64">
        <f t="shared" si="2086"/>
        <v>0</v>
      </c>
      <c r="NI99" s="65">
        <v>1164.04</v>
      </c>
      <c r="NJ99" s="63"/>
      <c r="NK99" s="64">
        <f t="shared" si="2087"/>
        <v>1164.04</v>
      </c>
      <c r="NL99" s="65"/>
      <c r="NM99" s="63"/>
      <c r="NN99" s="64">
        <f t="shared" si="2088"/>
        <v>0</v>
      </c>
      <c r="NO99" s="65">
        <v>100</v>
      </c>
      <c r="NP99" s="63"/>
      <c r="NQ99" s="64">
        <f t="shared" si="2089"/>
        <v>100</v>
      </c>
      <c r="NR99" s="66">
        <f t="shared" si="1596"/>
        <v>1264.04</v>
      </c>
      <c r="NS99" s="67">
        <f t="shared" si="2090"/>
        <v>0</v>
      </c>
      <c r="NT99" s="64">
        <f t="shared" si="2091"/>
        <v>1264.04</v>
      </c>
      <c r="NU99" s="62"/>
      <c r="NV99" s="63"/>
      <c r="NW99" s="64">
        <f t="shared" si="2092"/>
        <v>0</v>
      </c>
      <c r="NX99" s="65">
        <v>1152.73</v>
      </c>
      <c r="NY99" s="63"/>
      <c r="NZ99" s="64">
        <f t="shared" si="2093"/>
        <v>1152.73</v>
      </c>
      <c r="OA99" s="65"/>
      <c r="OB99" s="63"/>
      <c r="OC99" s="64">
        <f t="shared" si="2094"/>
        <v>0</v>
      </c>
      <c r="OD99" s="65">
        <v>100</v>
      </c>
      <c r="OE99" s="63"/>
      <c r="OF99" s="64">
        <f t="shared" si="2095"/>
        <v>100</v>
      </c>
      <c r="OG99" s="66">
        <f t="shared" si="1603"/>
        <v>1252.73</v>
      </c>
      <c r="OH99" s="67">
        <f t="shared" si="2096"/>
        <v>0</v>
      </c>
      <c r="OI99" s="64">
        <f t="shared" si="2097"/>
        <v>1252.73</v>
      </c>
      <c r="OJ99" s="62"/>
      <c r="OK99" s="63"/>
      <c r="OL99" s="64">
        <f t="shared" si="2098"/>
        <v>0</v>
      </c>
      <c r="OM99" s="65"/>
      <c r="ON99" s="63"/>
      <c r="OO99" s="64">
        <f t="shared" si="2099"/>
        <v>0</v>
      </c>
      <c r="OP99" s="65"/>
      <c r="OQ99" s="63"/>
      <c r="OR99" s="64">
        <f t="shared" si="2100"/>
        <v>0</v>
      </c>
      <c r="OS99" s="65">
        <v>100</v>
      </c>
      <c r="OT99" s="63"/>
      <c r="OU99" s="64">
        <f t="shared" si="2101"/>
        <v>100</v>
      </c>
      <c r="OV99" s="66">
        <f t="shared" si="1610"/>
        <v>100</v>
      </c>
      <c r="OW99" s="67">
        <f t="shared" si="2102"/>
        <v>0</v>
      </c>
      <c r="OX99" s="64">
        <f t="shared" si="2103"/>
        <v>100</v>
      </c>
      <c r="OY99" s="62"/>
      <c r="OZ99" s="63"/>
      <c r="PA99" s="64">
        <f t="shared" si="2104"/>
        <v>0</v>
      </c>
      <c r="PB99" s="65"/>
      <c r="PC99" s="63"/>
      <c r="PD99" s="64">
        <f t="shared" si="2105"/>
        <v>0</v>
      </c>
      <c r="PE99" s="65"/>
      <c r="PF99" s="63"/>
      <c r="PG99" s="64">
        <f t="shared" si="2106"/>
        <v>0</v>
      </c>
      <c r="PH99" s="65">
        <v>100</v>
      </c>
      <c r="PI99" s="63"/>
      <c r="PJ99" s="64">
        <f t="shared" si="2107"/>
        <v>100</v>
      </c>
      <c r="PK99" s="66">
        <f t="shared" si="1617"/>
        <v>100</v>
      </c>
      <c r="PL99" s="67">
        <f t="shared" si="2108"/>
        <v>0</v>
      </c>
      <c r="PM99" s="64">
        <f t="shared" si="2109"/>
        <v>100</v>
      </c>
      <c r="PN99" s="62">
        <v>1550</v>
      </c>
      <c r="PO99" s="63"/>
      <c r="PP99" s="64">
        <f t="shared" si="2110"/>
        <v>1550</v>
      </c>
      <c r="PQ99" s="65"/>
      <c r="PR99" s="63"/>
      <c r="PS99" s="64">
        <f t="shared" si="2111"/>
        <v>0</v>
      </c>
      <c r="PT99" s="65"/>
      <c r="PU99" s="63"/>
      <c r="PV99" s="64">
        <f t="shared" si="2112"/>
        <v>0</v>
      </c>
      <c r="PW99" s="65">
        <v>100</v>
      </c>
      <c r="PX99" s="63"/>
      <c r="PY99" s="64">
        <f t="shared" si="2113"/>
        <v>100</v>
      </c>
      <c r="PZ99" s="66">
        <f t="shared" si="1624"/>
        <v>1650</v>
      </c>
      <c r="QA99" s="67">
        <f t="shared" si="2114"/>
        <v>0</v>
      </c>
      <c r="QB99" s="64">
        <f t="shared" si="2115"/>
        <v>1650</v>
      </c>
      <c r="QC99" s="62"/>
      <c r="QD99" s="63"/>
      <c r="QE99" s="64">
        <f t="shared" si="2116"/>
        <v>0</v>
      </c>
      <c r="QF99" s="65"/>
      <c r="QG99" s="63"/>
      <c r="QH99" s="64">
        <f t="shared" si="2117"/>
        <v>0</v>
      </c>
      <c r="QI99" s="65"/>
      <c r="QJ99" s="63"/>
      <c r="QK99" s="64">
        <f t="shared" si="2118"/>
        <v>0</v>
      </c>
      <c r="QL99" s="65">
        <v>100</v>
      </c>
      <c r="QM99" s="63"/>
      <c r="QN99" s="64">
        <f t="shared" si="2119"/>
        <v>100</v>
      </c>
      <c r="QO99" s="66">
        <f t="shared" si="1631"/>
        <v>100</v>
      </c>
      <c r="QP99" s="67">
        <f t="shared" si="2120"/>
        <v>0</v>
      </c>
      <c r="QQ99" s="64">
        <f t="shared" si="2121"/>
        <v>100</v>
      </c>
      <c r="QR99" s="74"/>
      <c r="QS99" s="74"/>
      <c r="QT99" s="72"/>
      <c r="QU99" s="73"/>
      <c r="QV99" s="74"/>
      <c r="QW99" s="75"/>
      <c r="QX99" s="73"/>
      <c r="QY99" s="74"/>
      <c r="QZ99" s="75"/>
      <c r="RA99" s="73"/>
      <c r="RB99" s="74"/>
      <c r="RC99" s="75"/>
      <c r="RD99" s="73"/>
      <c r="RE99" s="74"/>
      <c r="RF99" s="74"/>
      <c r="RG99" s="72"/>
      <c r="RH99" s="73"/>
      <c r="RI99" s="74"/>
      <c r="RJ99" s="75"/>
      <c r="RK99" s="73"/>
      <c r="RL99" s="74"/>
      <c r="RM99" s="75"/>
      <c r="RN99" s="73"/>
      <c r="RO99" s="74"/>
      <c r="RP99" s="75"/>
      <c r="RQ99" s="73"/>
      <c r="RR99" s="74"/>
      <c r="RS99" s="76"/>
      <c r="RT99" s="77"/>
      <c r="RU99" s="74"/>
      <c r="RV99" s="74"/>
      <c r="RW99" s="72"/>
      <c r="RX99" s="73"/>
      <c r="RY99" s="74"/>
      <c r="RZ99" s="75"/>
      <c r="SA99" s="73"/>
      <c r="SB99" s="74"/>
      <c r="SC99" s="75"/>
      <c r="SD99" s="73"/>
      <c r="SE99" s="74"/>
      <c r="SF99" s="75"/>
      <c r="SG99" s="73"/>
      <c r="SH99" s="74"/>
      <c r="SI99" s="76"/>
      <c r="SJ99" s="64">
        <f t="shared" si="2122"/>
        <v>0</v>
      </c>
      <c r="SK99" s="62"/>
      <c r="SL99" s="63"/>
      <c r="SM99" s="64">
        <f t="shared" si="2123"/>
        <v>0</v>
      </c>
      <c r="SN99" s="65"/>
      <c r="SO99" s="63"/>
      <c r="SP99" s="64">
        <f t="shared" si="2124"/>
        <v>0</v>
      </c>
      <c r="SQ99" s="65"/>
      <c r="SR99" s="63"/>
      <c r="SS99" s="64">
        <f t="shared" si="2125"/>
        <v>0</v>
      </c>
      <c r="ST99" s="65">
        <v>100</v>
      </c>
      <c r="SU99" s="63"/>
      <c r="SV99" s="64">
        <f t="shared" si="2126"/>
        <v>100</v>
      </c>
      <c r="SW99" s="66">
        <f t="shared" si="1639"/>
        <v>100</v>
      </c>
      <c r="SX99" s="67">
        <f t="shared" si="2127"/>
        <v>0</v>
      </c>
      <c r="SY99" s="64">
        <f t="shared" si="2128"/>
        <v>100</v>
      </c>
      <c r="SZ99" s="62">
        <v>985.33</v>
      </c>
      <c r="TA99" s="63"/>
      <c r="TB99" s="64">
        <f t="shared" si="2129"/>
        <v>985.33</v>
      </c>
      <c r="TC99" s="65">
        <v>700.9</v>
      </c>
      <c r="TD99" s="63"/>
      <c r="TE99" s="64">
        <f t="shared" si="2130"/>
        <v>700.9</v>
      </c>
      <c r="TF99" s="65"/>
      <c r="TG99" s="63"/>
      <c r="TH99" s="64">
        <f t="shared" si="2131"/>
        <v>0</v>
      </c>
      <c r="TI99" s="65">
        <v>100</v>
      </c>
      <c r="TJ99" s="63"/>
      <c r="TK99" s="64">
        <f t="shared" si="2132"/>
        <v>100</v>
      </c>
      <c r="TL99" s="66">
        <f t="shared" si="1646"/>
        <v>1786.23</v>
      </c>
      <c r="TM99" s="67">
        <f t="shared" si="2133"/>
        <v>0</v>
      </c>
      <c r="TN99" s="64">
        <f t="shared" si="2134"/>
        <v>1786.23</v>
      </c>
      <c r="TO99" s="62"/>
      <c r="TP99" s="63"/>
      <c r="TQ99" s="64">
        <f t="shared" si="2135"/>
        <v>0</v>
      </c>
      <c r="TR99" s="65"/>
      <c r="TS99" s="63"/>
      <c r="TT99" s="64">
        <f t="shared" si="2136"/>
        <v>0</v>
      </c>
      <c r="TU99" s="65"/>
      <c r="TV99" s="63"/>
      <c r="TW99" s="64">
        <f t="shared" si="2137"/>
        <v>0</v>
      </c>
      <c r="TX99" s="65">
        <v>100</v>
      </c>
      <c r="TY99" s="63"/>
      <c r="TZ99" s="64">
        <f t="shared" si="2138"/>
        <v>100</v>
      </c>
      <c r="UA99" s="66">
        <f t="shared" si="1653"/>
        <v>100</v>
      </c>
      <c r="UB99" s="67">
        <f t="shared" si="2139"/>
        <v>0</v>
      </c>
      <c r="UC99" s="64">
        <f t="shared" si="2140"/>
        <v>100</v>
      </c>
      <c r="UD99" s="62">
        <v>1125</v>
      </c>
      <c r="UE99" s="63"/>
      <c r="UF99" s="64">
        <f t="shared" si="2141"/>
        <v>1125</v>
      </c>
      <c r="UG99" s="65">
        <v>497.04</v>
      </c>
      <c r="UH99" s="63"/>
      <c r="UI99" s="64">
        <f t="shared" si="2142"/>
        <v>497.04</v>
      </c>
      <c r="UJ99" s="65"/>
      <c r="UK99" s="63"/>
      <c r="UL99" s="64">
        <f t="shared" si="2143"/>
        <v>0</v>
      </c>
      <c r="UM99" s="65">
        <v>100</v>
      </c>
      <c r="UN99" s="63"/>
      <c r="UO99" s="64">
        <f t="shared" si="2144"/>
        <v>100</v>
      </c>
      <c r="UP99" s="66">
        <f t="shared" si="1660"/>
        <v>1722.04</v>
      </c>
      <c r="UQ99" s="67">
        <f t="shared" si="2145"/>
        <v>0</v>
      </c>
      <c r="UR99" s="64">
        <f t="shared" si="2146"/>
        <v>1722.04</v>
      </c>
      <c r="US99" s="74"/>
      <c r="UT99" s="72"/>
      <c r="UU99" s="73"/>
      <c r="UV99" s="74"/>
      <c r="UW99" s="75"/>
      <c r="UX99" s="73"/>
      <c r="UY99" s="74"/>
      <c r="UZ99" s="75"/>
      <c r="VA99" s="73"/>
      <c r="VB99" s="74"/>
      <c r="VC99" s="75"/>
      <c r="VD99" s="73"/>
      <c r="VE99" s="74"/>
      <c r="VF99" s="76"/>
      <c r="VG99" s="77"/>
      <c r="VH99" s="62"/>
      <c r="VI99" s="63"/>
      <c r="VJ99" s="64">
        <f t="shared" si="2147"/>
        <v>0</v>
      </c>
      <c r="VK99" s="65"/>
      <c r="VL99" s="63"/>
      <c r="VM99" s="64">
        <f t="shared" si="2148"/>
        <v>0</v>
      </c>
      <c r="VN99" s="65"/>
      <c r="VO99" s="63"/>
      <c r="VP99" s="64">
        <f t="shared" si="2149"/>
        <v>0</v>
      </c>
      <c r="VQ99" s="65">
        <v>100</v>
      </c>
      <c r="VR99" s="63"/>
      <c r="VS99" s="64">
        <f t="shared" si="2150"/>
        <v>100</v>
      </c>
      <c r="VT99" s="66">
        <f t="shared" si="1667"/>
        <v>100</v>
      </c>
      <c r="VU99" s="67">
        <f t="shared" si="2151"/>
        <v>0</v>
      </c>
      <c r="VV99" s="64">
        <f t="shared" si="2152"/>
        <v>100</v>
      </c>
      <c r="VW99" s="74"/>
      <c r="VX99" s="72"/>
      <c r="VY99" s="73"/>
      <c r="VZ99" s="74"/>
      <c r="WA99" s="75"/>
      <c r="WB99" s="73"/>
      <c r="WC99" s="74"/>
      <c r="WD99" s="75"/>
      <c r="WE99" s="73"/>
      <c r="WF99" s="74"/>
      <c r="WG99" s="75"/>
      <c r="WH99" s="73"/>
      <c r="WI99" s="74"/>
      <c r="WJ99" s="76"/>
      <c r="WK99" s="77"/>
      <c r="WL99" s="74"/>
      <c r="WM99" s="72"/>
      <c r="WN99" s="73"/>
      <c r="WO99" s="74"/>
      <c r="WP99" s="75"/>
      <c r="WQ99" s="73"/>
      <c r="WR99" s="74"/>
      <c r="WS99" s="75"/>
      <c r="WT99" s="73"/>
      <c r="WU99" s="74"/>
      <c r="WV99" s="75"/>
      <c r="WW99" s="73"/>
      <c r="WX99" s="74"/>
      <c r="WY99" s="76"/>
      <c r="WZ99" s="77"/>
      <c r="XA99" s="74"/>
      <c r="XB99" s="72"/>
      <c r="XC99" s="73"/>
      <c r="XD99" s="74"/>
      <c r="XE99" s="75"/>
      <c r="XF99" s="73"/>
      <c r="XG99" s="74"/>
      <c r="XH99" s="75"/>
      <c r="XI99" s="73"/>
      <c r="XJ99" s="74"/>
      <c r="XK99" s="75"/>
      <c r="XL99" s="73"/>
      <c r="XM99" s="74"/>
      <c r="XN99" s="76"/>
      <c r="XO99" s="77"/>
      <c r="XP99" s="62"/>
      <c r="XQ99" s="63"/>
      <c r="XR99" s="64">
        <f t="shared" si="2153"/>
        <v>0</v>
      </c>
      <c r="XS99" s="65">
        <v>844.24</v>
      </c>
      <c r="XT99" s="63"/>
      <c r="XU99" s="64">
        <f t="shared" si="2154"/>
        <v>844.24</v>
      </c>
      <c r="XV99" s="65"/>
      <c r="XW99" s="63"/>
      <c r="XX99" s="64">
        <f t="shared" si="2155"/>
        <v>0</v>
      </c>
      <c r="XY99" s="65">
        <v>100</v>
      </c>
      <c r="XZ99" s="63"/>
      <c r="YA99" s="64">
        <f t="shared" si="2156"/>
        <v>100</v>
      </c>
      <c r="YB99" s="66">
        <f t="shared" si="1674"/>
        <v>944.24</v>
      </c>
      <c r="YC99" s="67">
        <f t="shared" si="2157"/>
        <v>0</v>
      </c>
      <c r="YD99" s="64">
        <f t="shared" si="2158"/>
        <v>944.24</v>
      </c>
      <c r="YE99" s="62"/>
      <c r="YF99" s="63"/>
      <c r="YG99" s="64">
        <f t="shared" si="2159"/>
        <v>0</v>
      </c>
      <c r="YH99" s="65">
        <v>847.85</v>
      </c>
      <c r="YI99" s="63"/>
      <c r="YJ99" s="64">
        <f t="shared" si="2160"/>
        <v>847.85</v>
      </c>
      <c r="YK99" s="65"/>
      <c r="YL99" s="63"/>
      <c r="YM99" s="64">
        <f t="shared" si="2161"/>
        <v>0</v>
      </c>
      <c r="YN99" s="65">
        <v>100</v>
      </c>
      <c r="YO99" s="63"/>
      <c r="YP99" s="64">
        <f t="shared" si="2162"/>
        <v>100</v>
      </c>
      <c r="YQ99" s="66">
        <f t="shared" si="1681"/>
        <v>947.85</v>
      </c>
      <c r="YR99" s="67">
        <f t="shared" si="2163"/>
        <v>0</v>
      </c>
      <c r="YS99" s="64">
        <f t="shared" si="2164"/>
        <v>947.85</v>
      </c>
      <c r="YT99" s="62"/>
      <c r="YU99" s="63"/>
      <c r="YV99" s="64">
        <f t="shared" si="2165"/>
        <v>0</v>
      </c>
      <c r="YW99" s="65">
        <v>695.73</v>
      </c>
      <c r="YX99" s="63"/>
      <c r="YY99" s="64">
        <f t="shared" si="2166"/>
        <v>695.73</v>
      </c>
      <c r="YZ99" s="65"/>
      <c r="ZA99" s="63"/>
      <c r="ZB99" s="64">
        <f t="shared" si="2167"/>
        <v>0</v>
      </c>
      <c r="ZC99" s="65">
        <v>100</v>
      </c>
      <c r="ZD99" s="63"/>
      <c r="ZE99" s="64">
        <f t="shared" si="2168"/>
        <v>100</v>
      </c>
      <c r="ZF99" s="66">
        <f t="shared" si="1688"/>
        <v>795.73</v>
      </c>
      <c r="ZG99" s="67">
        <f t="shared" si="2169"/>
        <v>0</v>
      </c>
      <c r="ZH99" s="74"/>
      <c r="ZI99" s="72"/>
      <c r="ZJ99" s="73"/>
      <c r="ZK99" s="74"/>
      <c r="ZL99" s="75"/>
      <c r="ZM99" s="73"/>
      <c r="ZN99" s="74"/>
      <c r="ZO99" s="75"/>
      <c r="ZP99" s="73"/>
      <c r="ZQ99" s="74"/>
      <c r="ZR99" s="75"/>
      <c r="ZS99" s="73"/>
      <c r="ZT99" s="74"/>
      <c r="ZU99" s="76"/>
      <c r="ZV99" s="77"/>
      <c r="ZW99" s="64">
        <f t="shared" si="2170"/>
        <v>0</v>
      </c>
      <c r="ZX99" s="62">
        <v>24.71</v>
      </c>
      <c r="ZY99" s="63"/>
      <c r="ZZ99" s="64">
        <f t="shared" si="2171"/>
        <v>24.71</v>
      </c>
      <c r="AAA99" s="66">
        <f t="shared" si="1692"/>
        <v>24.71</v>
      </c>
      <c r="AAB99" s="67">
        <f t="shared" si="1692"/>
        <v>0</v>
      </c>
      <c r="AAC99" s="64">
        <f t="shared" si="2172"/>
        <v>24.71</v>
      </c>
      <c r="AAD99" s="85">
        <f t="shared" si="1694"/>
        <v>68223.95</v>
      </c>
      <c r="AAE99" s="86">
        <f t="shared" si="1694"/>
        <v>0</v>
      </c>
      <c r="AAF99" s="87">
        <f t="shared" si="1457"/>
        <v>0</v>
      </c>
      <c r="AAG99" s="88">
        <f t="shared" si="2173"/>
        <v>-68223.95</v>
      </c>
      <c r="AAH99" s="91"/>
      <c r="AAI99" s="92"/>
      <c r="AAJ99" s="92"/>
      <c r="AAK99" s="60"/>
    </row>
    <row r="100" spans="1:713" s="83" customFormat="1" ht="20" customHeight="1" x14ac:dyDescent="0.2">
      <c r="A100" s="152"/>
      <c r="B100" s="58" t="s">
        <v>145</v>
      </c>
      <c r="C100" s="59"/>
      <c r="D100" s="59"/>
      <c r="E100" s="60"/>
      <c r="F100" s="61">
        <v>47239</v>
      </c>
      <c r="G100" s="62"/>
      <c r="H100" s="63"/>
      <c r="I100" s="64">
        <f t="shared" si="1969"/>
        <v>0</v>
      </c>
      <c r="J100" s="65">
        <v>3514.55</v>
      </c>
      <c r="K100" s="63"/>
      <c r="L100" s="64">
        <f t="shared" si="1970"/>
        <v>3514.55</v>
      </c>
      <c r="M100" s="65">
        <v>2500</v>
      </c>
      <c r="N100" s="63"/>
      <c r="O100" s="64">
        <f t="shared" si="1971"/>
        <v>2500</v>
      </c>
      <c r="P100" s="65">
        <v>750</v>
      </c>
      <c r="Q100" s="63"/>
      <c r="R100" s="64">
        <f t="shared" si="1972"/>
        <v>750</v>
      </c>
      <c r="S100" s="65">
        <v>181</v>
      </c>
      <c r="T100" s="63"/>
      <c r="U100" s="64">
        <f t="shared" si="1973"/>
        <v>181</v>
      </c>
      <c r="V100" s="66">
        <f t="shared" si="1974"/>
        <v>6945.55</v>
      </c>
      <c r="W100" s="67">
        <f t="shared" si="1974"/>
        <v>0</v>
      </c>
      <c r="X100" s="64">
        <f t="shared" si="1975"/>
        <v>6945.55</v>
      </c>
      <c r="Y100" s="72"/>
      <c r="Z100" s="73"/>
      <c r="AA100" s="74"/>
      <c r="AB100" s="75"/>
      <c r="AC100" s="73"/>
      <c r="AD100" s="74"/>
      <c r="AE100" s="75"/>
      <c r="AF100" s="73"/>
      <c r="AG100" s="74"/>
      <c r="AH100" s="75"/>
      <c r="AI100" s="73"/>
      <c r="AJ100" s="74"/>
      <c r="AK100" s="76"/>
      <c r="AL100" s="77"/>
      <c r="AM100" s="64">
        <f t="shared" si="1976"/>
        <v>0</v>
      </c>
      <c r="AN100" s="62"/>
      <c r="AO100" s="63"/>
      <c r="AP100" s="64">
        <f t="shared" si="2174"/>
        <v>0</v>
      </c>
      <c r="AQ100" s="65"/>
      <c r="AR100" s="63"/>
      <c r="AS100" s="64">
        <f t="shared" si="1977"/>
        <v>0</v>
      </c>
      <c r="AT100" s="65"/>
      <c r="AU100" s="63"/>
      <c r="AV100" s="64">
        <f t="shared" si="1978"/>
        <v>0</v>
      </c>
      <c r="AW100" s="65"/>
      <c r="AX100" s="63"/>
      <c r="AY100" s="64">
        <f t="shared" si="1979"/>
        <v>0</v>
      </c>
      <c r="AZ100" s="66">
        <f t="shared" si="1469"/>
        <v>0</v>
      </c>
      <c r="BA100" s="67">
        <f t="shared" si="1980"/>
        <v>0</v>
      </c>
      <c r="BB100" s="64">
        <f t="shared" si="1981"/>
        <v>0</v>
      </c>
      <c r="BC100" s="62"/>
      <c r="BD100" s="63"/>
      <c r="BE100" s="64">
        <f t="shared" si="1982"/>
        <v>0</v>
      </c>
      <c r="BF100" s="65"/>
      <c r="BG100" s="63"/>
      <c r="BH100" s="64">
        <f t="shared" si="1983"/>
        <v>0</v>
      </c>
      <c r="BI100" s="65"/>
      <c r="BJ100" s="63"/>
      <c r="BK100" s="64">
        <f t="shared" si="1984"/>
        <v>0</v>
      </c>
      <c r="BL100" s="65">
        <v>100</v>
      </c>
      <c r="BM100" s="63"/>
      <c r="BN100" s="64">
        <f t="shared" si="1985"/>
        <v>100</v>
      </c>
      <c r="BO100" s="66">
        <f t="shared" si="1476"/>
        <v>100</v>
      </c>
      <c r="BP100" s="67">
        <f t="shared" si="1986"/>
        <v>0</v>
      </c>
      <c r="BQ100" s="64">
        <f t="shared" si="1987"/>
        <v>100</v>
      </c>
      <c r="BR100" s="72"/>
      <c r="BS100" s="73"/>
      <c r="BT100" s="74"/>
      <c r="BU100" s="75"/>
      <c r="BV100" s="73"/>
      <c r="BW100" s="74"/>
      <c r="BX100" s="75"/>
      <c r="BY100" s="73"/>
      <c r="BZ100" s="74"/>
      <c r="CA100" s="75"/>
      <c r="CB100" s="73"/>
      <c r="CC100" s="74"/>
      <c r="CD100" s="76"/>
      <c r="CE100" s="77"/>
      <c r="CF100" s="64">
        <f t="shared" si="1988"/>
        <v>0</v>
      </c>
      <c r="CG100" s="62"/>
      <c r="CH100" s="63"/>
      <c r="CI100" s="64">
        <f t="shared" si="1989"/>
        <v>0</v>
      </c>
      <c r="CJ100" s="65"/>
      <c r="CK100" s="63"/>
      <c r="CL100" s="64">
        <f t="shared" si="1990"/>
        <v>0</v>
      </c>
      <c r="CM100" s="65"/>
      <c r="CN100" s="63"/>
      <c r="CO100" s="64">
        <f t="shared" si="1991"/>
        <v>0</v>
      </c>
      <c r="CP100" s="65"/>
      <c r="CQ100" s="63"/>
      <c r="CR100" s="64">
        <f t="shared" si="1992"/>
        <v>0</v>
      </c>
      <c r="CS100" s="66">
        <f t="shared" si="1484"/>
        <v>0</v>
      </c>
      <c r="CT100" s="67">
        <f t="shared" si="1993"/>
        <v>0</v>
      </c>
      <c r="CU100" s="64">
        <f t="shared" si="1994"/>
        <v>0</v>
      </c>
      <c r="CV100" s="62">
        <v>2916.7</v>
      </c>
      <c r="CW100" s="63"/>
      <c r="CX100" s="64">
        <f t="shared" si="1995"/>
        <v>2916.7</v>
      </c>
      <c r="CY100" s="65">
        <v>429.15</v>
      </c>
      <c r="CZ100" s="63"/>
      <c r="DA100" s="64">
        <f t="shared" si="1996"/>
        <v>429.15</v>
      </c>
      <c r="DB100" s="65"/>
      <c r="DC100" s="63"/>
      <c r="DD100" s="64">
        <f t="shared" si="1997"/>
        <v>0</v>
      </c>
      <c r="DE100" s="65"/>
      <c r="DF100" s="63"/>
      <c r="DG100" s="64">
        <f t="shared" si="1998"/>
        <v>0</v>
      </c>
      <c r="DH100" s="66">
        <f t="shared" si="1491"/>
        <v>3345.85</v>
      </c>
      <c r="DI100" s="67">
        <f t="shared" si="1999"/>
        <v>0</v>
      </c>
      <c r="DJ100" s="64">
        <f t="shared" si="2000"/>
        <v>3345.85</v>
      </c>
      <c r="DK100" s="62">
        <v>2400</v>
      </c>
      <c r="DL100" s="63"/>
      <c r="DM100" s="64">
        <f t="shared" si="2001"/>
        <v>2400</v>
      </c>
      <c r="DN100" s="65">
        <v>913.08</v>
      </c>
      <c r="DO100" s="63"/>
      <c r="DP100" s="64">
        <f t="shared" si="2002"/>
        <v>913.08</v>
      </c>
      <c r="DQ100" s="65"/>
      <c r="DR100" s="63"/>
      <c r="DS100" s="64">
        <f t="shared" si="2003"/>
        <v>0</v>
      </c>
      <c r="DT100" s="65">
        <v>100</v>
      </c>
      <c r="DU100" s="63"/>
      <c r="DV100" s="64">
        <f t="shared" si="2004"/>
        <v>100</v>
      </c>
      <c r="DW100" s="66">
        <f t="shared" si="1498"/>
        <v>3413.08</v>
      </c>
      <c r="DX100" s="67">
        <f t="shared" si="2005"/>
        <v>0</v>
      </c>
      <c r="DY100" s="64">
        <f t="shared" si="2006"/>
        <v>3413.08</v>
      </c>
      <c r="DZ100" s="62"/>
      <c r="EA100" s="63"/>
      <c r="EB100" s="64">
        <f t="shared" si="2007"/>
        <v>0</v>
      </c>
      <c r="EC100" s="65"/>
      <c r="ED100" s="63"/>
      <c r="EE100" s="64">
        <f t="shared" si="2008"/>
        <v>0</v>
      </c>
      <c r="EF100" s="65"/>
      <c r="EG100" s="63"/>
      <c r="EH100" s="64">
        <f t="shared" si="2009"/>
        <v>0</v>
      </c>
      <c r="EI100" s="65">
        <v>100</v>
      </c>
      <c r="EJ100" s="63"/>
      <c r="EK100" s="64">
        <f t="shared" si="2010"/>
        <v>100</v>
      </c>
      <c r="EL100" s="66">
        <f t="shared" si="1505"/>
        <v>100</v>
      </c>
      <c r="EM100" s="67">
        <f t="shared" si="2011"/>
        <v>0</v>
      </c>
      <c r="EN100" s="64">
        <f t="shared" si="2012"/>
        <v>100</v>
      </c>
      <c r="EO100" s="62"/>
      <c r="EP100" s="63"/>
      <c r="EQ100" s="64">
        <f t="shared" si="2013"/>
        <v>0</v>
      </c>
      <c r="ER100" s="65"/>
      <c r="ES100" s="63"/>
      <c r="ET100" s="64">
        <f t="shared" si="2014"/>
        <v>0</v>
      </c>
      <c r="EU100" s="65">
        <v>4500</v>
      </c>
      <c r="EV100" s="63"/>
      <c r="EW100" s="64">
        <f t="shared" si="2015"/>
        <v>4500</v>
      </c>
      <c r="EX100" s="65">
        <v>100</v>
      </c>
      <c r="EY100" s="63"/>
      <c r="EZ100" s="64">
        <f t="shared" si="2016"/>
        <v>100</v>
      </c>
      <c r="FA100" s="66">
        <f t="shared" si="1512"/>
        <v>4600</v>
      </c>
      <c r="FB100" s="67">
        <f t="shared" si="2017"/>
        <v>0</v>
      </c>
      <c r="FC100" s="64">
        <f t="shared" si="2018"/>
        <v>4600</v>
      </c>
      <c r="FD100" s="62"/>
      <c r="FE100" s="63"/>
      <c r="FF100" s="64">
        <f t="shared" si="2019"/>
        <v>0</v>
      </c>
      <c r="FG100" s="65"/>
      <c r="FH100" s="63"/>
      <c r="FI100" s="64">
        <f t="shared" si="2020"/>
        <v>0</v>
      </c>
      <c r="FJ100" s="65">
        <v>4500</v>
      </c>
      <c r="FK100" s="63"/>
      <c r="FL100" s="64">
        <f t="shared" si="2021"/>
        <v>4500</v>
      </c>
      <c r="FM100" s="65">
        <v>100</v>
      </c>
      <c r="FN100" s="63"/>
      <c r="FO100" s="64">
        <f t="shared" si="2022"/>
        <v>100</v>
      </c>
      <c r="FP100" s="66">
        <f t="shared" si="1519"/>
        <v>4600</v>
      </c>
      <c r="FQ100" s="67">
        <f t="shared" si="2023"/>
        <v>0</v>
      </c>
      <c r="FR100" s="64">
        <f t="shared" si="2024"/>
        <v>4600</v>
      </c>
      <c r="FS100" s="62"/>
      <c r="FT100" s="63"/>
      <c r="FU100" s="64">
        <f t="shared" si="2025"/>
        <v>0</v>
      </c>
      <c r="FV100" s="65">
        <v>485.35</v>
      </c>
      <c r="FW100" s="63"/>
      <c r="FX100" s="64">
        <f t="shared" si="2026"/>
        <v>485.35</v>
      </c>
      <c r="FY100" s="65"/>
      <c r="FZ100" s="63"/>
      <c r="GA100" s="64">
        <f t="shared" si="2027"/>
        <v>0</v>
      </c>
      <c r="GB100" s="65"/>
      <c r="GC100" s="63"/>
      <c r="GD100" s="64">
        <f t="shared" si="2028"/>
        <v>0</v>
      </c>
      <c r="GE100" s="66">
        <f t="shared" si="1526"/>
        <v>485.35</v>
      </c>
      <c r="GF100" s="67">
        <f t="shared" si="2029"/>
        <v>0</v>
      </c>
      <c r="GG100" s="64">
        <f t="shared" si="2030"/>
        <v>485.35</v>
      </c>
      <c r="GH100" s="62"/>
      <c r="GI100" s="63"/>
      <c r="GJ100" s="64">
        <f t="shared" si="2031"/>
        <v>0</v>
      </c>
      <c r="GK100" s="65">
        <v>660.33</v>
      </c>
      <c r="GL100" s="63"/>
      <c r="GM100" s="64">
        <f t="shared" si="2032"/>
        <v>660.33</v>
      </c>
      <c r="GN100" s="65"/>
      <c r="GO100" s="63"/>
      <c r="GP100" s="64">
        <f t="shared" si="2033"/>
        <v>0</v>
      </c>
      <c r="GQ100" s="65"/>
      <c r="GR100" s="63"/>
      <c r="GS100" s="64">
        <f t="shared" si="2034"/>
        <v>0</v>
      </c>
      <c r="GT100" s="66">
        <f t="shared" si="1533"/>
        <v>660.33</v>
      </c>
      <c r="GU100" s="67">
        <f t="shared" si="2035"/>
        <v>0</v>
      </c>
      <c r="GV100" s="64">
        <f t="shared" si="2036"/>
        <v>660.33</v>
      </c>
      <c r="GW100" s="62"/>
      <c r="GX100" s="63"/>
      <c r="GY100" s="64">
        <f t="shared" si="2037"/>
        <v>0</v>
      </c>
      <c r="GZ100" s="65">
        <v>568.25</v>
      </c>
      <c r="HA100" s="63"/>
      <c r="HB100" s="64">
        <f t="shared" si="2038"/>
        <v>568.25</v>
      </c>
      <c r="HC100" s="65"/>
      <c r="HD100" s="63"/>
      <c r="HE100" s="64">
        <f t="shared" si="2039"/>
        <v>0</v>
      </c>
      <c r="HF100" s="65">
        <v>100</v>
      </c>
      <c r="HG100" s="63"/>
      <c r="HH100" s="64">
        <f t="shared" si="2040"/>
        <v>100</v>
      </c>
      <c r="HI100" s="66">
        <f t="shared" si="1540"/>
        <v>668.25</v>
      </c>
      <c r="HJ100" s="67">
        <f t="shared" si="2041"/>
        <v>0</v>
      </c>
      <c r="HK100" s="64">
        <f t="shared" si="2042"/>
        <v>668.25</v>
      </c>
      <c r="HL100" s="62"/>
      <c r="HM100" s="63"/>
      <c r="HN100" s="64">
        <f t="shared" si="2043"/>
        <v>0</v>
      </c>
      <c r="HO100" s="65"/>
      <c r="HP100" s="63"/>
      <c r="HQ100" s="64">
        <f t="shared" si="2044"/>
        <v>0</v>
      </c>
      <c r="HR100" s="65"/>
      <c r="HS100" s="63"/>
      <c r="HT100" s="64">
        <f t="shared" si="2045"/>
        <v>0</v>
      </c>
      <c r="HU100" s="65">
        <v>100</v>
      </c>
      <c r="HV100" s="63"/>
      <c r="HW100" s="64">
        <f t="shared" si="2046"/>
        <v>100</v>
      </c>
      <c r="HX100" s="66">
        <f t="shared" si="1547"/>
        <v>100</v>
      </c>
      <c r="HY100" s="67">
        <f t="shared" si="2047"/>
        <v>0</v>
      </c>
      <c r="HZ100" s="64">
        <f t="shared" si="2048"/>
        <v>100</v>
      </c>
      <c r="IA100" s="62"/>
      <c r="IB100" s="63"/>
      <c r="IC100" s="64">
        <f t="shared" si="2049"/>
        <v>0</v>
      </c>
      <c r="ID100" s="65"/>
      <c r="IE100" s="63"/>
      <c r="IF100" s="64">
        <f t="shared" si="2050"/>
        <v>0</v>
      </c>
      <c r="IG100" s="65"/>
      <c r="IH100" s="63"/>
      <c r="II100" s="64">
        <f t="shared" si="2051"/>
        <v>0</v>
      </c>
      <c r="IJ100" s="65">
        <v>100</v>
      </c>
      <c r="IK100" s="63"/>
      <c r="IL100" s="64">
        <f t="shared" si="2052"/>
        <v>100</v>
      </c>
      <c r="IM100" s="66">
        <f t="shared" si="1554"/>
        <v>100</v>
      </c>
      <c r="IN100" s="67">
        <f t="shared" si="2053"/>
        <v>0</v>
      </c>
      <c r="IO100" s="64">
        <f t="shared" si="2054"/>
        <v>100</v>
      </c>
      <c r="IP100" s="62"/>
      <c r="IQ100" s="63"/>
      <c r="IR100" s="64">
        <f t="shared" si="2055"/>
        <v>0</v>
      </c>
      <c r="IS100" s="65"/>
      <c r="IT100" s="63"/>
      <c r="IU100" s="64">
        <f t="shared" si="2056"/>
        <v>0</v>
      </c>
      <c r="IV100" s="65"/>
      <c r="IW100" s="63"/>
      <c r="IX100" s="64">
        <f t="shared" si="2057"/>
        <v>0</v>
      </c>
      <c r="IY100" s="65"/>
      <c r="IZ100" s="63"/>
      <c r="JA100" s="64">
        <f t="shared" si="2058"/>
        <v>0</v>
      </c>
      <c r="JB100" s="66">
        <f t="shared" si="1561"/>
        <v>0</v>
      </c>
      <c r="JC100" s="67">
        <f t="shared" si="2059"/>
        <v>0</v>
      </c>
      <c r="JD100" s="64">
        <f t="shared" si="2060"/>
        <v>0</v>
      </c>
      <c r="JE100" s="72"/>
      <c r="JF100" s="150"/>
      <c r="JG100" s="74"/>
      <c r="JH100" s="75"/>
      <c r="JI100" s="150"/>
      <c r="JJ100" s="74"/>
      <c r="JK100" s="75"/>
      <c r="JL100" s="150"/>
      <c r="JM100" s="74"/>
      <c r="JN100" s="75"/>
      <c r="JO100" s="150"/>
      <c r="JP100" s="74"/>
      <c r="JQ100" s="76"/>
      <c r="JR100" s="77"/>
      <c r="JS100" s="74"/>
      <c r="JT100" s="72"/>
      <c r="JU100" s="73"/>
      <c r="JV100" s="74"/>
      <c r="JW100" s="75"/>
      <c r="JX100" s="73"/>
      <c r="JY100" s="74"/>
      <c r="JZ100" s="75"/>
      <c r="KA100" s="73"/>
      <c r="KB100" s="74"/>
      <c r="KC100" s="75"/>
      <c r="KD100" s="73"/>
      <c r="KE100" s="74"/>
      <c r="KF100" s="76"/>
      <c r="KG100" s="77"/>
      <c r="KH100" s="64">
        <f t="shared" si="2061"/>
        <v>0</v>
      </c>
      <c r="KI100" s="62"/>
      <c r="KJ100" s="63"/>
      <c r="KK100" s="64">
        <f t="shared" si="2062"/>
        <v>0</v>
      </c>
      <c r="KL100" s="65"/>
      <c r="KM100" s="63"/>
      <c r="KN100" s="64">
        <f t="shared" si="2063"/>
        <v>0</v>
      </c>
      <c r="KO100" s="65"/>
      <c r="KP100" s="63"/>
      <c r="KQ100" s="64">
        <f t="shared" si="2064"/>
        <v>0</v>
      </c>
      <c r="KR100" s="65"/>
      <c r="KS100" s="63"/>
      <c r="KT100" s="64">
        <f t="shared" si="2065"/>
        <v>0</v>
      </c>
      <c r="KU100" s="66">
        <f t="shared" si="1439"/>
        <v>0</v>
      </c>
      <c r="KV100" s="67">
        <f t="shared" si="2066"/>
        <v>0</v>
      </c>
      <c r="KW100" s="64">
        <f t="shared" si="2067"/>
        <v>0</v>
      </c>
      <c r="KX100" s="72"/>
      <c r="KY100" s="73"/>
      <c r="KZ100" s="74"/>
      <c r="LA100" s="75"/>
      <c r="LB100" s="73"/>
      <c r="LC100" s="74"/>
      <c r="LD100" s="75"/>
      <c r="LE100" s="73"/>
      <c r="LF100" s="74"/>
      <c r="LG100" s="75"/>
      <c r="LH100" s="73"/>
      <c r="LI100" s="74"/>
      <c r="LJ100" s="76"/>
      <c r="LK100" s="77"/>
      <c r="LL100" s="74"/>
      <c r="LM100" s="62"/>
      <c r="LN100" s="63"/>
      <c r="LO100" s="64">
        <f t="shared" si="2068"/>
        <v>0</v>
      </c>
      <c r="LP100" s="65"/>
      <c r="LQ100" s="63"/>
      <c r="LR100" s="64">
        <f t="shared" si="2069"/>
        <v>0</v>
      </c>
      <c r="LS100" s="65"/>
      <c r="LT100" s="63"/>
      <c r="LU100" s="64">
        <f t="shared" si="2070"/>
        <v>0</v>
      </c>
      <c r="LV100" s="65">
        <v>100</v>
      </c>
      <c r="LW100" s="63"/>
      <c r="LX100" s="64">
        <f t="shared" si="2071"/>
        <v>100</v>
      </c>
      <c r="LY100" s="66">
        <f t="shared" si="1575"/>
        <v>100</v>
      </c>
      <c r="LZ100" s="67">
        <f t="shared" si="2072"/>
        <v>0</v>
      </c>
      <c r="MA100" s="64">
        <f t="shared" si="2073"/>
        <v>100</v>
      </c>
      <c r="MB100" s="62"/>
      <c r="MC100" s="63"/>
      <c r="MD100" s="64">
        <f t="shared" si="2074"/>
        <v>0</v>
      </c>
      <c r="ME100" s="65">
        <v>889.11</v>
      </c>
      <c r="MF100" s="63"/>
      <c r="MG100" s="64">
        <f t="shared" si="2075"/>
        <v>889.11</v>
      </c>
      <c r="MH100" s="65"/>
      <c r="MI100" s="63"/>
      <c r="MJ100" s="64">
        <f t="shared" si="2076"/>
        <v>0</v>
      </c>
      <c r="MK100" s="65">
        <v>100</v>
      </c>
      <c r="ML100" s="63"/>
      <c r="MM100" s="64">
        <f t="shared" si="2077"/>
        <v>100</v>
      </c>
      <c r="MN100" s="66">
        <f t="shared" si="1582"/>
        <v>989.11</v>
      </c>
      <c r="MO100" s="67">
        <f t="shared" si="2078"/>
        <v>0</v>
      </c>
      <c r="MP100" s="64">
        <f t="shared" si="2079"/>
        <v>989.11</v>
      </c>
      <c r="MQ100" s="62"/>
      <c r="MR100" s="63"/>
      <c r="MS100" s="64">
        <f t="shared" si="2080"/>
        <v>0</v>
      </c>
      <c r="MT100" s="65"/>
      <c r="MU100" s="63"/>
      <c r="MV100" s="64">
        <f t="shared" si="2081"/>
        <v>0</v>
      </c>
      <c r="MW100" s="65"/>
      <c r="MX100" s="63"/>
      <c r="MY100" s="64">
        <f t="shared" si="2082"/>
        <v>0</v>
      </c>
      <c r="MZ100" s="65"/>
      <c r="NA100" s="63"/>
      <c r="NB100" s="64">
        <f t="shared" si="2083"/>
        <v>0</v>
      </c>
      <c r="NC100" s="66">
        <f t="shared" si="1589"/>
        <v>0</v>
      </c>
      <c r="ND100" s="67">
        <f t="shared" si="2084"/>
        <v>0</v>
      </c>
      <c r="NE100" s="64">
        <f t="shared" si="2085"/>
        <v>0</v>
      </c>
      <c r="NF100" s="62"/>
      <c r="NG100" s="63"/>
      <c r="NH100" s="64">
        <f t="shared" si="2086"/>
        <v>0</v>
      </c>
      <c r="NI100" s="65">
        <v>1164.04</v>
      </c>
      <c r="NJ100" s="63"/>
      <c r="NK100" s="64">
        <f t="shared" si="2087"/>
        <v>1164.04</v>
      </c>
      <c r="NL100" s="65"/>
      <c r="NM100" s="63"/>
      <c r="NN100" s="64">
        <f t="shared" si="2088"/>
        <v>0</v>
      </c>
      <c r="NO100" s="65">
        <v>100</v>
      </c>
      <c r="NP100" s="63"/>
      <c r="NQ100" s="64">
        <f t="shared" si="2089"/>
        <v>100</v>
      </c>
      <c r="NR100" s="66">
        <f t="shared" si="1596"/>
        <v>1264.04</v>
      </c>
      <c r="NS100" s="67">
        <f t="shared" si="2090"/>
        <v>0</v>
      </c>
      <c r="NT100" s="64">
        <f t="shared" si="2091"/>
        <v>1264.04</v>
      </c>
      <c r="NU100" s="62"/>
      <c r="NV100" s="63"/>
      <c r="NW100" s="64">
        <f t="shared" si="2092"/>
        <v>0</v>
      </c>
      <c r="NX100" s="65">
        <v>1152.73</v>
      </c>
      <c r="NY100" s="63"/>
      <c r="NZ100" s="64">
        <f t="shared" si="2093"/>
        <v>1152.73</v>
      </c>
      <c r="OA100" s="65"/>
      <c r="OB100" s="63"/>
      <c r="OC100" s="64">
        <f t="shared" si="2094"/>
        <v>0</v>
      </c>
      <c r="OD100" s="65">
        <v>100</v>
      </c>
      <c r="OE100" s="63"/>
      <c r="OF100" s="64">
        <f t="shared" si="2095"/>
        <v>100</v>
      </c>
      <c r="OG100" s="66">
        <f t="shared" si="1603"/>
        <v>1252.73</v>
      </c>
      <c r="OH100" s="67">
        <f t="shared" si="2096"/>
        <v>0</v>
      </c>
      <c r="OI100" s="64">
        <f t="shared" si="2097"/>
        <v>1252.73</v>
      </c>
      <c r="OJ100" s="62"/>
      <c r="OK100" s="63"/>
      <c r="OL100" s="64">
        <f t="shared" si="2098"/>
        <v>0</v>
      </c>
      <c r="OM100" s="65"/>
      <c r="ON100" s="63"/>
      <c r="OO100" s="64">
        <f t="shared" si="2099"/>
        <v>0</v>
      </c>
      <c r="OP100" s="65"/>
      <c r="OQ100" s="63"/>
      <c r="OR100" s="64">
        <f t="shared" si="2100"/>
        <v>0</v>
      </c>
      <c r="OS100" s="65">
        <v>100</v>
      </c>
      <c r="OT100" s="63"/>
      <c r="OU100" s="64">
        <f t="shared" si="2101"/>
        <v>100</v>
      </c>
      <c r="OV100" s="66">
        <f t="shared" si="1610"/>
        <v>100</v>
      </c>
      <c r="OW100" s="67">
        <f t="shared" si="2102"/>
        <v>0</v>
      </c>
      <c r="OX100" s="64">
        <f t="shared" si="2103"/>
        <v>100</v>
      </c>
      <c r="OY100" s="62"/>
      <c r="OZ100" s="63"/>
      <c r="PA100" s="64">
        <f t="shared" si="2104"/>
        <v>0</v>
      </c>
      <c r="PB100" s="65"/>
      <c r="PC100" s="63"/>
      <c r="PD100" s="64">
        <f t="shared" si="2105"/>
        <v>0</v>
      </c>
      <c r="PE100" s="65"/>
      <c r="PF100" s="63"/>
      <c r="PG100" s="64">
        <f t="shared" si="2106"/>
        <v>0</v>
      </c>
      <c r="PH100" s="65">
        <v>100</v>
      </c>
      <c r="PI100" s="63"/>
      <c r="PJ100" s="64">
        <f t="shared" si="2107"/>
        <v>100</v>
      </c>
      <c r="PK100" s="66">
        <f t="shared" si="1617"/>
        <v>100</v>
      </c>
      <c r="PL100" s="67">
        <f t="shared" si="2108"/>
        <v>0</v>
      </c>
      <c r="PM100" s="64">
        <f t="shared" si="2109"/>
        <v>100</v>
      </c>
      <c r="PN100" s="62">
        <v>1550</v>
      </c>
      <c r="PO100" s="63"/>
      <c r="PP100" s="64">
        <f t="shared" si="2110"/>
        <v>1550</v>
      </c>
      <c r="PQ100" s="65"/>
      <c r="PR100" s="63"/>
      <c r="PS100" s="64">
        <f t="shared" si="2111"/>
        <v>0</v>
      </c>
      <c r="PT100" s="65"/>
      <c r="PU100" s="63"/>
      <c r="PV100" s="64">
        <f t="shared" si="2112"/>
        <v>0</v>
      </c>
      <c r="PW100" s="65">
        <v>100</v>
      </c>
      <c r="PX100" s="63"/>
      <c r="PY100" s="64">
        <f t="shared" si="2113"/>
        <v>100</v>
      </c>
      <c r="PZ100" s="66">
        <f t="shared" si="1624"/>
        <v>1650</v>
      </c>
      <c r="QA100" s="67">
        <f t="shared" si="2114"/>
        <v>0</v>
      </c>
      <c r="QB100" s="64">
        <f t="shared" si="2115"/>
        <v>1650</v>
      </c>
      <c r="QC100" s="62"/>
      <c r="QD100" s="63"/>
      <c r="QE100" s="64">
        <f t="shared" si="2116"/>
        <v>0</v>
      </c>
      <c r="QF100" s="65"/>
      <c r="QG100" s="63"/>
      <c r="QH100" s="64">
        <f t="shared" si="2117"/>
        <v>0</v>
      </c>
      <c r="QI100" s="65"/>
      <c r="QJ100" s="63"/>
      <c r="QK100" s="64">
        <f t="shared" si="2118"/>
        <v>0</v>
      </c>
      <c r="QL100" s="65">
        <v>100</v>
      </c>
      <c r="QM100" s="63"/>
      <c r="QN100" s="64">
        <f t="shared" si="2119"/>
        <v>100</v>
      </c>
      <c r="QO100" s="66">
        <f t="shared" si="1631"/>
        <v>100</v>
      </c>
      <c r="QP100" s="67">
        <f t="shared" si="2120"/>
        <v>0</v>
      </c>
      <c r="QQ100" s="64">
        <f t="shared" si="2121"/>
        <v>100</v>
      </c>
      <c r="QR100" s="74"/>
      <c r="QS100" s="74"/>
      <c r="QT100" s="72"/>
      <c r="QU100" s="73"/>
      <c r="QV100" s="74"/>
      <c r="QW100" s="75"/>
      <c r="QX100" s="73"/>
      <c r="QY100" s="74"/>
      <c r="QZ100" s="75"/>
      <c r="RA100" s="73"/>
      <c r="RB100" s="74"/>
      <c r="RC100" s="75"/>
      <c r="RD100" s="73"/>
      <c r="RE100" s="74"/>
      <c r="RF100" s="74"/>
      <c r="RG100" s="72"/>
      <c r="RH100" s="73"/>
      <c r="RI100" s="74"/>
      <c r="RJ100" s="75"/>
      <c r="RK100" s="73"/>
      <c r="RL100" s="74"/>
      <c r="RM100" s="75"/>
      <c r="RN100" s="73"/>
      <c r="RO100" s="74"/>
      <c r="RP100" s="75"/>
      <c r="RQ100" s="73"/>
      <c r="RR100" s="74"/>
      <c r="RS100" s="76"/>
      <c r="RT100" s="77"/>
      <c r="RU100" s="74"/>
      <c r="RV100" s="74"/>
      <c r="RW100" s="72"/>
      <c r="RX100" s="73"/>
      <c r="RY100" s="74"/>
      <c r="RZ100" s="75"/>
      <c r="SA100" s="73"/>
      <c r="SB100" s="74"/>
      <c r="SC100" s="75"/>
      <c r="SD100" s="73"/>
      <c r="SE100" s="74"/>
      <c r="SF100" s="75"/>
      <c r="SG100" s="73"/>
      <c r="SH100" s="74"/>
      <c r="SI100" s="76"/>
      <c r="SJ100" s="64">
        <f t="shared" si="2122"/>
        <v>0</v>
      </c>
      <c r="SK100" s="62"/>
      <c r="SL100" s="63"/>
      <c r="SM100" s="64">
        <f t="shared" si="2123"/>
        <v>0</v>
      </c>
      <c r="SN100" s="65"/>
      <c r="SO100" s="63"/>
      <c r="SP100" s="64">
        <f t="shared" si="2124"/>
        <v>0</v>
      </c>
      <c r="SQ100" s="65"/>
      <c r="SR100" s="63"/>
      <c r="SS100" s="64">
        <f t="shared" si="2125"/>
        <v>0</v>
      </c>
      <c r="ST100" s="65">
        <v>100</v>
      </c>
      <c r="SU100" s="63"/>
      <c r="SV100" s="64">
        <f t="shared" si="2126"/>
        <v>100</v>
      </c>
      <c r="SW100" s="66">
        <f t="shared" si="1639"/>
        <v>100</v>
      </c>
      <c r="SX100" s="67">
        <f t="shared" si="2127"/>
        <v>0</v>
      </c>
      <c r="SY100" s="64">
        <f t="shared" si="2128"/>
        <v>100</v>
      </c>
      <c r="SZ100" s="62">
        <v>985.33</v>
      </c>
      <c r="TA100" s="63"/>
      <c r="TB100" s="64">
        <f t="shared" si="2129"/>
        <v>985.33</v>
      </c>
      <c r="TC100" s="65">
        <v>700.9</v>
      </c>
      <c r="TD100" s="63"/>
      <c r="TE100" s="64">
        <f t="shared" si="2130"/>
        <v>700.9</v>
      </c>
      <c r="TF100" s="65"/>
      <c r="TG100" s="63"/>
      <c r="TH100" s="64">
        <f t="shared" si="2131"/>
        <v>0</v>
      </c>
      <c r="TI100" s="65">
        <v>100</v>
      </c>
      <c r="TJ100" s="63"/>
      <c r="TK100" s="64">
        <f t="shared" si="2132"/>
        <v>100</v>
      </c>
      <c r="TL100" s="66">
        <f t="shared" si="1646"/>
        <v>1786.23</v>
      </c>
      <c r="TM100" s="67">
        <f t="shared" si="2133"/>
        <v>0</v>
      </c>
      <c r="TN100" s="64">
        <f t="shared" si="2134"/>
        <v>1786.23</v>
      </c>
      <c r="TO100" s="62"/>
      <c r="TP100" s="63"/>
      <c r="TQ100" s="64">
        <f t="shared" si="2135"/>
        <v>0</v>
      </c>
      <c r="TR100" s="65"/>
      <c r="TS100" s="63"/>
      <c r="TT100" s="64">
        <f t="shared" si="2136"/>
        <v>0</v>
      </c>
      <c r="TU100" s="65"/>
      <c r="TV100" s="63"/>
      <c r="TW100" s="64">
        <f t="shared" si="2137"/>
        <v>0</v>
      </c>
      <c r="TX100" s="65">
        <v>100</v>
      </c>
      <c r="TY100" s="63"/>
      <c r="TZ100" s="64">
        <f t="shared" si="2138"/>
        <v>100</v>
      </c>
      <c r="UA100" s="66">
        <f t="shared" si="1653"/>
        <v>100</v>
      </c>
      <c r="UB100" s="67">
        <f t="shared" si="2139"/>
        <v>0</v>
      </c>
      <c r="UC100" s="64">
        <f t="shared" si="2140"/>
        <v>100</v>
      </c>
      <c r="UD100" s="62">
        <v>1125</v>
      </c>
      <c r="UE100" s="63"/>
      <c r="UF100" s="64">
        <f t="shared" si="2141"/>
        <v>1125</v>
      </c>
      <c r="UG100" s="65">
        <v>497.04</v>
      </c>
      <c r="UH100" s="63"/>
      <c r="UI100" s="64">
        <f t="shared" si="2142"/>
        <v>497.04</v>
      </c>
      <c r="UJ100" s="65"/>
      <c r="UK100" s="63"/>
      <c r="UL100" s="64">
        <f t="shared" si="2143"/>
        <v>0</v>
      </c>
      <c r="UM100" s="65">
        <v>100</v>
      </c>
      <c r="UN100" s="63"/>
      <c r="UO100" s="64">
        <f t="shared" si="2144"/>
        <v>100</v>
      </c>
      <c r="UP100" s="66">
        <f t="shared" si="1660"/>
        <v>1722.04</v>
      </c>
      <c r="UQ100" s="67">
        <f t="shared" si="2145"/>
        <v>0</v>
      </c>
      <c r="UR100" s="64">
        <f t="shared" si="2146"/>
        <v>1722.04</v>
      </c>
      <c r="US100" s="74"/>
      <c r="UT100" s="72"/>
      <c r="UU100" s="73"/>
      <c r="UV100" s="74"/>
      <c r="UW100" s="75"/>
      <c r="UX100" s="73"/>
      <c r="UY100" s="74"/>
      <c r="UZ100" s="75"/>
      <c r="VA100" s="73"/>
      <c r="VB100" s="74"/>
      <c r="VC100" s="75"/>
      <c r="VD100" s="73"/>
      <c r="VE100" s="74"/>
      <c r="VF100" s="76"/>
      <c r="VG100" s="77"/>
      <c r="VH100" s="62"/>
      <c r="VI100" s="63"/>
      <c r="VJ100" s="64">
        <f t="shared" si="2147"/>
        <v>0</v>
      </c>
      <c r="VK100" s="65"/>
      <c r="VL100" s="63"/>
      <c r="VM100" s="64">
        <f t="shared" si="2148"/>
        <v>0</v>
      </c>
      <c r="VN100" s="65"/>
      <c r="VO100" s="63"/>
      <c r="VP100" s="64">
        <f t="shared" si="2149"/>
        <v>0</v>
      </c>
      <c r="VQ100" s="65">
        <v>100</v>
      </c>
      <c r="VR100" s="63"/>
      <c r="VS100" s="64">
        <f t="shared" si="2150"/>
        <v>100</v>
      </c>
      <c r="VT100" s="66">
        <f t="shared" si="1667"/>
        <v>100</v>
      </c>
      <c r="VU100" s="67">
        <f t="shared" si="2151"/>
        <v>0</v>
      </c>
      <c r="VV100" s="64">
        <f t="shared" si="2152"/>
        <v>100</v>
      </c>
      <c r="VW100" s="74"/>
      <c r="VX100" s="72"/>
      <c r="VY100" s="73"/>
      <c r="VZ100" s="74"/>
      <c r="WA100" s="75"/>
      <c r="WB100" s="73"/>
      <c r="WC100" s="74"/>
      <c r="WD100" s="75"/>
      <c r="WE100" s="73"/>
      <c r="WF100" s="74"/>
      <c r="WG100" s="75"/>
      <c r="WH100" s="73"/>
      <c r="WI100" s="74"/>
      <c r="WJ100" s="76"/>
      <c r="WK100" s="77"/>
      <c r="WL100" s="74"/>
      <c r="WM100" s="72"/>
      <c r="WN100" s="73"/>
      <c r="WO100" s="74"/>
      <c r="WP100" s="75"/>
      <c r="WQ100" s="73"/>
      <c r="WR100" s="74"/>
      <c r="WS100" s="75"/>
      <c r="WT100" s="73"/>
      <c r="WU100" s="74"/>
      <c r="WV100" s="75"/>
      <c r="WW100" s="73"/>
      <c r="WX100" s="74"/>
      <c r="WY100" s="76"/>
      <c r="WZ100" s="77"/>
      <c r="XA100" s="74"/>
      <c r="XB100" s="72"/>
      <c r="XC100" s="73"/>
      <c r="XD100" s="74"/>
      <c r="XE100" s="75"/>
      <c r="XF100" s="73"/>
      <c r="XG100" s="74"/>
      <c r="XH100" s="75"/>
      <c r="XI100" s="73"/>
      <c r="XJ100" s="74"/>
      <c r="XK100" s="75"/>
      <c r="XL100" s="73"/>
      <c r="XM100" s="74"/>
      <c r="XN100" s="76"/>
      <c r="XO100" s="77"/>
      <c r="XP100" s="62"/>
      <c r="XQ100" s="63"/>
      <c r="XR100" s="64">
        <f t="shared" si="2153"/>
        <v>0</v>
      </c>
      <c r="XS100" s="65">
        <v>844.24</v>
      </c>
      <c r="XT100" s="63"/>
      <c r="XU100" s="64">
        <f t="shared" si="2154"/>
        <v>844.24</v>
      </c>
      <c r="XV100" s="65"/>
      <c r="XW100" s="63"/>
      <c r="XX100" s="64">
        <f t="shared" si="2155"/>
        <v>0</v>
      </c>
      <c r="XY100" s="65">
        <v>100</v>
      </c>
      <c r="XZ100" s="63"/>
      <c r="YA100" s="64">
        <f t="shared" si="2156"/>
        <v>100</v>
      </c>
      <c r="YB100" s="66">
        <f t="shared" si="1674"/>
        <v>944.24</v>
      </c>
      <c r="YC100" s="67">
        <f t="shared" si="2157"/>
        <v>0</v>
      </c>
      <c r="YD100" s="64">
        <f t="shared" si="2158"/>
        <v>944.24</v>
      </c>
      <c r="YE100" s="62"/>
      <c r="YF100" s="63"/>
      <c r="YG100" s="64">
        <f t="shared" si="2159"/>
        <v>0</v>
      </c>
      <c r="YH100" s="65">
        <v>847.85</v>
      </c>
      <c r="YI100" s="63"/>
      <c r="YJ100" s="64">
        <f t="shared" si="2160"/>
        <v>847.85</v>
      </c>
      <c r="YK100" s="65"/>
      <c r="YL100" s="63"/>
      <c r="YM100" s="64">
        <f t="shared" si="2161"/>
        <v>0</v>
      </c>
      <c r="YN100" s="65">
        <v>100</v>
      </c>
      <c r="YO100" s="63"/>
      <c r="YP100" s="64">
        <f t="shared" si="2162"/>
        <v>100</v>
      </c>
      <c r="YQ100" s="66">
        <f t="shared" si="1681"/>
        <v>947.85</v>
      </c>
      <c r="YR100" s="67">
        <f t="shared" si="2163"/>
        <v>0</v>
      </c>
      <c r="YS100" s="64">
        <f t="shared" si="2164"/>
        <v>947.85</v>
      </c>
      <c r="YT100" s="62"/>
      <c r="YU100" s="63"/>
      <c r="YV100" s="64">
        <f t="shared" si="2165"/>
        <v>0</v>
      </c>
      <c r="YW100" s="65">
        <v>695.73</v>
      </c>
      <c r="YX100" s="63"/>
      <c r="YY100" s="64">
        <f t="shared" si="2166"/>
        <v>695.73</v>
      </c>
      <c r="YZ100" s="65"/>
      <c r="ZA100" s="63"/>
      <c r="ZB100" s="64">
        <f t="shared" si="2167"/>
        <v>0</v>
      </c>
      <c r="ZC100" s="65">
        <v>100</v>
      </c>
      <c r="ZD100" s="63"/>
      <c r="ZE100" s="64">
        <f t="shared" si="2168"/>
        <v>100</v>
      </c>
      <c r="ZF100" s="66">
        <f t="shared" si="1688"/>
        <v>795.73</v>
      </c>
      <c r="ZG100" s="67">
        <f t="shared" si="2169"/>
        <v>0</v>
      </c>
      <c r="ZH100" s="74"/>
      <c r="ZI100" s="72"/>
      <c r="ZJ100" s="73"/>
      <c r="ZK100" s="74"/>
      <c r="ZL100" s="75"/>
      <c r="ZM100" s="73"/>
      <c r="ZN100" s="74"/>
      <c r="ZO100" s="75"/>
      <c r="ZP100" s="73"/>
      <c r="ZQ100" s="74"/>
      <c r="ZR100" s="75"/>
      <c r="ZS100" s="73"/>
      <c r="ZT100" s="74"/>
      <c r="ZU100" s="76"/>
      <c r="ZV100" s="77"/>
      <c r="ZW100" s="64">
        <f t="shared" si="2170"/>
        <v>0</v>
      </c>
      <c r="ZX100" s="62">
        <v>24.71</v>
      </c>
      <c r="ZY100" s="63"/>
      <c r="ZZ100" s="64">
        <f t="shared" si="2171"/>
        <v>24.71</v>
      </c>
      <c r="AAA100" s="66">
        <f t="shared" si="1692"/>
        <v>24.71</v>
      </c>
      <c r="AAB100" s="67">
        <f t="shared" si="1692"/>
        <v>0</v>
      </c>
      <c r="AAC100" s="64">
        <f t="shared" si="2172"/>
        <v>24.71</v>
      </c>
      <c r="AAD100" s="85">
        <f t="shared" si="1694"/>
        <v>37170.380000000005</v>
      </c>
      <c r="AAE100" s="86">
        <f t="shared" si="1694"/>
        <v>0</v>
      </c>
      <c r="AAF100" s="87">
        <f t="shared" si="1457"/>
        <v>0</v>
      </c>
      <c r="AAG100" s="88">
        <f t="shared" si="2173"/>
        <v>-37170.380000000005</v>
      </c>
      <c r="AAH100" s="58" t="s">
        <v>145</v>
      </c>
      <c r="AAI100" s="59"/>
      <c r="AAJ100" s="59"/>
      <c r="AAK100" s="60"/>
    </row>
    <row r="101" spans="1:713" s="83" customFormat="1" ht="20" customHeight="1" x14ac:dyDescent="0.2">
      <c r="A101" s="153"/>
      <c r="B101" s="58"/>
      <c r="C101" s="59"/>
      <c r="D101" s="59"/>
      <c r="E101" s="60"/>
      <c r="F101" s="61">
        <v>47270</v>
      </c>
      <c r="G101" s="62"/>
      <c r="H101" s="63"/>
      <c r="I101" s="64">
        <f t="shared" si="1969"/>
        <v>0</v>
      </c>
      <c r="J101" s="65">
        <v>2485.8200000000002</v>
      </c>
      <c r="K101" s="63"/>
      <c r="L101" s="64">
        <f t="shared" si="1970"/>
        <v>2485.8200000000002</v>
      </c>
      <c r="M101" s="65">
        <v>2500</v>
      </c>
      <c r="N101" s="63"/>
      <c r="O101" s="64">
        <f t="shared" si="1971"/>
        <v>2500</v>
      </c>
      <c r="P101" s="65">
        <v>1000</v>
      </c>
      <c r="Q101" s="63"/>
      <c r="R101" s="64">
        <f t="shared" si="1972"/>
        <v>1000</v>
      </c>
      <c r="S101" s="65">
        <v>362</v>
      </c>
      <c r="T101" s="63"/>
      <c r="U101" s="64">
        <f t="shared" si="1973"/>
        <v>362</v>
      </c>
      <c r="V101" s="66">
        <f t="shared" si="1974"/>
        <v>6347.82</v>
      </c>
      <c r="W101" s="67">
        <f t="shared" si="1974"/>
        <v>0</v>
      </c>
      <c r="X101" s="64">
        <f t="shared" si="1975"/>
        <v>6347.82</v>
      </c>
      <c r="Y101" s="72"/>
      <c r="Z101" s="73"/>
      <c r="AA101" s="74"/>
      <c r="AB101" s="75"/>
      <c r="AC101" s="73"/>
      <c r="AD101" s="74"/>
      <c r="AE101" s="75"/>
      <c r="AF101" s="73"/>
      <c r="AG101" s="74"/>
      <c r="AH101" s="75"/>
      <c r="AI101" s="73"/>
      <c r="AJ101" s="74"/>
      <c r="AK101" s="76"/>
      <c r="AL101" s="77"/>
      <c r="AM101" s="64">
        <f t="shared" si="1976"/>
        <v>0</v>
      </c>
      <c r="AN101" s="62">
        <v>6250</v>
      </c>
      <c r="AO101" s="63"/>
      <c r="AP101" s="64">
        <f t="shared" si="2174"/>
        <v>6250</v>
      </c>
      <c r="AQ101" s="65"/>
      <c r="AR101" s="63"/>
      <c r="AS101" s="64">
        <f t="shared" si="1977"/>
        <v>0</v>
      </c>
      <c r="AT101" s="65"/>
      <c r="AU101" s="63"/>
      <c r="AV101" s="64">
        <f t="shared" si="1978"/>
        <v>0</v>
      </c>
      <c r="AW101" s="65"/>
      <c r="AX101" s="63"/>
      <c r="AY101" s="64">
        <f t="shared" si="1979"/>
        <v>0</v>
      </c>
      <c r="AZ101" s="66">
        <f t="shared" si="1469"/>
        <v>6250</v>
      </c>
      <c r="BA101" s="67">
        <f t="shared" si="1980"/>
        <v>0</v>
      </c>
      <c r="BB101" s="64">
        <f t="shared" si="1981"/>
        <v>6250</v>
      </c>
      <c r="BC101" s="62">
        <v>6150</v>
      </c>
      <c r="BD101" s="63"/>
      <c r="BE101" s="64">
        <f t="shared" si="1982"/>
        <v>6150</v>
      </c>
      <c r="BF101" s="65"/>
      <c r="BG101" s="63"/>
      <c r="BH101" s="64">
        <f t="shared" si="1983"/>
        <v>0</v>
      </c>
      <c r="BI101" s="65"/>
      <c r="BJ101" s="63"/>
      <c r="BK101" s="64">
        <f t="shared" si="1984"/>
        <v>0</v>
      </c>
      <c r="BL101" s="65">
        <v>100</v>
      </c>
      <c r="BM101" s="63"/>
      <c r="BN101" s="64">
        <f t="shared" si="1985"/>
        <v>100</v>
      </c>
      <c r="BO101" s="66">
        <f t="shared" si="1476"/>
        <v>6250</v>
      </c>
      <c r="BP101" s="67">
        <f t="shared" si="1986"/>
        <v>0</v>
      </c>
      <c r="BQ101" s="64">
        <f t="shared" si="1987"/>
        <v>6250</v>
      </c>
      <c r="BR101" s="72"/>
      <c r="BS101" s="73"/>
      <c r="BT101" s="74"/>
      <c r="BU101" s="75"/>
      <c r="BV101" s="73"/>
      <c r="BW101" s="74"/>
      <c r="BX101" s="75"/>
      <c r="BY101" s="73"/>
      <c r="BZ101" s="74"/>
      <c r="CA101" s="75"/>
      <c r="CB101" s="73"/>
      <c r="CC101" s="74"/>
      <c r="CD101" s="76"/>
      <c r="CE101" s="77"/>
      <c r="CF101" s="64">
        <f t="shared" si="1988"/>
        <v>0</v>
      </c>
      <c r="CG101" s="62">
        <v>5000</v>
      </c>
      <c r="CH101" s="63"/>
      <c r="CI101" s="64">
        <f t="shared" si="1989"/>
        <v>5000</v>
      </c>
      <c r="CJ101" s="65"/>
      <c r="CK101" s="63"/>
      <c r="CL101" s="64">
        <f t="shared" si="1990"/>
        <v>0</v>
      </c>
      <c r="CM101" s="65"/>
      <c r="CN101" s="63"/>
      <c r="CO101" s="64">
        <f t="shared" si="1991"/>
        <v>0</v>
      </c>
      <c r="CP101" s="65"/>
      <c r="CQ101" s="63"/>
      <c r="CR101" s="64">
        <f t="shared" si="1992"/>
        <v>0</v>
      </c>
      <c r="CS101" s="66">
        <f t="shared" si="1484"/>
        <v>5000</v>
      </c>
      <c r="CT101" s="67">
        <f t="shared" si="1993"/>
        <v>0</v>
      </c>
      <c r="CU101" s="64">
        <f t="shared" si="1994"/>
        <v>5000</v>
      </c>
      <c r="CV101" s="62">
        <v>2916.7</v>
      </c>
      <c r="CW101" s="63"/>
      <c r="CX101" s="64">
        <f t="shared" si="1995"/>
        <v>2916.7</v>
      </c>
      <c r="CY101" s="65">
        <v>429.15</v>
      </c>
      <c r="CZ101" s="63"/>
      <c r="DA101" s="64">
        <f t="shared" si="1996"/>
        <v>429.15</v>
      </c>
      <c r="DB101" s="65"/>
      <c r="DC101" s="63"/>
      <c r="DD101" s="64">
        <f t="shared" si="1997"/>
        <v>0</v>
      </c>
      <c r="DE101" s="65"/>
      <c r="DF101" s="63"/>
      <c r="DG101" s="64">
        <f t="shared" si="1998"/>
        <v>0</v>
      </c>
      <c r="DH101" s="66">
        <f t="shared" si="1491"/>
        <v>3345.85</v>
      </c>
      <c r="DI101" s="67">
        <f t="shared" si="1999"/>
        <v>0</v>
      </c>
      <c r="DJ101" s="64">
        <f t="shared" si="2000"/>
        <v>3345.85</v>
      </c>
      <c r="DK101" s="62">
        <v>2400</v>
      </c>
      <c r="DL101" s="63"/>
      <c r="DM101" s="64">
        <f t="shared" si="2001"/>
        <v>2400</v>
      </c>
      <c r="DN101" s="65">
        <v>913.08</v>
      </c>
      <c r="DO101" s="63"/>
      <c r="DP101" s="64">
        <f t="shared" si="2002"/>
        <v>913.08</v>
      </c>
      <c r="DQ101" s="65"/>
      <c r="DR101" s="63"/>
      <c r="DS101" s="64">
        <f t="shared" si="2003"/>
        <v>0</v>
      </c>
      <c r="DT101" s="65">
        <v>100</v>
      </c>
      <c r="DU101" s="63"/>
      <c r="DV101" s="64">
        <f t="shared" si="2004"/>
        <v>100</v>
      </c>
      <c r="DW101" s="66">
        <f t="shared" si="1498"/>
        <v>3413.08</v>
      </c>
      <c r="DX101" s="67">
        <f t="shared" si="2005"/>
        <v>0</v>
      </c>
      <c r="DY101" s="64">
        <f t="shared" si="2006"/>
        <v>3413.08</v>
      </c>
      <c r="DZ101" s="62"/>
      <c r="EA101" s="63"/>
      <c r="EB101" s="64">
        <f t="shared" si="2007"/>
        <v>0</v>
      </c>
      <c r="EC101" s="65"/>
      <c r="ED101" s="63"/>
      <c r="EE101" s="64">
        <f t="shared" si="2008"/>
        <v>0</v>
      </c>
      <c r="EF101" s="65"/>
      <c r="EG101" s="63"/>
      <c r="EH101" s="64">
        <f t="shared" si="2009"/>
        <v>0</v>
      </c>
      <c r="EI101" s="65">
        <v>100</v>
      </c>
      <c r="EJ101" s="63"/>
      <c r="EK101" s="64">
        <f t="shared" si="2010"/>
        <v>100</v>
      </c>
      <c r="EL101" s="66">
        <f t="shared" si="1505"/>
        <v>100</v>
      </c>
      <c r="EM101" s="67">
        <f t="shared" si="2011"/>
        <v>0</v>
      </c>
      <c r="EN101" s="64">
        <f t="shared" si="2012"/>
        <v>100</v>
      </c>
      <c r="EO101" s="62">
        <v>6150</v>
      </c>
      <c r="EP101" s="63"/>
      <c r="EQ101" s="64">
        <f t="shared" si="2013"/>
        <v>6150</v>
      </c>
      <c r="ER101" s="65"/>
      <c r="ES101" s="63"/>
      <c r="ET101" s="64">
        <f t="shared" si="2014"/>
        <v>0</v>
      </c>
      <c r="EU101" s="65"/>
      <c r="EV101" s="63"/>
      <c r="EW101" s="64">
        <f t="shared" si="2015"/>
        <v>0</v>
      </c>
      <c r="EX101" s="65">
        <v>100</v>
      </c>
      <c r="EY101" s="63"/>
      <c r="EZ101" s="64">
        <f t="shared" si="2016"/>
        <v>100</v>
      </c>
      <c r="FA101" s="66">
        <f t="shared" si="1512"/>
        <v>6250</v>
      </c>
      <c r="FB101" s="67">
        <f t="shared" si="2017"/>
        <v>0</v>
      </c>
      <c r="FC101" s="64">
        <f t="shared" si="2018"/>
        <v>6250</v>
      </c>
      <c r="FD101" s="62">
        <v>6150</v>
      </c>
      <c r="FE101" s="63"/>
      <c r="FF101" s="64">
        <f t="shared" si="2019"/>
        <v>6150</v>
      </c>
      <c r="FG101" s="65"/>
      <c r="FH101" s="63"/>
      <c r="FI101" s="64">
        <f t="shared" si="2020"/>
        <v>0</v>
      </c>
      <c r="FJ101" s="65"/>
      <c r="FK101" s="63"/>
      <c r="FL101" s="64">
        <f t="shared" si="2021"/>
        <v>0</v>
      </c>
      <c r="FM101" s="65">
        <v>100</v>
      </c>
      <c r="FN101" s="63"/>
      <c r="FO101" s="64">
        <f t="shared" si="2022"/>
        <v>100</v>
      </c>
      <c r="FP101" s="66">
        <f t="shared" si="1519"/>
        <v>6250</v>
      </c>
      <c r="FQ101" s="67">
        <f t="shared" si="2023"/>
        <v>0</v>
      </c>
      <c r="FR101" s="64">
        <f t="shared" si="2024"/>
        <v>6250</v>
      </c>
      <c r="FS101" s="62"/>
      <c r="FT101" s="63"/>
      <c r="FU101" s="64">
        <f t="shared" si="2025"/>
        <v>0</v>
      </c>
      <c r="FV101" s="65">
        <v>485.35</v>
      </c>
      <c r="FW101" s="63"/>
      <c r="FX101" s="64">
        <f t="shared" si="2026"/>
        <v>485.35</v>
      </c>
      <c r="FY101" s="65"/>
      <c r="FZ101" s="63"/>
      <c r="GA101" s="64">
        <f t="shared" si="2027"/>
        <v>0</v>
      </c>
      <c r="GB101" s="65"/>
      <c r="GC101" s="63"/>
      <c r="GD101" s="64">
        <f t="shared" si="2028"/>
        <v>0</v>
      </c>
      <c r="GE101" s="66">
        <f t="shared" si="1526"/>
        <v>485.35</v>
      </c>
      <c r="GF101" s="67">
        <f t="shared" si="2029"/>
        <v>0</v>
      </c>
      <c r="GG101" s="64">
        <f t="shared" si="2030"/>
        <v>485.35</v>
      </c>
      <c r="GH101" s="62"/>
      <c r="GI101" s="63"/>
      <c r="GJ101" s="64">
        <f t="shared" si="2031"/>
        <v>0</v>
      </c>
      <c r="GK101" s="65">
        <v>660.33</v>
      </c>
      <c r="GL101" s="63"/>
      <c r="GM101" s="64">
        <f t="shared" si="2032"/>
        <v>660.33</v>
      </c>
      <c r="GN101" s="65"/>
      <c r="GO101" s="63"/>
      <c r="GP101" s="64">
        <f t="shared" si="2033"/>
        <v>0</v>
      </c>
      <c r="GQ101" s="65"/>
      <c r="GR101" s="63"/>
      <c r="GS101" s="64">
        <f t="shared" si="2034"/>
        <v>0</v>
      </c>
      <c r="GT101" s="66">
        <f t="shared" si="1533"/>
        <v>660.33</v>
      </c>
      <c r="GU101" s="67">
        <f t="shared" si="2035"/>
        <v>0</v>
      </c>
      <c r="GV101" s="64">
        <f t="shared" si="2036"/>
        <v>660.33</v>
      </c>
      <c r="GW101" s="62"/>
      <c r="GX101" s="63"/>
      <c r="GY101" s="64">
        <f t="shared" si="2037"/>
        <v>0</v>
      </c>
      <c r="GZ101" s="65">
        <v>568.25</v>
      </c>
      <c r="HA101" s="63"/>
      <c r="HB101" s="64">
        <f t="shared" si="2038"/>
        <v>568.25</v>
      </c>
      <c r="HC101" s="65"/>
      <c r="HD101" s="63"/>
      <c r="HE101" s="64">
        <f t="shared" si="2039"/>
        <v>0</v>
      </c>
      <c r="HF101" s="65">
        <v>100</v>
      </c>
      <c r="HG101" s="63"/>
      <c r="HH101" s="64">
        <f t="shared" si="2040"/>
        <v>100</v>
      </c>
      <c r="HI101" s="66">
        <f t="shared" si="1540"/>
        <v>668.25</v>
      </c>
      <c r="HJ101" s="67">
        <f t="shared" si="2041"/>
        <v>0</v>
      </c>
      <c r="HK101" s="64">
        <f t="shared" si="2042"/>
        <v>668.25</v>
      </c>
      <c r="HL101" s="62">
        <v>6150</v>
      </c>
      <c r="HM101" s="63"/>
      <c r="HN101" s="64">
        <f t="shared" si="2043"/>
        <v>6150</v>
      </c>
      <c r="HO101" s="65"/>
      <c r="HP101" s="63"/>
      <c r="HQ101" s="64">
        <f t="shared" si="2044"/>
        <v>0</v>
      </c>
      <c r="HR101" s="65"/>
      <c r="HS101" s="63"/>
      <c r="HT101" s="64">
        <f t="shared" si="2045"/>
        <v>0</v>
      </c>
      <c r="HU101" s="65">
        <v>100</v>
      </c>
      <c r="HV101" s="63"/>
      <c r="HW101" s="64">
        <f t="shared" si="2046"/>
        <v>100</v>
      </c>
      <c r="HX101" s="66">
        <f t="shared" si="1547"/>
        <v>6250</v>
      </c>
      <c r="HY101" s="67">
        <f t="shared" si="2047"/>
        <v>0</v>
      </c>
      <c r="HZ101" s="64">
        <f t="shared" si="2048"/>
        <v>6250</v>
      </c>
      <c r="IA101" s="62"/>
      <c r="IB101" s="63"/>
      <c r="IC101" s="64">
        <f t="shared" si="2049"/>
        <v>0</v>
      </c>
      <c r="ID101" s="65"/>
      <c r="IE101" s="63"/>
      <c r="IF101" s="64">
        <f t="shared" si="2050"/>
        <v>0</v>
      </c>
      <c r="IG101" s="65">
        <v>9701.0400000000009</v>
      </c>
      <c r="IH101" s="63"/>
      <c r="II101" s="64">
        <f t="shared" si="2051"/>
        <v>9701.0400000000009</v>
      </c>
      <c r="IJ101" s="65">
        <v>100</v>
      </c>
      <c r="IK101" s="63"/>
      <c r="IL101" s="64">
        <f t="shared" si="2052"/>
        <v>100</v>
      </c>
      <c r="IM101" s="66">
        <f t="shared" si="1554"/>
        <v>9801.0400000000009</v>
      </c>
      <c r="IN101" s="67">
        <f t="shared" si="2053"/>
        <v>0</v>
      </c>
      <c r="IO101" s="64">
        <f t="shared" si="2054"/>
        <v>9801.0400000000009</v>
      </c>
      <c r="IP101" s="62">
        <v>5000</v>
      </c>
      <c r="IQ101" s="63"/>
      <c r="IR101" s="64">
        <f t="shared" si="2055"/>
        <v>5000</v>
      </c>
      <c r="IS101" s="65"/>
      <c r="IT101" s="63"/>
      <c r="IU101" s="64">
        <f t="shared" si="2056"/>
        <v>0</v>
      </c>
      <c r="IV101" s="65"/>
      <c r="IW101" s="63"/>
      <c r="IX101" s="64">
        <f t="shared" si="2057"/>
        <v>0</v>
      </c>
      <c r="IY101" s="65"/>
      <c r="IZ101" s="63"/>
      <c r="JA101" s="64">
        <f t="shared" si="2058"/>
        <v>0</v>
      </c>
      <c r="JB101" s="66">
        <f t="shared" si="1561"/>
        <v>5000</v>
      </c>
      <c r="JC101" s="67">
        <f t="shared" si="2059"/>
        <v>0</v>
      </c>
      <c r="JD101" s="64">
        <f t="shared" si="2060"/>
        <v>5000</v>
      </c>
      <c r="JE101" s="72"/>
      <c r="JF101" s="150"/>
      <c r="JG101" s="74"/>
      <c r="JH101" s="75"/>
      <c r="JI101" s="150"/>
      <c r="JJ101" s="74"/>
      <c r="JK101" s="75"/>
      <c r="JL101" s="150"/>
      <c r="JM101" s="74"/>
      <c r="JN101" s="75"/>
      <c r="JO101" s="150"/>
      <c r="JP101" s="74"/>
      <c r="JQ101" s="76"/>
      <c r="JR101" s="77"/>
      <c r="JS101" s="74"/>
      <c r="JT101" s="72"/>
      <c r="JU101" s="73"/>
      <c r="JV101" s="74"/>
      <c r="JW101" s="75"/>
      <c r="JX101" s="73"/>
      <c r="JY101" s="74"/>
      <c r="JZ101" s="75"/>
      <c r="KA101" s="73"/>
      <c r="KB101" s="74"/>
      <c r="KC101" s="75"/>
      <c r="KD101" s="73"/>
      <c r="KE101" s="74"/>
      <c r="KF101" s="76"/>
      <c r="KG101" s="77"/>
      <c r="KH101" s="64">
        <f t="shared" si="2061"/>
        <v>0</v>
      </c>
      <c r="KI101" s="62">
        <v>50000</v>
      </c>
      <c r="KJ101" s="63"/>
      <c r="KK101" s="64">
        <f t="shared" si="2062"/>
        <v>50000</v>
      </c>
      <c r="KL101" s="65"/>
      <c r="KM101" s="63"/>
      <c r="KN101" s="64">
        <f t="shared" si="2063"/>
        <v>0</v>
      </c>
      <c r="KO101" s="65"/>
      <c r="KP101" s="63"/>
      <c r="KQ101" s="64">
        <f t="shared" si="2064"/>
        <v>0</v>
      </c>
      <c r="KR101" s="65"/>
      <c r="KS101" s="63"/>
      <c r="KT101" s="64">
        <f t="shared" si="2065"/>
        <v>0</v>
      </c>
      <c r="KU101" s="66">
        <f t="shared" si="1439"/>
        <v>50000</v>
      </c>
      <c r="KV101" s="67">
        <f t="shared" si="2066"/>
        <v>0</v>
      </c>
      <c r="KW101" s="64">
        <f t="shared" si="2067"/>
        <v>50000</v>
      </c>
      <c r="KX101" s="72"/>
      <c r="KY101" s="73"/>
      <c r="KZ101" s="74"/>
      <c r="LA101" s="75"/>
      <c r="LB101" s="73"/>
      <c r="LC101" s="74"/>
      <c r="LD101" s="75"/>
      <c r="LE101" s="73"/>
      <c r="LF101" s="74"/>
      <c r="LG101" s="75"/>
      <c r="LH101" s="73"/>
      <c r="LI101" s="74"/>
      <c r="LJ101" s="76"/>
      <c r="LK101" s="77"/>
      <c r="LL101" s="74"/>
      <c r="LM101" s="62"/>
      <c r="LN101" s="63"/>
      <c r="LO101" s="64">
        <f t="shared" si="2068"/>
        <v>0</v>
      </c>
      <c r="LP101" s="65"/>
      <c r="LQ101" s="63"/>
      <c r="LR101" s="64">
        <f t="shared" si="2069"/>
        <v>0</v>
      </c>
      <c r="LS101" s="65"/>
      <c r="LT101" s="63"/>
      <c r="LU101" s="64">
        <f t="shared" si="2070"/>
        <v>0</v>
      </c>
      <c r="LV101" s="65">
        <v>100</v>
      </c>
      <c r="LW101" s="63"/>
      <c r="LX101" s="64">
        <f t="shared" si="2071"/>
        <v>100</v>
      </c>
      <c r="LY101" s="66">
        <f t="shared" si="1575"/>
        <v>100</v>
      </c>
      <c r="LZ101" s="67">
        <f t="shared" si="2072"/>
        <v>0</v>
      </c>
      <c r="MA101" s="64">
        <f t="shared" si="2073"/>
        <v>100</v>
      </c>
      <c r="MB101" s="62">
        <f>6*650</f>
        <v>3900</v>
      </c>
      <c r="MC101" s="63"/>
      <c r="MD101" s="64">
        <f t="shared" si="2074"/>
        <v>3900</v>
      </c>
      <c r="ME101" s="65">
        <v>889.11</v>
      </c>
      <c r="MF101" s="63"/>
      <c r="MG101" s="64">
        <f t="shared" si="2075"/>
        <v>889.11</v>
      </c>
      <c r="MH101" s="65"/>
      <c r="MI101" s="63"/>
      <c r="MJ101" s="64">
        <f t="shared" si="2076"/>
        <v>0</v>
      </c>
      <c r="MK101" s="65">
        <v>100</v>
      </c>
      <c r="ML101" s="63"/>
      <c r="MM101" s="64">
        <f t="shared" si="2077"/>
        <v>100</v>
      </c>
      <c r="MN101" s="66">
        <f t="shared" si="1582"/>
        <v>4889.1099999999997</v>
      </c>
      <c r="MO101" s="67">
        <f t="shared" si="2078"/>
        <v>0</v>
      </c>
      <c r="MP101" s="64">
        <f t="shared" si="2079"/>
        <v>4889.1099999999997</v>
      </c>
      <c r="MQ101" s="62">
        <v>9100</v>
      </c>
      <c r="MR101" s="63"/>
      <c r="MS101" s="64">
        <f t="shared" si="2080"/>
        <v>9100</v>
      </c>
      <c r="MT101" s="65"/>
      <c r="MU101" s="63"/>
      <c r="MV101" s="64">
        <f t="shared" si="2081"/>
        <v>0</v>
      </c>
      <c r="MW101" s="65"/>
      <c r="MX101" s="63"/>
      <c r="MY101" s="64">
        <f t="shared" si="2082"/>
        <v>0</v>
      </c>
      <c r="MZ101" s="65"/>
      <c r="NA101" s="63"/>
      <c r="NB101" s="64">
        <f t="shared" si="2083"/>
        <v>0</v>
      </c>
      <c r="NC101" s="66">
        <f t="shared" si="1589"/>
        <v>9100</v>
      </c>
      <c r="ND101" s="67">
        <f t="shared" si="2084"/>
        <v>0</v>
      </c>
      <c r="NE101" s="64">
        <f t="shared" si="2085"/>
        <v>9100</v>
      </c>
      <c r="NF101" s="62">
        <v>6000</v>
      </c>
      <c r="NG101" s="63"/>
      <c r="NH101" s="64">
        <f t="shared" si="2086"/>
        <v>6000</v>
      </c>
      <c r="NI101" s="65">
        <v>1164.04</v>
      </c>
      <c r="NJ101" s="63"/>
      <c r="NK101" s="64">
        <f t="shared" si="2087"/>
        <v>1164.04</v>
      </c>
      <c r="NL101" s="65"/>
      <c r="NM101" s="63"/>
      <c r="NN101" s="64">
        <f t="shared" si="2088"/>
        <v>0</v>
      </c>
      <c r="NO101" s="65">
        <v>100</v>
      </c>
      <c r="NP101" s="63"/>
      <c r="NQ101" s="64">
        <f t="shared" si="2089"/>
        <v>100</v>
      </c>
      <c r="NR101" s="66">
        <f t="shared" si="1596"/>
        <v>7264.04</v>
      </c>
      <c r="NS101" s="67">
        <f t="shared" si="2090"/>
        <v>0</v>
      </c>
      <c r="NT101" s="64">
        <f t="shared" si="2091"/>
        <v>7264.04</v>
      </c>
      <c r="NU101" s="62">
        <f>6*864</f>
        <v>5184</v>
      </c>
      <c r="NV101" s="63"/>
      <c r="NW101" s="64">
        <f t="shared" si="2092"/>
        <v>5184</v>
      </c>
      <c r="NX101" s="65">
        <v>1152.73</v>
      </c>
      <c r="NY101" s="63"/>
      <c r="NZ101" s="64">
        <f t="shared" si="2093"/>
        <v>1152.73</v>
      </c>
      <c r="OA101" s="65"/>
      <c r="OB101" s="63"/>
      <c r="OC101" s="64">
        <f t="shared" si="2094"/>
        <v>0</v>
      </c>
      <c r="OD101" s="65">
        <v>100</v>
      </c>
      <c r="OE101" s="63"/>
      <c r="OF101" s="64">
        <f t="shared" si="2095"/>
        <v>100</v>
      </c>
      <c r="OG101" s="66">
        <f t="shared" si="1603"/>
        <v>6436.73</v>
      </c>
      <c r="OH101" s="67">
        <f t="shared" si="2096"/>
        <v>0</v>
      </c>
      <c r="OI101" s="64">
        <f t="shared" si="2097"/>
        <v>6436.73</v>
      </c>
      <c r="OJ101" s="62"/>
      <c r="OK101" s="63"/>
      <c r="OL101" s="64">
        <f t="shared" si="2098"/>
        <v>0</v>
      </c>
      <c r="OM101" s="65"/>
      <c r="ON101" s="63"/>
      <c r="OO101" s="64">
        <f t="shared" si="2099"/>
        <v>0</v>
      </c>
      <c r="OP101" s="65"/>
      <c r="OQ101" s="63"/>
      <c r="OR101" s="64">
        <f t="shared" si="2100"/>
        <v>0</v>
      </c>
      <c r="OS101" s="65">
        <v>100</v>
      </c>
      <c r="OT101" s="63"/>
      <c r="OU101" s="64">
        <f t="shared" si="2101"/>
        <v>100</v>
      </c>
      <c r="OV101" s="66">
        <f t="shared" si="1610"/>
        <v>100</v>
      </c>
      <c r="OW101" s="67">
        <f t="shared" si="2102"/>
        <v>0</v>
      </c>
      <c r="OX101" s="64">
        <f t="shared" si="2103"/>
        <v>100</v>
      </c>
      <c r="OY101" s="62"/>
      <c r="OZ101" s="63"/>
      <c r="PA101" s="64">
        <f t="shared" si="2104"/>
        <v>0</v>
      </c>
      <c r="PB101" s="65">
        <v>600</v>
      </c>
      <c r="PC101" s="63"/>
      <c r="PD101" s="64">
        <f t="shared" si="2105"/>
        <v>600</v>
      </c>
      <c r="PE101" s="65"/>
      <c r="PF101" s="63"/>
      <c r="PG101" s="64">
        <f t="shared" si="2106"/>
        <v>0</v>
      </c>
      <c r="PH101" s="65">
        <v>100</v>
      </c>
      <c r="PI101" s="63"/>
      <c r="PJ101" s="64">
        <f t="shared" si="2107"/>
        <v>100</v>
      </c>
      <c r="PK101" s="66">
        <f t="shared" si="1617"/>
        <v>700</v>
      </c>
      <c r="PL101" s="67">
        <f t="shared" si="2108"/>
        <v>0</v>
      </c>
      <c r="PM101" s="64">
        <f t="shared" si="2109"/>
        <v>700</v>
      </c>
      <c r="PN101" s="62">
        <v>1550</v>
      </c>
      <c r="PO101" s="63"/>
      <c r="PP101" s="64">
        <f t="shared" si="2110"/>
        <v>1550</v>
      </c>
      <c r="PQ101" s="65"/>
      <c r="PR101" s="63"/>
      <c r="PS101" s="64">
        <f t="shared" si="2111"/>
        <v>0</v>
      </c>
      <c r="PT101" s="65"/>
      <c r="PU101" s="63"/>
      <c r="PV101" s="64">
        <f t="shared" si="2112"/>
        <v>0</v>
      </c>
      <c r="PW101" s="65">
        <v>100</v>
      </c>
      <c r="PX101" s="63"/>
      <c r="PY101" s="64">
        <f t="shared" si="2113"/>
        <v>100</v>
      </c>
      <c r="PZ101" s="66">
        <f t="shared" si="1624"/>
        <v>1650</v>
      </c>
      <c r="QA101" s="67">
        <f t="shared" si="2114"/>
        <v>0</v>
      </c>
      <c r="QB101" s="64">
        <f t="shared" si="2115"/>
        <v>1650</v>
      </c>
      <c r="QC101" s="62"/>
      <c r="QD101" s="63"/>
      <c r="QE101" s="64">
        <f t="shared" si="2116"/>
        <v>0</v>
      </c>
      <c r="QF101" s="65"/>
      <c r="QG101" s="63"/>
      <c r="QH101" s="64">
        <f t="shared" si="2117"/>
        <v>0</v>
      </c>
      <c r="QI101" s="65"/>
      <c r="QJ101" s="63"/>
      <c r="QK101" s="64">
        <f t="shared" si="2118"/>
        <v>0</v>
      </c>
      <c r="QL101" s="65">
        <v>100</v>
      </c>
      <c r="QM101" s="63"/>
      <c r="QN101" s="64">
        <f t="shared" si="2119"/>
        <v>100</v>
      </c>
      <c r="QO101" s="66">
        <f t="shared" si="1631"/>
        <v>100</v>
      </c>
      <c r="QP101" s="67">
        <f t="shared" si="2120"/>
        <v>0</v>
      </c>
      <c r="QQ101" s="64">
        <f t="shared" si="2121"/>
        <v>100</v>
      </c>
      <c r="QR101" s="74"/>
      <c r="QS101" s="74"/>
      <c r="QT101" s="72"/>
      <c r="QU101" s="73"/>
      <c r="QV101" s="74"/>
      <c r="QW101" s="75"/>
      <c r="QX101" s="73"/>
      <c r="QY101" s="74"/>
      <c r="QZ101" s="75"/>
      <c r="RA101" s="73"/>
      <c r="RB101" s="74"/>
      <c r="RC101" s="75"/>
      <c r="RD101" s="73"/>
      <c r="RE101" s="74"/>
      <c r="RF101" s="74"/>
      <c r="RG101" s="72"/>
      <c r="RH101" s="73"/>
      <c r="RI101" s="74"/>
      <c r="RJ101" s="75"/>
      <c r="RK101" s="73"/>
      <c r="RL101" s="74"/>
      <c r="RM101" s="75"/>
      <c r="RN101" s="73"/>
      <c r="RO101" s="74"/>
      <c r="RP101" s="75"/>
      <c r="RQ101" s="73"/>
      <c r="RR101" s="74"/>
      <c r="RS101" s="76"/>
      <c r="RT101" s="77"/>
      <c r="RU101" s="74"/>
      <c r="RV101" s="74"/>
      <c r="RW101" s="72"/>
      <c r="RX101" s="73"/>
      <c r="RY101" s="74"/>
      <c r="RZ101" s="75"/>
      <c r="SA101" s="73"/>
      <c r="SB101" s="74"/>
      <c r="SC101" s="75"/>
      <c r="SD101" s="73"/>
      <c r="SE101" s="74"/>
      <c r="SF101" s="75"/>
      <c r="SG101" s="73"/>
      <c r="SH101" s="74"/>
      <c r="SI101" s="76"/>
      <c r="SJ101" s="64">
        <f t="shared" si="2122"/>
        <v>0</v>
      </c>
      <c r="SK101" s="62"/>
      <c r="SL101" s="63"/>
      <c r="SM101" s="64">
        <f t="shared" si="2123"/>
        <v>0</v>
      </c>
      <c r="SN101" s="65"/>
      <c r="SO101" s="63"/>
      <c r="SP101" s="64">
        <f t="shared" si="2124"/>
        <v>0</v>
      </c>
      <c r="SQ101" s="65"/>
      <c r="SR101" s="63"/>
      <c r="SS101" s="64">
        <f t="shared" si="2125"/>
        <v>0</v>
      </c>
      <c r="ST101" s="65">
        <v>100</v>
      </c>
      <c r="SU101" s="63"/>
      <c r="SV101" s="64">
        <f t="shared" si="2126"/>
        <v>100</v>
      </c>
      <c r="SW101" s="66">
        <f t="shared" si="1639"/>
        <v>100</v>
      </c>
      <c r="SX101" s="67">
        <f t="shared" si="2127"/>
        <v>0</v>
      </c>
      <c r="SY101" s="64">
        <f t="shared" si="2128"/>
        <v>100</v>
      </c>
      <c r="SZ101" s="62">
        <v>985.33</v>
      </c>
      <c r="TA101" s="63"/>
      <c r="TB101" s="64">
        <f t="shared" si="2129"/>
        <v>985.33</v>
      </c>
      <c r="TC101" s="65">
        <v>700.9</v>
      </c>
      <c r="TD101" s="63"/>
      <c r="TE101" s="64">
        <f t="shared" si="2130"/>
        <v>700.9</v>
      </c>
      <c r="TF101" s="65"/>
      <c r="TG101" s="63"/>
      <c r="TH101" s="64">
        <f t="shared" si="2131"/>
        <v>0</v>
      </c>
      <c r="TI101" s="65">
        <v>100</v>
      </c>
      <c r="TJ101" s="63"/>
      <c r="TK101" s="64">
        <f t="shared" si="2132"/>
        <v>100</v>
      </c>
      <c r="TL101" s="66">
        <f t="shared" si="1646"/>
        <v>1786.23</v>
      </c>
      <c r="TM101" s="67">
        <f t="shared" si="2133"/>
        <v>0</v>
      </c>
      <c r="TN101" s="64">
        <f t="shared" si="2134"/>
        <v>1786.23</v>
      </c>
      <c r="TO101" s="62">
        <v>3875</v>
      </c>
      <c r="TP101" s="63"/>
      <c r="TQ101" s="64">
        <f t="shared" si="2135"/>
        <v>3875</v>
      </c>
      <c r="TR101" s="65"/>
      <c r="TS101" s="63"/>
      <c r="TT101" s="64">
        <f t="shared" si="2136"/>
        <v>0</v>
      </c>
      <c r="TU101" s="65"/>
      <c r="TV101" s="63"/>
      <c r="TW101" s="64">
        <f t="shared" si="2137"/>
        <v>0</v>
      </c>
      <c r="TX101" s="65">
        <v>100</v>
      </c>
      <c r="TY101" s="63"/>
      <c r="TZ101" s="64">
        <f t="shared" si="2138"/>
        <v>100</v>
      </c>
      <c r="UA101" s="66">
        <f t="shared" si="1653"/>
        <v>3975</v>
      </c>
      <c r="UB101" s="67">
        <f t="shared" si="2139"/>
        <v>0</v>
      </c>
      <c r="UC101" s="64">
        <f t="shared" si="2140"/>
        <v>3975</v>
      </c>
      <c r="UD101" s="62">
        <v>1125</v>
      </c>
      <c r="UE101" s="63"/>
      <c r="UF101" s="64">
        <f t="shared" si="2141"/>
        <v>1125</v>
      </c>
      <c r="UG101" s="65">
        <v>497.04</v>
      </c>
      <c r="UH101" s="63"/>
      <c r="UI101" s="64">
        <f t="shared" si="2142"/>
        <v>497.04</v>
      </c>
      <c r="UJ101" s="65"/>
      <c r="UK101" s="63"/>
      <c r="UL101" s="64">
        <f t="shared" si="2143"/>
        <v>0</v>
      </c>
      <c r="UM101" s="65">
        <v>100</v>
      </c>
      <c r="UN101" s="63"/>
      <c r="UO101" s="64">
        <f t="shared" si="2144"/>
        <v>100</v>
      </c>
      <c r="UP101" s="66">
        <f t="shared" si="1660"/>
        <v>1722.04</v>
      </c>
      <c r="UQ101" s="67">
        <f t="shared" si="2145"/>
        <v>0</v>
      </c>
      <c r="UR101" s="64">
        <f t="shared" si="2146"/>
        <v>1722.04</v>
      </c>
      <c r="US101" s="74"/>
      <c r="UT101" s="72"/>
      <c r="UU101" s="73"/>
      <c r="UV101" s="74"/>
      <c r="UW101" s="75"/>
      <c r="UX101" s="73"/>
      <c r="UY101" s="74"/>
      <c r="UZ101" s="75"/>
      <c r="VA101" s="73"/>
      <c r="VB101" s="74"/>
      <c r="VC101" s="75"/>
      <c r="VD101" s="73"/>
      <c r="VE101" s="74"/>
      <c r="VF101" s="76"/>
      <c r="VG101" s="77"/>
      <c r="VH101" s="62">
        <v>18600</v>
      </c>
      <c r="VI101" s="63"/>
      <c r="VJ101" s="64">
        <f t="shared" si="2147"/>
        <v>18600</v>
      </c>
      <c r="VK101" s="65"/>
      <c r="VL101" s="63"/>
      <c r="VM101" s="64">
        <f t="shared" si="2148"/>
        <v>0</v>
      </c>
      <c r="VN101" s="65"/>
      <c r="VO101" s="63"/>
      <c r="VP101" s="64">
        <f t="shared" si="2149"/>
        <v>0</v>
      </c>
      <c r="VQ101" s="65">
        <v>100</v>
      </c>
      <c r="VR101" s="63"/>
      <c r="VS101" s="64">
        <f t="shared" si="2150"/>
        <v>100</v>
      </c>
      <c r="VT101" s="66">
        <f t="shared" si="1667"/>
        <v>18700</v>
      </c>
      <c r="VU101" s="67">
        <f t="shared" si="2151"/>
        <v>0</v>
      </c>
      <c r="VV101" s="64">
        <f t="shared" si="2152"/>
        <v>18700</v>
      </c>
      <c r="VW101" s="74"/>
      <c r="VX101" s="72"/>
      <c r="VY101" s="73"/>
      <c r="VZ101" s="74"/>
      <c r="WA101" s="75"/>
      <c r="WB101" s="73"/>
      <c r="WC101" s="74"/>
      <c r="WD101" s="75"/>
      <c r="WE101" s="73"/>
      <c r="WF101" s="74"/>
      <c r="WG101" s="75"/>
      <c r="WH101" s="73"/>
      <c r="WI101" s="74"/>
      <c r="WJ101" s="76"/>
      <c r="WK101" s="77"/>
      <c r="WL101" s="74"/>
      <c r="WM101" s="72"/>
      <c r="WN101" s="73"/>
      <c r="WO101" s="74"/>
      <c r="WP101" s="75"/>
      <c r="WQ101" s="73"/>
      <c r="WR101" s="74"/>
      <c r="WS101" s="75"/>
      <c r="WT101" s="73"/>
      <c r="WU101" s="74"/>
      <c r="WV101" s="75"/>
      <c r="WW101" s="73"/>
      <c r="WX101" s="74"/>
      <c r="WY101" s="76"/>
      <c r="WZ101" s="77"/>
      <c r="XA101" s="74"/>
      <c r="XB101" s="72"/>
      <c r="XC101" s="73"/>
      <c r="XD101" s="74"/>
      <c r="XE101" s="75"/>
      <c r="XF101" s="73"/>
      <c r="XG101" s="74"/>
      <c r="XH101" s="75"/>
      <c r="XI101" s="73"/>
      <c r="XJ101" s="74"/>
      <c r="XK101" s="75"/>
      <c r="XL101" s="73"/>
      <c r="XM101" s="74"/>
      <c r="XN101" s="76"/>
      <c r="XO101" s="77"/>
      <c r="XP101" s="62">
        <v>5202</v>
      </c>
      <c r="XQ101" s="63"/>
      <c r="XR101" s="64">
        <f t="shared" si="2153"/>
        <v>5202</v>
      </c>
      <c r="XS101" s="65">
        <v>844.24</v>
      </c>
      <c r="XT101" s="63"/>
      <c r="XU101" s="64">
        <f t="shared" si="2154"/>
        <v>844.24</v>
      </c>
      <c r="XV101" s="65"/>
      <c r="XW101" s="63"/>
      <c r="XX101" s="64">
        <f t="shared" si="2155"/>
        <v>0</v>
      </c>
      <c r="XY101" s="65">
        <v>100</v>
      </c>
      <c r="XZ101" s="63"/>
      <c r="YA101" s="64">
        <f t="shared" si="2156"/>
        <v>100</v>
      </c>
      <c r="YB101" s="66">
        <f t="shared" si="1674"/>
        <v>6146.24</v>
      </c>
      <c r="YC101" s="67">
        <f t="shared" si="2157"/>
        <v>0</v>
      </c>
      <c r="YD101" s="64">
        <f t="shared" si="2158"/>
        <v>6146.24</v>
      </c>
      <c r="YE101" s="62">
        <v>5340</v>
      </c>
      <c r="YF101" s="63"/>
      <c r="YG101" s="64">
        <f t="shared" si="2159"/>
        <v>5340</v>
      </c>
      <c r="YH101" s="65">
        <v>847.85</v>
      </c>
      <c r="YI101" s="63"/>
      <c r="YJ101" s="64">
        <f t="shared" si="2160"/>
        <v>847.85</v>
      </c>
      <c r="YK101" s="65"/>
      <c r="YL101" s="63"/>
      <c r="YM101" s="64">
        <f t="shared" si="2161"/>
        <v>0</v>
      </c>
      <c r="YN101" s="65">
        <v>100</v>
      </c>
      <c r="YO101" s="63"/>
      <c r="YP101" s="64">
        <f t="shared" si="2162"/>
        <v>100</v>
      </c>
      <c r="YQ101" s="66">
        <f t="shared" si="1681"/>
        <v>6287.85</v>
      </c>
      <c r="YR101" s="67">
        <f t="shared" si="2163"/>
        <v>0</v>
      </c>
      <c r="YS101" s="64">
        <f t="shared" si="2164"/>
        <v>6287.85</v>
      </c>
      <c r="YT101" s="62">
        <v>5592</v>
      </c>
      <c r="YU101" s="63"/>
      <c r="YV101" s="64">
        <f t="shared" si="2165"/>
        <v>5592</v>
      </c>
      <c r="YW101" s="65">
        <v>695.73</v>
      </c>
      <c r="YX101" s="63"/>
      <c r="YY101" s="64">
        <f t="shared" si="2166"/>
        <v>695.73</v>
      </c>
      <c r="YZ101" s="65"/>
      <c r="ZA101" s="63"/>
      <c r="ZB101" s="64">
        <f t="shared" si="2167"/>
        <v>0</v>
      </c>
      <c r="ZC101" s="65">
        <v>100</v>
      </c>
      <c r="ZD101" s="63"/>
      <c r="ZE101" s="64">
        <f t="shared" si="2168"/>
        <v>100</v>
      </c>
      <c r="ZF101" s="66">
        <f t="shared" si="1688"/>
        <v>6387.73</v>
      </c>
      <c r="ZG101" s="67">
        <f t="shared" si="2169"/>
        <v>0</v>
      </c>
      <c r="ZH101" s="74"/>
      <c r="ZI101" s="72"/>
      <c r="ZJ101" s="73"/>
      <c r="ZK101" s="74"/>
      <c r="ZL101" s="75"/>
      <c r="ZM101" s="73"/>
      <c r="ZN101" s="74"/>
      <c r="ZO101" s="75"/>
      <c r="ZP101" s="73"/>
      <c r="ZQ101" s="74"/>
      <c r="ZR101" s="75"/>
      <c r="ZS101" s="73"/>
      <c r="ZT101" s="74"/>
      <c r="ZU101" s="76"/>
      <c r="ZV101" s="77"/>
      <c r="ZW101" s="64">
        <f t="shared" si="2170"/>
        <v>0</v>
      </c>
      <c r="ZX101" s="62">
        <v>24.71</v>
      </c>
      <c r="ZY101" s="63"/>
      <c r="ZZ101" s="64">
        <f t="shared" si="2171"/>
        <v>24.71</v>
      </c>
      <c r="AAA101" s="66">
        <f t="shared" si="1692"/>
        <v>24.71</v>
      </c>
      <c r="AAB101" s="67">
        <f t="shared" si="1692"/>
        <v>0</v>
      </c>
      <c r="AAC101" s="64">
        <f t="shared" si="2172"/>
        <v>24.71</v>
      </c>
      <c r="AAD101" s="85">
        <f t="shared" si="1694"/>
        <v>191516.69</v>
      </c>
      <c r="AAE101" s="86">
        <f t="shared" si="1694"/>
        <v>0</v>
      </c>
      <c r="AAF101" s="87">
        <f t="shared" si="1457"/>
        <v>0</v>
      </c>
      <c r="AAG101" s="88">
        <f t="shared" si="2173"/>
        <v>-191516.69</v>
      </c>
      <c r="AAH101" s="58"/>
      <c r="AAI101" s="59"/>
      <c r="AAJ101" s="59"/>
      <c r="AAK101" s="60"/>
    </row>
    <row r="102" spans="1:713" s="83" customFormat="1" ht="20" customHeight="1" x14ac:dyDescent="0.2">
      <c r="A102" s="152"/>
      <c r="B102" s="89">
        <f>AAH102</f>
        <v>0</v>
      </c>
      <c r="C102" s="90"/>
      <c r="D102" s="90"/>
      <c r="E102" s="60"/>
      <c r="F102" s="61">
        <v>47300</v>
      </c>
      <c r="G102" s="62">
        <f>371675.99/2</f>
        <v>185837.995</v>
      </c>
      <c r="H102" s="63"/>
      <c r="I102" s="64">
        <f t="shared" si="1969"/>
        <v>185837.995</v>
      </c>
      <c r="J102" s="65">
        <v>2166.9299999999998</v>
      </c>
      <c r="K102" s="63"/>
      <c r="L102" s="64">
        <f t="shared" si="1970"/>
        <v>2166.9299999999998</v>
      </c>
      <c r="M102" s="65">
        <v>2500</v>
      </c>
      <c r="N102" s="63"/>
      <c r="O102" s="64">
        <f t="shared" si="1971"/>
        <v>2500</v>
      </c>
      <c r="P102" s="65">
        <v>1250</v>
      </c>
      <c r="Q102" s="63"/>
      <c r="R102" s="64">
        <f t="shared" si="1972"/>
        <v>1250</v>
      </c>
      <c r="S102" s="65">
        <v>362</v>
      </c>
      <c r="T102" s="63"/>
      <c r="U102" s="64">
        <f t="shared" si="1973"/>
        <v>362</v>
      </c>
      <c r="V102" s="66">
        <f t="shared" si="1974"/>
        <v>192116.92499999999</v>
      </c>
      <c r="W102" s="67">
        <f t="shared" si="1974"/>
        <v>0</v>
      </c>
      <c r="X102" s="64">
        <f t="shared" si="1975"/>
        <v>192116.92499999999</v>
      </c>
      <c r="Y102" s="72"/>
      <c r="Z102" s="73"/>
      <c r="AA102" s="74"/>
      <c r="AB102" s="75"/>
      <c r="AC102" s="73"/>
      <c r="AD102" s="74"/>
      <c r="AE102" s="75"/>
      <c r="AF102" s="73"/>
      <c r="AG102" s="74"/>
      <c r="AH102" s="75"/>
      <c r="AI102" s="73"/>
      <c r="AJ102" s="74"/>
      <c r="AK102" s="76"/>
      <c r="AL102" s="77"/>
      <c r="AM102" s="64">
        <f t="shared" si="1976"/>
        <v>0</v>
      </c>
      <c r="AN102" s="62">
        <v>6250</v>
      </c>
      <c r="AO102" s="63"/>
      <c r="AP102" s="64">
        <f t="shared" si="2174"/>
        <v>6250</v>
      </c>
      <c r="AQ102" s="65"/>
      <c r="AR102" s="63"/>
      <c r="AS102" s="64">
        <f t="shared" si="1977"/>
        <v>0</v>
      </c>
      <c r="AT102" s="65"/>
      <c r="AU102" s="63"/>
      <c r="AV102" s="64">
        <f t="shared" si="1978"/>
        <v>0</v>
      </c>
      <c r="AW102" s="65"/>
      <c r="AX102" s="63"/>
      <c r="AY102" s="64">
        <f t="shared" si="1979"/>
        <v>0</v>
      </c>
      <c r="AZ102" s="66">
        <f t="shared" si="1469"/>
        <v>6250</v>
      </c>
      <c r="BA102" s="67">
        <f t="shared" si="1980"/>
        <v>0</v>
      </c>
      <c r="BB102" s="64">
        <f t="shared" si="1981"/>
        <v>6250</v>
      </c>
      <c r="BC102" s="62"/>
      <c r="BD102" s="63"/>
      <c r="BE102" s="64">
        <f t="shared" si="1982"/>
        <v>0</v>
      </c>
      <c r="BF102" s="65"/>
      <c r="BG102" s="63"/>
      <c r="BH102" s="64">
        <f t="shared" si="1983"/>
        <v>0</v>
      </c>
      <c r="BI102" s="65"/>
      <c r="BJ102" s="63"/>
      <c r="BK102" s="64">
        <f t="shared" si="1984"/>
        <v>0</v>
      </c>
      <c r="BL102" s="65">
        <v>100</v>
      </c>
      <c r="BM102" s="63"/>
      <c r="BN102" s="64">
        <f t="shared" si="1985"/>
        <v>100</v>
      </c>
      <c r="BO102" s="66">
        <f t="shared" si="1476"/>
        <v>100</v>
      </c>
      <c r="BP102" s="67">
        <f t="shared" si="1986"/>
        <v>0</v>
      </c>
      <c r="BQ102" s="64">
        <f t="shared" si="1987"/>
        <v>100</v>
      </c>
      <c r="BR102" s="72"/>
      <c r="BS102" s="73"/>
      <c r="BT102" s="74"/>
      <c r="BU102" s="75"/>
      <c r="BV102" s="73"/>
      <c r="BW102" s="74"/>
      <c r="BX102" s="75"/>
      <c r="BY102" s="73"/>
      <c r="BZ102" s="74"/>
      <c r="CA102" s="75"/>
      <c r="CB102" s="73"/>
      <c r="CC102" s="74"/>
      <c r="CD102" s="76"/>
      <c r="CE102" s="77"/>
      <c r="CF102" s="64">
        <f t="shared" si="1988"/>
        <v>0</v>
      </c>
      <c r="CG102" s="62">
        <v>5000</v>
      </c>
      <c r="CH102" s="63"/>
      <c r="CI102" s="64">
        <f t="shared" si="1989"/>
        <v>5000</v>
      </c>
      <c r="CJ102" s="65"/>
      <c r="CK102" s="63"/>
      <c r="CL102" s="64">
        <f t="shared" si="1990"/>
        <v>0</v>
      </c>
      <c r="CM102" s="65"/>
      <c r="CN102" s="63"/>
      <c r="CO102" s="64">
        <f t="shared" si="1991"/>
        <v>0</v>
      </c>
      <c r="CP102" s="65"/>
      <c r="CQ102" s="63"/>
      <c r="CR102" s="64">
        <f t="shared" si="1992"/>
        <v>0</v>
      </c>
      <c r="CS102" s="66">
        <f t="shared" si="1484"/>
        <v>5000</v>
      </c>
      <c r="CT102" s="67">
        <f t="shared" si="1993"/>
        <v>0</v>
      </c>
      <c r="CU102" s="64">
        <f t="shared" si="1994"/>
        <v>5000</v>
      </c>
      <c r="CV102" s="62">
        <v>2916.7</v>
      </c>
      <c r="CW102" s="63"/>
      <c r="CX102" s="64">
        <f t="shared" si="1995"/>
        <v>2916.7</v>
      </c>
      <c r="CY102" s="65">
        <v>429.15</v>
      </c>
      <c r="CZ102" s="63"/>
      <c r="DA102" s="64">
        <f t="shared" si="1996"/>
        <v>429.15</v>
      </c>
      <c r="DB102" s="65"/>
      <c r="DC102" s="63"/>
      <c r="DD102" s="64">
        <f t="shared" si="1997"/>
        <v>0</v>
      </c>
      <c r="DE102" s="65"/>
      <c r="DF102" s="63"/>
      <c r="DG102" s="64">
        <f t="shared" si="1998"/>
        <v>0</v>
      </c>
      <c r="DH102" s="66">
        <f t="shared" si="1491"/>
        <v>3345.85</v>
      </c>
      <c r="DI102" s="67">
        <f t="shared" si="1999"/>
        <v>0</v>
      </c>
      <c r="DJ102" s="64">
        <f t="shared" si="2000"/>
        <v>3345.85</v>
      </c>
      <c r="DK102" s="62">
        <v>2400</v>
      </c>
      <c r="DL102" s="63"/>
      <c r="DM102" s="64">
        <f t="shared" si="2001"/>
        <v>2400</v>
      </c>
      <c r="DN102" s="65">
        <v>913.08</v>
      </c>
      <c r="DO102" s="63"/>
      <c r="DP102" s="64">
        <f t="shared" si="2002"/>
        <v>913.08</v>
      </c>
      <c r="DQ102" s="65"/>
      <c r="DR102" s="63"/>
      <c r="DS102" s="64">
        <f t="shared" si="2003"/>
        <v>0</v>
      </c>
      <c r="DT102" s="65">
        <v>100</v>
      </c>
      <c r="DU102" s="63"/>
      <c r="DV102" s="64">
        <f t="shared" si="2004"/>
        <v>100</v>
      </c>
      <c r="DW102" s="66">
        <f t="shared" si="1498"/>
        <v>3413.08</v>
      </c>
      <c r="DX102" s="67">
        <f t="shared" si="2005"/>
        <v>0</v>
      </c>
      <c r="DY102" s="64">
        <f t="shared" si="2006"/>
        <v>3413.08</v>
      </c>
      <c r="DZ102" s="62">
        <v>12000</v>
      </c>
      <c r="EA102" s="63"/>
      <c r="EB102" s="64">
        <f t="shared" si="2007"/>
        <v>12000</v>
      </c>
      <c r="EC102" s="65"/>
      <c r="ED102" s="63"/>
      <c r="EE102" s="64">
        <f t="shared" si="2008"/>
        <v>0</v>
      </c>
      <c r="EF102" s="65"/>
      <c r="EG102" s="63"/>
      <c r="EH102" s="64">
        <f t="shared" si="2009"/>
        <v>0</v>
      </c>
      <c r="EI102" s="65">
        <v>100</v>
      </c>
      <c r="EJ102" s="63"/>
      <c r="EK102" s="64">
        <f t="shared" si="2010"/>
        <v>100</v>
      </c>
      <c r="EL102" s="66">
        <f t="shared" si="1505"/>
        <v>12100</v>
      </c>
      <c r="EM102" s="67">
        <f t="shared" si="2011"/>
        <v>0</v>
      </c>
      <c r="EN102" s="64">
        <f t="shared" si="2012"/>
        <v>12100</v>
      </c>
      <c r="EO102" s="62"/>
      <c r="EP102" s="63"/>
      <c r="EQ102" s="64">
        <f t="shared" si="2013"/>
        <v>0</v>
      </c>
      <c r="ER102" s="65">
        <v>3600</v>
      </c>
      <c r="ES102" s="63"/>
      <c r="ET102" s="64">
        <f t="shared" si="2014"/>
        <v>3600</v>
      </c>
      <c r="EU102" s="65"/>
      <c r="EV102" s="63"/>
      <c r="EW102" s="64">
        <f t="shared" si="2015"/>
        <v>0</v>
      </c>
      <c r="EX102" s="65">
        <v>100</v>
      </c>
      <c r="EY102" s="63"/>
      <c r="EZ102" s="64">
        <f t="shared" si="2016"/>
        <v>100</v>
      </c>
      <c r="FA102" s="66">
        <f t="shared" si="1512"/>
        <v>3700</v>
      </c>
      <c r="FB102" s="67">
        <f t="shared" si="2017"/>
        <v>0</v>
      </c>
      <c r="FC102" s="64">
        <f t="shared" si="2018"/>
        <v>3700</v>
      </c>
      <c r="FD102" s="62"/>
      <c r="FE102" s="63"/>
      <c r="FF102" s="64">
        <f t="shared" si="2019"/>
        <v>0</v>
      </c>
      <c r="FG102" s="65">
        <v>3600</v>
      </c>
      <c r="FH102" s="63"/>
      <c r="FI102" s="64">
        <f t="shared" si="2020"/>
        <v>3600</v>
      </c>
      <c r="FJ102" s="65"/>
      <c r="FK102" s="63"/>
      <c r="FL102" s="64">
        <f t="shared" si="2021"/>
        <v>0</v>
      </c>
      <c r="FM102" s="65">
        <v>100</v>
      </c>
      <c r="FN102" s="63"/>
      <c r="FO102" s="64">
        <f t="shared" si="2022"/>
        <v>100</v>
      </c>
      <c r="FP102" s="66">
        <f t="shared" si="1519"/>
        <v>3700</v>
      </c>
      <c r="FQ102" s="67">
        <f t="shared" si="2023"/>
        <v>0</v>
      </c>
      <c r="FR102" s="64">
        <f t="shared" si="2024"/>
        <v>3700</v>
      </c>
      <c r="FS102" s="62">
        <v>18000</v>
      </c>
      <c r="FT102" s="63"/>
      <c r="FU102" s="64">
        <f t="shared" si="2025"/>
        <v>18000</v>
      </c>
      <c r="FV102" s="65">
        <v>485.35</v>
      </c>
      <c r="FW102" s="63"/>
      <c r="FX102" s="64">
        <f t="shared" si="2026"/>
        <v>485.35</v>
      </c>
      <c r="FY102" s="65"/>
      <c r="FZ102" s="63"/>
      <c r="GA102" s="64">
        <f t="shared" si="2027"/>
        <v>0</v>
      </c>
      <c r="GB102" s="65"/>
      <c r="GC102" s="63"/>
      <c r="GD102" s="64">
        <f t="shared" si="2028"/>
        <v>0</v>
      </c>
      <c r="GE102" s="66">
        <f t="shared" si="1526"/>
        <v>18485.349999999999</v>
      </c>
      <c r="GF102" s="67">
        <f t="shared" si="2029"/>
        <v>0</v>
      </c>
      <c r="GG102" s="64">
        <f t="shared" si="2030"/>
        <v>18485.349999999999</v>
      </c>
      <c r="GH102" s="62">
        <v>18000</v>
      </c>
      <c r="GI102" s="63"/>
      <c r="GJ102" s="64">
        <f t="shared" si="2031"/>
        <v>18000</v>
      </c>
      <c r="GK102" s="65">
        <v>660.33</v>
      </c>
      <c r="GL102" s="63"/>
      <c r="GM102" s="64">
        <f t="shared" si="2032"/>
        <v>660.33</v>
      </c>
      <c r="GN102" s="65"/>
      <c r="GO102" s="63"/>
      <c r="GP102" s="64">
        <f t="shared" si="2033"/>
        <v>0</v>
      </c>
      <c r="GQ102" s="65"/>
      <c r="GR102" s="63"/>
      <c r="GS102" s="64">
        <f t="shared" si="2034"/>
        <v>0</v>
      </c>
      <c r="GT102" s="66">
        <f t="shared" si="1533"/>
        <v>18660.330000000002</v>
      </c>
      <c r="GU102" s="67">
        <f t="shared" si="2035"/>
        <v>0</v>
      </c>
      <c r="GV102" s="64">
        <f t="shared" si="2036"/>
        <v>18660.330000000002</v>
      </c>
      <c r="GW102" s="62">
        <v>13350</v>
      </c>
      <c r="GX102" s="63"/>
      <c r="GY102" s="64">
        <f t="shared" si="2037"/>
        <v>13350</v>
      </c>
      <c r="GZ102" s="65">
        <v>568.25</v>
      </c>
      <c r="HA102" s="63"/>
      <c r="HB102" s="64">
        <f t="shared" si="2038"/>
        <v>568.25</v>
      </c>
      <c r="HC102" s="65"/>
      <c r="HD102" s="63"/>
      <c r="HE102" s="64">
        <f t="shared" si="2039"/>
        <v>0</v>
      </c>
      <c r="HF102" s="65">
        <v>100</v>
      </c>
      <c r="HG102" s="63"/>
      <c r="HH102" s="64">
        <f t="shared" si="2040"/>
        <v>100</v>
      </c>
      <c r="HI102" s="66">
        <f t="shared" si="1540"/>
        <v>14018.25</v>
      </c>
      <c r="HJ102" s="67">
        <f t="shared" si="2041"/>
        <v>0</v>
      </c>
      <c r="HK102" s="64">
        <f t="shared" si="2042"/>
        <v>14018.25</v>
      </c>
      <c r="HL102" s="62"/>
      <c r="HM102" s="63"/>
      <c r="HN102" s="64">
        <f t="shared" si="2043"/>
        <v>0</v>
      </c>
      <c r="HO102" s="65">
        <v>4400</v>
      </c>
      <c r="HP102" s="63"/>
      <c r="HQ102" s="64">
        <f t="shared" si="2044"/>
        <v>4400</v>
      </c>
      <c r="HR102" s="65"/>
      <c r="HS102" s="63"/>
      <c r="HT102" s="64">
        <f t="shared" si="2045"/>
        <v>0</v>
      </c>
      <c r="HU102" s="65">
        <v>100</v>
      </c>
      <c r="HV102" s="63"/>
      <c r="HW102" s="64">
        <f t="shared" si="2046"/>
        <v>100</v>
      </c>
      <c r="HX102" s="66">
        <f t="shared" si="1547"/>
        <v>4500</v>
      </c>
      <c r="HY102" s="67">
        <f t="shared" si="2047"/>
        <v>0</v>
      </c>
      <c r="HZ102" s="64">
        <f t="shared" si="2048"/>
        <v>4500</v>
      </c>
      <c r="IA102" s="62">
        <v>9864.5</v>
      </c>
      <c r="IB102" s="63"/>
      <c r="IC102" s="64">
        <f t="shared" si="2049"/>
        <v>9864.5</v>
      </c>
      <c r="ID102" s="65"/>
      <c r="IE102" s="63"/>
      <c r="IF102" s="64">
        <f t="shared" si="2050"/>
        <v>0</v>
      </c>
      <c r="IG102" s="65"/>
      <c r="IH102" s="63"/>
      <c r="II102" s="64">
        <f t="shared" si="2051"/>
        <v>0</v>
      </c>
      <c r="IJ102" s="65">
        <v>100</v>
      </c>
      <c r="IK102" s="63"/>
      <c r="IL102" s="64">
        <f t="shared" si="2052"/>
        <v>100</v>
      </c>
      <c r="IM102" s="66">
        <f t="shared" si="1554"/>
        <v>9964.5</v>
      </c>
      <c r="IN102" s="67">
        <f t="shared" si="2053"/>
        <v>0</v>
      </c>
      <c r="IO102" s="64">
        <f t="shared" si="2054"/>
        <v>9964.5</v>
      </c>
      <c r="IP102" s="62">
        <v>5000</v>
      </c>
      <c r="IQ102" s="63"/>
      <c r="IR102" s="64">
        <f t="shared" si="2055"/>
        <v>5000</v>
      </c>
      <c r="IS102" s="65"/>
      <c r="IT102" s="63"/>
      <c r="IU102" s="64">
        <f t="shared" si="2056"/>
        <v>0</v>
      </c>
      <c r="IV102" s="65"/>
      <c r="IW102" s="63"/>
      <c r="IX102" s="64">
        <f t="shared" si="2057"/>
        <v>0</v>
      </c>
      <c r="IY102" s="65"/>
      <c r="IZ102" s="63"/>
      <c r="JA102" s="64">
        <f t="shared" si="2058"/>
        <v>0</v>
      </c>
      <c r="JB102" s="66">
        <f t="shared" si="1561"/>
        <v>5000</v>
      </c>
      <c r="JC102" s="67">
        <f t="shared" si="2059"/>
        <v>0</v>
      </c>
      <c r="JD102" s="64">
        <f t="shared" si="2060"/>
        <v>5000</v>
      </c>
      <c r="JE102" s="72"/>
      <c r="JF102" s="150"/>
      <c r="JG102" s="74"/>
      <c r="JH102" s="75"/>
      <c r="JI102" s="150"/>
      <c r="JJ102" s="74"/>
      <c r="JK102" s="75"/>
      <c r="JL102" s="150"/>
      <c r="JM102" s="74"/>
      <c r="JN102" s="75"/>
      <c r="JO102" s="150"/>
      <c r="JP102" s="74"/>
      <c r="JQ102" s="76"/>
      <c r="JR102" s="77"/>
      <c r="JS102" s="74"/>
      <c r="JT102" s="72"/>
      <c r="JU102" s="73"/>
      <c r="JV102" s="74"/>
      <c r="JW102" s="75"/>
      <c r="JX102" s="73"/>
      <c r="JY102" s="74"/>
      <c r="JZ102" s="75"/>
      <c r="KA102" s="73"/>
      <c r="KB102" s="74"/>
      <c r="KC102" s="75"/>
      <c r="KD102" s="73"/>
      <c r="KE102" s="74"/>
      <c r="KF102" s="76"/>
      <c r="KG102" s="77"/>
      <c r="KH102" s="64">
        <f t="shared" si="2061"/>
        <v>0</v>
      </c>
      <c r="KI102" s="62">
        <v>50000</v>
      </c>
      <c r="KJ102" s="63"/>
      <c r="KK102" s="64">
        <f t="shared" si="2062"/>
        <v>50000</v>
      </c>
      <c r="KL102" s="65"/>
      <c r="KM102" s="63"/>
      <c r="KN102" s="64">
        <f t="shared" si="2063"/>
        <v>0</v>
      </c>
      <c r="KO102" s="65"/>
      <c r="KP102" s="63"/>
      <c r="KQ102" s="64">
        <f t="shared" si="2064"/>
        <v>0</v>
      </c>
      <c r="KR102" s="65"/>
      <c r="KS102" s="63"/>
      <c r="KT102" s="64">
        <f t="shared" si="2065"/>
        <v>0</v>
      </c>
      <c r="KU102" s="66">
        <f t="shared" si="1439"/>
        <v>50000</v>
      </c>
      <c r="KV102" s="67">
        <f t="shared" si="2066"/>
        <v>0</v>
      </c>
      <c r="KW102" s="64">
        <f t="shared" si="2067"/>
        <v>50000</v>
      </c>
      <c r="KX102" s="72"/>
      <c r="KY102" s="73"/>
      <c r="KZ102" s="74"/>
      <c r="LA102" s="75"/>
      <c r="LB102" s="73"/>
      <c r="LC102" s="74"/>
      <c r="LD102" s="75"/>
      <c r="LE102" s="73"/>
      <c r="LF102" s="74"/>
      <c r="LG102" s="75"/>
      <c r="LH102" s="73"/>
      <c r="LI102" s="74"/>
      <c r="LJ102" s="76"/>
      <c r="LK102" s="77"/>
      <c r="LL102" s="74"/>
      <c r="LM102" s="62">
        <v>9300</v>
      </c>
      <c r="LN102" s="63"/>
      <c r="LO102" s="64">
        <f t="shared" si="2068"/>
        <v>9300</v>
      </c>
      <c r="LP102" s="65"/>
      <c r="LQ102" s="63"/>
      <c r="LR102" s="64">
        <f t="shared" si="2069"/>
        <v>0</v>
      </c>
      <c r="LS102" s="65"/>
      <c r="LT102" s="63"/>
      <c r="LU102" s="64">
        <f t="shared" si="2070"/>
        <v>0</v>
      </c>
      <c r="LV102" s="65">
        <v>100</v>
      </c>
      <c r="LW102" s="63"/>
      <c r="LX102" s="64">
        <f t="shared" si="2071"/>
        <v>100</v>
      </c>
      <c r="LY102" s="66">
        <f t="shared" si="1575"/>
        <v>9400</v>
      </c>
      <c r="LZ102" s="67">
        <f t="shared" si="2072"/>
        <v>0</v>
      </c>
      <c r="MA102" s="64">
        <f t="shared" si="2073"/>
        <v>9400</v>
      </c>
      <c r="MB102" s="62">
        <f>6*650</f>
        <v>3900</v>
      </c>
      <c r="MC102" s="63"/>
      <c r="MD102" s="64">
        <f t="shared" si="2074"/>
        <v>3900</v>
      </c>
      <c r="ME102" s="65">
        <v>889.11</v>
      </c>
      <c r="MF102" s="63"/>
      <c r="MG102" s="64">
        <f t="shared" si="2075"/>
        <v>889.11</v>
      </c>
      <c r="MH102" s="65"/>
      <c r="MI102" s="63"/>
      <c r="MJ102" s="64">
        <f t="shared" si="2076"/>
        <v>0</v>
      </c>
      <c r="MK102" s="65">
        <v>100</v>
      </c>
      <c r="ML102" s="63"/>
      <c r="MM102" s="64">
        <f t="shared" si="2077"/>
        <v>100</v>
      </c>
      <c r="MN102" s="66">
        <f t="shared" si="1582"/>
        <v>4889.1099999999997</v>
      </c>
      <c r="MO102" s="67">
        <f t="shared" si="2078"/>
        <v>0</v>
      </c>
      <c r="MP102" s="64">
        <f t="shared" si="2079"/>
        <v>4889.1099999999997</v>
      </c>
      <c r="MQ102" s="62">
        <v>9100</v>
      </c>
      <c r="MR102" s="63"/>
      <c r="MS102" s="64">
        <f t="shared" si="2080"/>
        <v>9100</v>
      </c>
      <c r="MT102" s="65"/>
      <c r="MU102" s="63"/>
      <c r="MV102" s="64">
        <f t="shared" si="2081"/>
        <v>0</v>
      </c>
      <c r="MW102" s="65"/>
      <c r="MX102" s="63"/>
      <c r="MY102" s="64">
        <f t="shared" si="2082"/>
        <v>0</v>
      </c>
      <c r="MZ102" s="65"/>
      <c r="NA102" s="63"/>
      <c r="NB102" s="64">
        <f t="shared" si="2083"/>
        <v>0</v>
      </c>
      <c r="NC102" s="66">
        <f t="shared" si="1589"/>
        <v>9100</v>
      </c>
      <c r="ND102" s="67">
        <f t="shared" si="2084"/>
        <v>0</v>
      </c>
      <c r="NE102" s="64">
        <f t="shared" si="2085"/>
        <v>9100</v>
      </c>
      <c r="NF102" s="62">
        <v>6000</v>
      </c>
      <c r="NG102" s="63"/>
      <c r="NH102" s="64">
        <f t="shared" si="2086"/>
        <v>6000</v>
      </c>
      <c r="NI102" s="65">
        <v>1164.04</v>
      </c>
      <c r="NJ102" s="63"/>
      <c r="NK102" s="64">
        <f t="shared" si="2087"/>
        <v>1164.04</v>
      </c>
      <c r="NL102" s="65"/>
      <c r="NM102" s="63"/>
      <c r="NN102" s="64">
        <f t="shared" si="2088"/>
        <v>0</v>
      </c>
      <c r="NO102" s="65">
        <v>100</v>
      </c>
      <c r="NP102" s="63"/>
      <c r="NQ102" s="64">
        <f t="shared" si="2089"/>
        <v>100</v>
      </c>
      <c r="NR102" s="66">
        <f t="shared" si="1596"/>
        <v>7264.04</v>
      </c>
      <c r="NS102" s="67">
        <f t="shared" si="2090"/>
        <v>0</v>
      </c>
      <c r="NT102" s="64">
        <f t="shared" si="2091"/>
        <v>7264.04</v>
      </c>
      <c r="NU102" s="62">
        <f>6*864</f>
        <v>5184</v>
      </c>
      <c r="NV102" s="63"/>
      <c r="NW102" s="64">
        <f t="shared" si="2092"/>
        <v>5184</v>
      </c>
      <c r="NX102" s="65">
        <v>1152.73</v>
      </c>
      <c r="NY102" s="63"/>
      <c r="NZ102" s="64">
        <f t="shared" si="2093"/>
        <v>1152.73</v>
      </c>
      <c r="OA102" s="65"/>
      <c r="OB102" s="63"/>
      <c r="OC102" s="64">
        <f t="shared" si="2094"/>
        <v>0</v>
      </c>
      <c r="OD102" s="65">
        <v>100</v>
      </c>
      <c r="OE102" s="63"/>
      <c r="OF102" s="64">
        <f t="shared" si="2095"/>
        <v>100</v>
      </c>
      <c r="OG102" s="66">
        <f t="shared" si="1603"/>
        <v>6436.73</v>
      </c>
      <c r="OH102" s="67">
        <f t="shared" si="2096"/>
        <v>0</v>
      </c>
      <c r="OI102" s="64">
        <f t="shared" si="2097"/>
        <v>6436.73</v>
      </c>
      <c r="OJ102" s="62"/>
      <c r="OK102" s="63"/>
      <c r="OL102" s="64">
        <f t="shared" si="2098"/>
        <v>0</v>
      </c>
      <c r="OM102" s="65"/>
      <c r="ON102" s="63"/>
      <c r="OO102" s="64">
        <f t="shared" si="2099"/>
        <v>0</v>
      </c>
      <c r="OP102" s="65"/>
      <c r="OQ102" s="63"/>
      <c r="OR102" s="64">
        <f t="shared" si="2100"/>
        <v>0</v>
      </c>
      <c r="OS102" s="65">
        <v>100</v>
      </c>
      <c r="OT102" s="63"/>
      <c r="OU102" s="64">
        <f t="shared" si="2101"/>
        <v>100</v>
      </c>
      <c r="OV102" s="66">
        <f t="shared" si="1610"/>
        <v>100</v>
      </c>
      <c r="OW102" s="67">
        <f t="shared" si="2102"/>
        <v>0</v>
      </c>
      <c r="OX102" s="64">
        <f t="shared" si="2103"/>
        <v>100</v>
      </c>
      <c r="OY102" s="62">
        <v>15800</v>
      </c>
      <c r="OZ102" s="63"/>
      <c r="PA102" s="64">
        <f t="shared" si="2104"/>
        <v>15800</v>
      </c>
      <c r="PB102" s="65"/>
      <c r="PC102" s="63"/>
      <c r="PD102" s="64">
        <f t="shared" si="2105"/>
        <v>0</v>
      </c>
      <c r="PE102" s="65"/>
      <c r="PF102" s="63"/>
      <c r="PG102" s="64">
        <f t="shared" si="2106"/>
        <v>0</v>
      </c>
      <c r="PH102" s="65">
        <v>100</v>
      </c>
      <c r="PI102" s="63"/>
      <c r="PJ102" s="64">
        <f t="shared" si="2107"/>
        <v>100</v>
      </c>
      <c r="PK102" s="66">
        <f t="shared" si="1617"/>
        <v>15900</v>
      </c>
      <c r="PL102" s="67">
        <f t="shared" si="2108"/>
        <v>0</v>
      </c>
      <c r="PM102" s="64">
        <f t="shared" si="2109"/>
        <v>15900</v>
      </c>
      <c r="PN102" s="62">
        <v>1550</v>
      </c>
      <c r="PO102" s="63"/>
      <c r="PP102" s="64">
        <f t="shared" si="2110"/>
        <v>1550</v>
      </c>
      <c r="PQ102" s="65"/>
      <c r="PR102" s="63"/>
      <c r="PS102" s="64">
        <f t="shared" si="2111"/>
        <v>0</v>
      </c>
      <c r="PT102" s="65"/>
      <c r="PU102" s="63"/>
      <c r="PV102" s="64">
        <f t="shared" si="2112"/>
        <v>0</v>
      </c>
      <c r="PW102" s="65">
        <v>100</v>
      </c>
      <c r="PX102" s="63"/>
      <c r="PY102" s="64">
        <f t="shared" si="2113"/>
        <v>100</v>
      </c>
      <c r="PZ102" s="66">
        <f t="shared" si="1624"/>
        <v>1650</v>
      </c>
      <c r="QA102" s="67">
        <f t="shared" si="2114"/>
        <v>0</v>
      </c>
      <c r="QB102" s="64">
        <f t="shared" si="2115"/>
        <v>1650</v>
      </c>
      <c r="QC102" s="62">
        <v>9000</v>
      </c>
      <c r="QD102" s="63"/>
      <c r="QE102" s="64">
        <f t="shared" si="2116"/>
        <v>9000</v>
      </c>
      <c r="QF102" s="65"/>
      <c r="QG102" s="63"/>
      <c r="QH102" s="64">
        <f t="shared" si="2117"/>
        <v>0</v>
      </c>
      <c r="QI102" s="65"/>
      <c r="QJ102" s="63"/>
      <c r="QK102" s="64">
        <f t="shared" si="2118"/>
        <v>0</v>
      </c>
      <c r="QL102" s="65">
        <v>100</v>
      </c>
      <c r="QM102" s="63"/>
      <c r="QN102" s="64">
        <f t="shared" si="2119"/>
        <v>100</v>
      </c>
      <c r="QO102" s="66">
        <f t="shared" si="1631"/>
        <v>9100</v>
      </c>
      <c r="QP102" s="67">
        <f t="shared" si="2120"/>
        <v>0</v>
      </c>
      <c r="QQ102" s="64">
        <f t="shared" si="2121"/>
        <v>9100</v>
      </c>
      <c r="QR102" s="74"/>
      <c r="QS102" s="74"/>
      <c r="QT102" s="72"/>
      <c r="QU102" s="73"/>
      <c r="QV102" s="74"/>
      <c r="QW102" s="75"/>
      <c r="QX102" s="73"/>
      <c r="QY102" s="74"/>
      <c r="QZ102" s="75"/>
      <c r="RA102" s="73"/>
      <c r="RB102" s="74"/>
      <c r="RC102" s="75"/>
      <c r="RD102" s="73"/>
      <c r="RE102" s="74"/>
      <c r="RF102" s="74"/>
      <c r="RG102" s="72"/>
      <c r="RH102" s="73"/>
      <c r="RI102" s="74"/>
      <c r="RJ102" s="75"/>
      <c r="RK102" s="73"/>
      <c r="RL102" s="74"/>
      <c r="RM102" s="75"/>
      <c r="RN102" s="73"/>
      <c r="RO102" s="74"/>
      <c r="RP102" s="75"/>
      <c r="RQ102" s="73"/>
      <c r="RR102" s="74"/>
      <c r="RS102" s="76"/>
      <c r="RT102" s="77"/>
      <c r="RU102" s="74"/>
      <c r="RV102" s="74"/>
      <c r="RW102" s="72"/>
      <c r="RX102" s="73"/>
      <c r="RY102" s="74"/>
      <c r="RZ102" s="75"/>
      <c r="SA102" s="73"/>
      <c r="SB102" s="74"/>
      <c r="SC102" s="75"/>
      <c r="SD102" s="73"/>
      <c r="SE102" s="74"/>
      <c r="SF102" s="75"/>
      <c r="SG102" s="73"/>
      <c r="SH102" s="74"/>
      <c r="SI102" s="76"/>
      <c r="SJ102" s="64">
        <f t="shared" si="2122"/>
        <v>0</v>
      </c>
      <c r="SK102" s="62"/>
      <c r="SL102" s="63"/>
      <c r="SM102" s="64">
        <f t="shared" si="2123"/>
        <v>0</v>
      </c>
      <c r="SN102" s="65"/>
      <c r="SO102" s="63"/>
      <c r="SP102" s="64">
        <f t="shared" si="2124"/>
        <v>0</v>
      </c>
      <c r="SQ102" s="65"/>
      <c r="SR102" s="63"/>
      <c r="SS102" s="64">
        <f t="shared" si="2125"/>
        <v>0</v>
      </c>
      <c r="ST102" s="65">
        <v>100</v>
      </c>
      <c r="SU102" s="63"/>
      <c r="SV102" s="64">
        <f t="shared" si="2126"/>
        <v>100</v>
      </c>
      <c r="SW102" s="66">
        <f t="shared" si="1639"/>
        <v>100</v>
      </c>
      <c r="SX102" s="67">
        <f t="shared" si="2127"/>
        <v>0</v>
      </c>
      <c r="SY102" s="64">
        <f t="shared" si="2128"/>
        <v>100</v>
      </c>
      <c r="SZ102" s="62">
        <v>985.33</v>
      </c>
      <c r="TA102" s="63"/>
      <c r="TB102" s="64">
        <f t="shared" si="2129"/>
        <v>985.33</v>
      </c>
      <c r="TC102" s="65">
        <v>700.9</v>
      </c>
      <c r="TD102" s="63"/>
      <c r="TE102" s="64">
        <f t="shared" si="2130"/>
        <v>700.9</v>
      </c>
      <c r="TF102" s="65"/>
      <c r="TG102" s="63"/>
      <c r="TH102" s="64">
        <f t="shared" si="2131"/>
        <v>0</v>
      </c>
      <c r="TI102" s="65">
        <v>100</v>
      </c>
      <c r="TJ102" s="63"/>
      <c r="TK102" s="64">
        <f t="shared" si="2132"/>
        <v>100</v>
      </c>
      <c r="TL102" s="66">
        <f t="shared" si="1646"/>
        <v>1786.23</v>
      </c>
      <c r="TM102" s="67">
        <f t="shared" si="2133"/>
        <v>0</v>
      </c>
      <c r="TN102" s="64">
        <f t="shared" si="2134"/>
        <v>1786.23</v>
      </c>
      <c r="TO102" s="62"/>
      <c r="TP102" s="63"/>
      <c r="TQ102" s="64">
        <f t="shared" si="2135"/>
        <v>0</v>
      </c>
      <c r="TR102" s="65"/>
      <c r="TS102" s="63"/>
      <c r="TT102" s="64">
        <f t="shared" si="2136"/>
        <v>0</v>
      </c>
      <c r="TU102" s="65"/>
      <c r="TV102" s="63"/>
      <c r="TW102" s="64">
        <f t="shared" si="2137"/>
        <v>0</v>
      </c>
      <c r="TX102" s="65">
        <v>100</v>
      </c>
      <c r="TY102" s="63"/>
      <c r="TZ102" s="64">
        <f t="shared" si="2138"/>
        <v>100</v>
      </c>
      <c r="UA102" s="66">
        <f t="shared" si="1653"/>
        <v>100</v>
      </c>
      <c r="UB102" s="67">
        <f t="shared" si="2139"/>
        <v>0</v>
      </c>
      <c r="UC102" s="64">
        <f t="shared" si="2140"/>
        <v>100</v>
      </c>
      <c r="UD102" s="62">
        <v>6750</v>
      </c>
      <c r="UE102" s="63"/>
      <c r="UF102" s="64">
        <f t="shared" si="2141"/>
        <v>6750</v>
      </c>
      <c r="UG102" s="65">
        <v>497.04</v>
      </c>
      <c r="UH102" s="63"/>
      <c r="UI102" s="64">
        <f t="shared" si="2142"/>
        <v>497.04</v>
      </c>
      <c r="UJ102" s="65"/>
      <c r="UK102" s="63"/>
      <c r="UL102" s="64">
        <f t="shared" si="2143"/>
        <v>0</v>
      </c>
      <c r="UM102" s="65">
        <v>100</v>
      </c>
      <c r="UN102" s="63"/>
      <c r="UO102" s="64">
        <f t="shared" si="2144"/>
        <v>100</v>
      </c>
      <c r="UP102" s="66">
        <f t="shared" si="1660"/>
        <v>7347.04</v>
      </c>
      <c r="UQ102" s="67">
        <f t="shared" si="2145"/>
        <v>0</v>
      </c>
      <c r="UR102" s="64">
        <f t="shared" si="2146"/>
        <v>7347.04</v>
      </c>
      <c r="US102" s="74"/>
      <c r="UT102" s="72"/>
      <c r="UU102" s="73"/>
      <c r="UV102" s="74"/>
      <c r="UW102" s="75"/>
      <c r="UX102" s="73"/>
      <c r="UY102" s="74"/>
      <c r="UZ102" s="75"/>
      <c r="VA102" s="73"/>
      <c r="VB102" s="74"/>
      <c r="VC102" s="75"/>
      <c r="VD102" s="73"/>
      <c r="VE102" s="74"/>
      <c r="VF102" s="76"/>
      <c r="VG102" s="77"/>
      <c r="VH102" s="62"/>
      <c r="VI102" s="63"/>
      <c r="VJ102" s="64">
        <f t="shared" si="2147"/>
        <v>0</v>
      </c>
      <c r="VK102" s="65"/>
      <c r="VL102" s="63"/>
      <c r="VM102" s="64">
        <f t="shared" si="2148"/>
        <v>0</v>
      </c>
      <c r="VN102" s="65"/>
      <c r="VO102" s="63"/>
      <c r="VP102" s="64">
        <f t="shared" si="2149"/>
        <v>0</v>
      </c>
      <c r="VQ102" s="65">
        <v>100</v>
      </c>
      <c r="VR102" s="63"/>
      <c r="VS102" s="64">
        <f t="shared" si="2150"/>
        <v>100</v>
      </c>
      <c r="VT102" s="66">
        <f t="shared" si="1667"/>
        <v>100</v>
      </c>
      <c r="VU102" s="67">
        <f t="shared" si="2151"/>
        <v>0</v>
      </c>
      <c r="VV102" s="64">
        <f t="shared" si="2152"/>
        <v>100</v>
      </c>
      <c r="VW102" s="74"/>
      <c r="VX102" s="72"/>
      <c r="VY102" s="73"/>
      <c r="VZ102" s="74"/>
      <c r="WA102" s="75"/>
      <c r="WB102" s="73"/>
      <c r="WC102" s="74"/>
      <c r="WD102" s="75"/>
      <c r="WE102" s="73"/>
      <c r="WF102" s="74"/>
      <c r="WG102" s="75"/>
      <c r="WH102" s="73"/>
      <c r="WI102" s="74"/>
      <c r="WJ102" s="76"/>
      <c r="WK102" s="77"/>
      <c r="WL102" s="74"/>
      <c r="WM102" s="72"/>
      <c r="WN102" s="73"/>
      <c r="WO102" s="74"/>
      <c r="WP102" s="75"/>
      <c r="WQ102" s="73"/>
      <c r="WR102" s="74"/>
      <c r="WS102" s="75"/>
      <c r="WT102" s="73"/>
      <c r="WU102" s="74"/>
      <c r="WV102" s="75"/>
      <c r="WW102" s="73"/>
      <c r="WX102" s="74"/>
      <c r="WY102" s="76"/>
      <c r="WZ102" s="77"/>
      <c r="XA102" s="74"/>
      <c r="XB102" s="72"/>
      <c r="XC102" s="73"/>
      <c r="XD102" s="74"/>
      <c r="XE102" s="75"/>
      <c r="XF102" s="73"/>
      <c r="XG102" s="74"/>
      <c r="XH102" s="75"/>
      <c r="XI102" s="73"/>
      <c r="XJ102" s="74"/>
      <c r="XK102" s="75"/>
      <c r="XL102" s="73"/>
      <c r="XM102" s="74"/>
      <c r="XN102" s="76"/>
      <c r="XO102" s="77"/>
      <c r="XP102" s="62">
        <v>5202</v>
      </c>
      <c r="XQ102" s="63"/>
      <c r="XR102" s="64">
        <f t="shared" si="2153"/>
        <v>5202</v>
      </c>
      <c r="XS102" s="65">
        <v>844.24</v>
      </c>
      <c r="XT102" s="63"/>
      <c r="XU102" s="64">
        <f t="shared" si="2154"/>
        <v>844.24</v>
      </c>
      <c r="XV102" s="65"/>
      <c r="XW102" s="63"/>
      <c r="XX102" s="64">
        <f t="shared" si="2155"/>
        <v>0</v>
      </c>
      <c r="XY102" s="65">
        <v>100</v>
      </c>
      <c r="XZ102" s="63"/>
      <c r="YA102" s="64">
        <f t="shared" si="2156"/>
        <v>100</v>
      </c>
      <c r="YB102" s="66">
        <f t="shared" si="1674"/>
        <v>6146.24</v>
      </c>
      <c r="YC102" s="67">
        <f t="shared" si="2157"/>
        <v>0</v>
      </c>
      <c r="YD102" s="64">
        <f t="shared" si="2158"/>
        <v>6146.24</v>
      </c>
      <c r="YE102" s="62">
        <v>5340</v>
      </c>
      <c r="YF102" s="63"/>
      <c r="YG102" s="64">
        <f t="shared" si="2159"/>
        <v>5340</v>
      </c>
      <c r="YH102" s="65">
        <v>847.85</v>
      </c>
      <c r="YI102" s="63"/>
      <c r="YJ102" s="64">
        <f t="shared" si="2160"/>
        <v>847.85</v>
      </c>
      <c r="YK102" s="65"/>
      <c r="YL102" s="63"/>
      <c r="YM102" s="64">
        <f t="shared" si="2161"/>
        <v>0</v>
      </c>
      <c r="YN102" s="65">
        <v>100</v>
      </c>
      <c r="YO102" s="63"/>
      <c r="YP102" s="64">
        <f t="shared" si="2162"/>
        <v>100</v>
      </c>
      <c r="YQ102" s="66">
        <f t="shared" si="1681"/>
        <v>6287.85</v>
      </c>
      <c r="YR102" s="67">
        <f t="shared" si="2163"/>
        <v>0</v>
      </c>
      <c r="YS102" s="64">
        <f t="shared" si="2164"/>
        <v>6287.85</v>
      </c>
      <c r="YT102" s="62">
        <v>5592</v>
      </c>
      <c r="YU102" s="63"/>
      <c r="YV102" s="64">
        <f t="shared" si="2165"/>
        <v>5592</v>
      </c>
      <c r="YW102" s="65">
        <v>695.73</v>
      </c>
      <c r="YX102" s="63"/>
      <c r="YY102" s="64">
        <f t="shared" si="2166"/>
        <v>695.73</v>
      </c>
      <c r="YZ102" s="65"/>
      <c r="ZA102" s="63"/>
      <c r="ZB102" s="64">
        <f t="shared" si="2167"/>
        <v>0</v>
      </c>
      <c r="ZC102" s="65">
        <v>100</v>
      </c>
      <c r="ZD102" s="63"/>
      <c r="ZE102" s="64">
        <f t="shared" si="2168"/>
        <v>100</v>
      </c>
      <c r="ZF102" s="66">
        <f t="shared" si="1688"/>
        <v>6387.73</v>
      </c>
      <c r="ZG102" s="67">
        <f t="shared" si="2169"/>
        <v>0</v>
      </c>
      <c r="ZH102" s="74"/>
      <c r="ZI102" s="72"/>
      <c r="ZJ102" s="73"/>
      <c r="ZK102" s="74"/>
      <c r="ZL102" s="75"/>
      <c r="ZM102" s="73"/>
      <c r="ZN102" s="74"/>
      <c r="ZO102" s="75"/>
      <c r="ZP102" s="73"/>
      <c r="ZQ102" s="74"/>
      <c r="ZR102" s="75"/>
      <c r="ZS102" s="73"/>
      <c r="ZT102" s="74"/>
      <c r="ZU102" s="76"/>
      <c r="ZV102" s="77"/>
      <c r="ZW102" s="64">
        <f t="shared" si="2170"/>
        <v>0</v>
      </c>
      <c r="ZX102" s="62">
        <v>24.71</v>
      </c>
      <c r="ZY102" s="63"/>
      <c r="ZZ102" s="64">
        <f t="shared" si="2171"/>
        <v>24.71</v>
      </c>
      <c r="AAA102" s="66">
        <f t="shared" si="1692"/>
        <v>24.71</v>
      </c>
      <c r="AAB102" s="67">
        <f t="shared" si="1692"/>
        <v>0</v>
      </c>
      <c r="AAC102" s="64">
        <f t="shared" si="2172"/>
        <v>24.71</v>
      </c>
      <c r="AAD102" s="85">
        <f t="shared" si="1694"/>
        <v>442449.255</v>
      </c>
      <c r="AAE102" s="86">
        <f t="shared" si="1694"/>
        <v>0</v>
      </c>
      <c r="AAF102" s="87">
        <f t="shared" si="1457"/>
        <v>0</v>
      </c>
      <c r="AAG102" s="88">
        <f t="shared" si="2173"/>
        <v>-442449.255</v>
      </c>
      <c r="AAH102" s="89">
        <f>W108+AL108+BA108+BP108+CE108+CT108+DI108+DX108+EM108+FB108+FQ108+GF108+GU108+HJ108+HY108+IN108+JC108+JR108+KG108+KV108+LZ108+MO108+ND108+NS108+OH108+OW108+PL108+QA108+QP108+RE108+RT108+SI108+TM108+UB108+UQ108+VF108+VU108+WJ108+WY108+XN108+YC108+YR108+ZG108+ZV108+AAB108</f>
        <v>0</v>
      </c>
      <c r="AAI102" s="92"/>
      <c r="AAJ102" s="92"/>
      <c r="AAK102" s="60"/>
    </row>
    <row r="103" spans="1:713" s="83" customFormat="1" ht="20" customHeight="1" x14ac:dyDescent="0.2">
      <c r="A103" s="153"/>
      <c r="B103" s="93"/>
      <c r="C103" s="90"/>
      <c r="D103" s="90"/>
      <c r="E103" s="60"/>
      <c r="F103" s="61">
        <v>47331</v>
      </c>
      <c r="G103" s="62">
        <f>371675.99/2</f>
        <v>185837.995</v>
      </c>
      <c r="H103" s="63"/>
      <c r="I103" s="64">
        <f t="shared" si="1969"/>
        <v>185837.995</v>
      </c>
      <c r="J103" s="65">
        <v>2157.52</v>
      </c>
      <c r="K103" s="63"/>
      <c r="L103" s="64">
        <f t="shared" si="1970"/>
        <v>2157.52</v>
      </c>
      <c r="M103" s="65">
        <v>2500</v>
      </c>
      <c r="N103" s="63"/>
      <c r="O103" s="64">
        <f t="shared" si="1971"/>
        <v>2500</v>
      </c>
      <c r="P103" s="65">
        <v>1500</v>
      </c>
      <c r="Q103" s="63"/>
      <c r="R103" s="64">
        <f t="shared" si="1972"/>
        <v>1500</v>
      </c>
      <c r="S103" s="65">
        <v>362</v>
      </c>
      <c r="T103" s="63"/>
      <c r="U103" s="64">
        <f t="shared" si="1973"/>
        <v>362</v>
      </c>
      <c r="V103" s="66">
        <f t="shared" si="1974"/>
        <v>192357.51499999998</v>
      </c>
      <c r="W103" s="67">
        <f t="shared" si="1974"/>
        <v>0</v>
      </c>
      <c r="X103" s="64">
        <f t="shared" si="1975"/>
        <v>192357.51499999998</v>
      </c>
      <c r="Y103" s="72"/>
      <c r="Z103" s="73"/>
      <c r="AA103" s="74"/>
      <c r="AB103" s="75"/>
      <c r="AC103" s="73"/>
      <c r="AD103" s="74"/>
      <c r="AE103" s="75"/>
      <c r="AF103" s="73"/>
      <c r="AG103" s="74"/>
      <c r="AH103" s="75"/>
      <c r="AI103" s="73"/>
      <c r="AJ103" s="74"/>
      <c r="AK103" s="76"/>
      <c r="AL103" s="77"/>
      <c r="AM103" s="64">
        <f t="shared" si="1976"/>
        <v>0</v>
      </c>
      <c r="AN103" s="62">
        <v>6250</v>
      </c>
      <c r="AO103" s="63"/>
      <c r="AP103" s="64">
        <f t="shared" si="2174"/>
        <v>6250</v>
      </c>
      <c r="AQ103" s="65"/>
      <c r="AR103" s="63"/>
      <c r="AS103" s="64">
        <f t="shared" si="1977"/>
        <v>0</v>
      </c>
      <c r="AT103" s="65">
        <v>2745.49</v>
      </c>
      <c r="AU103" s="63"/>
      <c r="AV103" s="64">
        <f t="shared" si="1978"/>
        <v>2745.49</v>
      </c>
      <c r="AW103" s="65"/>
      <c r="AX103" s="63"/>
      <c r="AY103" s="64">
        <f t="shared" si="1979"/>
        <v>0</v>
      </c>
      <c r="AZ103" s="66">
        <f t="shared" si="1469"/>
        <v>8995.49</v>
      </c>
      <c r="BA103" s="67">
        <f t="shared" si="1980"/>
        <v>0</v>
      </c>
      <c r="BB103" s="64">
        <f t="shared" si="1981"/>
        <v>8995.49</v>
      </c>
      <c r="BC103" s="62">
        <v>6150</v>
      </c>
      <c r="BD103" s="63"/>
      <c r="BE103" s="64">
        <f t="shared" si="1982"/>
        <v>6150</v>
      </c>
      <c r="BF103" s="65"/>
      <c r="BG103" s="63"/>
      <c r="BH103" s="64">
        <f t="shared" si="1983"/>
        <v>0</v>
      </c>
      <c r="BI103" s="65"/>
      <c r="BJ103" s="63"/>
      <c r="BK103" s="64">
        <f t="shared" si="1984"/>
        <v>0</v>
      </c>
      <c r="BL103" s="65">
        <v>100</v>
      </c>
      <c r="BM103" s="63"/>
      <c r="BN103" s="64">
        <f t="shared" si="1985"/>
        <v>100</v>
      </c>
      <c r="BO103" s="66">
        <f t="shared" si="1476"/>
        <v>6250</v>
      </c>
      <c r="BP103" s="67">
        <f t="shared" si="1986"/>
        <v>0</v>
      </c>
      <c r="BQ103" s="64">
        <f t="shared" si="1987"/>
        <v>6250</v>
      </c>
      <c r="BR103" s="72"/>
      <c r="BS103" s="73"/>
      <c r="BT103" s="74"/>
      <c r="BU103" s="75"/>
      <c r="BV103" s="73"/>
      <c r="BW103" s="74"/>
      <c r="BX103" s="75"/>
      <c r="BY103" s="73"/>
      <c r="BZ103" s="74"/>
      <c r="CA103" s="75"/>
      <c r="CB103" s="73"/>
      <c r="CC103" s="74"/>
      <c r="CD103" s="76"/>
      <c r="CE103" s="77"/>
      <c r="CF103" s="64">
        <f t="shared" si="1988"/>
        <v>0</v>
      </c>
      <c r="CG103" s="62">
        <v>5000</v>
      </c>
      <c r="CH103" s="63"/>
      <c r="CI103" s="64">
        <f t="shared" si="1989"/>
        <v>5000</v>
      </c>
      <c r="CJ103" s="65"/>
      <c r="CK103" s="63"/>
      <c r="CL103" s="64">
        <f t="shared" si="1990"/>
        <v>0</v>
      </c>
      <c r="CM103" s="65">
        <f>2739.5</f>
        <v>2739.5</v>
      </c>
      <c r="CN103" s="63"/>
      <c r="CO103" s="64">
        <f t="shared" si="1991"/>
        <v>2739.5</v>
      </c>
      <c r="CP103" s="65"/>
      <c r="CQ103" s="63"/>
      <c r="CR103" s="64">
        <f t="shared" si="1992"/>
        <v>0</v>
      </c>
      <c r="CS103" s="66">
        <f t="shared" si="1484"/>
        <v>7739.5</v>
      </c>
      <c r="CT103" s="67">
        <f t="shared" si="1993"/>
        <v>0</v>
      </c>
      <c r="CU103" s="64">
        <f t="shared" si="1994"/>
        <v>7739.5</v>
      </c>
      <c r="CV103" s="62">
        <v>2916.7</v>
      </c>
      <c r="CW103" s="63"/>
      <c r="CX103" s="64">
        <f t="shared" si="1995"/>
        <v>2916.7</v>
      </c>
      <c r="CY103" s="65">
        <v>429.15</v>
      </c>
      <c r="CZ103" s="63"/>
      <c r="DA103" s="64">
        <f t="shared" si="1996"/>
        <v>429.15</v>
      </c>
      <c r="DB103" s="65"/>
      <c r="DC103" s="63"/>
      <c r="DD103" s="64">
        <f t="shared" si="1997"/>
        <v>0</v>
      </c>
      <c r="DE103" s="65"/>
      <c r="DF103" s="63"/>
      <c r="DG103" s="64">
        <f t="shared" si="1998"/>
        <v>0</v>
      </c>
      <c r="DH103" s="66">
        <f t="shared" si="1491"/>
        <v>3345.85</v>
      </c>
      <c r="DI103" s="67">
        <f t="shared" si="1999"/>
        <v>0</v>
      </c>
      <c r="DJ103" s="64">
        <f t="shared" si="2000"/>
        <v>3345.85</v>
      </c>
      <c r="DK103" s="62">
        <v>2400</v>
      </c>
      <c r="DL103" s="63"/>
      <c r="DM103" s="64">
        <f t="shared" si="2001"/>
        <v>2400</v>
      </c>
      <c r="DN103" s="65">
        <v>913.08</v>
      </c>
      <c r="DO103" s="63"/>
      <c r="DP103" s="64">
        <f t="shared" si="2002"/>
        <v>913.08</v>
      </c>
      <c r="DQ103" s="65"/>
      <c r="DR103" s="63"/>
      <c r="DS103" s="64">
        <f t="shared" si="2003"/>
        <v>0</v>
      </c>
      <c r="DT103" s="65">
        <v>100</v>
      </c>
      <c r="DU103" s="63"/>
      <c r="DV103" s="64">
        <f t="shared" si="2004"/>
        <v>100</v>
      </c>
      <c r="DW103" s="66">
        <f t="shared" si="1498"/>
        <v>3413.08</v>
      </c>
      <c r="DX103" s="67">
        <f t="shared" si="2005"/>
        <v>0</v>
      </c>
      <c r="DY103" s="64">
        <f t="shared" si="2006"/>
        <v>3413.08</v>
      </c>
      <c r="DZ103" s="62">
        <v>12000</v>
      </c>
      <c r="EA103" s="63"/>
      <c r="EB103" s="64">
        <f t="shared" si="2007"/>
        <v>12000</v>
      </c>
      <c r="EC103" s="65"/>
      <c r="ED103" s="63"/>
      <c r="EE103" s="64">
        <f t="shared" si="2008"/>
        <v>0</v>
      </c>
      <c r="EF103" s="65"/>
      <c r="EG103" s="63"/>
      <c r="EH103" s="64">
        <f t="shared" si="2009"/>
        <v>0</v>
      </c>
      <c r="EI103" s="65">
        <v>100</v>
      </c>
      <c r="EJ103" s="63"/>
      <c r="EK103" s="64">
        <f t="shared" si="2010"/>
        <v>100</v>
      </c>
      <c r="EL103" s="66">
        <f t="shared" si="1505"/>
        <v>12100</v>
      </c>
      <c r="EM103" s="67">
        <f t="shared" si="2011"/>
        <v>0</v>
      </c>
      <c r="EN103" s="64">
        <f t="shared" si="2012"/>
        <v>12100</v>
      </c>
      <c r="EO103" s="62">
        <v>6150</v>
      </c>
      <c r="EP103" s="63"/>
      <c r="EQ103" s="64">
        <f t="shared" si="2013"/>
        <v>6150</v>
      </c>
      <c r="ER103" s="65"/>
      <c r="ES103" s="63"/>
      <c r="ET103" s="64">
        <f t="shared" si="2014"/>
        <v>0</v>
      </c>
      <c r="EU103" s="65"/>
      <c r="EV103" s="63"/>
      <c r="EW103" s="64">
        <f t="shared" si="2015"/>
        <v>0</v>
      </c>
      <c r="EX103" s="65">
        <v>100</v>
      </c>
      <c r="EY103" s="63"/>
      <c r="EZ103" s="64">
        <f t="shared" si="2016"/>
        <v>100</v>
      </c>
      <c r="FA103" s="66">
        <f t="shared" si="1512"/>
        <v>6250</v>
      </c>
      <c r="FB103" s="67">
        <f t="shared" si="2017"/>
        <v>0</v>
      </c>
      <c r="FC103" s="64">
        <f t="shared" si="2018"/>
        <v>6250</v>
      </c>
      <c r="FD103" s="62">
        <v>6150</v>
      </c>
      <c r="FE103" s="63"/>
      <c r="FF103" s="64">
        <f t="shared" si="2019"/>
        <v>6150</v>
      </c>
      <c r="FG103" s="65"/>
      <c r="FH103" s="63"/>
      <c r="FI103" s="64">
        <f t="shared" si="2020"/>
        <v>0</v>
      </c>
      <c r="FJ103" s="65"/>
      <c r="FK103" s="63"/>
      <c r="FL103" s="64">
        <f t="shared" si="2021"/>
        <v>0</v>
      </c>
      <c r="FM103" s="65">
        <v>100</v>
      </c>
      <c r="FN103" s="63"/>
      <c r="FO103" s="64">
        <f t="shared" si="2022"/>
        <v>100</v>
      </c>
      <c r="FP103" s="66">
        <f t="shared" si="1519"/>
        <v>6250</v>
      </c>
      <c r="FQ103" s="67">
        <f t="shared" si="2023"/>
        <v>0</v>
      </c>
      <c r="FR103" s="64">
        <f t="shared" si="2024"/>
        <v>6250</v>
      </c>
      <c r="FS103" s="62"/>
      <c r="FT103" s="63"/>
      <c r="FU103" s="64">
        <f t="shared" si="2025"/>
        <v>0</v>
      </c>
      <c r="FV103" s="65">
        <v>485.35</v>
      </c>
      <c r="FW103" s="63"/>
      <c r="FX103" s="64">
        <f t="shared" si="2026"/>
        <v>485.35</v>
      </c>
      <c r="FY103" s="65"/>
      <c r="FZ103" s="63"/>
      <c r="GA103" s="64">
        <f t="shared" si="2027"/>
        <v>0</v>
      </c>
      <c r="GB103" s="65"/>
      <c r="GC103" s="63"/>
      <c r="GD103" s="64">
        <f t="shared" si="2028"/>
        <v>0</v>
      </c>
      <c r="GE103" s="66">
        <f t="shared" si="1526"/>
        <v>485.35</v>
      </c>
      <c r="GF103" s="67">
        <f t="shared" si="2029"/>
        <v>0</v>
      </c>
      <c r="GG103" s="64">
        <f t="shared" si="2030"/>
        <v>485.35</v>
      </c>
      <c r="GH103" s="62"/>
      <c r="GI103" s="63"/>
      <c r="GJ103" s="64">
        <f t="shared" si="2031"/>
        <v>0</v>
      </c>
      <c r="GK103" s="65">
        <v>660.33</v>
      </c>
      <c r="GL103" s="63"/>
      <c r="GM103" s="64">
        <f t="shared" si="2032"/>
        <v>660.33</v>
      </c>
      <c r="GN103" s="65"/>
      <c r="GO103" s="63"/>
      <c r="GP103" s="64">
        <f t="shared" si="2033"/>
        <v>0</v>
      </c>
      <c r="GQ103" s="65"/>
      <c r="GR103" s="63"/>
      <c r="GS103" s="64">
        <f t="shared" si="2034"/>
        <v>0</v>
      </c>
      <c r="GT103" s="66">
        <f t="shared" si="1533"/>
        <v>660.33</v>
      </c>
      <c r="GU103" s="67">
        <f t="shared" si="2035"/>
        <v>0</v>
      </c>
      <c r="GV103" s="64">
        <f t="shared" si="2036"/>
        <v>660.33</v>
      </c>
      <c r="GW103" s="62">
        <v>13350</v>
      </c>
      <c r="GX103" s="63"/>
      <c r="GY103" s="64">
        <f t="shared" si="2037"/>
        <v>13350</v>
      </c>
      <c r="GZ103" s="65">
        <v>568.25</v>
      </c>
      <c r="HA103" s="63"/>
      <c r="HB103" s="64">
        <f t="shared" si="2038"/>
        <v>568.25</v>
      </c>
      <c r="HC103" s="65"/>
      <c r="HD103" s="63"/>
      <c r="HE103" s="64">
        <f t="shared" si="2039"/>
        <v>0</v>
      </c>
      <c r="HF103" s="65">
        <v>100</v>
      </c>
      <c r="HG103" s="63"/>
      <c r="HH103" s="64">
        <f t="shared" si="2040"/>
        <v>100</v>
      </c>
      <c r="HI103" s="66">
        <f t="shared" si="1540"/>
        <v>14018.25</v>
      </c>
      <c r="HJ103" s="67">
        <f t="shared" si="2041"/>
        <v>0</v>
      </c>
      <c r="HK103" s="64">
        <f t="shared" si="2042"/>
        <v>14018.25</v>
      </c>
      <c r="HL103" s="62">
        <v>6150</v>
      </c>
      <c r="HM103" s="63"/>
      <c r="HN103" s="64">
        <f t="shared" si="2043"/>
        <v>6150</v>
      </c>
      <c r="HO103" s="65"/>
      <c r="HP103" s="63"/>
      <c r="HQ103" s="64">
        <f t="shared" si="2044"/>
        <v>0</v>
      </c>
      <c r="HR103" s="65"/>
      <c r="HS103" s="63"/>
      <c r="HT103" s="64">
        <f t="shared" si="2045"/>
        <v>0</v>
      </c>
      <c r="HU103" s="65">
        <v>100</v>
      </c>
      <c r="HV103" s="63"/>
      <c r="HW103" s="64">
        <f t="shared" si="2046"/>
        <v>100</v>
      </c>
      <c r="HX103" s="66">
        <f t="shared" si="1547"/>
        <v>6250</v>
      </c>
      <c r="HY103" s="67">
        <f t="shared" si="2047"/>
        <v>0</v>
      </c>
      <c r="HZ103" s="64">
        <f t="shared" si="2048"/>
        <v>6250</v>
      </c>
      <c r="IA103" s="62">
        <f>9864.5</f>
        <v>9864.5</v>
      </c>
      <c r="IB103" s="63"/>
      <c r="IC103" s="64">
        <f t="shared" si="2049"/>
        <v>9864.5</v>
      </c>
      <c r="ID103" s="65"/>
      <c r="IE103" s="63"/>
      <c r="IF103" s="64">
        <f t="shared" si="2050"/>
        <v>0</v>
      </c>
      <c r="IG103" s="65"/>
      <c r="IH103" s="63"/>
      <c r="II103" s="64">
        <f t="shared" si="2051"/>
        <v>0</v>
      </c>
      <c r="IJ103" s="65">
        <v>100</v>
      </c>
      <c r="IK103" s="63"/>
      <c r="IL103" s="64">
        <f t="shared" si="2052"/>
        <v>100</v>
      </c>
      <c r="IM103" s="66">
        <f t="shared" si="1554"/>
        <v>9964.5</v>
      </c>
      <c r="IN103" s="67">
        <f t="shared" si="2053"/>
        <v>0</v>
      </c>
      <c r="IO103" s="64">
        <f t="shared" si="2054"/>
        <v>9964.5</v>
      </c>
      <c r="IP103" s="62">
        <v>5000</v>
      </c>
      <c r="IQ103" s="63"/>
      <c r="IR103" s="64">
        <f t="shared" si="2055"/>
        <v>5000</v>
      </c>
      <c r="IS103" s="65"/>
      <c r="IT103" s="63"/>
      <c r="IU103" s="64">
        <f t="shared" si="2056"/>
        <v>0</v>
      </c>
      <c r="IV103" s="65">
        <v>2739.5</v>
      </c>
      <c r="IW103" s="63"/>
      <c r="IX103" s="64">
        <f t="shared" si="2057"/>
        <v>2739.5</v>
      </c>
      <c r="IY103" s="65"/>
      <c r="IZ103" s="63"/>
      <c r="JA103" s="64">
        <f t="shared" si="2058"/>
        <v>0</v>
      </c>
      <c r="JB103" s="66">
        <f t="shared" si="1561"/>
        <v>7739.5</v>
      </c>
      <c r="JC103" s="67">
        <f t="shared" si="2059"/>
        <v>0</v>
      </c>
      <c r="JD103" s="64">
        <f t="shared" si="2060"/>
        <v>7739.5</v>
      </c>
      <c r="JE103" s="72"/>
      <c r="JF103" s="150"/>
      <c r="JG103" s="74"/>
      <c r="JH103" s="75"/>
      <c r="JI103" s="150"/>
      <c r="JJ103" s="74"/>
      <c r="JK103" s="75"/>
      <c r="JL103" s="150"/>
      <c r="JM103" s="74"/>
      <c r="JN103" s="75"/>
      <c r="JO103" s="150"/>
      <c r="JP103" s="74"/>
      <c r="JQ103" s="76"/>
      <c r="JR103" s="77"/>
      <c r="JS103" s="74"/>
      <c r="JT103" s="72"/>
      <c r="JU103" s="73"/>
      <c r="JV103" s="74"/>
      <c r="JW103" s="75"/>
      <c r="JX103" s="73"/>
      <c r="JY103" s="74"/>
      <c r="JZ103" s="75"/>
      <c r="KA103" s="73"/>
      <c r="KB103" s="74"/>
      <c r="KC103" s="75"/>
      <c r="KD103" s="73"/>
      <c r="KE103" s="74"/>
      <c r="KF103" s="76"/>
      <c r="KG103" s="77"/>
      <c r="KH103" s="64">
        <f t="shared" si="2061"/>
        <v>0</v>
      </c>
      <c r="KI103" s="62"/>
      <c r="KJ103" s="63"/>
      <c r="KK103" s="64">
        <f t="shared" si="2062"/>
        <v>0</v>
      </c>
      <c r="KL103" s="65"/>
      <c r="KM103" s="63"/>
      <c r="KN103" s="64">
        <f t="shared" si="2063"/>
        <v>0</v>
      </c>
      <c r="KO103" s="65"/>
      <c r="KP103" s="63"/>
      <c r="KQ103" s="64">
        <f t="shared" si="2064"/>
        <v>0</v>
      </c>
      <c r="KR103" s="65"/>
      <c r="KS103" s="63"/>
      <c r="KT103" s="64">
        <f t="shared" si="2065"/>
        <v>0</v>
      </c>
      <c r="KU103" s="66">
        <f t="shared" si="1439"/>
        <v>0</v>
      </c>
      <c r="KV103" s="67">
        <f t="shared" si="2066"/>
        <v>0</v>
      </c>
      <c r="KW103" s="64">
        <f t="shared" si="2067"/>
        <v>0</v>
      </c>
      <c r="KX103" s="72"/>
      <c r="KY103" s="73"/>
      <c r="KZ103" s="74"/>
      <c r="LA103" s="75"/>
      <c r="LB103" s="73"/>
      <c r="LC103" s="74"/>
      <c r="LD103" s="75"/>
      <c r="LE103" s="73"/>
      <c r="LF103" s="74"/>
      <c r="LG103" s="75"/>
      <c r="LH103" s="73"/>
      <c r="LI103" s="74"/>
      <c r="LJ103" s="76"/>
      <c r="LK103" s="77"/>
      <c r="LL103" s="74"/>
      <c r="LM103" s="62">
        <v>9300</v>
      </c>
      <c r="LN103" s="63"/>
      <c r="LO103" s="64">
        <f t="shared" si="2068"/>
        <v>9300</v>
      </c>
      <c r="LP103" s="65"/>
      <c r="LQ103" s="63"/>
      <c r="LR103" s="64">
        <f t="shared" si="2069"/>
        <v>0</v>
      </c>
      <c r="LS103" s="65"/>
      <c r="LT103" s="63"/>
      <c r="LU103" s="64">
        <f t="shared" si="2070"/>
        <v>0</v>
      </c>
      <c r="LV103" s="65">
        <v>100</v>
      </c>
      <c r="LW103" s="63"/>
      <c r="LX103" s="64">
        <f t="shared" si="2071"/>
        <v>100</v>
      </c>
      <c r="LY103" s="66">
        <f t="shared" si="1575"/>
        <v>9400</v>
      </c>
      <c r="LZ103" s="67">
        <f t="shared" si="2072"/>
        <v>0</v>
      </c>
      <c r="MA103" s="64">
        <f t="shared" si="2073"/>
        <v>9400</v>
      </c>
      <c r="MB103" s="62"/>
      <c r="MC103" s="63"/>
      <c r="MD103" s="64">
        <f t="shared" si="2074"/>
        <v>0</v>
      </c>
      <c r="ME103" s="65">
        <v>889.11</v>
      </c>
      <c r="MF103" s="63"/>
      <c r="MG103" s="64">
        <f t="shared" si="2075"/>
        <v>889.11</v>
      </c>
      <c r="MH103" s="65"/>
      <c r="MI103" s="63"/>
      <c r="MJ103" s="64">
        <f t="shared" si="2076"/>
        <v>0</v>
      </c>
      <c r="MK103" s="65">
        <v>100</v>
      </c>
      <c r="ML103" s="63"/>
      <c r="MM103" s="64">
        <f t="shared" si="2077"/>
        <v>100</v>
      </c>
      <c r="MN103" s="66">
        <f t="shared" si="1582"/>
        <v>989.11</v>
      </c>
      <c r="MO103" s="67">
        <f t="shared" si="2078"/>
        <v>0</v>
      </c>
      <c r="MP103" s="64">
        <f t="shared" si="2079"/>
        <v>989.11</v>
      </c>
      <c r="MQ103" s="62"/>
      <c r="MR103" s="63"/>
      <c r="MS103" s="64">
        <f t="shared" si="2080"/>
        <v>0</v>
      </c>
      <c r="MT103" s="65"/>
      <c r="MU103" s="63"/>
      <c r="MV103" s="64">
        <f t="shared" si="2081"/>
        <v>0</v>
      </c>
      <c r="MW103" s="65"/>
      <c r="MX103" s="63"/>
      <c r="MY103" s="64">
        <f t="shared" si="2082"/>
        <v>0</v>
      </c>
      <c r="MZ103" s="65"/>
      <c r="NA103" s="63"/>
      <c r="NB103" s="64">
        <f t="shared" si="2083"/>
        <v>0</v>
      </c>
      <c r="NC103" s="66">
        <f t="shared" si="1589"/>
        <v>0</v>
      </c>
      <c r="ND103" s="67">
        <f t="shared" si="2084"/>
        <v>0</v>
      </c>
      <c r="NE103" s="64">
        <f t="shared" si="2085"/>
        <v>0</v>
      </c>
      <c r="NF103" s="62"/>
      <c r="NG103" s="63"/>
      <c r="NH103" s="64">
        <f t="shared" si="2086"/>
        <v>0</v>
      </c>
      <c r="NI103" s="65">
        <v>1164.04</v>
      </c>
      <c r="NJ103" s="63"/>
      <c r="NK103" s="64">
        <f t="shared" si="2087"/>
        <v>1164.04</v>
      </c>
      <c r="NL103" s="65"/>
      <c r="NM103" s="63"/>
      <c r="NN103" s="64">
        <f t="shared" si="2088"/>
        <v>0</v>
      </c>
      <c r="NO103" s="65">
        <v>100</v>
      </c>
      <c r="NP103" s="63"/>
      <c r="NQ103" s="64">
        <f t="shared" si="2089"/>
        <v>100</v>
      </c>
      <c r="NR103" s="66">
        <f t="shared" si="1596"/>
        <v>1264.04</v>
      </c>
      <c r="NS103" s="67">
        <f t="shared" si="2090"/>
        <v>0</v>
      </c>
      <c r="NT103" s="64">
        <f t="shared" si="2091"/>
        <v>1264.04</v>
      </c>
      <c r="NU103" s="62"/>
      <c r="NV103" s="63"/>
      <c r="NW103" s="64">
        <f t="shared" si="2092"/>
        <v>0</v>
      </c>
      <c r="NX103" s="65">
        <v>1152.73</v>
      </c>
      <c r="NY103" s="63"/>
      <c r="NZ103" s="64">
        <f t="shared" si="2093"/>
        <v>1152.73</v>
      </c>
      <c r="OA103" s="65"/>
      <c r="OB103" s="63"/>
      <c r="OC103" s="64">
        <f t="shared" si="2094"/>
        <v>0</v>
      </c>
      <c r="OD103" s="65">
        <v>100</v>
      </c>
      <c r="OE103" s="63"/>
      <c r="OF103" s="64">
        <f t="shared" si="2095"/>
        <v>100</v>
      </c>
      <c r="OG103" s="66">
        <f t="shared" si="1603"/>
        <v>1252.73</v>
      </c>
      <c r="OH103" s="67">
        <f t="shared" si="2096"/>
        <v>0</v>
      </c>
      <c r="OI103" s="64">
        <f t="shared" si="2097"/>
        <v>1252.73</v>
      </c>
      <c r="OJ103" s="62"/>
      <c r="OK103" s="63"/>
      <c r="OL103" s="64">
        <f t="shared" si="2098"/>
        <v>0</v>
      </c>
      <c r="OM103" s="65"/>
      <c r="ON103" s="63"/>
      <c r="OO103" s="64">
        <f t="shared" si="2099"/>
        <v>0</v>
      </c>
      <c r="OP103" s="65"/>
      <c r="OQ103" s="63"/>
      <c r="OR103" s="64">
        <f t="shared" si="2100"/>
        <v>0</v>
      </c>
      <c r="OS103" s="65">
        <v>100</v>
      </c>
      <c r="OT103" s="63"/>
      <c r="OU103" s="64">
        <f t="shared" si="2101"/>
        <v>100</v>
      </c>
      <c r="OV103" s="66">
        <f t="shared" si="1610"/>
        <v>100</v>
      </c>
      <c r="OW103" s="67">
        <f t="shared" si="2102"/>
        <v>0</v>
      </c>
      <c r="OX103" s="64">
        <f t="shared" si="2103"/>
        <v>100</v>
      </c>
      <c r="OY103" s="62"/>
      <c r="OZ103" s="63"/>
      <c r="PA103" s="64">
        <f t="shared" si="2104"/>
        <v>0</v>
      </c>
      <c r="PB103" s="65"/>
      <c r="PC103" s="63"/>
      <c r="PD103" s="64">
        <f t="shared" si="2105"/>
        <v>0</v>
      </c>
      <c r="PE103" s="65"/>
      <c r="PF103" s="63"/>
      <c r="PG103" s="64">
        <f t="shared" si="2106"/>
        <v>0</v>
      </c>
      <c r="PH103" s="65">
        <v>100</v>
      </c>
      <c r="PI103" s="63"/>
      <c r="PJ103" s="64">
        <f t="shared" si="2107"/>
        <v>100</v>
      </c>
      <c r="PK103" s="66">
        <f t="shared" si="1617"/>
        <v>100</v>
      </c>
      <c r="PL103" s="67">
        <f t="shared" si="2108"/>
        <v>0</v>
      </c>
      <c r="PM103" s="64">
        <f t="shared" si="2109"/>
        <v>100</v>
      </c>
      <c r="PN103" s="62">
        <v>1550</v>
      </c>
      <c r="PO103" s="63"/>
      <c r="PP103" s="64">
        <f t="shared" si="2110"/>
        <v>1550</v>
      </c>
      <c r="PQ103" s="65"/>
      <c r="PR103" s="63"/>
      <c r="PS103" s="64">
        <f t="shared" si="2111"/>
        <v>0</v>
      </c>
      <c r="PT103" s="65"/>
      <c r="PU103" s="63"/>
      <c r="PV103" s="64">
        <f t="shared" si="2112"/>
        <v>0</v>
      </c>
      <c r="PW103" s="65">
        <v>100</v>
      </c>
      <c r="PX103" s="63"/>
      <c r="PY103" s="64">
        <f t="shared" si="2113"/>
        <v>100</v>
      </c>
      <c r="PZ103" s="66">
        <f t="shared" si="1624"/>
        <v>1650</v>
      </c>
      <c r="QA103" s="67">
        <f t="shared" si="2114"/>
        <v>0</v>
      </c>
      <c r="QB103" s="64">
        <f t="shared" si="2115"/>
        <v>1650</v>
      </c>
      <c r="QC103" s="62">
        <v>9000</v>
      </c>
      <c r="QD103" s="63"/>
      <c r="QE103" s="64">
        <f t="shared" si="2116"/>
        <v>9000</v>
      </c>
      <c r="QF103" s="65"/>
      <c r="QG103" s="63"/>
      <c r="QH103" s="64">
        <f t="shared" si="2117"/>
        <v>0</v>
      </c>
      <c r="QI103" s="65"/>
      <c r="QJ103" s="63"/>
      <c r="QK103" s="64">
        <f t="shared" si="2118"/>
        <v>0</v>
      </c>
      <c r="QL103" s="65">
        <v>100</v>
      </c>
      <c r="QM103" s="63"/>
      <c r="QN103" s="64">
        <f t="shared" si="2119"/>
        <v>100</v>
      </c>
      <c r="QO103" s="66">
        <f t="shared" si="1631"/>
        <v>9100</v>
      </c>
      <c r="QP103" s="67">
        <f t="shared" si="2120"/>
        <v>0</v>
      </c>
      <c r="QQ103" s="64">
        <f t="shared" si="2121"/>
        <v>9100</v>
      </c>
      <c r="QR103" s="74"/>
      <c r="QS103" s="74"/>
      <c r="QT103" s="72"/>
      <c r="QU103" s="73"/>
      <c r="QV103" s="74"/>
      <c r="QW103" s="75"/>
      <c r="QX103" s="73"/>
      <c r="QY103" s="74"/>
      <c r="QZ103" s="75"/>
      <c r="RA103" s="73"/>
      <c r="RB103" s="74"/>
      <c r="RC103" s="75"/>
      <c r="RD103" s="73"/>
      <c r="RE103" s="74"/>
      <c r="RF103" s="74"/>
      <c r="RG103" s="72"/>
      <c r="RH103" s="73"/>
      <c r="RI103" s="74"/>
      <c r="RJ103" s="75"/>
      <c r="RK103" s="73"/>
      <c r="RL103" s="74"/>
      <c r="RM103" s="75"/>
      <c r="RN103" s="73"/>
      <c r="RO103" s="74"/>
      <c r="RP103" s="75"/>
      <c r="RQ103" s="73"/>
      <c r="RR103" s="74"/>
      <c r="RS103" s="76"/>
      <c r="RT103" s="77"/>
      <c r="RU103" s="74"/>
      <c r="RV103" s="74"/>
      <c r="RW103" s="72"/>
      <c r="RX103" s="73"/>
      <c r="RY103" s="74"/>
      <c r="RZ103" s="75"/>
      <c r="SA103" s="73"/>
      <c r="SB103" s="74"/>
      <c r="SC103" s="75"/>
      <c r="SD103" s="73"/>
      <c r="SE103" s="74"/>
      <c r="SF103" s="75"/>
      <c r="SG103" s="73"/>
      <c r="SH103" s="74"/>
      <c r="SI103" s="76"/>
      <c r="SJ103" s="64">
        <f t="shared" si="2122"/>
        <v>0</v>
      </c>
      <c r="SK103" s="62">
        <v>17000</v>
      </c>
      <c r="SL103" s="63"/>
      <c r="SM103" s="64">
        <f t="shared" si="2123"/>
        <v>17000</v>
      </c>
      <c r="SN103" s="65"/>
      <c r="SO103" s="63"/>
      <c r="SP103" s="64">
        <f t="shared" si="2124"/>
        <v>0</v>
      </c>
      <c r="SQ103" s="65"/>
      <c r="SR103" s="63"/>
      <c r="SS103" s="64">
        <f t="shared" si="2125"/>
        <v>0</v>
      </c>
      <c r="ST103" s="65">
        <v>100</v>
      </c>
      <c r="SU103" s="63"/>
      <c r="SV103" s="64">
        <f t="shared" si="2126"/>
        <v>100</v>
      </c>
      <c r="SW103" s="66">
        <f t="shared" si="1639"/>
        <v>17100</v>
      </c>
      <c r="SX103" s="67">
        <f t="shared" si="2127"/>
        <v>0</v>
      </c>
      <c r="SY103" s="64">
        <f t="shared" si="2128"/>
        <v>17100</v>
      </c>
      <c r="SZ103" s="62">
        <v>985.33</v>
      </c>
      <c r="TA103" s="63"/>
      <c r="TB103" s="64">
        <f t="shared" si="2129"/>
        <v>985.33</v>
      </c>
      <c r="TC103" s="65">
        <v>700.9</v>
      </c>
      <c r="TD103" s="63"/>
      <c r="TE103" s="64">
        <f t="shared" si="2130"/>
        <v>700.9</v>
      </c>
      <c r="TF103" s="65"/>
      <c r="TG103" s="63"/>
      <c r="TH103" s="64">
        <f t="shared" si="2131"/>
        <v>0</v>
      </c>
      <c r="TI103" s="65">
        <v>100</v>
      </c>
      <c r="TJ103" s="63"/>
      <c r="TK103" s="64">
        <f t="shared" si="2132"/>
        <v>100</v>
      </c>
      <c r="TL103" s="66">
        <f t="shared" si="1646"/>
        <v>1786.23</v>
      </c>
      <c r="TM103" s="67">
        <f t="shared" si="2133"/>
        <v>0</v>
      </c>
      <c r="TN103" s="64">
        <f t="shared" si="2134"/>
        <v>1786.23</v>
      </c>
      <c r="TO103" s="62"/>
      <c r="TP103" s="63"/>
      <c r="TQ103" s="64">
        <f t="shared" si="2135"/>
        <v>0</v>
      </c>
      <c r="TR103" s="65"/>
      <c r="TS103" s="63"/>
      <c r="TT103" s="64">
        <f t="shared" si="2136"/>
        <v>0</v>
      </c>
      <c r="TU103" s="65"/>
      <c r="TV103" s="63"/>
      <c r="TW103" s="64">
        <f t="shared" si="2137"/>
        <v>0</v>
      </c>
      <c r="TX103" s="65">
        <v>100</v>
      </c>
      <c r="TY103" s="63"/>
      <c r="TZ103" s="64">
        <f t="shared" si="2138"/>
        <v>100</v>
      </c>
      <c r="UA103" s="66">
        <f t="shared" si="1653"/>
        <v>100</v>
      </c>
      <c r="UB103" s="67">
        <f t="shared" si="2139"/>
        <v>0</v>
      </c>
      <c r="UC103" s="64">
        <f t="shared" si="2140"/>
        <v>100</v>
      </c>
      <c r="UD103" s="62"/>
      <c r="UE103" s="63"/>
      <c r="UF103" s="64">
        <f t="shared" si="2141"/>
        <v>0</v>
      </c>
      <c r="UG103" s="65">
        <v>497.04</v>
      </c>
      <c r="UH103" s="63"/>
      <c r="UI103" s="64">
        <f t="shared" si="2142"/>
        <v>497.04</v>
      </c>
      <c r="UJ103" s="65"/>
      <c r="UK103" s="63"/>
      <c r="UL103" s="64">
        <f t="shared" si="2143"/>
        <v>0</v>
      </c>
      <c r="UM103" s="65">
        <v>100</v>
      </c>
      <c r="UN103" s="63"/>
      <c r="UO103" s="64">
        <f t="shared" si="2144"/>
        <v>100</v>
      </c>
      <c r="UP103" s="66">
        <f t="shared" si="1660"/>
        <v>597.04</v>
      </c>
      <c r="UQ103" s="67">
        <f t="shared" si="2145"/>
        <v>0</v>
      </c>
      <c r="UR103" s="64">
        <f t="shared" si="2146"/>
        <v>597.04</v>
      </c>
      <c r="US103" s="74"/>
      <c r="UT103" s="72"/>
      <c r="UU103" s="73"/>
      <c r="UV103" s="74"/>
      <c r="UW103" s="75"/>
      <c r="UX103" s="73"/>
      <c r="UY103" s="74"/>
      <c r="UZ103" s="75"/>
      <c r="VA103" s="73"/>
      <c r="VB103" s="74"/>
      <c r="VC103" s="75"/>
      <c r="VD103" s="73"/>
      <c r="VE103" s="74"/>
      <c r="VF103" s="76"/>
      <c r="VG103" s="77"/>
      <c r="VH103" s="62"/>
      <c r="VI103" s="63"/>
      <c r="VJ103" s="64">
        <f t="shared" si="2147"/>
        <v>0</v>
      </c>
      <c r="VK103" s="65"/>
      <c r="VL103" s="63"/>
      <c r="VM103" s="64">
        <f t="shared" si="2148"/>
        <v>0</v>
      </c>
      <c r="VN103" s="65"/>
      <c r="VO103" s="63"/>
      <c r="VP103" s="64">
        <f t="shared" si="2149"/>
        <v>0</v>
      </c>
      <c r="VQ103" s="65">
        <v>100</v>
      </c>
      <c r="VR103" s="63"/>
      <c r="VS103" s="64">
        <f t="shared" si="2150"/>
        <v>100</v>
      </c>
      <c r="VT103" s="66">
        <f t="shared" si="1667"/>
        <v>100</v>
      </c>
      <c r="VU103" s="67">
        <f t="shared" si="2151"/>
        <v>0</v>
      </c>
      <c r="VV103" s="64">
        <f t="shared" si="2152"/>
        <v>100</v>
      </c>
      <c r="VW103" s="74"/>
      <c r="VX103" s="72"/>
      <c r="VY103" s="73"/>
      <c r="VZ103" s="74"/>
      <c r="WA103" s="75"/>
      <c r="WB103" s="73"/>
      <c r="WC103" s="74"/>
      <c r="WD103" s="75"/>
      <c r="WE103" s="73"/>
      <c r="WF103" s="74"/>
      <c r="WG103" s="75"/>
      <c r="WH103" s="73"/>
      <c r="WI103" s="74"/>
      <c r="WJ103" s="76"/>
      <c r="WK103" s="77"/>
      <c r="WL103" s="74"/>
      <c r="WM103" s="72"/>
      <c r="WN103" s="73"/>
      <c r="WO103" s="74"/>
      <c r="WP103" s="75"/>
      <c r="WQ103" s="73"/>
      <c r="WR103" s="74"/>
      <c r="WS103" s="75"/>
      <c r="WT103" s="73"/>
      <c r="WU103" s="74"/>
      <c r="WV103" s="75"/>
      <c r="WW103" s="73"/>
      <c r="WX103" s="74"/>
      <c r="WY103" s="76"/>
      <c r="WZ103" s="77"/>
      <c r="XA103" s="74"/>
      <c r="XB103" s="72"/>
      <c r="XC103" s="73"/>
      <c r="XD103" s="74"/>
      <c r="XE103" s="75"/>
      <c r="XF103" s="73"/>
      <c r="XG103" s="74"/>
      <c r="XH103" s="75"/>
      <c r="XI103" s="73"/>
      <c r="XJ103" s="74"/>
      <c r="XK103" s="75"/>
      <c r="XL103" s="73"/>
      <c r="XM103" s="74"/>
      <c r="XN103" s="76"/>
      <c r="XO103" s="77"/>
      <c r="XP103" s="62"/>
      <c r="XQ103" s="63"/>
      <c r="XR103" s="64">
        <f t="shared" si="2153"/>
        <v>0</v>
      </c>
      <c r="XS103" s="65">
        <v>844.24</v>
      </c>
      <c r="XT103" s="63"/>
      <c r="XU103" s="64">
        <f t="shared" si="2154"/>
        <v>844.24</v>
      </c>
      <c r="XV103" s="65"/>
      <c r="XW103" s="63"/>
      <c r="XX103" s="64">
        <f t="shared" si="2155"/>
        <v>0</v>
      </c>
      <c r="XY103" s="65">
        <v>100</v>
      </c>
      <c r="XZ103" s="63"/>
      <c r="YA103" s="64">
        <f t="shared" si="2156"/>
        <v>100</v>
      </c>
      <c r="YB103" s="66">
        <f t="shared" si="1674"/>
        <v>944.24</v>
      </c>
      <c r="YC103" s="67">
        <f t="shared" si="2157"/>
        <v>0</v>
      </c>
      <c r="YD103" s="64">
        <f t="shared" si="2158"/>
        <v>944.24</v>
      </c>
      <c r="YE103" s="62"/>
      <c r="YF103" s="63"/>
      <c r="YG103" s="64">
        <f t="shared" si="2159"/>
        <v>0</v>
      </c>
      <c r="YH103" s="65">
        <v>847.85</v>
      </c>
      <c r="YI103" s="63"/>
      <c r="YJ103" s="64">
        <f t="shared" si="2160"/>
        <v>847.85</v>
      </c>
      <c r="YK103" s="65"/>
      <c r="YL103" s="63"/>
      <c r="YM103" s="64">
        <f t="shared" si="2161"/>
        <v>0</v>
      </c>
      <c r="YN103" s="65">
        <v>100</v>
      </c>
      <c r="YO103" s="63"/>
      <c r="YP103" s="64">
        <f t="shared" si="2162"/>
        <v>100</v>
      </c>
      <c r="YQ103" s="66">
        <f t="shared" si="1681"/>
        <v>947.85</v>
      </c>
      <c r="YR103" s="67">
        <f t="shared" si="2163"/>
        <v>0</v>
      </c>
      <c r="YS103" s="64">
        <f t="shared" si="2164"/>
        <v>947.85</v>
      </c>
      <c r="YT103" s="62"/>
      <c r="YU103" s="63"/>
      <c r="YV103" s="64">
        <f t="shared" si="2165"/>
        <v>0</v>
      </c>
      <c r="YW103" s="65">
        <v>695.73</v>
      </c>
      <c r="YX103" s="63"/>
      <c r="YY103" s="64">
        <f t="shared" si="2166"/>
        <v>695.73</v>
      </c>
      <c r="YZ103" s="65"/>
      <c r="ZA103" s="63"/>
      <c r="ZB103" s="64">
        <f t="shared" si="2167"/>
        <v>0</v>
      </c>
      <c r="ZC103" s="65">
        <v>100</v>
      </c>
      <c r="ZD103" s="63"/>
      <c r="ZE103" s="64">
        <f t="shared" si="2168"/>
        <v>100</v>
      </c>
      <c r="ZF103" s="66">
        <f t="shared" si="1688"/>
        <v>795.73</v>
      </c>
      <c r="ZG103" s="67">
        <f t="shared" si="2169"/>
        <v>0</v>
      </c>
      <c r="ZH103" s="74"/>
      <c r="ZI103" s="72"/>
      <c r="ZJ103" s="73"/>
      <c r="ZK103" s="74"/>
      <c r="ZL103" s="75"/>
      <c r="ZM103" s="73"/>
      <c r="ZN103" s="74"/>
      <c r="ZO103" s="75"/>
      <c r="ZP103" s="73"/>
      <c r="ZQ103" s="74"/>
      <c r="ZR103" s="75"/>
      <c r="ZS103" s="73"/>
      <c r="ZT103" s="74"/>
      <c r="ZU103" s="76"/>
      <c r="ZV103" s="77"/>
      <c r="ZW103" s="64">
        <f t="shared" si="2170"/>
        <v>0</v>
      </c>
      <c r="ZX103" s="62">
        <v>24.71</v>
      </c>
      <c r="ZY103" s="63"/>
      <c r="ZZ103" s="64">
        <f t="shared" si="2171"/>
        <v>24.71</v>
      </c>
      <c r="AAA103" s="66">
        <f t="shared" si="1692"/>
        <v>24.71</v>
      </c>
      <c r="AAB103" s="67">
        <f t="shared" si="1692"/>
        <v>0</v>
      </c>
      <c r="AAC103" s="64">
        <f t="shared" si="2172"/>
        <v>24.71</v>
      </c>
      <c r="AAD103" s="85">
        <f t="shared" si="1694"/>
        <v>332046.33499999996</v>
      </c>
      <c r="AAE103" s="86">
        <f t="shared" si="1694"/>
        <v>0</v>
      </c>
      <c r="AAF103" s="87">
        <f t="shared" si="1457"/>
        <v>0</v>
      </c>
      <c r="AAG103" s="88">
        <f t="shared" si="2173"/>
        <v>-332046.33499999996</v>
      </c>
      <c r="AAH103" s="89"/>
      <c r="AAI103" s="92"/>
      <c r="AAJ103" s="92"/>
      <c r="AAK103" s="60"/>
    </row>
    <row r="104" spans="1:713" s="83" customFormat="1" ht="20" customHeight="1" x14ac:dyDescent="0.2">
      <c r="A104" s="152"/>
      <c r="B104" s="94">
        <f>B102/B98</f>
        <v>0</v>
      </c>
      <c r="C104" s="95"/>
      <c r="D104" s="95"/>
      <c r="E104" s="60"/>
      <c r="F104" s="61">
        <v>47362</v>
      </c>
      <c r="G104" s="62"/>
      <c r="H104" s="63"/>
      <c r="I104" s="64">
        <f t="shared" si="1969"/>
        <v>0</v>
      </c>
      <c r="J104" s="65">
        <v>2154.35</v>
      </c>
      <c r="K104" s="63"/>
      <c r="L104" s="64">
        <f t="shared" si="1970"/>
        <v>2154.35</v>
      </c>
      <c r="M104" s="65">
        <v>2500</v>
      </c>
      <c r="N104" s="63"/>
      <c r="O104" s="64">
        <f t="shared" si="1971"/>
        <v>2500</v>
      </c>
      <c r="P104" s="65">
        <v>1500</v>
      </c>
      <c r="Q104" s="63"/>
      <c r="R104" s="64">
        <f t="shared" si="1972"/>
        <v>1500</v>
      </c>
      <c r="S104" s="65">
        <v>362</v>
      </c>
      <c r="T104" s="63"/>
      <c r="U104" s="64">
        <f t="shared" si="1973"/>
        <v>362</v>
      </c>
      <c r="V104" s="66">
        <f t="shared" si="1974"/>
        <v>6516.35</v>
      </c>
      <c r="W104" s="67">
        <f t="shared" si="1974"/>
        <v>0</v>
      </c>
      <c r="X104" s="64">
        <f t="shared" si="1975"/>
        <v>6516.35</v>
      </c>
      <c r="Y104" s="72"/>
      <c r="Z104" s="73"/>
      <c r="AA104" s="74"/>
      <c r="AB104" s="75"/>
      <c r="AC104" s="73"/>
      <c r="AD104" s="74"/>
      <c r="AE104" s="75"/>
      <c r="AF104" s="73"/>
      <c r="AG104" s="74"/>
      <c r="AH104" s="75"/>
      <c r="AI104" s="73"/>
      <c r="AJ104" s="74"/>
      <c r="AK104" s="76"/>
      <c r="AL104" s="77"/>
      <c r="AM104" s="64">
        <f t="shared" si="1976"/>
        <v>0</v>
      </c>
      <c r="AN104" s="62">
        <v>6250</v>
      </c>
      <c r="AO104" s="63"/>
      <c r="AP104" s="64">
        <f t="shared" si="2174"/>
        <v>6250</v>
      </c>
      <c r="AQ104" s="65"/>
      <c r="AR104" s="63"/>
      <c r="AS104" s="64">
        <f t="shared" si="1977"/>
        <v>0</v>
      </c>
      <c r="AT104" s="65"/>
      <c r="AU104" s="63"/>
      <c r="AV104" s="64">
        <f t="shared" si="1978"/>
        <v>0</v>
      </c>
      <c r="AW104" s="65"/>
      <c r="AX104" s="63"/>
      <c r="AY104" s="64">
        <f t="shared" si="1979"/>
        <v>0</v>
      </c>
      <c r="AZ104" s="66">
        <f t="shared" si="1469"/>
        <v>6250</v>
      </c>
      <c r="BA104" s="67">
        <f t="shared" si="1980"/>
        <v>0</v>
      </c>
      <c r="BB104" s="64">
        <f t="shared" si="1981"/>
        <v>6250</v>
      </c>
      <c r="BC104" s="62"/>
      <c r="BD104" s="63"/>
      <c r="BE104" s="64">
        <f t="shared" si="1982"/>
        <v>0</v>
      </c>
      <c r="BF104" s="65"/>
      <c r="BG104" s="63"/>
      <c r="BH104" s="64">
        <f t="shared" si="1983"/>
        <v>0</v>
      </c>
      <c r="BI104" s="65"/>
      <c r="BJ104" s="63"/>
      <c r="BK104" s="64">
        <f t="shared" si="1984"/>
        <v>0</v>
      </c>
      <c r="BL104" s="65">
        <v>100</v>
      </c>
      <c r="BM104" s="63"/>
      <c r="BN104" s="64">
        <f t="shared" si="1985"/>
        <v>100</v>
      </c>
      <c r="BO104" s="66">
        <f t="shared" si="1476"/>
        <v>100</v>
      </c>
      <c r="BP104" s="67">
        <f t="shared" si="1986"/>
        <v>0</v>
      </c>
      <c r="BQ104" s="64">
        <f t="shared" si="1987"/>
        <v>100</v>
      </c>
      <c r="BR104" s="72"/>
      <c r="BS104" s="73"/>
      <c r="BT104" s="74"/>
      <c r="BU104" s="75"/>
      <c r="BV104" s="73"/>
      <c r="BW104" s="74"/>
      <c r="BX104" s="75"/>
      <c r="BY104" s="73"/>
      <c r="BZ104" s="74"/>
      <c r="CA104" s="75"/>
      <c r="CB104" s="73"/>
      <c r="CC104" s="74"/>
      <c r="CD104" s="76"/>
      <c r="CE104" s="77"/>
      <c r="CF104" s="64">
        <f t="shared" si="1988"/>
        <v>0</v>
      </c>
      <c r="CG104" s="62">
        <v>5000</v>
      </c>
      <c r="CH104" s="63"/>
      <c r="CI104" s="64">
        <f t="shared" si="1989"/>
        <v>5000</v>
      </c>
      <c r="CJ104" s="65"/>
      <c r="CK104" s="63"/>
      <c r="CL104" s="64">
        <f t="shared" si="1990"/>
        <v>0</v>
      </c>
      <c r="CM104" s="65"/>
      <c r="CN104" s="63"/>
      <c r="CO104" s="64">
        <f t="shared" si="1991"/>
        <v>0</v>
      </c>
      <c r="CP104" s="65"/>
      <c r="CQ104" s="63"/>
      <c r="CR104" s="64">
        <f t="shared" si="1992"/>
        <v>0</v>
      </c>
      <c r="CS104" s="66">
        <f t="shared" si="1484"/>
        <v>5000</v>
      </c>
      <c r="CT104" s="67">
        <f t="shared" si="1993"/>
        <v>0</v>
      </c>
      <c r="CU104" s="64">
        <f t="shared" si="1994"/>
        <v>5000</v>
      </c>
      <c r="CV104" s="62">
        <v>2916.7</v>
      </c>
      <c r="CW104" s="63"/>
      <c r="CX104" s="64">
        <f t="shared" si="1995"/>
        <v>2916.7</v>
      </c>
      <c r="CY104" s="65">
        <v>429.15</v>
      </c>
      <c r="CZ104" s="63"/>
      <c r="DA104" s="64">
        <f t="shared" si="1996"/>
        <v>429.15</v>
      </c>
      <c r="DB104" s="65"/>
      <c r="DC104" s="63"/>
      <c r="DD104" s="64">
        <f t="shared" si="1997"/>
        <v>0</v>
      </c>
      <c r="DE104" s="65"/>
      <c r="DF104" s="63"/>
      <c r="DG104" s="64">
        <f t="shared" si="1998"/>
        <v>0</v>
      </c>
      <c r="DH104" s="66">
        <f t="shared" si="1491"/>
        <v>3345.85</v>
      </c>
      <c r="DI104" s="67">
        <f t="shared" si="1999"/>
        <v>0</v>
      </c>
      <c r="DJ104" s="64">
        <f t="shared" si="2000"/>
        <v>3345.85</v>
      </c>
      <c r="DK104" s="62">
        <v>2400</v>
      </c>
      <c r="DL104" s="63"/>
      <c r="DM104" s="64">
        <f t="shared" si="2001"/>
        <v>2400</v>
      </c>
      <c r="DN104" s="65">
        <v>913.08</v>
      </c>
      <c r="DO104" s="63"/>
      <c r="DP104" s="64">
        <f t="shared" si="2002"/>
        <v>913.08</v>
      </c>
      <c r="DQ104" s="65"/>
      <c r="DR104" s="63"/>
      <c r="DS104" s="64">
        <f t="shared" si="2003"/>
        <v>0</v>
      </c>
      <c r="DT104" s="65">
        <v>100</v>
      </c>
      <c r="DU104" s="63"/>
      <c r="DV104" s="64">
        <f t="shared" si="2004"/>
        <v>100</v>
      </c>
      <c r="DW104" s="66">
        <f t="shared" si="1498"/>
        <v>3413.08</v>
      </c>
      <c r="DX104" s="67">
        <f t="shared" si="2005"/>
        <v>0</v>
      </c>
      <c r="DY104" s="64">
        <f t="shared" si="2006"/>
        <v>3413.08</v>
      </c>
      <c r="DZ104" s="62"/>
      <c r="EA104" s="63"/>
      <c r="EB104" s="64">
        <f t="shared" si="2007"/>
        <v>0</v>
      </c>
      <c r="EC104" s="65"/>
      <c r="ED104" s="63"/>
      <c r="EE104" s="64">
        <f t="shared" si="2008"/>
        <v>0</v>
      </c>
      <c r="EF104" s="65"/>
      <c r="EG104" s="63"/>
      <c r="EH104" s="64">
        <f t="shared" si="2009"/>
        <v>0</v>
      </c>
      <c r="EI104" s="65">
        <v>100</v>
      </c>
      <c r="EJ104" s="63"/>
      <c r="EK104" s="64">
        <f t="shared" si="2010"/>
        <v>100</v>
      </c>
      <c r="EL104" s="66">
        <f t="shared" si="1505"/>
        <v>100</v>
      </c>
      <c r="EM104" s="67">
        <f t="shared" si="2011"/>
        <v>0</v>
      </c>
      <c r="EN104" s="64">
        <f t="shared" si="2012"/>
        <v>100</v>
      </c>
      <c r="EO104" s="62"/>
      <c r="EP104" s="63"/>
      <c r="EQ104" s="64">
        <f t="shared" si="2013"/>
        <v>0</v>
      </c>
      <c r="ER104" s="65"/>
      <c r="ES104" s="63"/>
      <c r="ET104" s="64">
        <f t="shared" si="2014"/>
        <v>0</v>
      </c>
      <c r="EU104" s="65"/>
      <c r="EV104" s="63"/>
      <c r="EW104" s="64">
        <f t="shared" si="2015"/>
        <v>0</v>
      </c>
      <c r="EX104" s="65">
        <v>100</v>
      </c>
      <c r="EY104" s="63"/>
      <c r="EZ104" s="64">
        <f t="shared" si="2016"/>
        <v>100</v>
      </c>
      <c r="FA104" s="66">
        <f t="shared" si="1512"/>
        <v>100</v>
      </c>
      <c r="FB104" s="67">
        <f t="shared" si="2017"/>
        <v>0</v>
      </c>
      <c r="FC104" s="64">
        <f t="shared" si="2018"/>
        <v>100</v>
      </c>
      <c r="FD104" s="62"/>
      <c r="FE104" s="63"/>
      <c r="FF104" s="64">
        <f t="shared" si="2019"/>
        <v>0</v>
      </c>
      <c r="FG104" s="65"/>
      <c r="FH104" s="63"/>
      <c r="FI104" s="64">
        <f t="shared" si="2020"/>
        <v>0</v>
      </c>
      <c r="FJ104" s="65"/>
      <c r="FK104" s="63"/>
      <c r="FL104" s="64">
        <f t="shared" si="2021"/>
        <v>0</v>
      </c>
      <c r="FM104" s="65">
        <v>100</v>
      </c>
      <c r="FN104" s="63"/>
      <c r="FO104" s="64">
        <f t="shared" si="2022"/>
        <v>100</v>
      </c>
      <c r="FP104" s="66">
        <f t="shared" si="1519"/>
        <v>100</v>
      </c>
      <c r="FQ104" s="67">
        <f t="shared" si="2023"/>
        <v>0</v>
      </c>
      <c r="FR104" s="64">
        <f t="shared" si="2024"/>
        <v>100</v>
      </c>
      <c r="FS104" s="62"/>
      <c r="FT104" s="63"/>
      <c r="FU104" s="64">
        <f t="shared" si="2025"/>
        <v>0</v>
      </c>
      <c r="FV104" s="65">
        <v>485.35</v>
      </c>
      <c r="FW104" s="63"/>
      <c r="FX104" s="64">
        <f t="shared" si="2026"/>
        <v>485.35</v>
      </c>
      <c r="FY104" s="65"/>
      <c r="FZ104" s="63"/>
      <c r="GA104" s="64">
        <f t="shared" si="2027"/>
        <v>0</v>
      </c>
      <c r="GB104" s="65"/>
      <c r="GC104" s="63"/>
      <c r="GD104" s="64">
        <f t="shared" si="2028"/>
        <v>0</v>
      </c>
      <c r="GE104" s="66">
        <f t="shared" si="1526"/>
        <v>485.35</v>
      </c>
      <c r="GF104" s="67">
        <f t="shared" si="2029"/>
        <v>0</v>
      </c>
      <c r="GG104" s="64">
        <f t="shared" si="2030"/>
        <v>485.35</v>
      </c>
      <c r="GH104" s="62"/>
      <c r="GI104" s="63"/>
      <c r="GJ104" s="64">
        <f t="shared" si="2031"/>
        <v>0</v>
      </c>
      <c r="GK104" s="65">
        <v>660.33</v>
      </c>
      <c r="GL104" s="63"/>
      <c r="GM104" s="64">
        <f t="shared" si="2032"/>
        <v>660.33</v>
      </c>
      <c r="GN104" s="65"/>
      <c r="GO104" s="63"/>
      <c r="GP104" s="64">
        <f t="shared" si="2033"/>
        <v>0</v>
      </c>
      <c r="GQ104" s="65"/>
      <c r="GR104" s="63"/>
      <c r="GS104" s="64">
        <f t="shared" si="2034"/>
        <v>0</v>
      </c>
      <c r="GT104" s="66">
        <f t="shared" si="1533"/>
        <v>660.33</v>
      </c>
      <c r="GU104" s="67">
        <f t="shared" si="2035"/>
        <v>0</v>
      </c>
      <c r="GV104" s="64">
        <f t="shared" si="2036"/>
        <v>660.33</v>
      </c>
      <c r="GW104" s="62"/>
      <c r="GX104" s="63"/>
      <c r="GY104" s="64">
        <f t="shared" si="2037"/>
        <v>0</v>
      </c>
      <c r="GZ104" s="65">
        <v>568.25</v>
      </c>
      <c r="HA104" s="63"/>
      <c r="HB104" s="64">
        <f t="shared" si="2038"/>
        <v>568.25</v>
      </c>
      <c r="HC104" s="65"/>
      <c r="HD104" s="63"/>
      <c r="HE104" s="64">
        <f t="shared" si="2039"/>
        <v>0</v>
      </c>
      <c r="HF104" s="65">
        <v>100</v>
      </c>
      <c r="HG104" s="63"/>
      <c r="HH104" s="64">
        <f t="shared" si="2040"/>
        <v>100</v>
      </c>
      <c r="HI104" s="66">
        <f t="shared" si="1540"/>
        <v>668.25</v>
      </c>
      <c r="HJ104" s="67">
        <f t="shared" si="2041"/>
        <v>0</v>
      </c>
      <c r="HK104" s="64">
        <f t="shared" si="2042"/>
        <v>668.25</v>
      </c>
      <c r="HL104" s="62"/>
      <c r="HM104" s="63"/>
      <c r="HN104" s="64">
        <f t="shared" si="2043"/>
        <v>0</v>
      </c>
      <c r="HO104" s="65"/>
      <c r="HP104" s="63"/>
      <c r="HQ104" s="64">
        <f t="shared" si="2044"/>
        <v>0</v>
      </c>
      <c r="HR104" s="65"/>
      <c r="HS104" s="63"/>
      <c r="HT104" s="64">
        <f t="shared" si="2045"/>
        <v>0</v>
      </c>
      <c r="HU104" s="65">
        <v>100</v>
      </c>
      <c r="HV104" s="63"/>
      <c r="HW104" s="64">
        <f t="shared" si="2046"/>
        <v>100</v>
      </c>
      <c r="HX104" s="66">
        <f t="shared" si="1547"/>
        <v>100</v>
      </c>
      <c r="HY104" s="67">
        <f t="shared" si="2047"/>
        <v>0</v>
      </c>
      <c r="HZ104" s="64">
        <f t="shared" si="2048"/>
        <v>100</v>
      </c>
      <c r="IA104" s="62"/>
      <c r="IB104" s="63"/>
      <c r="IC104" s="64">
        <f t="shared" si="2049"/>
        <v>0</v>
      </c>
      <c r="ID104" s="65"/>
      <c r="IE104" s="63"/>
      <c r="IF104" s="64">
        <f t="shared" si="2050"/>
        <v>0</v>
      </c>
      <c r="IG104" s="65"/>
      <c r="IH104" s="63"/>
      <c r="II104" s="64">
        <f t="shared" si="2051"/>
        <v>0</v>
      </c>
      <c r="IJ104" s="65">
        <v>100</v>
      </c>
      <c r="IK104" s="63"/>
      <c r="IL104" s="64">
        <f t="shared" si="2052"/>
        <v>100</v>
      </c>
      <c r="IM104" s="66">
        <f t="shared" si="1554"/>
        <v>100</v>
      </c>
      <c r="IN104" s="67">
        <f t="shared" si="2053"/>
        <v>0</v>
      </c>
      <c r="IO104" s="64">
        <f t="shared" si="2054"/>
        <v>100</v>
      </c>
      <c r="IP104" s="62">
        <v>5000</v>
      </c>
      <c r="IQ104" s="63"/>
      <c r="IR104" s="64">
        <f t="shared" si="2055"/>
        <v>5000</v>
      </c>
      <c r="IS104" s="65"/>
      <c r="IT104" s="63"/>
      <c r="IU104" s="64">
        <f t="shared" si="2056"/>
        <v>0</v>
      </c>
      <c r="IV104" s="65"/>
      <c r="IW104" s="63"/>
      <c r="IX104" s="64">
        <f t="shared" si="2057"/>
        <v>0</v>
      </c>
      <c r="IY104" s="65"/>
      <c r="IZ104" s="63"/>
      <c r="JA104" s="64">
        <f t="shared" si="2058"/>
        <v>0</v>
      </c>
      <c r="JB104" s="66">
        <f t="shared" si="1561"/>
        <v>5000</v>
      </c>
      <c r="JC104" s="67">
        <f t="shared" si="2059"/>
        <v>0</v>
      </c>
      <c r="JD104" s="64">
        <f t="shared" si="2060"/>
        <v>5000</v>
      </c>
      <c r="JE104" s="72"/>
      <c r="JF104" s="150"/>
      <c r="JG104" s="74"/>
      <c r="JH104" s="75"/>
      <c r="JI104" s="150"/>
      <c r="JJ104" s="74"/>
      <c r="JK104" s="75"/>
      <c r="JL104" s="150"/>
      <c r="JM104" s="74"/>
      <c r="JN104" s="75"/>
      <c r="JO104" s="150"/>
      <c r="JP104" s="74"/>
      <c r="JQ104" s="76"/>
      <c r="JR104" s="77"/>
      <c r="JS104" s="74"/>
      <c r="JT104" s="72"/>
      <c r="JU104" s="73"/>
      <c r="JV104" s="74"/>
      <c r="JW104" s="75"/>
      <c r="JX104" s="73"/>
      <c r="JY104" s="74"/>
      <c r="JZ104" s="75"/>
      <c r="KA104" s="73"/>
      <c r="KB104" s="74"/>
      <c r="KC104" s="75"/>
      <c r="KD104" s="73"/>
      <c r="KE104" s="74"/>
      <c r="KF104" s="76"/>
      <c r="KG104" s="77"/>
      <c r="KH104" s="64">
        <f t="shared" si="2061"/>
        <v>0</v>
      </c>
      <c r="KI104" s="62"/>
      <c r="KJ104" s="63"/>
      <c r="KK104" s="64">
        <f t="shared" si="2062"/>
        <v>0</v>
      </c>
      <c r="KL104" s="65"/>
      <c r="KM104" s="63"/>
      <c r="KN104" s="64">
        <f t="shared" si="2063"/>
        <v>0</v>
      </c>
      <c r="KO104" s="65"/>
      <c r="KP104" s="63"/>
      <c r="KQ104" s="64">
        <f t="shared" si="2064"/>
        <v>0</v>
      </c>
      <c r="KR104" s="65"/>
      <c r="KS104" s="63"/>
      <c r="KT104" s="64">
        <f t="shared" si="2065"/>
        <v>0</v>
      </c>
      <c r="KU104" s="66">
        <f t="shared" si="1439"/>
        <v>0</v>
      </c>
      <c r="KV104" s="67">
        <f t="shared" si="2066"/>
        <v>0</v>
      </c>
      <c r="KW104" s="64">
        <f t="shared" si="2067"/>
        <v>0</v>
      </c>
      <c r="KX104" s="72"/>
      <c r="KY104" s="73"/>
      <c r="KZ104" s="74"/>
      <c r="LA104" s="75"/>
      <c r="LB104" s="73"/>
      <c r="LC104" s="74"/>
      <c r="LD104" s="75"/>
      <c r="LE104" s="73"/>
      <c r="LF104" s="74"/>
      <c r="LG104" s="75"/>
      <c r="LH104" s="73"/>
      <c r="LI104" s="74"/>
      <c r="LJ104" s="76"/>
      <c r="LK104" s="77"/>
      <c r="LL104" s="74"/>
      <c r="LM104" s="62"/>
      <c r="LN104" s="63"/>
      <c r="LO104" s="64">
        <f t="shared" si="2068"/>
        <v>0</v>
      </c>
      <c r="LP104" s="65"/>
      <c r="LQ104" s="63"/>
      <c r="LR104" s="64">
        <f t="shared" si="2069"/>
        <v>0</v>
      </c>
      <c r="LS104" s="65"/>
      <c r="LT104" s="63"/>
      <c r="LU104" s="64">
        <f t="shared" si="2070"/>
        <v>0</v>
      </c>
      <c r="LV104" s="65">
        <v>100</v>
      </c>
      <c r="LW104" s="63"/>
      <c r="LX104" s="64">
        <f t="shared" si="2071"/>
        <v>100</v>
      </c>
      <c r="LY104" s="66">
        <f t="shared" si="1575"/>
        <v>100</v>
      </c>
      <c r="LZ104" s="67">
        <f t="shared" si="2072"/>
        <v>0</v>
      </c>
      <c r="MA104" s="64">
        <f t="shared" si="2073"/>
        <v>100</v>
      </c>
      <c r="MB104" s="62"/>
      <c r="MC104" s="63"/>
      <c r="MD104" s="64">
        <f t="shared" si="2074"/>
        <v>0</v>
      </c>
      <c r="ME104" s="65">
        <v>889.11</v>
      </c>
      <c r="MF104" s="63"/>
      <c r="MG104" s="64">
        <f t="shared" si="2075"/>
        <v>889.11</v>
      </c>
      <c r="MH104" s="65"/>
      <c r="MI104" s="63"/>
      <c r="MJ104" s="64">
        <f t="shared" si="2076"/>
        <v>0</v>
      </c>
      <c r="MK104" s="65">
        <v>100</v>
      </c>
      <c r="ML104" s="63"/>
      <c r="MM104" s="64">
        <f t="shared" si="2077"/>
        <v>100</v>
      </c>
      <c r="MN104" s="66">
        <f t="shared" si="1582"/>
        <v>989.11</v>
      </c>
      <c r="MO104" s="67">
        <f t="shared" si="2078"/>
        <v>0</v>
      </c>
      <c r="MP104" s="64">
        <f t="shared" si="2079"/>
        <v>989.11</v>
      </c>
      <c r="MQ104" s="62"/>
      <c r="MR104" s="63"/>
      <c r="MS104" s="64">
        <f t="shared" si="2080"/>
        <v>0</v>
      </c>
      <c r="MT104" s="65"/>
      <c r="MU104" s="63"/>
      <c r="MV104" s="64">
        <f t="shared" si="2081"/>
        <v>0</v>
      </c>
      <c r="MW104" s="65"/>
      <c r="MX104" s="63"/>
      <c r="MY104" s="64">
        <f t="shared" si="2082"/>
        <v>0</v>
      </c>
      <c r="MZ104" s="65"/>
      <c r="NA104" s="63"/>
      <c r="NB104" s="64">
        <f t="shared" si="2083"/>
        <v>0</v>
      </c>
      <c r="NC104" s="66">
        <f t="shared" si="1589"/>
        <v>0</v>
      </c>
      <c r="ND104" s="67">
        <f t="shared" si="2084"/>
        <v>0</v>
      </c>
      <c r="NE104" s="64">
        <f t="shared" si="2085"/>
        <v>0</v>
      </c>
      <c r="NF104" s="62"/>
      <c r="NG104" s="63"/>
      <c r="NH104" s="64">
        <f t="shared" si="2086"/>
        <v>0</v>
      </c>
      <c r="NI104" s="65">
        <v>1164.04</v>
      </c>
      <c r="NJ104" s="63"/>
      <c r="NK104" s="64">
        <f t="shared" si="2087"/>
        <v>1164.04</v>
      </c>
      <c r="NL104" s="65"/>
      <c r="NM104" s="63"/>
      <c r="NN104" s="64">
        <f t="shared" si="2088"/>
        <v>0</v>
      </c>
      <c r="NO104" s="65">
        <v>100</v>
      </c>
      <c r="NP104" s="63"/>
      <c r="NQ104" s="64">
        <f t="shared" si="2089"/>
        <v>100</v>
      </c>
      <c r="NR104" s="66">
        <f t="shared" si="1596"/>
        <v>1264.04</v>
      </c>
      <c r="NS104" s="67">
        <f t="shared" si="2090"/>
        <v>0</v>
      </c>
      <c r="NT104" s="64">
        <f t="shared" si="2091"/>
        <v>1264.04</v>
      </c>
      <c r="NU104" s="62"/>
      <c r="NV104" s="63"/>
      <c r="NW104" s="64">
        <f t="shared" si="2092"/>
        <v>0</v>
      </c>
      <c r="NX104" s="65">
        <v>1152.73</v>
      </c>
      <c r="NY104" s="63"/>
      <c r="NZ104" s="64">
        <f t="shared" si="2093"/>
        <v>1152.73</v>
      </c>
      <c r="OA104" s="65"/>
      <c r="OB104" s="63"/>
      <c r="OC104" s="64">
        <f t="shared" si="2094"/>
        <v>0</v>
      </c>
      <c r="OD104" s="65">
        <v>100</v>
      </c>
      <c r="OE104" s="63"/>
      <c r="OF104" s="64">
        <f t="shared" si="2095"/>
        <v>100</v>
      </c>
      <c r="OG104" s="66">
        <f t="shared" si="1603"/>
        <v>1252.73</v>
      </c>
      <c r="OH104" s="67">
        <f t="shared" si="2096"/>
        <v>0</v>
      </c>
      <c r="OI104" s="64">
        <f t="shared" si="2097"/>
        <v>1252.73</v>
      </c>
      <c r="OJ104" s="62"/>
      <c r="OK104" s="63"/>
      <c r="OL104" s="64">
        <f t="shared" si="2098"/>
        <v>0</v>
      </c>
      <c r="OM104" s="65"/>
      <c r="ON104" s="63"/>
      <c r="OO104" s="64">
        <f t="shared" si="2099"/>
        <v>0</v>
      </c>
      <c r="OP104" s="65"/>
      <c r="OQ104" s="63"/>
      <c r="OR104" s="64">
        <f t="shared" si="2100"/>
        <v>0</v>
      </c>
      <c r="OS104" s="65">
        <v>100</v>
      </c>
      <c r="OT104" s="63"/>
      <c r="OU104" s="64">
        <f t="shared" si="2101"/>
        <v>100</v>
      </c>
      <c r="OV104" s="66">
        <f t="shared" si="1610"/>
        <v>100</v>
      </c>
      <c r="OW104" s="67">
        <f t="shared" si="2102"/>
        <v>0</v>
      </c>
      <c r="OX104" s="64">
        <f t="shared" si="2103"/>
        <v>100</v>
      </c>
      <c r="OY104" s="62"/>
      <c r="OZ104" s="63"/>
      <c r="PA104" s="64">
        <f t="shared" si="2104"/>
        <v>0</v>
      </c>
      <c r="PB104" s="65"/>
      <c r="PC104" s="63"/>
      <c r="PD104" s="64">
        <f t="shared" si="2105"/>
        <v>0</v>
      </c>
      <c r="PE104" s="65"/>
      <c r="PF104" s="63"/>
      <c r="PG104" s="64">
        <f t="shared" si="2106"/>
        <v>0</v>
      </c>
      <c r="PH104" s="65">
        <v>100</v>
      </c>
      <c r="PI104" s="63"/>
      <c r="PJ104" s="64">
        <f t="shared" si="2107"/>
        <v>100</v>
      </c>
      <c r="PK104" s="66">
        <f t="shared" si="1617"/>
        <v>100</v>
      </c>
      <c r="PL104" s="67">
        <f t="shared" si="2108"/>
        <v>0</v>
      </c>
      <c r="PM104" s="64">
        <f t="shared" si="2109"/>
        <v>100</v>
      </c>
      <c r="PN104" s="62">
        <v>1550</v>
      </c>
      <c r="PO104" s="63"/>
      <c r="PP104" s="64">
        <f t="shared" si="2110"/>
        <v>1550</v>
      </c>
      <c r="PQ104" s="65"/>
      <c r="PR104" s="63"/>
      <c r="PS104" s="64">
        <f t="shared" si="2111"/>
        <v>0</v>
      </c>
      <c r="PT104" s="65"/>
      <c r="PU104" s="63"/>
      <c r="PV104" s="64">
        <f t="shared" si="2112"/>
        <v>0</v>
      </c>
      <c r="PW104" s="65">
        <v>100</v>
      </c>
      <c r="PX104" s="63"/>
      <c r="PY104" s="64">
        <f t="shared" si="2113"/>
        <v>100</v>
      </c>
      <c r="PZ104" s="66">
        <f t="shared" si="1624"/>
        <v>1650</v>
      </c>
      <c r="QA104" s="67">
        <f t="shared" si="2114"/>
        <v>0</v>
      </c>
      <c r="QB104" s="64">
        <f t="shared" si="2115"/>
        <v>1650</v>
      </c>
      <c r="QC104" s="62"/>
      <c r="QD104" s="63"/>
      <c r="QE104" s="64">
        <f t="shared" si="2116"/>
        <v>0</v>
      </c>
      <c r="QF104" s="65"/>
      <c r="QG104" s="63"/>
      <c r="QH104" s="64">
        <f t="shared" si="2117"/>
        <v>0</v>
      </c>
      <c r="QI104" s="65"/>
      <c r="QJ104" s="63"/>
      <c r="QK104" s="64">
        <f t="shared" si="2118"/>
        <v>0</v>
      </c>
      <c r="QL104" s="65">
        <v>100</v>
      </c>
      <c r="QM104" s="63"/>
      <c r="QN104" s="64">
        <f t="shared" si="2119"/>
        <v>100</v>
      </c>
      <c r="QO104" s="66">
        <f t="shared" si="1631"/>
        <v>100</v>
      </c>
      <c r="QP104" s="67">
        <f t="shared" si="2120"/>
        <v>0</v>
      </c>
      <c r="QQ104" s="64">
        <f t="shared" si="2121"/>
        <v>100</v>
      </c>
      <c r="QR104" s="74"/>
      <c r="QS104" s="74"/>
      <c r="QT104" s="72"/>
      <c r="QU104" s="73"/>
      <c r="QV104" s="74"/>
      <c r="QW104" s="75"/>
      <c r="QX104" s="73"/>
      <c r="QY104" s="74"/>
      <c r="QZ104" s="75"/>
      <c r="RA104" s="73"/>
      <c r="RB104" s="74"/>
      <c r="RC104" s="75"/>
      <c r="RD104" s="73"/>
      <c r="RE104" s="74"/>
      <c r="RF104" s="74"/>
      <c r="RG104" s="72"/>
      <c r="RH104" s="73"/>
      <c r="RI104" s="74"/>
      <c r="RJ104" s="75"/>
      <c r="RK104" s="73"/>
      <c r="RL104" s="74"/>
      <c r="RM104" s="75"/>
      <c r="RN104" s="73"/>
      <c r="RO104" s="74"/>
      <c r="RP104" s="75"/>
      <c r="RQ104" s="73"/>
      <c r="RR104" s="74"/>
      <c r="RS104" s="76"/>
      <c r="RT104" s="77"/>
      <c r="RU104" s="74"/>
      <c r="RV104" s="74"/>
      <c r="RW104" s="72"/>
      <c r="RX104" s="73"/>
      <c r="RY104" s="74"/>
      <c r="RZ104" s="75"/>
      <c r="SA104" s="73"/>
      <c r="SB104" s="74"/>
      <c r="SC104" s="75"/>
      <c r="SD104" s="73"/>
      <c r="SE104" s="74"/>
      <c r="SF104" s="75"/>
      <c r="SG104" s="73"/>
      <c r="SH104" s="74"/>
      <c r="SI104" s="76"/>
      <c r="SJ104" s="64">
        <f t="shared" si="2122"/>
        <v>0</v>
      </c>
      <c r="SK104" s="62"/>
      <c r="SL104" s="63"/>
      <c r="SM104" s="64">
        <f t="shared" si="2123"/>
        <v>0</v>
      </c>
      <c r="SN104" s="65"/>
      <c r="SO104" s="63"/>
      <c r="SP104" s="64">
        <f t="shared" si="2124"/>
        <v>0</v>
      </c>
      <c r="SQ104" s="65"/>
      <c r="SR104" s="63"/>
      <c r="SS104" s="64">
        <f t="shared" si="2125"/>
        <v>0</v>
      </c>
      <c r="ST104" s="65">
        <v>100</v>
      </c>
      <c r="SU104" s="63"/>
      <c r="SV104" s="64">
        <f t="shared" si="2126"/>
        <v>100</v>
      </c>
      <c r="SW104" s="66">
        <f t="shared" si="1639"/>
        <v>100</v>
      </c>
      <c r="SX104" s="67">
        <f t="shared" si="2127"/>
        <v>0</v>
      </c>
      <c r="SY104" s="64">
        <f t="shared" si="2128"/>
        <v>100</v>
      </c>
      <c r="SZ104" s="62">
        <v>985.33</v>
      </c>
      <c r="TA104" s="63"/>
      <c r="TB104" s="64">
        <f t="shared" si="2129"/>
        <v>985.33</v>
      </c>
      <c r="TC104" s="65">
        <v>700.9</v>
      </c>
      <c r="TD104" s="63"/>
      <c r="TE104" s="64">
        <f t="shared" si="2130"/>
        <v>700.9</v>
      </c>
      <c r="TF104" s="65"/>
      <c r="TG104" s="63"/>
      <c r="TH104" s="64">
        <f t="shared" si="2131"/>
        <v>0</v>
      </c>
      <c r="TI104" s="65">
        <v>100</v>
      </c>
      <c r="TJ104" s="63"/>
      <c r="TK104" s="64">
        <f t="shared" si="2132"/>
        <v>100</v>
      </c>
      <c r="TL104" s="66">
        <f t="shared" si="1646"/>
        <v>1786.23</v>
      </c>
      <c r="TM104" s="67">
        <f t="shared" si="2133"/>
        <v>0</v>
      </c>
      <c r="TN104" s="64">
        <f t="shared" si="2134"/>
        <v>1786.23</v>
      </c>
      <c r="TO104" s="62">
        <v>3875</v>
      </c>
      <c r="TP104" s="63"/>
      <c r="TQ104" s="64">
        <f t="shared" si="2135"/>
        <v>3875</v>
      </c>
      <c r="TR104" s="65"/>
      <c r="TS104" s="63"/>
      <c r="TT104" s="64">
        <f t="shared" si="2136"/>
        <v>0</v>
      </c>
      <c r="TU104" s="65"/>
      <c r="TV104" s="63"/>
      <c r="TW104" s="64">
        <f t="shared" si="2137"/>
        <v>0</v>
      </c>
      <c r="TX104" s="65">
        <v>100</v>
      </c>
      <c r="TY104" s="63"/>
      <c r="TZ104" s="64">
        <f t="shared" si="2138"/>
        <v>100</v>
      </c>
      <c r="UA104" s="66">
        <f t="shared" si="1653"/>
        <v>3975</v>
      </c>
      <c r="UB104" s="67">
        <f t="shared" si="2139"/>
        <v>0</v>
      </c>
      <c r="UC104" s="64">
        <f t="shared" si="2140"/>
        <v>3975</v>
      </c>
      <c r="UD104" s="62"/>
      <c r="UE104" s="63"/>
      <c r="UF104" s="64">
        <f t="shared" si="2141"/>
        <v>0</v>
      </c>
      <c r="UG104" s="65">
        <v>497.04</v>
      </c>
      <c r="UH104" s="63"/>
      <c r="UI104" s="64">
        <f t="shared" si="2142"/>
        <v>497.04</v>
      </c>
      <c r="UJ104" s="65"/>
      <c r="UK104" s="63"/>
      <c r="UL104" s="64">
        <f t="shared" si="2143"/>
        <v>0</v>
      </c>
      <c r="UM104" s="65">
        <v>100</v>
      </c>
      <c r="UN104" s="63"/>
      <c r="UO104" s="64">
        <f t="shared" si="2144"/>
        <v>100</v>
      </c>
      <c r="UP104" s="66">
        <f t="shared" si="1660"/>
        <v>597.04</v>
      </c>
      <c r="UQ104" s="67">
        <f t="shared" si="2145"/>
        <v>0</v>
      </c>
      <c r="UR104" s="64">
        <f t="shared" si="2146"/>
        <v>597.04</v>
      </c>
      <c r="US104" s="74"/>
      <c r="UT104" s="72"/>
      <c r="UU104" s="73"/>
      <c r="UV104" s="74"/>
      <c r="UW104" s="75"/>
      <c r="UX104" s="73"/>
      <c r="UY104" s="74"/>
      <c r="UZ104" s="75"/>
      <c r="VA104" s="73"/>
      <c r="VB104" s="74"/>
      <c r="VC104" s="75"/>
      <c r="VD104" s="73"/>
      <c r="VE104" s="74"/>
      <c r="VF104" s="76"/>
      <c r="VG104" s="77"/>
      <c r="VH104" s="62"/>
      <c r="VI104" s="63"/>
      <c r="VJ104" s="64">
        <f t="shared" si="2147"/>
        <v>0</v>
      </c>
      <c r="VK104" s="65"/>
      <c r="VL104" s="63"/>
      <c r="VM104" s="64">
        <f t="shared" si="2148"/>
        <v>0</v>
      </c>
      <c r="VN104" s="65"/>
      <c r="VO104" s="63"/>
      <c r="VP104" s="64">
        <f t="shared" si="2149"/>
        <v>0</v>
      </c>
      <c r="VQ104" s="65">
        <v>100</v>
      </c>
      <c r="VR104" s="63"/>
      <c r="VS104" s="64">
        <f t="shared" si="2150"/>
        <v>100</v>
      </c>
      <c r="VT104" s="66">
        <f t="shared" si="1667"/>
        <v>100</v>
      </c>
      <c r="VU104" s="67">
        <f t="shared" si="2151"/>
        <v>0</v>
      </c>
      <c r="VV104" s="64">
        <f t="shared" si="2152"/>
        <v>100</v>
      </c>
      <c r="VW104" s="74"/>
      <c r="VX104" s="72"/>
      <c r="VY104" s="73"/>
      <c r="VZ104" s="74"/>
      <c r="WA104" s="75"/>
      <c r="WB104" s="73"/>
      <c r="WC104" s="74"/>
      <c r="WD104" s="75"/>
      <c r="WE104" s="73"/>
      <c r="WF104" s="74"/>
      <c r="WG104" s="75"/>
      <c r="WH104" s="73"/>
      <c r="WI104" s="74"/>
      <c r="WJ104" s="76"/>
      <c r="WK104" s="77"/>
      <c r="WL104" s="74"/>
      <c r="WM104" s="72"/>
      <c r="WN104" s="73"/>
      <c r="WO104" s="74"/>
      <c r="WP104" s="75"/>
      <c r="WQ104" s="73"/>
      <c r="WR104" s="74"/>
      <c r="WS104" s="75"/>
      <c r="WT104" s="73"/>
      <c r="WU104" s="74"/>
      <c r="WV104" s="75"/>
      <c r="WW104" s="73"/>
      <c r="WX104" s="74"/>
      <c r="WY104" s="76"/>
      <c r="WZ104" s="77"/>
      <c r="XA104" s="74"/>
      <c r="XB104" s="72"/>
      <c r="XC104" s="73"/>
      <c r="XD104" s="74"/>
      <c r="XE104" s="75"/>
      <c r="XF104" s="73"/>
      <c r="XG104" s="74"/>
      <c r="XH104" s="75"/>
      <c r="XI104" s="73"/>
      <c r="XJ104" s="74"/>
      <c r="XK104" s="75"/>
      <c r="XL104" s="73"/>
      <c r="XM104" s="74"/>
      <c r="XN104" s="76"/>
      <c r="XO104" s="77"/>
      <c r="XP104" s="62"/>
      <c r="XQ104" s="63"/>
      <c r="XR104" s="64">
        <f t="shared" si="2153"/>
        <v>0</v>
      </c>
      <c r="XS104" s="65">
        <v>844.24</v>
      </c>
      <c r="XT104" s="63"/>
      <c r="XU104" s="64">
        <f t="shared" si="2154"/>
        <v>844.24</v>
      </c>
      <c r="XV104" s="65"/>
      <c r="XW104" s="63"/>
      <c r="XX104" s="64">
        <f t="shared" si="2155"/>
        <v>0</v>
      </c>
      <c r="XY104" s="65">
        <v>100</v>
      </c>
      <c r="XZ104" s="63"/>
      <c r="YA104" s="64">
        <f t="shared" si="2156"/>
        <v>100</v>
      </c>
      <c r="YB104" s="66">
        <f t="shared" si="1674"/>
        <v>944.24</v>
      </c>
      <c r="YC104" s="67">
        <f t="shared" si="2157"/>
        <v>0</v>
      </c>
      <c r="YD104" s="64">
        <f t="shared" si="2158"/>
        <v>944.24</v>
      </c>
      <c r="YE104" s="62"/>
      <c r="YF104" s="63"/>
      <c r="YG104" s="64">
        <f t="shared" si="2159"/>
        <v>0</v>
      </c>
      <c r="YH104" s="65">
        <v>847.85</v>
      </c>
      <c r="YI104" s="63"/>
      <c r="YJ104" s="64">
        <f t="shared" si="2160"/>
        <v>847.85</v>
      </c>
      <c r="YK104" s="65"/>
      <c r="YL104" s="63"/>
      <c r="YM104" s="64">
        <f t="shared" si="2161"/>
        <v>0</v>
      </c>
      <c r="YN104" s="65">
        <v>100</v>
      </c>
      <c r="YO104" s="63"/>
      <c r="YP104" s="64">
        <f t="shared" si="2162"/>
        <v>100</v>
      </c>
      <c r="YQ104" s="66">
        <f t="shared" si="1681"/>
        <v>947.85</v>
      </c>
      <c r="YR104" s="67">
        <f t="shared" si="2163"/>
        <v>0</v>
      </c>
      <c r="YS104" s="64">
        <f t="shared" si="2164"/>
        <v>947.85</v>
      </c>
      <c r="YT104" s="62"/>
      <c r="YU104" s="63"/>
      <c r="YV104" s="64">
        <f t="shared" si="2165"/>
        <v>0</v>
      </c>
      <c r="YW104" s="65">
        <v>695.73</v>
      </c>
      <c r="YX104" s="63"/>
      <c r="YY104" s="64">
        <f t="shared" si="2166"/>
        <v>695.73</v>
      </c>
      <c r="YZ104" s="65"/>
      <c r="ZA104" s="63"/>
      <c r="ZB104" s="64">
        <f t="shared" si="2167"/>
        <v>0</v>
      </c>
      <c r="ZC104" s="65">
        <v>100</v>
      </c>
      <c r="ZD104" s="63"/>
      <c r="ZE104" s="64">
        <f t="shared" si="2168"/>
        <v>100</v>
      </c>
      <c r="ZF104" s="66">
        <f t="shared" si="1688"/>
        <v>795.73</v>
      </c>
      <c r="ZG104" s="67">
        <f t="shared" si="2169"/>
        <v>0</v>
      </c>
      <c r="ZH104" s="74"/>
      <c r="ZI104" s="72"/>
      <c r="ZJ104" s="73"/>
      <c r="ZK104" s="74"/>
      <c r="ZL104" s="75"/>
      <c r="ZM104" s="73"/>
      <c r="ZN104" s="74"/>
      <c r="ZO104" s="75"/>
      <c r="ZP104" s="73"/>
      <c r="ZQ104" s="74"/>
      <c r="ZR104" s="75"/>
      <c r="ZS104" s="73"/>
      <c r="ZT104" s="74"/>
      <c r="ZU104" s="76"/>
      <c r="ZV104" s="77"/>
      <c r="ZW104" s="64">
        <f t="shared" si="2170"/>
        <v>0</v>
      </c>
      <c r="ZX104" s="62">
        <v>24.71</v>
      </c>
      <c r="ZY104" s="63"/>
      <c r="ZZ104" s="64">
        <f t="shared" si="2171"/>
        <v>24.71</v>
      </c>
      <c r="AAA104" s="66">
        <f t="shared" si="1692"/>
        <v>24.71</v>
      </c>
      <c r="AAB104" s="67">
        <f t="shared" si="1692"/>
        <v>0</v>
      </c>
      <c r="AAC104" s="64">
        <f t="shared" si="2172"/>
        <v>24.71</v>
      </c>
      <c r="AAD104" s="85">
        <f t="shared" si="1694"/>
        <v>46741.18</v>
      </c>
      <c r="AAE104" s="86">
        <f t="shared" si="1694"/>
        <v>0</v>
      </c>
      <c r="AAF104" s="87">
        <f t="shared" si="1457"/>
        <v>0</v>
      </c>
      <c r="AAG104" s="88">
        <f t="shared" si="2173"/>
        <v>-46741.18</v>
      </c>
      <c r="AAH104" s="94">
        <f>AAH102/AAH98</f>
        <v>0</v>
      </c>
      <c r="AAI104" s="95"/>
      <c r="AAJ104" s="95"/>
      <c r="AAK104" s="60"/>
    </row>
    <row r="105" spans="1:713" s="83" customFormat="1" ht="20" customHeight="1" x14ac:dyDescent="0.2">
      <c r="A105" s="153"/>
      <c r="B105" s="94"/>
      <c r="C105" s="95"/>
      <c r="D105" s="95"/>
      <c r="E105" s="60"/>
      <c r="F105" s="61">
        <v>47392</v>
      </c>
      <c r="G105" s="62"/>
      <c r="H105" s="63"/>
      <c r="I105" s="64">
        <f t="shared" si="1969"/>
        <v>0</v>
      </c>
      <c r="J105" s="65">
        <v>1991.8</v>
      </c>
      <c r="K105" s="63"/>
      <c r="L105" s="64">
        <f t="shared" si="1970"/>
        <v>1991.8</v>
      </c>
      <c r="M105" s="65">
        <v>2500</v>
      </c>
      <c r="N105" s="63"/>
      <c r="O105" s="64">
        <f t="shared" si="1971"/>
        <v>2500</v>
      </c>
      <c r="P105" s="65">
        <v>1000</v>
      </c>
      <c r="Q105" s="63"/>
      <c r="R105" s="64">
        <f t="shared" si="1972"/>
        <v>1000</v>
      </c>
      <c r="S105" s="65">
        <v>181</v>
      </c>
      <c r="T105" s="63"/>
      <c r="U105" s="64">
        <f t="shared" si="1973"/>
        <v>181</v>
      </c>
      <c r="V105" s="66">
        <f t="shared" si="1974"/>
        <v>5672.8</v>
      </c>
      <c r="W105" s="67">
        <f t="shared" si="1974"/>
        <v>0</v>
      </c>
      <c r="X105" s="64">
        <f t="shared" si="1975"/>
        <v>5672.8</v>
      </c>
      <c r="Y105" s="72"/>
      <c r="Z105" s="73"/>
      <c r="AA105" s="74"/>
      <c r="AB105" s="75"/>
      <c r="AC105" s="73"/>
      <c r="AD105" s="74"/>
      <c r="AE105" s="75"/>
      <c r="AF105" s="73"/>
      <c r="AG105" s="74"/>
      <c r="AH105" s="75"/>
      <c r="AI105" s="73"/>
      <c r="AJ105" s="74"/>
      <c r="AK105" s="76"/>
      <c r="AL105" s="77"/>
      <c r="AM105" s="64">
        <f t="shared" si="1976"/>
        <v>0</v>
      </c>
      <c r="AN105" s="62"/>
      <c r="AO105" s="63"/>
      <c r="AP105" s="64">
        <f t="shared" si="2174"/>
        <v>0</v>
      </c>
      <c r="AQ105" s="65"/>
      <c r="AR105" s="63"/>
      <c r="AS105" s="64">
        <f t="shared" si="1977"/>
        <v>0</v>
      </c>
      <c r="AT105" s="65"/>
      <c r="AU105" s="63"/>
      <c r="AV105" s="64">
        <f t="shared" si="1978"/>
        <v>0</v>
      </c>
      <c r="AW105" s="65"/>
      <c r="AX105" s="63"/>
      <c r="AY105" s="64">
        <f t="shared" si="1979"/>
        <v>0</v>
      </c>
      <c r="AZ105" s="66">
        <f t="shared" si="1469"/>
        <v>0</v>
      </c>
      <c r="BA105" s="67">
        <f t="shared" si="1980"/>
        <v>0</v>
      </c>
      <c r="BB105" s="64">
        <f t="shared" si="1981"/>
        <v>0</v>
      </c>
      <c r="BC105" s="62">
        <v>6150</v>
      </c>
      <c r="BD105" s="63"/>
      <c r="BE105" s="64">
        <f t="shared" si="1982"/>
        <v>6150</v>
      </c>
      <c r="BF105" s="65"/>
      <c r="BG105" s="63"/>
      <c r="BH105" s="64">
        <f t="shared" si="1983"/>
        <v>0</v>
      </c>
      <c r="BI105" s="65"/>
      <c r="BJ105" s="63"/>
      <c r="BK105" s="64">
        <f t="shared" si="1984"/>
        <v>0</v>
      </c>
      <c r="BL105" s="65">
        <v>100</v>
      </c>
      <c r="BM105" s="63"/>
      <c r="BN105" s="64">
        <f t="shared" si="1985"/>
        <v>100</v>
      </c>
      <c r="BO105" s="66">
        <f t="shared" si="1476"/>
        <v>6250</v>
      </c>
      <c r="BP105" s="67">
        <f t="shared" si="1986"/>
        <v>0</v>
      </c>
      <c r="BQ105" s="64">
        <f t="shared" si="1987"/>
        <v>6250</v>
      </c>
      <c r="BR105" s="72"/>
      <c r="BS105" s="73"/>
      <c r="BT105" s="74"/>
      <c r="BU105" s="75"/>
      <c r="BV105" s="73"/>
      <c r="BW105" s="74"/>
      <c r="BX105" s="75"/>
      <c r="BY105" s="73"/>
      <c r="BZ105" s="74"/>
      <c r="CA105" s="75"/>
      <c r="CB105" s="73"/>
      <c r="CC105" s="74"/>
      <c r="CD105" s="76"/>
      <c r="CE105" s="77"/>
      <c r="CF105" s="64">
        <f t="shared" si="1988"/>
        <v>0</v>
      </c>
      <c r="CG105" s="62"/>
      <c r="CH105" s="63"/>
      <c r="CI105" s="64">
        <f t="shared" si="1989"/>
        <v>0</v>
      </c>
      <c r="CJ105" s="65"/>
      <c r="CK105" s="63"/>
      <c r="CL105" s="64">
        <f t="shared" si="1990"/>
        <v>0</v>
      </c>
      <c r="CM105" s="65"/>
      <c r="CN105" s="63"/>
      <c r="CO105" s="64">
        <f t="shared" si="1991"/>
        <v>0</v>
      </c>
      <c r="CP105" s="65"/>
      <c r="CQ105" s="63"/>
      <c r="CR105" s="64">
        <f t="shared" si="1992"/>
        <v>0</v>
      </c>
      <c r="CS105" s="66">
        <f t="shared" si="1484"/>
        <v>0</v>
      </c>
      <c r="CT105" s="67">
        <f t="shared" si="1993"/>
        <v>0</v>
      </c>
      <c r="CU105" s="64">
        <f t="shared" si="1994"/>
        <v>0</v>
      </c>
      <c r="CV105" s="62">
        <v>2916.7</v>
      </c>
      <c r="CW105" s="63"/>
      <c r="CX105" s="64">
        <f t="shared" si="1995"/>
        <v>2916.7</v>
      </c>
      <c r="CY105" s="65">
        <v>429.15</v>
      </c>
      <c r="CZ105" s="63"/>
      <c r="DA105" s="64">
        <f t="shared" si="1996"/>
        <v>429.15</v>
      </c>
      <c r="DB105" s="65"/>
      <c r="DC105" s="63"/>
      <c r="DD105" s="64">
        <f t="shared" si="1997"/>
        <v>0</v>
      </c>
      <c r="DE105" s="65"/>
      <c r="DF105" s="63"/>
      <c r="DG105" s="64">
        <f t="shared" si="1998"/>
        <v>0</v>
      </c>
      <c r="DH105" s="66">
        <f t="shared" si="1491"/>
        <v>3345.85</v>
      </c>
      <c r="DI105" s="67">
        <f t="shared" si="1999"/>
        <v>0</v>
      </c>
      <c r="DJ105" s="64">
        <f t="shared" si="2000"/>
        <v>3345.85</v>
      </c>
      <c r="DK105" s="62">
        <v>2400</v>
      </c>
      <c r="DL105" s="63"/>
      <c r="DM105" s="64">
        <f t="shared" si="2001"/>
        <v>2400</v>
      </c>
      <c r="DN105" s="65">
        <v>913.08</v>
      </c>
      <c r="DO105" s="63"/>
      <c r="DP105" s="64">
        <f t="shared" si="2002"/>
        <v>913.08</v>
      </c>
      <c r="DQ105" s="65"/>
      <c r="DR105" s="63"/>
      <c r="DS105" s="64">
        <f t="shared" si="2003"/>
        <v>0</v>
      </c>
      <c r="DT105" s="65">
        <v>100</v>
      </c>
      <c r="DU105" s="63"/>
      <c r="DV105" s="64">
        <f t="shared" si="2004"/>
        <v>100</v>
      </c>
      <c r="DW105" s="66">
        <f t="shared" si="1498"/>
        <v>3413.08</v>
      </c>
      <c r="DX105" s="67">
        <f t="shared" si="2005"/>
        <v>0</v>
      </c>
      <c r="DY105" s="64">
        <f t="shared" si="2006"/>
        <v>3413.08</v>
      </c>
      <c r="DZ105" s="62"/>
      <c r="EA105" s="63"/>
      <c r="EB105" s="64">
        <f t="shared" si="2007"/>
        <v>0</v>
      </c>
      <c r="EC105" s="65"/>
      <c r="ED105" s="63"/>
      <c r="EE105" s="64">
        <f t="shared" si="2008"/>
        <v>0</v>
      </c>
      <c r="EF105" s="65"/>
      <c r="EG105" s="63"/>
      <c r="EH105" s="64">
        <f t="shared" si="2009"/>
        <v>0</v>
      </c>
      <c r="EI105" s="65">
        <v>100</v>
      </c>
      <c r="EJ105" s="63"/>
      <c r="EK105" s="64">
        <f t="shared" si="2010"/>
        <v>100</v>
      </c>
      <c r="EL105" s="66">
        <f t="shared" si="1505"/>
        <v>100</v>
      </c>
      <c r="EM105" s="67">
        <f t="shared" si="2011"/>
        <v>0</v>
      </c>
      <c r="EN105" s="64">
        <f t="shared" si="2012"/>
        <v>100</v>
      </c>
      <c r="EO105" s="62">
        <v>6150</v>
      </c>
      <c r="EP105" s="63"/>
      <c r="EQ105" s="64">
        <f t="shared" si="2013"/>
        <v>6150</v>
      </c>
      <c r="ER105" s="65"/>
      <c r="ES105" s="63"/>
      <c r="ET105" s="64">
        <f t="shared" si="2014"/>
        <v>0</v>
      </c>
      <c r="EU105" s="65"/>
      <c r="EV105" s="63"/>
      <c r="EW105" s="64">
        <f t="shared" si="2015"/>
        <v>0</v>
      </c>
      <c r="EX105" s="65">
        <v>100</v>
      </c>
      <c r="EY105" s="63"/>
      <c r="EZ105" s="64">
        <f t="shared" si="2016"/>
        <v>100</v>
      </c>
      <c r="FA105" s="66">
        <f t="shared" si="1512"/>
        <v>6250</v>
      </c>
      <c r="FB105" s="67">
        <f t="shared" si="2017"/>
        <v>0</v>
      </c>
      <c r="FC105" s="64">
        <f t="shared" si="2018"/>
        <v>6250</v>
      </c>
      <c r="FD105" s="62">
        <v>6150</v>
      </c>
      <c r="FE105" s="63"/>
      <c r="FF105" s="64">
        <f t="shared" si="2019"/>
        <v>6150</v>
      </c>
      <c r="FG105" s="65"/>
      <c r="FH105" s="63"/>
      <c r="FI105" s="64">
        <f t="shared" si="2020"/>
        <v>0</v>
      </c>
      <c r="FJ105" s="65"/>
      <c r="FK105" s="63"/>
      <c r="FL105" s="64">
        <f t="shared" si="2021"/>
        <v>0</v>
      </c>
      <c r="FM105" s="65">
        <v>100</v>
      </c>
      <c r="FN105" s="63"/>
      <c r="FO105" s="64">
        <f t="shared" si="2022"/>
        <v>100</v>
      </c>
      <c r="FP105" s="66">
        <f t="shared" si="1519"/>
        <v>6250</v>
      </c>
      <c r="FQ105" s="67">
        <f t="shared" si="2023"/>
        <v>0</v>
      </c>
      <c r="FR105" s="64">
        <f t="shared" si="2024"/>
        <v>6250</v>
      </c>
      <c r="FS105" s="62"/>
      <c r="FT105" s="63"/>
      <c r="FU105" s="64">
        <f t="shared" si="2025"/>
        <v>0</v>
      </c>
      <c r="FV105" s="65">
        <v>485.35</v>
      </c>
      <c r="FW105" s="63"/>
      <c r="FX105" s="64">
        <f t="shared" si="2026"/>
        <v>485.35</v>
      </c>
      <c r="FY105" s="65"/>
      <c r="FZ105" s="63"/>
      <c r="GA105" s="64">
        <f t="shared" si="2027"/>
        <v>0</v>
      </c>
      <c r="GB105" s="65"/>
      <c r="GC105" s="63"/>
      <c r="GD105" s="64">
        <f t="shared" si="2028"/>
        <v>0</v>
      </c>
      <c r="GE105" s="66">
        <f t="shared" si="1526"/>
        <v>485.35</v>
      </c>
      <c r="GF105" s="67">
        <f t="shared" si="2029"/>
        <v>0</v>
      </c>
      <c r="GG105" s="64">
        <f t="shared" si="2030"/>
        <v>485.35</v>
      </c>
      <c r="GH105" s="62"/>
      <c r="GI105" s="63"/>
      <c r="GJ105" s="64">
        <f t="shared" si="2031"/>
        <v>0</v>
      </c>
      <c r="GK105" s="65">
        <v>660.33</v>
      </c>
      <c r="GL105" s="63"/>
      <c r="GM105" s="64">
        <f t="shared" si="2032"/>
        <v>660.33</v>
      </c>
      <c r="GN105" s="65"/>
      <c r="GO105" s="63"/>
      <c r="GP105" s="64">
        <f t="shared" si="2033"/>
        <v>0</v>
      </c>
      <c r="GQ105" s="65"/>
      <c r="GR105" s="63"/>
      <c r="GS105" s="64">
        <f t="shared" si="2034"/>
        <v>0</v>
      </c>
      <c r="GT105" s="66">
        <f t="shared" si="1533"/>
        <v>660.33</v>
      </c>
      <c r="GU105" s="67">
        <f t="shared" si="2035"/>
        <v>0</v>
      </c>
      <c r="GV105" s="64">
        <f t="shared" si="2036"/>
        <v>660.33</v>
      </c>
      <c r="GW105" s="62"/>
      <c r="GX105" s="63"/>
      <c r="GY105" s="64">
        <f t="shared" si="2037"/>
        <v>0</v>
      </c>
      <c r="GZ105" s="65">
        <v>568.25</v>
      </c>
      <c r="HA105" s="63"/>
      <c r="HB105" s="64">
        <f t="shared" si="2038"/>
        <v>568.25</v>
      </c>
      <c r="HC105" s="65"/>
      <c r="HD105" s="63"/>
      <c r="HE105" s="64">
        <f t="shared" si="2039"/>
        <v>0</v>
      </c>
      <c r="HF105" s="65">
        <v>100</v>
      </c>
      <c r="HG105" s="63"/>
      <c r="HH105" s="64">
        <f t="shared" si="2040"/>
        <v>100</v>
      </c>
      <c r="HI105" s="66">
        <f t="shared" si="1540"/>
        <v>668.25</v>
      </c>
      <c r="HJ105" s="67">
        <f t="shared" si="2041"/>
        <v>0</v>
      </c>
      <c r="HK105" s="64">
        <f t="shared" si="2042"/>
        <v>668.25</v>
      </c>
      <c r="HL105" s="62">
        <v>6150</v>
      </c>
      <c r="HM105" s="63"/>
      <c r="HN105" s="64">
        <f t="shared" si="2043"/>
        <v>6150</v>
      </c>
      <c r="HO105" s="65"/>
      <c r="HP105" s="63"/>
      <c r="HQ105" s="64">
        <f t="shared" si="2044"/>
        <v>0</v>
      </c>
      <c r="HR105" s="65"/>
      <c r="HS105" s="63"/>
      <c r="HT105" s="64">
        <f t="shared" si="2045"/>
        <v>0</v>
      </c>
      <c r="HU105" s="65">
        <v>100</v>
      </c>
      <c r="HV105" s="63"/>
      <c r="HW105" s="64">
        <f t="shared" si="2046"/>
        <v>100</v>
      </c>
      <c r="HX105" s="66">
        <f t="shared" si="1547"/>
        <v>6250</v>
      </c>
      <c r="HY105" s="67">
        <f t="shared" si="2047"/>
        <v>0</v>
      </c>
      <c r="HZ105" s="64">
        <f t="shared" si="2048"/>
        <v>6250</v>
      </c>
      <c r="IA105" s="62"/>
      <c r="IB105" s="63"/>
      <c r="IC105" s="64">
        <f t="shared" si="2049"/>
        <v>0</v>
      </c>
      <c r="ID105" s="65"/>
      <c r="IE105" s="63"/>
      <c r="IF105" s="64">
        <f t="shared" si="2050"/>
        <v>0</v>
      </c>
      <c r="IG105" s="65"/>
      <c r="IH105" s="63"/>
      <c r="II105" s="64">
        <f t="shared" si="2051"/>
        <v>0</v>
      </c>
      <c r="IJ105" s="65">
        <v>100</v>
      </c>
      <c r="IK105" s="63"/>
      <c r="IL105" s="64">
        <f t="shared" si="2052"/>
        <v>100</v>
      </c>
      <c r="IM105" s="66">
        <f t="shared" si="1554"/>
        <v>100</v>
      </c>
      <c r="IN105" s="67">
        <f t="shared" si="2053"/>
        <v>0</v>
      </c>
      <c r="IO105" s="64">
        <f t="shared" si="2054"/>
        <v>100</v>
      </c>
      <c r="IP105" s="62"/>
      <c r="IQ105" s="63"/>
      <c r="IR105" s="64">
        <f t="shared" si="2055"/>
        <v>0</v>
      </c>
      <c r="IS105" s="65"/>
      <c r="IT105" s="63"/>
      <c r="IU105" s="64">
        <f t="shared" si="2056"/>
        <v>0</v>
      </c>
      <c r="IV105" s="65"/>
      <c r="IW105" s="63"/>
      <c r="IX105" s="64">
        <f t="shared" si="2057"/>
        <v>0</v>
      </c>
      <c r="IY105" s="65"/>
      <c r="IZ105" s="63"/>
      <c r="JA105" s="64">
        <f t="shared" si="2058"/>
        <v>0</v>
      </c>
      <c r="JB105" s="66">
        <f t="shared" si="1561"/>
        <v>0</v>
      </c>
      <c r="JC105" s="67">
        <f t="shared" si="2059"/>
        <v>0</v>
      </c>
      <c r="JD105" s="64">
        <f t="shared" si="2060"/>
        <v>0</v>
      </c>
      <c r="JE105" s="72"/>
      <c r="JF105" s="150"/>
      <c r="JG105" s="74"/>
      <c r="JH105" s="75"/>
      <c r="JI105" s="150"/>
      <c r="JJ105" s="74"/>
      <c r="JK105" s="75"/>
      <c r="JL105" s="150"/>
      <c r="JM105" s="74"/>
      <c r="JN105" s="75"/>
      <c r="JO105" s="150"/>
      <c r="JP105" s="74"/>
      <c r="JQ105" s="76"/>
      <c r="JR105" s="77"/>
      <c r="JS105" s="74"/>
      <c r="JT105" s="72"/>
      <c r="JU105" s="73"/>
      <c r="JV105" s="74"/>
      <c r="JW105" s="75"/>
      <c r="JX105" s="73"/>
      <c r="JY105" s="74"/>
      <c r="JZ105" s="75"/>
      <c r="KA105" s="73"/>
      <c r="KB105" s="74"/>
      <c r="KC105" s="75"/>
      <c r="KD105" s="73"/>
      <c r="KE105" s="74"/>
      <c r="KF105" s="76"/>
      <c r="KG105" s="77"/>
      <c r="KH105" s="64">
        <f t="shared" si="2061"/>
        <v>0</v>
      </c>
      <c r="KI105" s="62"/>
      <c r="KJ105" s="63"/>
      <c r="KK105" s="64">
        <f t="shared" si="2062"/>
        <v>0</v>
      </c>
      <c r="KL105" s="65"/>
      <c r="KM105" s="63"/>
      <c r="KN105" s="64">
        <f t="shared" si="2063"/>
        <v>0</v>
      </c>
      <c r="KO105" s="65"/>
      <c r="KP105" s="63"/>
      <c r="KQ105" s="64">
        <f t="shared" si="2064"/>
        <v>0</v>
      </c>
      <c r="KR105" s="65"/>
      <c r="KS105" s="63"/>
      <c r="KT105" s="64">
        <f t="shared" si="2065"/>
        <v>0</v>
      </c>
      <c r="KU105" s="66">
        <f t="shared" si="1439"/>
        <v>0</v>
      </c>
      <c r="KV105" s="67">
        <f t="shared" si="2066"/>
        <v>0</v>
      </c>
      <c r="KW105" s="64">
        <f t="shared" si="2067"/>
        <v>0</v>
      </c>
      <c r="KX105" s="72"/>
      <c r="KY105" s="73"/>
      <c r="KZ105" s="74"/>
      <c r="LA105" s="75"/>
      <c r="LB105" s="73"/>
      <c r="LC105" s="74"/>
      <c r="LD105" s="75"/>
      <c r="LE105" s="73"/>
      <c r="LF105" s="74"/>
      <c r="LG105" s="75"/>
      <c r="LH105" s="73"/>
      <c r="LI105" s="74"/>
      <c r="LJ105" s="76"/>
      <c r="LK105" s="77"/>
      <c r="LL105" s="74"/>
      <c r="LM105" s="62"/>
      <c r="LN105" s="63"/>
      <c r="LO105" s="64">
        <f t="shared" si="2068"/>
        <v>0</v>
      </c>
      <c r="LP105" s="65"/>
      <c r="LQ105" s="63"/>
      <c r="LR105" s="64">
        <f t="shared" si="2069"/>
        <v>0</v>
      </c>
      <c r="LS105" s="65"/>
      <c r="LT105" s="63"/>
      <c r="LU105" s="64">
        <f t="shared" si="2070"/>
        <v>0</v>
      </c>
      <c r="LV105" s="65">
        <v>100</v>
      </c>
      <c r="LW105" s="63"/>
      <c r="LX105" s="64">
        <f t="shared" si="2071"/>
        <v>100</v>
      </c>
      <c r="LY105" s="66">
        <f t="shared" si="1575"/>
        <v>100</v>
      </c>
      <c r="LZ105" s="67">
        <f t="shared" si="2072"/>
        <v>0</v>
      </c>
      <c r="MA105" s="64">
        <f t="shared" si="2073"/>
        <v>100</v>
      </c>
      <c r="MB105" s="62"/>
      <c r="MC105" s="63"/>
      <c r="MD105" s="64">
        <f t="shared" si="2074"/>
        <v>0</v>
      </c>
      <c r="ME105" s="65">
        <v>889.11</v>
      </c>
      <c r="MF105" s="63"/>
      <c r="MG105" s="64">
        <f t="shared" si="2075"/>
        <v>889.11</v>
      </c>
      <c r="MH105" s="65"/>
      <c r="MI105" s="63"/>
      <c r="MJ105" s="64">
        <f t="shared" si="2076"/>
        <v>0</v>
      </c>
      <c r="MK105" s="65">
        <v>100</v>
      </c>
      <c r="ML105" s="63"/>
      <c r="MM105" s="64">
        <f t="shared" si="2077"/>
        <v>100</v>
      </c>
      <c r="MN105" s="66">
        <f t="shared" si="1582"/>
        <v>989.11</v>
      </c>
      <c r="MO105" s="67">
        <f t="shared" si="2078"/>
        <v>0</v>
      </c>
      <c r="MP105" s="64">
        <f t="shared" si="2079"/>
        <v>989.11</v>
      </c>
      <c r="MQ105" s="62"/>
      <c r="MR105" s="63"/>
      <c r="MS105" s="64">
        <f t="shared" si="2080"/>
        <v>0</v>
      </c>
      <c r="MT105" s="65"/>
      <c r="MU105" s="63"/>
      <c r="MV105" s="64">
        <f t="shared" si="2081"/>
        <v>0</v>
      </c>
      <c r="MW105" s="65"/>
      <c r="MX105" s="63"/>
      <c r="MY105" s="64">
        <f t="shared" si="2082"/>
        <v>0</v>
      </c>
      <c r="MZ105" s="65"/>
      <c r="NA105" s="63"/>
      <c r="NB105" s="64">
        <f t="shared" si="2083"/>
        <v>0</v>
      </c>
      <c r="NC105" s="66">
        <f t="shared" si="1589"/>
        <v>0</v>
      </c>
      <c r="ND105" s="67">
        <f t="shared" si="2084"/>
        <v>0</v>
      </c>
      <c r="NE105" s="64">
        <f t="shared" si="2085"/>
        <v>0</v>
      </c>
      <c r="NF105" s="62"/>
      <c r="NG105" s="63"/>
      <c r="NH105" s="64">
        <f t="shared" si="2086"/>
        <v>0</v>
      </c>
      <c r="NI105" s="65">
        <v>1164.04</v>
      </c>
      <c r="NJ105" s="63"/>
      <c r="NK105" s="64">
        <f t="shared" si="2087"/>
        <v>1164.04</v>
      </c>
      <c r="NL105" s="65"/>
      <c r="NM105" s="63"/>
      <c r="NN105" s="64">
        <f t="shared" si="2088"/>
        <v>0</v>
      </c>
      <c r="NO105" s="65">
        <v>100</v>
      </c>
      <c r="NP105" s="63"/>
      <c r="NQ105" s="64">
        <f t="shared" si="2089"/>
        <v>100</v>
      </c>
      <c r="NR105" s="66">
        <f t="shared" si="1596"/>
        <v>1264.04</v>
      </c>
      <c r="NS105" s="67">
        <f t="shared" si="2090"/>
        <v>0</v>
      </c>
      <c r="NT105" s="64">
        <f t="shared" si="2091"/>
        <v>1264.04</v>
      </c>
      <c r="NU105" s="62"/>
      <c r="NV105" s="63"/>
      <c r="NW105" s="64">
        <f t="shared" si="2092"/>
        <v>0</v>
      </c>
      <c r="NX105" s="65">
        <v>1152.73</v>
      </c>
      <c r="NY105" s="63"/>
      <c r="NZ105" s="64">
        <f t="shared" si="2093"/>
        <v>1152.73</v>
      </c>
      <c r="OA105" s="65"/>
      <c r="OB105" s="63"/>
      <c r="OC105" s="64">
        <f t="shared" si="2094"/>
        <v>0</v>
      </c>
      <c r="OD105" s="65">
        <v>100</v>
      </c>
      <c r="OE105" s="63"/>
      <c r="OF105" s="64">
        <f t="shared" si="2095"/>
        <v>100</v>
      </c>
      <c r="OG105" s="66">
        <f t="shared" si="1603"/>
        <v>1252.73</v>
      </c>
      <c r="OH105" s="67">
        <f t="shared" si="2096"/>
        <v>0</v>
      </c>
      <c r="OI105" s="64">
        <f t="shared" si="2097"/>
        <v>1252.73</v>
      </c>
      <c r="OJ105" s="62"/>
      <c r="OK105" s="63"/>
      <c r="OL105" s="64">
        <f t="shared" si="2098"/>
        <v>0</v>
      </c>
      <c r="OM105" s="65"/>
      <c r="ON105" s="63"/>
      <c r="OO105" s="64">
        <f t="shared" si="2099"/>
        <v>0</v>
      </c>
      <c r="OP105" s="65"/>
      <c r="OQ105" s="63"/>
      <c r="OR105" s="64">
        <f t="shared" si="2100"/>
        <v>0</v>
      </c>
      <c r="OS105" s="65">
        <v>100</v>
      </c>
      <c r="OT105" s="63"/>
      <c r="OU105" s="64">
        <f t="shared" si="2101"/>
        <v>100</v>
      </c>
      <c r="OV105" s="66">
        <f t="shared" si="1610"/>
        <v>100</v>
      </c>
      <c r="OW105" s="67">
        <f t="shared" si="2102"/>
        <v>0</v>
      </c>
      <c r="OX105" s="64">
        <f t="shared" si="2103"/>
        <v>100</v>
      </c>
      <c r="OY105" s="62"/>
      <c r="OZ105" s="63"/>
      <c r="PA105" s="64">
        <f t="shared" si="2104"/>
        <v>0</v>
      </c>
      <c r="PB105" s="65"/>
      <c r="PC105" s="63"/>
      <c r="PD105" s="64">
        <f t="shared" si="2105"/>
        <v>0</v>
      </c>
      <c r="PE105" s="65"/>
      <c r="PF105" s="63"/>
      <c r="PG105" s="64">
        <f t="shared" si="2106"/>
        <v>0</v>
      </c>
      <c r="PH105" s="65">
        <v>100</v>
      </c>
      <c r="PI105" s="63"/>
      <c r="PJ105" s="64">
        <f t="shared" si="2107"/>
        <v>100</v>
      </c>
      <c r="PK105" s="66">
        <f t="shared" si="1617"/>
        <v>100</v>
      </c>
      <c r="PL105" s="67">
        <f t="shared" si="2108"/>
        <v>0</v>
      </c>
      <c r="PM105" s="64">
        <f t="shared" si="2109"/>
        <v>100</v>
      </c>
      <c r="PN105" s="62">
        <v>1550</v>
      </c>
      <c r="PO105" s="63"/>
      <c r="PP105" s="64">
        <f t="shared" si="2110"/>
        <v>1550</v>
      </c>
      <c r="PQ105" s="65"/>
      <c r="PR105" s="63"/>
      <c r="PS105" s="64">
        <f t="shared" si="2111"/>
        <v>0</v>
      </c>
      <c r="PT105" s="65"/>
      <c r="PU105" s="63"/>
      <c r="PV105" s="64">
        <f t="shared" si="2112"/>
        <v>0</v>
      </c>
      <c r="PW105" s="65">
        <v>100</v>
      </c>
      <c r="PX105" s="63"/>
      <c r="PY105" s="64">
        <f t="shared" si="2113"/>
        <v>100</v>
      </c>
      <c r="PZ105" s="66">
        <f t="shared" si="1624"/>
        <v>1650</v>
      </c>
      <c r="QA105" s="67">
        <f t="shared" si="2114"/>
        <v>0</v>
      </c>
      <c r="QB105" s="64">
        <f t="shared" si="2115"/>
        <v>1650</v>
      </c>
      <c r="QC105" s="62"/>
      <c r="QD105" s="63"/>
      <c r="QE105" s="64">
        <f t="shared" si="2116"/>
        <v>0</v>
      </c>
      <c r="QF105" s="65"/>
      <c r="QG105" s="63"/>
      <c r="QH105" s="64">
        <f t="shared" si="2117"/>
        <v>0</v>
      </c>
      <c r="QI105" s="65"/>
      <c r="QJ105" s="63"/>
      <c r="QK105" s="64">
        <f t="shared" si="2118"/>
        <v>0</v>
      </c>
      <c r="QL105" s="65">
        <v>100</v>
      </c>
      <c r="QM105" s="63"/>
      <c r="QN105" s="64">
        <f t="shared" si="2119"/>
        <v>100</v>
      </c>
      <c r="QO105" s="66">
        <f t="shared" si="1631"/>
        <v>100</v>
      </c>
      <c r="QP105" s="67">
        <f t="shared" si="2120"/>
        <v>0</v>
      </c>
      <c r="QQ105" s="64">
        <f t="shared" si="2121"/>
        <v>100</v>
      </c>
      <c r="QR105" s="74"/>
      <c r="QS105" s="74"/>
      <c r="QT105" s="72"/>
      <c r="QU105" s="73"/>
      <c r="QV105" s="74"/>
      <c r="QW105" s="75"/>
      <c r="QX105" s="73"/>
      <c r="QY105" s="74"/>
      <c r="QZ105" s="75"/>
      <c r="RA105" s="73"/>
      <c r="RB105" s="74"/>
      <c r="RC105" s="75"/>
      <c r="RD105" s="73"/>
      <c r="RE105" s="74"/>
      <c r="RF105" s="74"/>
      <c r="RG105" s="72"/>
      <c r="RH105" s="73"/>
      <c r="RI105" s="74"/>
      <c r="RJ105" s="75"/>
      <c r="RK105" s="73"/>
      <c r="RL105" s="74"/>
      <c r="RM105" s="75"/>
      <c r="RN105" s="73"/>
      <c r="RO105" s="74"/>
      <c r="RP105" s="75"/>
      <c r="RQ105" s="73"/>
      <c r="RR105" s="74"/>
      <c r="RS105" s="76"/>
      <c r="RT105" s="77"/>
      <c r="RU105" s="74"/>
      <c r="RV105" s="74"/>
      <c r="RW105" s="72"/>
      <c r="RX105" s="73"/>
      <c r="RY105" s="74"/>
      <c r="RZ105" s="75"/>
      <c r="SA105" s="73"/>
      <c r="SB105" s="74"/>
      <c r="SC105" s="75"/>
      <c r="SD105" s="73"/>
      <c r="SE105" s="74"/>
      <c r="SF105" s="75"/>
      <c r="SG105" s="73"/>
      <c r="SH105" s="74"/>
      <c r="SI105" s="76"/>
      <c r="SJ105" s="64">
        <f t="shared" si="2122"/>
        <v>0</v>
      </c>
      <c r="SK105" s="62"/>
      <c r="SL105" s="63"/>
      <c r="SM105" s="64">
        <f t="shared" si="2123"/>
        <v>0</v>
      </c>
      <c r="SN105" s="65"/>
      <c r="SO105" s="63"/>
      <c r="SP105" s="64">
        <f t="shared" si="2124"/>
        <v>0</v>
      </c>
      <c r="SQ105" s="65"/>
      <c r="SR105" s="63"/>
      <c r="SS105" s="64">
        <f t="shared" si="2125"/>
        <v>0</v>
      </c>
      <c r="ST105" s="65">
        <v>100</v>
      </c>
      <c r="SU105" s="63"/>
      <c r="SV105" s="64">
        <f t="shared" si="2126"/>
        <v>100</v>
      </c>
      <c r="SW105" s="66">
        <f t="shared" si="1639"/>
        <v>100</v>
      </c>
      <c r="SX105" s="67">
        <f t="shared" si="2127"/>
        <v>0</v>
      </c>
      <c r="SY105" s="64">
        <f t="shared" si="2128"/>
        <v>100</v>
      </c>
      <c r="SZ105" s="62">
        <v>985.33</v>
      </c>
      <c r="TA105" s="63"/>
      <c r="TB105" s="64">
        <f t="shared" si="2129"/>
        <v>985.33</v>
      </c>
      <c r="TC105" s="65">
        <v>700.9</v>
      </c>
      <c r="TD105" s="63"/>
      <c r="TE105" s="64">
        <f t="shared" si="2130"/>
        <v>700.9</v>
      </c>
      <c r="TF105" s="65"/>
      <c r="TG105" s="63"/>
      <c r="TH105" s="64">
        <f t="shared" si="2131"/>
        <v>0</v>
      </c>
      <c r="TI105" s="65">
        <v>100</v>
      </c>
      <c r="TJ105" s="63"/>
      <c r="TK105" s="64">
        <f t="shared" si="2132"/>
        <v>100</v>
      </c>
      <c r="TL105" s="66">
        <f t="shared" si="1646"/>
        <v>1786.23</v>
      </c>
      <c r="TM105" s="67">
        <f t="shared" si="2133"/>
        <v>0</v>
      </c>
      <c r="TN105" s="64">
        <f t="shared" si="2134"/>
        <v>1786.23</v>
      </c>
      <c r="TO105" s="62"/>
      <c r="TP105" s="63"/>
      <c r="TQ105" s="64">
        <f t="shared" si="2135"/>
        <v>0</v>
      </c>
      <c r="TR105" s="65"/>
      <c r="TS105" s="63"/>
      <c r="TT105" s="64">
        <f t="shared" si="2136"/>
        <v>0</v>
      </c>
      <c r="TU105" s="65"/>
      <c r="TV105" s="63"/>
      <c r="TW105" s="64">
        <f t="shared" si="2137"/>
        <v>0</v>
      </c>
      <c r="TX105" s="65">
        <v>100</v>
      </c>
      <c r="TY105" s="63"/>
      <c r="TZ105" s="64">
        <f t="shared" si="2138"/>
        <v>100</v>
      </c>
      <c r="UA105" s="66">
        <f t="shared" si="1653"/>
        <v>100</v>
      </c>
      <c r="UB105" s="67">
        <f t="shared" si="2139"/>
        <v>0</v>
      </c>
      <c r="UC105" s="64">
        <f t="shared" si="2140"/>
        <v>100</v>
      </c>
      <c r="UD105" s="62"/>
      <c r="UE105" s="63"/>
      <c r="UF105" s="64">
        <f t="shared" si="2141"/>
        <v>0</v>
      </c>
      <c r="UG105" s="65">
        <v>497.04</v>
      </c>
      <c r="UH105" s="63"/>
      <c r="UI105" s="64">
        <f t="shared" si="2142"/>
        <v>497.04</v>
      </c>
      <c r="UJ105" s="65"/>
      <c r="UK105" s="63"/>
      <c r="UL105" s="64">
        <f t="shared" si="2143"/>
        <v>0</v>
      </c>
      <c r="UM105" s="65">
        <v>100</v>
      </c>
      <c r="UN105" s="63"/>
      <c r="UO105" s="64">
        <f t="shared" si="2144"/>
        <v>100</v>
      </c>
      <c r="UP105" s="66">
        <f t="shared" si="1660"/>
        <v>597.04</v>
      </c>
      <c r="UQ105" s="67">
        <f t="shared" si="2145"/>
        <v>0</v>
      </c>
      <c r="UR105" s="64">
        <f t="shared" si="2146"/>
        <v>597.04</v>
      </c>
      <c r="US105" s="74"/>
      <c r="UT105" s="72"/>
      <c r="UU105" s="73"/>
      <c r="UV105" s="74"/>
      <c r="UW105" s="75"/>
      <c r="UX105" s="73"/>
      <c r="UY105" s="74"/>
      <c r="UZ105" s="75"/>
      <c r="VA105" s="73"/>
      <c r="VB105" s="74"/>
      <c r="VC105" s="75"/>
      <c r="VD105" s="73"/>
      <c r="VE105" s="74"/>
      <c r="VF105" s="76"/>
      <c r="VG105" s="77"/>
      <c r="VH105" s="62"/>
      <c r="VI105" s="63"/>
      <c r="VJ105" s="64">
        <f t="shared" si="2147"/>
        <v>0</v>
      </c>
      <c r="VK105" s="65"/>
      <c r="VL105" s="63"/>
      <c r="VM105" s="64">
        <f t="shared" si="2148"/>
        <v>0</v>
      </c>
      <c r="VN105" s="65"/>
      <c r="VO105" s="63"/>
      <c r="VP105" s="64">
        <f t="shared" si="2149"/>
        <v>0</v>
      </c>
      <c r="VQ105" s="65">
        <v>100</v>
      </c>
      <c r="VR105" s="63"/>
      <c r="VS105" s="64">
        <f t="shared" si="2150"/>
        <v>100</v>
      </c>
      <c r="VT105" s="66">
        <f t="shared" si="1667"/>
        <v>100</v>
      </c>
      <c r="VU105" s="67">
        <f t="shared" si="2151"/>
        <v>0</v>
      </c>
      <c r="VV105" s="64">
        <f t="shared" si="2152"/>
        <v>100</v>
      </c>
      <c r="VW105" s="74"/>
      <c r="VX105" s="72"/>
      <c r="VY105" s="73"/>
      <c r="VZ105" s="74"/>
      <c r="WA105" s="75"/>
      <c r="WB105" s="73"/>
      <c r="WC105" s="74"/>
      <c r="WD105" s="75"/>
      <c r="WE105" s="73"/>
      <c r="WF105" s="74"/>
      <c r="WG105" s="75"/>
      <c r="WH105" s="73"/>
      <c r="WI105" s="74"/>
      <c r="WJ105" s="76"/>
      <c r="WK105" s="77"/>
      <c r="WL105" s="74"/>
      <c r="WM105" s="72"/>
      <c r="WN105" s="73"/>
      <c r="WO105" s="74"/>
      <c r="WP105" s="75"/>
      <c r="WQ105" s="73"/>
      <c r="WR105" s="74"/>
      <c r="WS105" s="75"/>
      <c r="WT105" s="73"/>
      <c r="WU105" s="74"/>
      <c r="WV105" s="75"/>
      <c r="WW105" s="73"/>
      <c r="WX105" s="74"/>
      <c r="WY105" s="76"/>
      <c r="WZ105" s="77"/>
      <c r="XA105" s="74"/>
      <c r="XB105" s="72"/>
      <c r="XC105" s="73"/>
      <c r="XD105" s="74"/>
      <c r="XE105" s="75"/>
      <c r="XF105" s="73"/>
      <c r="XG105" s="74"/>
      <c r="XH105" s="75"/>
      <c r="XI105" s="73"/>
      <c r="XJ105" s="74"/>
      <c r="XK105" s="75"/>
      <c r="XL105" s="73"/>
      <c r="XM105" s="74"/>
      <c r="XN105" s="76"/>
      <c r="XO105" s="77"/>
      <c r="XP105" s="62"/>
      <c r="XQ105" s="63"/>
      <c r="XR105" s="64">
        <f t="shared" si="2153"/>
        <v>0</v>
      </c>
      <c r="XS105" s="65">
        <v>844.24</v>
      </c>
      <c r="XT105" s="63"/>
      <c r="XU105" s="64">
        <f t="shared" si="2154"/>
        <v>844.24</v>
      </c>
      <c r="XV105" s="65"/>
      <c r="XW105" s="63"/>
      <c r="XX105" s="64">
        <f t="shared" si="2155"/>
        <v>0</v>
      </c>
      <c r="XY105" s="65">
        <v>100</v>
      </c>
      <c r="XZ105" s="63"/>
      <c r="YA105" s="64">
        <f t="shared" si="2156"/>
        <v>100</v>
      </c>
      <c r="YB105" s="66">
        <f t="shared" si="1674"/>
        <v>944.24</v>
      </c>
      <c r="YC105" s="67">
        <f t="shared" si="2157"/>
        <v>0</v>
      </c>
      <c r="YD105" s="64">
        <f t="shared" si="2158"/>
        <v>944.24</v>
      </c>
      <c r="YE105" s="62"/>
      <c r="YF105" s="63"/>
      <c r="YG105" s="64">
        <f t="shared" si="2159"/>
        <v>0</v>
      </c>
      <c r="YH105" s="65">
        <v>847.85</v>
      </c>
      <c r="YI105" s="63"/>
      <c r="YJ105" s="64">
        <f t="shared" si="2160"/>
        <v>847.85</v>
      </c>
      <c r="YK105" s="65"/>
      <c r="YL105" s="63"/>
      <c r="YM105" s="64">
        <f t="shared" si="2161"/>
        <v>0</v>
      </c>
      <c r="YN105" s="65">
        <v>100</v>
      </c>
      <c r="YO105" s="63"/>
      <c r="YP105" s="64">
        <f t="shared" si="2162"/>
        <v>100</v>
      </c>
      <c r="YQ105" s="66">
        <f t="shared" si="1681"/>
        <v>947.85</v>
      </c>
      <c r="YR105" s="67">
        <f t="shared" si="2163"/>
        <v>0</v>
      </c>
      <c r="YS105" s="64">
        <f t="shared" si="2164"/>
        <v>947.85</v>
      </c>
      <c r="YT105" s="62"/>
      <c r="YU105" s="63"/>
      <c r="YV105" s="64">
        <f t="shared" si="2165"/>
        <v>0</v>
      </c>
      <c r="YW105" s="65">
        <v>695.73</v>
      </c>
      <c r="YX105" s="63"/>
      <c r="YY105" s="64">
        <f t="shared" si="2166"/>
        <v>695.73</v>
      </c>
      <c r="YZ105" s="65"/>
      <c r="ZA105" s="63"/>
      <c r="ZB105" s="64">
        <f t="shared" si="2167"/>
        <v>0</v>
      </c>
      <c r="ZC105" s="65">
        <v>100</v>
      </c>
      <c r="ZD105" s="63"/>
      <c r="ZE105" s="64">
        <f t="shared" si="2168"/>
        <v>100</v>
      </c>
      <c r="ZF105" s="66">
        <f t="shared" si="1688"/>
        <v>795.73</v>
      </c>
      <c r="ZG105" s="67">
        <f t="shared" si="2169"/>
        <v>0</v>
      </c>
      <c r="ZH105" s="74"/>
      <c r="ZI105" s="72"/>
      <c r="ZJ105" s="73"/>
      <c r="ZK105" s="74"/>
      <c r="ZL105" s="75"/>
      <c r="ZM105" s="73"/>
      <c r="ZN105" s="74"/>
      <c r="ZO105" s="75"/>
      <c r="ZP105" s="73"/>
      <c r="ZQ105" s="74"/>
      <c r="ZR105" s="75"/>
      <c r="ZS105" s="73"/>
      <c r="ZT105" s="74"/>
      <c r="ZU105" s="76"/>
      <c r="ZV105" s="77"/>
      <c r="ZW105" s="64">
        <f t="shared" si="2170"/>
        <v>0</v>
      </c>
      <c r="ZX105" s="62">
        <v>24.71</v>
      </c>
      <c r="ZY105" s="63"/>
      <c r="ZZ105" s="64">
        <f t="shared" si="2171"/>
        <v>24.71</v>
      </c>
      <c r="AAA105" s="66">
        <f t="shared" si="1692"/>
        <v>24.71</v>
      </c>
      <c r="AAB105" s="67">
        <f t="shared" si="1692"/>
        <v>0</v>
      </c>
      <c r="AAC105" s="64">
        <f t="shared" si="2172"/>
        <v>24.71</v>
      </c>
      <c r="AAD105" s="85">
        <f t="shared" si="1694"/>
        <v>50372.630000000005</v>
      </c>
      <c r="AAE105" s="86">
        <f t="shared" si="1694"/>
        <v>0</v>
      </c>
      <c r="AAF105" s="87">
        <f t="shared" si="1457"/>
        <v>0</v>
      </c>
      <c r="AAG105" s="88">
        <f t="shared" si="2173"/>
        <v>-50372.630000000005</v>
      </c>
      <c r="AAH105" s="94"/>
      <c r="AAI105" s="95"/>
      <c r="AAJ105" s="95"/>
      <c r="AAK105" s="60"/>
    </row>
    <row r="106" spans="1:713" s="83" customFormat="1" ht="20" customHeight="1" x14ac:dyDescent="0.2">
      <c r="A106" s="152"/>
      <c r="B106" s="96">
        <f>B102-B98</f>
        <v>-1396140.5599999998</v>
      </c>
      <c r="C106" s="97"/>
      <c r="D106" s="97"/>
      <c r="E106" s="60"/>
      <c r="F106" s="61">
        <v>47423</v>
      </c>
      <c r="G106" s="62"/>
      <c r="H106" s="63"/>
      <c r="I106" s="64">
        <f t="shared" si="1969"/>
        <v>0</v>
      </c>
      <c r="J106" s="65">
        <v>2613.14</v>
      </c>
      <c r="K106" s="63"/>
      <c r="L106" s="64">
        <f t="shared" si="1970"/>
        <v>2613.14</v>
      </c>
      <c r="M106" s="65">
        <v>2500</v>
      </c>
      <c r="N106" s="63"/>
      <c r="O106" s="64">
        <f t="shared" si="1971"/>
        <v>2500</v>
      </c>
      <c r="P106" s="65">
        <v>1000</v>
      </c>
      <c r="Q106" s="63"/>
      <c r="R106" s="64">
        <f t="shared" si="1972"/>
        <v>1000</v>
      </c>
      <c r="S106" s="65">
        <v>181</v>
      </c>
      <c r="T106" s="63"/>
      <c r="U106" s="64">
        <f t="shared" si="1973"/>
        <v>181</v>
      </c>
      <c r="V106" s="66">
        <f t="shared" si="1974"/>
        <v>6294.1399999999994</v>
      </c>
      <c r="W106" s="67">
        <f t="shared" si="1974"/>
        <v>0</v>
      </c>
      <c r="X106" s="64">
        <f t="shared" si="1975"/>
        <v>6294.1399999999994</v>
      </c>
      <c r="Y106" s="72"/>
      <c r="Z106" s="73"/>
      <c r="AA106" s="74"/>
      <c r="AB106" s="75"/>
      <c r="AC106" s="73"/>
      <c r="AD106" s="74"/>
      <c r="AE106" s="75"/>
      <c r="AF106" s="73"/>
      <c r="AG106" s="74"/>
      <c r="AH106" s="75"/>
      <c r="AI106" s="73"/>
      <c r="AJ106" s="74"/>
      <c r="AK106" s="76"/>
      <c r="AL106" s="77"/>
      <c r="AM106" s="64">
        <f t="shared" si="1976"/>
        <v>0</v>
      </c>
      <c r="AN106" s="62"/>
      <c r="AO106" s="63"/>
      <c r="AP106" s="64">
        <f t="shared" si="2174"/>
        <v>0</v>
      </c>
      <c r="AQ106" s="65"/>
      <c r="AR106" s="63"/>
      <c r="AS106" s="64">
        <f t="shared" si="1977"/>
        <v>0</v>
      </c>
      <c r="AT106" s="65"/>
      <c r="AU106" s="63"/>
      <c r="AV106" s="64">
        <f t="shared" si="1978"/>
        <v>0</v>
      </c>
      <c r="AW106" s="65"/>
      <c r="AX106" s="63"/>
      <c r="AY106" s="64">
        <f t="shared" si="1979"/>
        <v>0</v>
      </c>
      <c r="AZ106" s="66">
        <f t="shared" si="1469"/>
        <v>0</v>
      </c>
      <c r="BA106" s="67">
        <f t="shared" si="1980"/>
        <v>0</v>
      </c>
      <c r="BB106" s="64">
        <f t="shared" si="1981"/>
        <v>0</v>
      </c>
      <c r="BC106" s="62"/>
      <c r="BD106" s="63"/>
      <c r="BE106" s="64">
        <f t="shared" si="1982"/>
        <v>0</v>
      </c>
      <c r="BF106" s="65"/>
      <c r="BG106" s="63"/>
      <c r="BH106" s="64">
        <f t="shared" si="1983"/>
        <v>0</v>
      </c>
      <c r="BI106" s="65"/>
      <c r="BJ106" s="63"/>
      <c r="BK106" s="64">
        <f t="shared" si="1984"/>
        <v>0</v>
      </c>
      <c r="BL106" s="65">
        <v>100</v>
      </c>
      <c r="BM106" s="63"/>
      <c r="BN106" s="64">
        <f t="shared" si="1985"/>
        <v>100</v>
      </c>
      <c r="BO106" s="66">
        <f t="shared" si="1476"/>
        <v>100</v>
      </c>
      <c r="BP106" s="67">
        <f t="shared" si="1986"/>
        <v>0</v>
      </c>
      <c r="BQ106" s="64">
        <f t="shared" si="1987"/>
        <v>100</v>
      </c>
      <c r="BR106" s="72"/>
      <c r="BS106" s="73"/>
      <c r="BT106" s="74"/>
      <c r="BU106" s="75"/>
      <c r="BV106" s="73"/>
      <c r="BW106" s="74"/>
      <c r="BX106" s="75"/>
      <c r="BY106" s="73"/>
      <c r="BZ106" s="74"/>
      <c r="CA106" s="75"/>
      <c r="CB106" s="73"/>
      <c r="CC106" s="74"/>
      <c r="CD106" s="76"/>
      <c r="CE106" s="77"/>
      <c r="CF106" s="64">
        <f t="shared" si="1988"/>
        <v>0</v>
      </c>
      <c r="CG106" s="62"/>
      <c r="CH106" s="63"/>
      <c r="CI106" s="64">
        <f t="shared" si="1989"/>
        <v>0</v>
      </c>
      <c r="CJ106" s="65"/>
      <c r="CK106" s="63"/>
      <c r="CL106" s="64">
        <f t="shared" si="1990"/>
        <v>0</v>
      </c>
      <c r="CM106" s="65"/>
      <c r="CN106" s="63"/>
      <c r="CO106" s="64">
        <f t="shared" si="1991"/>
        <v>0</v>
      </c>
      <c r="CP106" s="65"/>
      <c r="CQ106" s="63"/>
      <c r="CR106" s="64">
        <f t="shared" si="1992"/>
        <v>0</v>
      </c>
      <c r="CS106" s="66">
        <f t="shared" si="1484"/>
        <v>0</v>
      </c>
      <c r="CT106" s="67">
        <f t="shared" si="1993"/>
        <v>0</v>
      </c>
      <c r="CU106" s="64">
        <f t="shared" si="1994"/>
        <v>0</v>
      </c>
      <c r="CV106" s="62">
        <v>2916.7</v>
      </c>
      <c r="CW106" s="63"/>
      <c r="CX106" s="64">
        <f t="shared" si="1995"/>
        <v>2916.7</v>
      </c>
      <c r="CY106" s="65">
        <v>429.15</v>
      </c>
      <c r="CZ106" s="63"/>
      <c r="DA106" s="64">
        <f t="shared" si="1996"/>
        <v>429.15</v>
      </c>
      <c r="DB106" s="65"/>
      <c r="DC106" s="63"/>
      <c r="DD106" s="64">
        <f t="shared" si="1997"/>
        <v>0</v>
      </c>
      <c r="DE106" s="65"/>
      <c r="DF106" s="63"/>
      <c r="DG106" s="64">
        <f t="shared" si="1998"/>
        <v>0</v>
      </c>
      <c r="DH106" s="66">
        <f t="shared" si="1491"/>
        <v>3345.85</v>
      </c>
      <c r="DI106" s="67">
        <f t="shared" si="1999"/>
        <v>0</v>
      </c>
      <c r="DJ106" s="64">
        <f t="shared" si="2000"/>
        <v>3345.85</v>
      </c>
      <c r="DK106" s="62">
        <v>2400</v>
      </c>
      <c r="DL106" s="63"/>
      <c r="DM106" s="64">
        <f t="shared" si="2001"/>
        <v>2400</v>
      </c>
      <c r="DN106" s="65">
        <v>913.08</v>
      </c>
      <c r="DO106" s="63"/>
      <c r="DP106" s="64">
        <f t="shared" si="2002"/>
        <v>913.08</v>
      </c>
      <c r="DQ106" s="65"/>
      <c r="DR106" s="63"/>
      <c r="DS106" s="64">
        <f t="shared" si="2003"/>
        <v>0</v>
      </c>
      <c r="DT106" s="65">
        <v>100</v>
      </c>
      <c r="DU106" s="63"/>
      <c r="DV106" s="64">
        <f t="shared" si="2004"/>
        <v>100</v>
      </c>
      <c r="DW106" s="66">
        <f t="shared" si="1498"/>
        <v>3413.08</v>
      </c>
      <c r="DX106" s="67">
        <f t="shared" si="2005"/>
        <v>0</v>
      </c>
      <c r="DY106" s="64">
        <f t="shared" si="2006"/>
        <v>3413.08</v>
      </c>
      <c r="DZ106" s="62"/>
      <c r="EA106" s="63"/>
      <c r="EB106" s="64">
        <f t="shared" si="2007"/>
        <v>0</v>
      </c>
      <c r="EC106" s="65"/>
      <c r="ED106" s="63"/>
      <c r="EE106" s="64">
        <f t="shared" si="2008"/>
        <v>0</v>
      </c>
      <c r="EF106" s="65"/>
      <c r="EG106" s="63"/>
      <c r="EH106" s="64">
        <f t="shared" si="2009"/>
        <v>0</v>
      </c>
      <c r="EI106" s="65">
        <v>100</v>
      </c>
      <c r="EJ106" s="63"/>
      <c r="EK106" s="64">
        <f t="shared" si="2010"/>
        <v>100</v>
      </c>
      <c r="EL106" s="66">
        <f t="shared" si="1505"/>
        <v>100</v>
      </c>
      <c r="EM106" s="67">
        <f t="shared" si="2011"/>
        <v>0</v>
      </c>
      <c r="EN106" s="64">
        <f t="shared" si="2012"/>
        <v>100</v>
      </c>
      <c r="EO106" s="62"/>
      <c r="EP106" s="63"/>
      <c r="EQ106" s="64">
        <f t="shared" si="2013"/>
        <v>0</v>
      </c>
      <c r="ER106" s="65"/>
      <c r="ES106" s="63"/>
      <c r="ET106" s="64">
        <f t="shared" si="2014"/>
        <v>0</v>
      </c>
      <c r="EU106" s="65"/>
      <c r="EV106" s="63"/>
      <c r="EW106" s="64">
        <f t="shared" si="2015"/>
        <v>0</v>
      </c>
      <c r="EX106" s="65">
        <v>100</v>
      </c>
      <c r="EY106" s="63"/>
      <c r="EZ106" s="64">
        <f t="shared" si="2016"/>
        <v>100</v>
      </c>
      <c r="FA106" s="66">
        <f t="shared" si="1512"/>
        <v>100</v>
      </c>
      <c r="FB106" s="67">
        <f t="shared" si="2017"/>
        <v>0</v>
      </c>
      <c r="FC106" s="64">
        <f t="shared" si="2018"/>
        <v>100</v>
      </c>
      <c r="FD106" s="62"/>
      <c r="FE106" s="63"/>
      <c r="FF106" s="64">
        <f t="shared" si="2019"/>
        <v>0</v>
      </c>
      <c r="FG106" s="65"/>
      <c r="FH106" s="63"/>
      <c r="FI106" s="64">
        <f t="shared" si="2020"/>
        <v>0</v>
      </c>
      <c r="FJ106" s="65"/>
      <c r="FK106" s="63"/>
      <c r="FL106" s="64">
        <f t="shared" si="2021"/>
        <v>0</v>
      </c>
      <c r="FM106" s="65">
        <v>100</v>
      </c>
      <c r="FN106" s="63"/>
      <c r="FO106" s="64">
        <f t="shared" si="2022"/>
        <v>100</v>
      </c>
      <c r="FP106" s="66">
        <f t="shared" si="1519"/>
        <v>100</v>
      </c>
      <c r="FQ106" s="67">
        <f t="shared" si="2023"/>
        <v>0</v>
      </c>
      <c r="FR106" s="64">
        <f t="shared" si="2024"/>
        <v>100</v>
      </c>
      <c r="FS106" s="62"/>
      <c r="FT106" s="63"/>
      <c r="FU106" s="64">
        <f t="shared" si="2025"/>
        <v>0</v>
      </c>
      <c r="FV106" s="65">
        <v>485.35</v>
      </c>
      <c r="FW106" s="63"/>
      <c r="FX106" s="64">
        <f t="shared" si="2026"/>
        <v>485.35</v>
      </c>
      <c r="FY106" s="65"/>
      <c r="FZ106" s="63"/>
      <c r="GA106" s="64">
        <f t="shared" si="2027"/>
        <v>0</v>
      </c>
      <c r="GB106" s="65"/>
      <c r="GC106" s="63"/>
      <c r="GD106" s="64">
        <f t="shared" si="2028"/>
        <v>0</v>
      </c>
      <c r="GE106" s="66">
        <f t="shared" si="1526"/>
        <v>485.35</v>
      </c>
      <c r="GF106" s="67">
        <f t="shared" si="2029"/>
        <v>0</v>
      </c>
      <c r="GG106" s="64">
        <f t="shared" si="2030"/>
        <v>485.35</v>
      </c>
      <c r="GH106" s="62"/>
      <c r="GI106" s="63"/>
      <c r="GJ106" s="64">
        <f t="shared" si="2031"/>
        <v>0</v>
      </c>
      <c r="GK106" s="65">
        <v>660.33</v>
      </c>
      <c r="GL106" s="63"/>
      <c r="GM106" s="64">
        <f t="shared" si="2032"/>
        <v>660.33</v>
      </c>
      <c r="GN106" s="65"/>
      <c r="GO106" s="63"/>
      <c r="GP106" s="64">
        <f t="shared" si="2033"/>
        <v>0</v>
      </c>
      <c r="GQ106" s="65"/>
      <c r="GR106" s="63"/>
      <c r="GS106" s="64">
        <f t="shared" si="2034"/>
        <v>0</v>
      </c>
      <c r="GT106" s="66">
        <f t="shared" si="1533"/>
        <v>660.33</v>
      </c>
      <c r="GU106" s="67">
        <f t="shared" si="2035"/>
        <v>0</v>
      </c>
      <c r="GV106" s="64">
        <f t="shared" si="2036"/>
        <v>660.33</v>
      </c>
      <c r="GW106" s="62"/>
      <c r="GX106" s="63"/>
      <c r="GY106" s="64">
        <f t="shared" si="2037"/>
        <v>0</v>
      </c>
      <c r="GZ106" s="65">
        <v>568.25</v>
      </c>
      <c r="HA106" s="63"/>
      <c r="HB106" s="64">
        <f t="shared" si="2038"/>
        <v>568.25</v>
      </c>
      <c r="HC106" s="65"/>
      <c r="HD106" s="63"/>
      <c r="HE106" s="64">
        <f t="shared" si="2039"/>
        <v>0</v>
      </c>
      <c r="HF106" s="65">
        <v>100</v>
      </c>
      <c r="HG106" s="63"/>
      <c r="HH106" s="64">
        <f t="shared" si="2040"/>
        <v>100</v>
      </c>
      <c r="HI106" s="66">
        <f t="shared" si="1540"/>
        <v>668.25</v>
      </c>
      <c r="HJ106" s="67">
        <f t="shared" si="2041"/>
        <v>0</v>
      </c>
      <c r="HK106" s="64">
        <f t="shared" si="2042"/>
        <v>668.25</v>
      </c>
      <c r="HL106" s="62"/>
      <c r="HM106" s="63"/>
      <c r="HN106" s="64">
        <f t="shared" si="2043"/>
        <v>0</v>
      </c>
      <c r="HO106" s="65"/>
      <c r="HP106" s="63"/>
      <c r="HQ106" s="64">
        <f t="shared" si="2044"/>
        <v>0</v>
      </c>
      <c r="HR106" s="65"/>
      <c r="HS106" s="63"/>
      <c r="HT106" s="64">
        <f t="shared" si="2045"/>
        <v>0</v>
      </c>
      <c r="HU106" s="65">
        <v>100</v>
      </c>
      <c r="HV106" s="63"/>
      <c r="HW106" s="64">
        <f t="shared" si="2046"/>
        <v>100</v>
      </c>
      <c r="HX106" s="66">
        <f t="shared" si="1547"/>
        <v>100</v>
      </c>
      <c r="HY106" s="67">
        <f t="shared" si="2047"/>
        <v>0</v>
      </c>
      <c r="HZ106" s="64">
        <f t="shared" si="2048"/>
        <v>100</v>
      </c>
      <c r="IA106" s="62"/>
      <c r="IB106" s="63"/>
      <c r="IC106" s="64">
        <f t="shared" si="2049"/>
        <v>0</v>
      </c>
      <c r="ID106" s="65"/>
      <c r="IE106" s="63"/>
      <c r="IF106" s="64">
        <f t="shared" si="2050"/>
        <v>0</v>
      </c>
      <c r="IG106" s="65"/>
      <c r="IH106" s="63"/>
      <c r="II106" s="64">
        <f t="shared" si="2051"/>
        <v>0</v>
      </c>
      <c r="IJ106" s="65">
        <v>100</v>
      </c>
      <c r="IK106" s="63"/>
      <c r="IL106" s="64">
        <f t="shared" si="2052"/>
        <v>100</v>
      </c>
      <c r="IM106" s="66">
        <f t="shared" si="1554"/>
        <v>100</v>
      </c>
      <c r="IN106" s="67">
        <f t="shared" si="2053"/>
        <v>0</v>
      </c>
      <c r="IO106" s="64">
        <f t="shared" si="2054"/>
        <v>100</v>
      </c>
      <c r="IP106" s="62"/>
      <c r="IQ106" s="63"/>
      <c r="IR106" s="64">
        <f t="shared" si="2055"/>
        <v>0</v>
      </c>
      <c r="IS106" s="65"/>
      <c r="IT106" s="63"/>
      <c r="IU106" s="64">
        <f t="shared" si="2056"/>
        <v>0</v>
      </c>
      <c r="IV106" s="65"/>
      <c r="IW106" s="63"/>
      <c r="IX106" s="64">
        <f t="shared" si="2057"/>
        <v>0</v>
      </c>
      <c r="IY106" s="65"/>
      <c r="IZ106" s="63"/>
      <c r="JA106" s="64">
        <f t="shared" si="2058"/>
        <v>0</v>
      </c>
      <c r="JB106" s="66">
        <f t="shared" si="1561"/>
        <v>0</v>
      </c>
      <c r="JC106" s="67">
        <f t="shared" si="2059"/>
        <v>0</v>
      </c>
      <c r="JD106" s="64">
        <f t="shared" si="2060"/>
        <v>0</v>
      </c>
      <c r="JE106" s="72"/>
      <c r="JF106" s="150"/>
      <c r="JG106" s="74"/>
      <c r="JH106" s="75"/>
      <c r="JI106" s="150"/>
      <c r="JJ106" s="74"/>
      <c r="JK106" s="75"/>
      <c r="JL106" s="150"/>
      <c r="JM106" s="74"/>
      <c r="JN106" s="75"/>
      <c r="JO106" s="150"/>
      <c r="JP106" s="74"/>
      <c r="JQ106" s="76"/>
      <c r="JR106" s="77"/>
      <c r="JS106" s="74"/>
      <c r="JT106" s="72"/>
      <c r="JU106" s="73"/>
      <c r="JV106" s="74"/>
      <c r="JW106" s="75"/>
      <c r="JX106" s="73"/>
      <c r="JY106" s="74"/>
      <c r="JZ106" s="75"/>
      <c r="KA106" s="73"/>
      <c r="KB106" s="74"/>
      <c r="KC106" s="75"/>
      <c r="KD106" s="73"/>
      <c r="KE106" s="74"/>
      <c r="KF106" s="76"/>
      <c r="KG106" s="77"/>
      <c r="KH106" s="64">
        <f t="shared" si="2061"/>
        <v>0</v>
      </c>
      <c r="KI106" s="62"/>
      <c r="KJ106" s="63"/>
      <c r="KK106" s="64">
        <f t="shared" si="2062"/>
        <v>0</v>
      </c>
      <c r="KL106" s="65"/>
      <c r="KM106" s="63"/>
      <c r="KN106" s="64">
        <f t="shared" si="2063"/>
        <v>0</v>
      </c>
      <c r="KO106" s="65"/>
      <c r="KP106" s="63"/>
      <c r="KQ106" s="64">
        <f t="shared" si="2064"/>
        <v>0</v>
      </c>
      <c r="KR106" s="65"/>
      <c r="KS106" s="63"/>
      <c r="KT106" s="64">
        <f t="shared" si="2065"/>
        <v>0</v>
      </c>
      <c r="KU106" s="66">
        <f t="shared" si="1439"/>
        <v>0</v>
      </c>
      <c r="KV106" s="67">
        <f t="shared" si="2066"/>
        <v>0</v>
      </c>
      <c r="KW106" s="64">
        <f t="shared" si="2067"/>
        <v>0</v>
      </c>
      <c r="KX106" s="72"/>
      <c r="KY106" s="73"/>
      <c r="KZ106" s="74"/>
      <c r="LA106" s="75"/>
      <c r="LB106" s="73"/>
      <c r="LC106" s="74"/>
      <c r="LD106" s="75"/>
      <c r="LE106" s="73"/>
      <c r="LF106" s="74"/>
      <c r="LG106" s="75"/>
      <c r="LH106" s="73"/>
      <c r="LI106" s="74"/>
      <c r="LJ106" s="76"/>
      <c r="LK106" s="77"/>
      <c r="LL106" s="74"/>
      <c r="LM106" s="62"/>
      <c r="LN106" s="63"/>
      <c r="LO106" s="64">
        <f t="shared" si="2068"/>
        <v>0</v>
      </c>
      <c r="LP106" s="65"/>
      <c r="LQ106" s="63"/>
      <c r="LR106" s="64">
        <f t="shared" si="2069"/>
        <v>0</v>
      </c>
      <c r="LS106" s="65"/>
      <c r="LT106" s="63"/>
      <c r="LU106" s="64">
        <f t="shared" si="2070"/>
        <v>0</v>
      </c>
      <c r="LV106" s="65">
        <v>100</v>
      </c>
      <c r="LW106" s="63"/>
      <c r="LX106" s="64">
        <f t="shared" si="2071"/>
        <v>100</v>
      </c>
      <c r="LY106" s="66">
        <f t="shared" si="1575"/>
        <v>100</v>
      </c>
      <c r="LZ106" s="67">
        <f t="shared" si="2072"/>
        <v>0</v>
      </c>
      <c r="MA106" s="64">
        <f t="shared" si="2073"/>
        <v>100</v>
      </c>
      <c r="MB106" s="62"/>
      <c r="MC106" s="63"/>
      <c r="MD106" s="64">
        <f t="shared" si="2074"/>
        <v>0</v>
      </c>
      <c r="ME106" s="65">
        <v>889.11</v>
      </c>
      <c r="MF106" s="63"/>
      <c r="MG106" s="64">
        <f t="shared" si="2075"/>
        <v>889.11</v>
      </c>
      <c r="MH106" s="65"/>
      <c r="MI106" s="63"/>
      <c r="MJ106" s="64">
        <f t="shared" si="2076"/>
        <v>0</v>
      </c>
      <c r="MK106" s="65">
        <v>100</v>
      </c>
      <c r="ML106" s="63"/>
      <c r="MM106" s="64">
        <f t="shared" si="2077"/>
        <v>100</v>
      </c>
      <c r="MN106" s="66">
        <f t="shared" si="1582"/>
        <v>989.11</v>
      </c>
      <c r="MO106" s="67">
        <f t="shared" si="2078"/>
        <v>0</v>
      </c>
      <c r="MP106" s="64">
        <f t="shared" si="2079"/>
        <v>989.11</v>
      </c>
      <c r="MQ106" s="62"/>
      <c r="MR106" s="63"/>
      <c r="MS106" s="64">
        <f t="shared" si="2080"/>
        <v>0</v>
      </c>
      <c r="MT106" s="65"/>
      <c r="MU106" s="63"/>
      <c r="MV106" s="64">
        <f t="shared" si="2081"/>
        <v>0</v>
      </c>
      <c r="MW106" s="65"/>
      <c r="MX106" s="63"/>
      <c r="MY106" s="64">
        <f t="shared" si="2082"/>
        <v>0</v>
      </c>
      <c r="MZ106" s="65"/>
      <c r="NA106" s="63"/>
      <c r="NB106" s="64">
        <f t="shared" si="2083"/>
        <v>0</v>
      </c>
      <c r="NC106" s="66">
        <f t="shared" si="1589"/>
        <v>0</v>
      </c>
      <c r="ND106" s="67">
        <f t="shared" si="2084"/>
        <v>0</v>
      </c>
      <c r="NE106" s="64">
        <f t="shared" si="2085"/>
        <v>0</v>
      </c>
      <c r="NF106" s="62"/>
      <c r="NG106" s="63"/>
      <c r="NH106" s="64">
        <f t="shared" si="2086"/>
        <v>0</v>
      </c>
      <c r="NI106" s="65">
        <v>1164.04</v>
      </c>
      <c r="NJ106" s="63"/>
      <c r="NK106" s="64">
        <f t="shared" si="2087"/>
        <v>1164.04</v>
      </c>
      <c r="NL106" s="65"/>
      <c r="NM106" s="63"/>
      <c r="NN106" s="64">
        <f t="shared" si="2088"/>
        <v>0</v>
      </c>
      <c r="NO106" s="65">
        <v>100</v>
      </c>
      <c r="NP106" s="63"/>
      <c r="NQ106" s="64">
        <f t="shared" si="2089"/>
        <v>100</v>
      </c>
      <c r="NR106" s="66">
        <f t="shared" si="1596"/>
        <v>1264.04</v>
      </c>
      <c r="NS106" s="67">
        <f t="shared" si="2090"/>
        <v>0</v>
      </c>
      <c r="NT106" s="64">
        <f t="shared" si="2091"/>
        <v>1264.04</v>
      </c>
      <c r="NU106" s="62"/>
      <c r="NV106" s="63"/>
      <c r="NW106" s="64">
        <f t="shared" si="2092"/>
        <v>0</v>
      </c>
      <c r="NX106" s="65">
        <v>1152.73</v>
      </c>
      <c r="NY106" s="63"/>
      <c r="NZ106" s="64">
        <f t="shared" si="2093"/>
        <v>1152.73</v>
      </c>
      <c r="OA106" s="65"/>
      <c r="OB106" s="63"/>
      <c r="OC106" s="64">
        <f t="shared" si="2094"/>
        <v>0</v>
      </c>
      <c r="OD106" s="65">
        <v>100</v>
      </c>
      <c r="OE106" s="63"/>
      <c r="OF106" s="64">
        <f t="shared" si="2095"/>
        <v>100</v>
      </c>
      <c r="OG106" s="66">
        <f t="shared" si="1603"/>
        <v>1252.73</v>
      </c>
      <c r="OH106" s="67">
        <f t="shared" si="2096"/>
        <v>0</v>
      </c>
      <c r="OI106" s="64">
        <f t="shared" si="2097"/>
        <v>1252.73</v>
      </c>
      <c r="OJ106" s="62">
        <v>17500</v>
      </c>
      <c r="OK106" s="63"/>
      <c r="OL106" s="64">
        <f t="shared" si="2098"/>
        <v>17500</v>
      </c>
      <c r="OM106" s="65"/>
      <c r="ON106" s="63"/>
      <c r="OO106" s="64">
        <f t="shared" si="2099"/>
        <v>0</v>
      </c>
      <c r="OP106" s="65">
        <v>1200</v>
      </c>
      <c r="OQ106" s="63"/>
      <c r="OR106" s="64">
        <f t="shared" si="2100"/>
        <v>1200</v>
      </c>
      <c r="OS106" s="65">
        <v>100</v>
      </c>
      <c r="OT106" s="63"/>
      <c r="OU106" s="64">
        <f t="shared" si="2101"/>
        <v>100</v>
      </c>
      <c r="OV106" s="66">
        <f t="shared" si="1610"/>
        <v>18800</v>
      </c>
      <c r="OW106" s="67">
        <f t="shared" si="2102"/>
        <v>0</v>
      </c>
      <c r="OX106" s="64">
        <f t="shared" si="2103"/>
        <v>18800</v>
      </c>
      <c r="OY106" s="62"/>
      <c r="OZ106" s="63"/>
      <c r="PA106" s="64">
        <f t="shared" si="2104"/>
        <v>0</v>
      </c>
      <c r="PB106" s="65"/>
      <c r="PC106" s="63"/>
      <c r="PD106" s="64">
        <f t="shared" si="2105"/>
        <v>0</v>
      </c>
      <c r="PE106" s="65"/>
      <c r="PF106" s="63"/>
      <c r="PG106" s="64">
        <f t="shared" si="2106"/>
        <v>0</v>
      </c>
      <c r="PH106" s="65">
        <v>100</v>
      </c>
      <c r="PI106" s="63"/>
      <c r="PJ106" s="64">
        <f t="shared" si="2107"/>
        <v>100</v>
      </c>
      <c r="PK106" s="66">
        <f t="shared" si="1617"/>
        <v>100</v>
      </c>
      <c r="PL106" s="67">
        <f t="shared" si="2108"/>
        <v>0</v>
      </c>
      <c r="PM106" s="64">
        <f t="shared" si="2109"/>
        <v>100</v>
      </c>
      <c r="PN106" s="62">
        <v>1550</v>
      </c>
      <c r="PO106" s="63"/>
      <c r="PP106" s="64">
        <f t="shared" si="2110"/>
        <v>1550</v>
      </c>
      <c r="PQ106" s="65"/>
      <c r="PR106" s="63"/>
      <c r="PS106" s="64">
        <f t="shared" si="2111"/>
        <v>0</v>
      </c>
      <c r="PT106" s="65"/>
      <c r="PU106" s="63"/>
      <c r="PV106" s="64">
        <f t="shared" si="2112"/>
        <v>0</v>
      </c>
      <c r="PW106" s="65">
        <v>100</v>
      </c>
      <c r="PX106" s="63"/>
      <c r="PY106" s="64">
        <f t="shared" si="2113"/>
        <v>100</v>
      </c>
      <c r="PZ106" s="66">
        <f t="shared" si="1624"/>
        <v>1650</v>
      </c>
      <c r="QA106" s="67">
        <f t="shared" si="2114"/>
        <v>0</v>
      </c>
      <c r="QB106" s="64">
        <f t="shared" si="2115"/>
        <v>1650</v>
      </c>
      <c r="QC106" s="62"/>
      <c r="QD106" s="63"/>
      <c r="QE106" s="64">
        <f t="shared" si="2116"/>
        <v>0</v>
      </c>
      <c r="QF106" s="65"/>
      <c r="QG106" s="63"/>
      <c r="QH106" s="64">
        <f t="shared" si="2117"/>
        <v>0</v>
      </c>
      <c r="QI106" s="65"/>
      <c r="QJ106" s="63"/>
      <c r="QK106" s="64">
        <f t="shared" si="2118"/>
        <v>0</v>
      </c>
      <c r="QL106" s="65">
        <v>100</v>
      </c>
      <c r="QM106" s="63"/>
      <c r="QN106" s="64">
        <f t="shared" si="2119"/>
        <v>100</v>
      </c>
      <c r="QO106" s="66">
        <f t="shared" si="1631"/>
        <v>100</v>
      </c>
      <c r="QP106" s="67">
        <f t="shared" si="2120"/>
        <v>0</v>
      </c>
      <c r="QQ106" s="64">
        <f t="shared" si="2121"/>
        <v>100</v>
      </c>
      <c r="QR106" s="74"/>
      <c r="QS106" s="74"/>
      <c r="QT106" s="72"/>
      <c r="QU106" s="73"/>
      <c r="QV106" s="74"/>
      <c r="QW106" s="75"/>
      <c r="QX106" s="73"/>
      <c r="QY106" s="74"/>
      <c r="QZ106" s="75"/>
      <c r="RA106" s="73"/>
      <c r="RB106" s="74"/>
      <c r="RC106" s="75"/>
      <c r="RD106" s="73"/>
      <c r="RE106" s="74"/>
      <c r="RF106" s="74"/>
      <c r="RG106" s="72"/>
      <c r="RH106" s="73"/>
      <c r="RI106" s="74"/>
      <c r="RJ106" s="75"/>
      <c r="RK106" s="73"/>
      <c r="RL106" s="74"/>
      <c r="RM106" s="75"/>
      <c r="RN106" s="73"/>
      <c r="RO106" s="74"/>
      <c r="RP106" s="75"/>
      <c r="RQ106" s="73"/>
      <c r="RR106" s="74"/>
      <c r="RS106" s="76"/>
      <c r="RT106" s="77"/>
      <c r="RU106" s="74"/>
      <c r="RV106" s="74"/>
      <c r="RW106" s="72"/>
      <c r="RX106" s="73"/>
      <c r="RY106" s="74"/>
      <c r="RZ106" s="75"/>
      <c r="SA106" s="73"/>
      <c r="SB106" s="74"/>
      <c r="SC106" s="75"/>
      <c r="SD106" s="73"/>
      <c r="SE106" s="74"/>
      <c r="SF106" s="75"/>
      <c r="SG106" s="73"/>
      <c r="SH106" s="74"/>
      <c r="SI106" s="76"/>
      <c r="SJ106" s="64">
        <f t="shared" si="2122"/>
        <v>0</v>
      </c>
      <c r="SK106" s="62"/>
      <c r="SL106" s="63"/>
      <c r="SM106" s="64">
        <f t="shared" si="2123"/>
        <v>0</v>
      </c>
      <c r="SN106" s="65"/>
      <c r="SO106" s="63"/>
      <c r="SP106" s="64">
        <f t="shared" si="2124"/>
        <v>0</v>
      </c>
      <c r="SQ106" s="65"/>
      <c r="SR106" s="63"/>
      <c r="SS106" s="64">
        <f t="shared" si="2125"/>
        <v>0</v>
      </c>
      <c r="ST106" s="65">
        <v>100</v>
      </c>
      <c r="SU106" s="63"/>
      <c r="SV106" s="64">
        <f t="shared" si="2126"/>
        <v>100</v>
      </c>
      <c r="SW106" s="66">
        <f t="shared" si="1639"/>
        <v>100</v>
      </c>
      <c r="SX106" s="67">
        <f t="shared" si="2127"/>
        <v>0</v>
      </c>
      <c r="SY106" s="64">
        <f t="shared" si="2128"/>
        <v>100</v>
      </c>
      <c r="SZ106" s="62">
        <v>985.33</v>
      </c>
      <c r="TA106" s="63"/>
      <c r="TB106" s="64">
        <f t="shared" si="2129"/>
        <v>985.33</v>
      </c>
      <c r="TC106" s="65">
        <v>700.9</v>
      </c>
      <c r="TD106" s="63"/>
      <c r="TE106" s="64">
        <f t="shared" si="2130"/>
        <v>700.9</v>
      </c>
      <c r="TF106" s="65"/>
      <c r="TG106" s="63"/>
      <c r="TH106" s="64">
        <f t="shared" si="2131"/>
        <v>0</v>
      </c>
      <c r="TI106" s="65">
        <v>100</v>
      </c>
      <c r="TJ106" s="63"/>
      <c r="TK106" s="64">
        <f t="shared" si="2132"/>
        <v>100</v>
      </c>
      <c r="TL106" s="66">
        <f t="shared" si="1646"/>
        <v>1786.23</v>
      </c>
      <c r="TM106" s="67">
        <f t="shared" si="2133"/>
        <v>0</v>
      </c>
      <c r="TN106" s="64">
        <f t="shared" si="2134"/>
        <v>1786.23</v>
      </c>
      <c r="TO106" s="62"/>
      <c r="TP106" s="63"/>
      <c r="TQ106" s="64">
        <f t="shared" si="2135"/>
        <v>0</v>
      </c>
      <c r="TR106" s="65"/>
      <c r="TS106" s="63"/>
      <c r="TT106" s="64">
        <f t="shared" si="2136"/>
        <v>0</v>
      </c>
      <c r="TU106" s="65"/>
      <c r="TV106" s="63"/>
      <c r="TW106" s="64">
        <f t="shared" si="2137"/>
        <v>0</v>
      </c>
      <c r="TX106" s="65">
        <v>100</v>
      </c>
      <c r="TY106" s="63"/>
      <c r="TZ106" s="64">
        <f t="shared" si="2138"/>
        <v>100</v>
      </c>
      <c r="UA106" s="66">
        <f t="shared" si="1653"/>
        <v>100</v>
      </c>
      <c r="UB106" s="67">
        <f t="shared" si="2139"/>
        <v>0</v>
      </c>
      <c r="UC106" s="64">
        <f t="shared" si="2140"/>
        <v>100</v>
      </c>
      <c r="UD106" s="62"/>
      <c r="UE106" s="63"/>
      <c r="UF106" s="64">
        <f t="shared" si="2141"/>
        <v>0</v>
      </c>
      <c r="UG106" s="65">
        <v>497.04</v>
      </c>
      <c r="UH106" s="63"/>
      <c r="UI106" s="64">
        <f t="shared" si="2142"/>
        <v>497.04</v>
      </c>
      <c r="UJ106" s="65"/>
      <c r="UK106" s="63"/>
      <c r="UL106" s="64">
        <f t="shared" si="2143"/>
        <v>0</v>
      </c>
      <c r="UM106" s="65">
        <v>100</v>
      </c>
      <c r="UN106" s="63"/>
      <c r="UO106" s="64">
        <f t="shared" si="2144"/>
        <v>100</v>
      </c>
      <c r="UP106" s="66">
        <f t="shared" si="1660"/>
        <v>597.04</v>
      </c>
      <c r="UQ106" s="67">
        <f t="shared" si="2145"/>
        <v>0</v>
      </c>
      <c r="UR106" s="64">
        <f t="shared" si="2146"/>
        <v>597.04</v>
      </c>
      <c r="US106" s="74"/>
      <c r="UT106" s="72"/>
      <c r="UU106" s="73"/>
      <c r="UV106" s="74"/>
      <c r="UW106" s="75"/>
      <c r="UX106" s="73"/>
      <c r="UY106" s="74"/>
      <c r="UZ106" s="75"/>
      <c r="VA106" s="73"/>
      <c r="VB106" s="74"/>
      <c r="VC106" s="75"/>
      <c r="VD106" s="73"/>
      <c r="VE106" s="74"/>
      <c r="VF106" s="76"/>
      <c r="VG106" s="77"/>
      <c r="VH106" s="62"/>
      <c r="VI106" s="63"/>
      <c r="VJ106" s="64">
        <f t="shared" si="2147"/>
        <v>0</v>
      </c>
      <c r="VK106" s="65"/>
      <c r="VL106" s="63"/>
      <c r="VM106" s="64">
        <f t="shared" si="2148"/>
        <v>0</v>
      </c>
      <c r="VN106" s="65"/>
      <c r="VO106" s="63"/>
      <c r="VP106" s="64">
        <f t="shared" si="2149"/>
        <v>0</v>
      </c>
      <c r="VQ106" s="65">
        <v>100</v>
      </c>
      <c r="VR106" s="63"/>
      <c r="VS106" s="64">
        <f t="shared" si="2150"/>
        <v>100</v>
      </c>
      <c r="VT106" s="66">
        <f t="shared" si="1667"/>
        <v>100</v>
      </c>
      <c r="VU106" s="67">
        <f t="shared" si="2151"/>
        <v>0</v>
      </c>
      <c r="VV106" s="64">
        <f t="shared" si="2152"/>
        <v>100</v>
      </c>
      <c r="VW106" s="74"/>
      <c r="VX106" s="72"/>
      <c r="VY106" s="73"/>
      <c r="VZ106" s="74"/>
      <c r="WA106" s="75"/>
      <c r="WB106" s="73"/>
      <c r="WC106" s="74"/>
      <c r="WD106" s="75"/>
      <c r="WE106" s="73"/>
      <c r="WF106" s="74"/>
      <c r="WG106" s="75"/>
      <c r="WH106" s="73"/>
      <c r="WI106" s="74"/>
      <c r="WJ106" s="76"/>
      <c r="WK106" s="77"/>
      <c r="WL106" s="74"/>
      <c r="WM106" s="72"/>
      <c r="WN106" s="73"/>
      <c r="WO106" s="74"/>
      <c r="WP106" s="75"/>
      <c r="WQ106" s="73"/>
      <c r="WR106" s="74"/>
      <c r="WS106" s="75"/>
      <c r="WT106" s="73"/>
      <c r="WU106" s="74"/>
      <c r="WV106" s="75"/>
      <c r="WW106" s="73"/>
      <c r="WX106" s="74"/>
      <c r="WY106" s="76"/>
      <c r="WZ106" s="77"/>
      <c r="XA106" s="74"/>
      <c r="XB106" s="72"/>
      <c r="XC106" s="73"/>
      <c r="XD106" s="74"/>
      <c r="XE106" s="75"/>
      <c r="XF106" s="73"/>
      <c r="XG106" s="74"/>
      <c r="XH106" s="75"/>
      <c r="XI106" s="73"/>
      <c r="XJ106" s="74"/>
      <c r="XK106" s="75"/>
      <c r="XL106" s="73"/>
      <c r="XM106" s="74"/>
      <c r="XN106" s="76"/>
      <c r="XO106" s="77"/>
      <c r="XP106" s="62"/>
      <c r="XQ106" s="63"/>
      <c r="XR106" s="64">
        <f t="shared" si="2153"/>
        <v>0</v>
      </c>
      <c r="XS106" s="65">
        <v>844.24</v>
      </c>
      <c r="XT106" s="63"/>
      <c r="XU106" s="64">
        <f t="shared" si="2154"/>
        <v>844.24</v>
      </c>
      <c r="XV106" s="65"/>
      <c r="XW106" s="63"/>
      <c r="XX106" s="64">
        <f t="shared" si="2155"/>
        <v>0</v>
      </c>
      <c r="XY106" s="65">
        <v>100</v>
      </c>
      <c r="XZ106" s="63"/>
      <c r="YA106" s="64">
        <f t="shared" si="2156"/>
        <v>100</v>
      </c>
      <c r="YB106" s="66">
        <f t="shared" si="1674"/>
        <v>944.24</v>
      </c>
      <c r="YC106" s="67">
        <f t="shared" si="2157"/>
        <v>0</v>
      </c>
      <c r="YD106" s="64">
        <f t="shared" si="2158"/>
        <v>944.24</v>
      </c>
      <c r="YE106" s="62"/>
      <c r="YF106" s="63"/>
      <c r="YG106" s="64">
        <f t="shared" si="2159"/>
        <v>0</v>
      </c>
      <c r="YH106" s="65">
        <v>847.85</v>
      </c>
      <c r="YI106" s="63"/>
      <c r="YJ106" s="64">
        <f t="shared" si="2160"/>
        <v>847.85</v>
      </c>
      <c r="YK106" s="65"/>
      <c r="YL106" s="63"/>
      <c r="YM106" s="64">
        <f t="shared" si="2161"/>
        <v>0</v>
      </c>
      <c r="YN106" s="65">
        <v>100</v>
      </c>
      <c r="YO106" s="63"/>
      <c r="YP106" s="64">
        <f t="shared" si="2162"/>
        <v>100</v>
      </c>
      <c r="YQ106" s="66">
        <f t="shared" si="1681"/>
        <v>947.85</v>
      </c>
      <c r="YR106" s="67">
        <f t="shared" si="2163"/>
        <v>0</v>
      </c>
      <c r="YS106" s="64">
        <f t="shared" si="2164"/>
        <v>947.85</v>
      </c>
      <c r="YT106" s="62"/>
      <c r="YU106" s="63"/>
      <c r="YV106" s="64">
        <f t="shared" si="2165"/>
        <v>0</v>
      </c>
      <c r="YW106" s="65">
        <v>695.73</v>
      </c>
      <c r="YX106" s="63"/>
      <c r="YY106" s="64">
        <f t="shared" si="2166"/>
        <v>695.73</v>
      </c>
      <c r="YZ106" s="65"/>
      <c r="ZA106" s="63"/>
      <c r="ZB106" s="64">
        <f t="shared" si="2167"/>
        <v>0</v>
      </c>
      <c r="ZC106" s="65">
        <v>100</v>
      </c>
      <c r="ZD106" s="63"/>
      <c r="ZE106" s="64">
        <f t="shared" si="2168"/>
        <v>100</v>
      </c>
      <c r="ZF106" s="66">
        <f t="shared" si="1688"/>
        <v>795.73</v>
      </c>
      <c r="ZG106" s="67">
        <f t="shared" si="2169"/>
        <v>0</v>
      </c>
      <c r="ZH106" s="74"/>
      <c r="ZI106" s="72"/>
      <c r="ZJ106" s="73"/>
      <c r="ZK106" s="74"/>
      <c r="ZL106" s="75"/>
      <c r="ZM106" s="73"/>
      <c r="ZN106" s="74"/>
      <c r="ZO106" s="75"/>
      <c r="ZP106" s="73"/>
      <c r="ZQ106" s="74"/>
      <c r="ZR106" s="75"/>
      <c r="ZS106" s="73"/>
      <c r="ZT106" s="74"/>
      <c r="ZU106" s="76"/>
      <c r="ZV106" s="77"/>
      <c r="ZW106" s="64">
        <f t="shared" si="2170"/>
        <v>0</v>
      </c>
      <c r="ZX106" s="62">
        <v>24.71</v>
      </c>
      <c r="ZY106" s="63"/>
      <c r="ZZ106" s="64">
        <f t="shared" si="2171"/>
        <v>24.71</v>
      </c>
      <c r="AAA106" s="66">
        <f t="shared" si="1692"/>
        <v>24.71</v>
      </c>
      <c r="AAB106" s="67">
        <f t="shared" si="1692"/>
        <v>0</v>
      </c>
      <c r="AAC106" s="64">
        <f t="shared" si="2172"/>
        <v>24.71</v>
      </c>
      <c r="AAD106" s="85">
        <f t="shared" si="1694"/>
        <v>45093.97</v>
      </c>
      <c r="AAE106" s="86">
        <f t="shared" si="1694"/>
        <v>0</v>
      </c>
      <c r="AAF106" s="87">
        <f t="shared" si="1457"/>
        <v>0</v>
      </c>
      <c r="AAG106" s="88">
        <f t="shared" si="2173"/>
        <v>-45093.97</v>
      </c>
      <c r="AAH106" s="96">
        <f>AAH102-AAH98</f>
        <v>-1396140.5599999998</v>
      </c>
      <c r="AAI106" s="97"/>
      <c r="AAJ106" s="97"/>
      <c r="AAK106" s="60"/>
    </row>
    <row r="107" spans="1:713" s="83" customFormat="1" ht="20" customHeight="1" thickBot="1" x14ac:dyDescent="0.25">
      <c r="A107" s="153"/>
      <c r="B107" s="96"/>
      <c r="C107" s="97"/>
      <c r="D107" s="97"/>
      <c r="E107" s="60"/>
      <c r="F107" s="61">
        <v>47453</v>
      </c>
      <c r="G107" s="62"/>
      <c r="H107" s="63"/>
      <c r="I107" s="64">
        <f t="shared" si="1969"/>
        <v>0</v>
      </c>
      <c r="J107" s="65">
        <v>3486.88</v>
      </c>
      <c r="K107" s="63"/>
      <c r="L107" s="64">
        <f t="shared" si="1970"/>
        <v>3486.88</v>
      </c>
      <c r="M107" s="65">
        <v>2500</v>
      </c>
      <c r="N107" s="63"/>
      <c r="O107" s="64">
        <f t="shared" si="1971"/>
        <v>2500</v>
      </c>
      <c r="P107" s="65">
        <v>1000</v>
      </c>
      <c r="Q107" s="63"/>
      <c r="R107" s="64">
        <f t="shared" si="1972"/>
        <v>1000</v>
      </c>
      <c r="S107" s="65">
        <v>181</v>
      </c>
      <c r="T107" s="63"/>
      <c r="U107" s="64">
        <f t="shared" si="1973"/>
        <v>181</v>
      </c>
      <c r="V107" s="66">
        <f t="shared" si="1974"/>
        <v>7167.88</v>
      </c>
      <c r="W107" s="67">
        <f t="shared" si="1974"/>
        <v>0</v>
      </c>
      <c r="X107" s="64">
        <f t="shared" si="1975"/>
        <v>7167.88</v>
      </c>
      <c r="Y107" s="72"/>
      <c r="Z107" s="73"/>
      <c r="AA107" s="74"/>
      <c r="AB107" s="75"/>
      <c r="AC107" s="73"/>
      <c r="AD107" s="74"/>
      <c r="AE107" s="75"/>
      <c r="AF107" s="73"/>
      <c r="AG107" s="74"/>
      <c r="AH107" s="75"/>
      <c r="AI107" s="73"/>
      <c r="AJ107" s="74"/>
      <c r="AK107" s="76"/>
      <c r="AL107" s="77"/>
      <c r="AM107" s="64">
        <f t="shared" si="1976"/>
        <v>0</v>
      </c>
      <c r="AN107" s="62"/>
      <c r="AO107" s="63"/>
      <c r="AP107" s="64">
        <f t="shared" si="2174"/>
        <v>0</v>
      </c>
      <c r="AQ107" s="65"/>
      <c r="AR107" s="63"/>
      <c r="AS107" s="64">
        <f t="shared" si="1977"/>
        <v>0</v>
      </c>
      <c r="AT107" s="65"/>
      <c r="AU107" s="63"/>
      <c r="AV107" s="64">
        <f t="shared" si="1978"/>
        <v>0</v>
      </c>
      <c r="AW107" s="65"/>
      <c r="AX107" s="63"/>
      <c r="AY107" s="64">
        <f t="shared" si="1979"/>
        <v>0</v>
      </c>
      <c r="AZ107" s="66">
        <f t="shared" si="1469"/>
        <v>0</v>
      </c>
      <c r="BA107" s="67">
        <f t="shared" si="1980"/>
        <v>0</v>
      </c>
      <c r="BB107" s="64">
        <f t="shared" si="1981"/>
        <v>0</v>
      </c>
      <c r="BC107" s="62">
        <v>6150</v>
      </c>
      <c r="BD107" s="63"/>
      <c r="BE107" s="64">
        <f t="shared" si="1982"/>
        <v>6150</v>
      </c>
      <c r="BF107" s="65"/>
      <c r="BG107" s="63"/>
      <c r="BH107" s="64">
        <f t="shared" si="1983"/>
        <v>0</v>
      </c>
      <c r="BI107" s="65"/>
      <c r="BJ107" s="63"/>
      <c r="BK107" s="64">
        <f t="shared" si="1984"/>
        <v>0</v>
      </c>
      <c r="BL107" s="65">
        <v>100</v>
      </c>
      <c r="BM107" s="63"/>
      <c r="BN107" s="64">
        <f t="shared" si="1985"/>
        <v>100</v>
      </c>
      <c r="BO107" s="66">
        <f t="shared" si="1476"/>
        <v>6250</v>
      </c>
      <c r="BP107" s="67">
        <f t="shared" si="1986"/>
        <v>0</v>
      </c>
      <c r="BQ107" s="64">
        <f t="shared" si="1987"/>
        <v>6250</v>
      </c>
      <c r="BR107" s="72"/>
      <c r="BS107" s="73"/>
      <c r="BT107" s="74"/>
      <c r="BU107" s="75"/>
      <c r="BV107" s="73"/>
      <c r="BW107" s="74"/>
      <c r="BX107" s="75"/>
      <c r="BY107" s="73"/>
      <c r="BZ107" s="74"/>
      <c r="CA107" s="75"/>
      <c r="CB107" s="73"/>
      <c r="CC107" s="74"/>
      <c r="CD107" s="76"/>
      <c r="CE107" s="77"/>
      <c r="CF107" s="64">
        <f t="shared" si="1988"/>
        <v>0</v>
      </c>
      <c r="CG107" s="62"/>
      <c r="CH107" s="63"/>
      <c r="CI107" s="64">
        <f t="shared" si="1989"/>
        <v>0</v>
      </c>
      <c r="CJ107" s="65"/>
      <c r="CK107" s="63"/>
      <c r="CL107" s="64">
        <f t="shared" si="1990"/>
        <v>0</v>
      </c>
      <c r="CM107" s="65"/>
      <c r="CN107" s="63"/>
      <c r="CO107" s="64">
        <f t="shared" si="1991"/>
        <v>0</v>
      </c>
      <c r="CP107" s="65"/>
      <c r="CQ107" s="63"/>
      <c r="CR107" s="64">
        <f t="shared" si="1992"/>
        <v>0</v>
      </c>
      <c r="CS107" s="66">
        <f t="shared" si="1484"/>
        <v>0</v>
      </c>
      <c r="CT107" s="67">
        <f t="shared" si="1993"/>
        <v>0</v>
      </c>
      <c r="CU107" s="64">
        <f t="shared" si="1994"/>
        <v>0</v>
      </c>
      <c r="CV107" s="62">
        <v>2916.7</v>
      </c>
      <c r="CW107" s="63"/>
      <c r="CX107" s="64">
        <f t="shared" si="1995"/>
        <v>2916.7</v>
      </c>
      <c r="CY107" s="65">
        <v>429.15</v>
      </c>
      <c r="CZ107" s="63"/>
      <c r="DA107" s="64">
        <f t="shared" si="1996"/>
        <v>429.15</v>
      </c>
      <c r="DB107" s="65"/>
      <c r="DC107" s="63"/>
      <c r="DD107" s="64">
        <f t="shared" si="1997"/>
        <v>0</v>
      </c>
      <c r="DE107" s="65"/>
      <c r="DF107" s="63"/>
      <c r="DG107" s="64">
        <f t="shared" si="1998"/>
        <v>0</v>
      </c>
      <c r="DH107" s="66">
        <f t="shared" si="1491"/>
        <v>3345.85</v>
      </c>
      <c r="DI107" s="67">
        <f t="shared" si="1999"/>
        <v>0</v>
      </c>
      <c r="DJ107" s="64">
        <f t="shared" si="2000"/>
        <v>3345.85</v>
      </c>
      <c r="DK107" s="62">
        <v>2400</v>
      </c>
      <c r="DL107" s="63"/>
      <c r="DM107" s="64">
        <f t="shared" si="2001"/>
        <v>2400</v>
      </c>
      <c r="DN107" s="65">
        <v>913.08</v>
      </c>
      <c r="DO107" s="63"/>
      <c r="DP107" s="64">
        <f t="shared" si="2002"/>
        <v>913.08</v>
      </c>
      <c r="DQ107" s="65"/>
      <c r="DR107" s="63"/>
      <c r="DS107" s="64">
        <f t="shared" si="2003"/>
        <v>0</v>
      </c>
      <c r="DT107" s="65">
        <v>100</v>
      </c>
      <c r="DU107" s="63"/>
      <c r="DV107" s="64">
        <f t="shared" si="2004"/>
        <v>100</v>
      </c>
      <c r="DW107" s="66">
        <f t="shared" si="1498"/>
        <v>3413.08</v>
      </c>
      <c r="DX107" s="67">
        <f t="shared" si="2005"/>
        <v>0</v>
      </c>
      <c r="DY107" s="64">
        <f t="shared" si="2006"/>
        <v>3413.08</v>
      </c>
      <c r="DZ107" s="62"/>
      <c r="EA107" s="63"/>
      <c r="EB107" s="64">
        <f t="shared" si="2007"/>
        <v>0</v>
      </c>
      <c r="EC107" s="65"/>
      <c r="ED107" s="63"/>
      <c r="EE107" s="64">
        <f t="shared" si="2008"/>
        <v>0</v>
      </c>
      <c r="EF107" s="65"/>
      <c r="EG107" s="63"/>
      <c r="EH107" s="64">
        <f t="shared" si="2009"/>
        <v>0</v>
      </c>
      <c r="EI107" s="65">
        <v>100</v>
      </c>
      <c r="EJ107" s="63"/>
      <c r="EK107" s="64">
        <f t="shared" si="2010"/>
        <v>100</v>
      </c>
      <c r="EL107" s="66">
        <f t="shared" si="1505"/>
        <v>100</v>
      </c>
      <c r="EM107" s="67">
        <f t="shared" si="2011"/>
        <v>0</v>
      </c>
      <c r="EN107" s="64">
        <f t="shared" si="2012"/>
        <v>100</v>
      </c>
      <c r="EO107" s="62">
        <v>6150</v>
      </c>
      <c r="EP107" s="63"/>
      <c r="EQ107" s="64">
        <f t="shared" si="2013"/>
        <v>6150</v>
      </c>
      <c r="ER107" s="65"/>
      <c r="ES107" s="63"/>
      <c r="ET107" s="64">
        <f t="shared" si="2014"/>
        <v>0</v>
      </c>
      <c r="EU107" s="65"/>
      <c r="EV107" s="63"/>
      <c r="EW107" s="64">
        <f t="shared" si="2015"/>
        <v>0</v>
      </c>
      <c r="EX107" s="65">
        <v>100</v>
      </c>
      <c r="EY107" s="63"/>
      <c r="EZ107" s="64">
        <f t="shared" si="2016"/>
        <v>100</v>
      </c>
      <c r="FA107" s="66">
        <f t="shared" si="1512"/>
        <v>6250</v>
      </c>
      <c r="FB107" s="67">
        <f t="shared" si="2017"/>
        <v>0</v>
      </c>
      <c r="FC107" s="64">
        <f t="shared" si="2018"/>
        <v>6250</v>
      </c>
      <c r="FD107" s="62">
        <v>6150</v>
      </c>
      <c r="FE107" s="63"/>
      <c r="FF107" s="64">
        <f t="shared" si="2019"/>
        <v>6150</v>
      </c>
      <c r="FG107" s="65"/>
      <c r="FH107" s="63"/>
      <c r="FI107" s="64">
        <f t="shared" si="2020"/>
        <v>0</v>
      </c>
      <c r="FJ107" s="65"/>
      <c r="FK107" s="63"/>
      <c r="FL107" s="64">
        <f t="shared" si="2021"/>
        <v>0</v>
      </c>
      <c r="FM107" s="65">
        <v>100</v>
      </c>
      <c r="FN107" s="63"/>
      <c r="FO107" s="64">
        <f t="shared" si="2022"/>
        <v>100</v>
      </c>
      <c r="FP107" s="66">
        <f t="shared" si="1519"/>
        <v>6250</v>
      </c>
      <c r="FQ107" s="67">
        <f t="shared" si="2023"/>
        <v>0</v>
      </c>
      <c r="FR107" s="64">
        <f t="shared" si="2024"/>
        <v>6250</v>
      </c>
      <c r="FS107" s="62"/>
      <c r="FT107" s="63"/>
      <c r="FU107" s="64">
        <f t="shared" si="2025"/>
        <v>0</v>
      </c>
      <c r="FV107" s="65">
        <v>485.35</v>
      </c>
      <c r="FW107" s="63"/>
      <c r="FX107" s="64">
        <f t="shared" si="2026"/>
        <v>485.35</v>
      </c>
      <c r="FY107" s="65"/>
      <c r="FZ107" s="63"/>
      <c r="GA107" s="64">
        <f t="shared" si="2027"/>
        <v>0</v>
      </c>
      <c r="GB107" s="65"/>
      <c r="GC107" s="63"/>
      <c r="GD107" s="64">
        <f t="shared" si="2028"/>
        <v>0</v>
      </c>
      <c r="GE107" s="66">
        <f t="shared" si="1526"/>
        <v>485.35</v>
      </c>
      <c r="GF107" s="67">
        <f t="shared" si="2029"/>
        <v>0</v>
      </c>
      <c r="GG107" s="64">
        <f t="shared" si="2030"/>
        <v>485.35</v>
      </c>
      <c r="GH107" s="62"/>
      <c r="GI107" s="63"/>
      <c r="GJ107" s="64">
        <f t="shared" si="2031"/>
        <v>0</v>
      </c>
      <c r="GK107" s="65">
        <v>660.33</v>
      </c>
      <c r="GL107" s="63"/>
      <c r="GM107" s="64">
        <f t="shared" si="2032"/>
        <v>660.33</v>
      </c>
      <c r="GN107" s="65"/>
      <c r="GO107" s="63"/>
      <c r="GP107" s="64">
        <f t="shared" si="2033"/>
        <v>0</v>
      </c>
      <c r="GQ107" s="65"/>
      <c r="GR107" s="63"/>
      <c r="GS107" s="64">
        <f t="shared" si="2034"/>
        <v>0</v>
      </c>
      <c r="GT107" s="66">
        <f t="shared" si="1533"/>
        <v>660.33</v>
      </c>
      <c r="GU107" s="67">
        <f t="shared" si="2035"/>
        <v>0</v>
      </c>
      <c r="GV107" s="64">
        <f t="shared" si="2036"/>
        <v>660.33</v>
      </c>
      <c r="GW107" s="62"/>
      <c r="GX107" s="63"/>
      <c r="GY107" s="64">
        <f t="shared" si="2037"/>
        <v>0</v>
      </c>
      <c r="GZ107" s="65">
        <v>568.25</v>
      </c>
      <c r="HA107" s="63"/>
      <c r="HB107" s="64">
        <f t="shared" si="2038"/>
        <v>568.25</v>
      </c>
      <c r="HC107" s="65"/>
      <c r="HD107" s="63"/>
      <c r="HE107" s="64">
        <f t="shared" si="2039"/>
        <v>0</v>
      </c>
      <c r="HF107" s="65">
        <v>100</v>
      </c>
      <c r="HG107" s="63"/>
      <c r="HH107" s="64">
        <f t="shared" si="2040"/>
        <v>100</v>
      </c>
      <c r="HI107" s="66">
        <f t="shared" si="1540"/>
        <v>668.25</v>
      </c>
      <c r="HJ107" s="67">
        <f t="shared" si="2041"/>
        <v>0</v>
      </c>
      <c r="HK107" s="64">
        <f t="shared" si="2042"/>
        <v>668.25</v>
      </c>
      <c r="HL107" s="62">
        <v>6150</v>
      </c>
      <c r="HM107" s="63"/>
      <c r="HN107" s="64">
        <f t="shared" si="2043"/>
        <v>6150</v>
      </c>
      <c r="HO107" s="65"/>
      <c r="HP107" s="63"/>
      <c r="HQ107" s="64">
        <f t="shared" si="2044"/>
        <v>0</v>
      </c>
      <c r="HR107" s="65"/>
      <c r="HS107" s="63"/>
      <c r="HT107" s="64">
        <f t="shared" si="2045"/>
        <v>0</v>
      </c>
      <c r="HU107" s="65">
        <v>100</v>
      </c>
      <c r="HV107" s="63"/>
      <c r="HW107" s="64">
        <f t="shared" si="2046"/>
        <v>100</v>
      </c>
      <c r="HX107" s="66">
        <f t="shared" si="1547"/>
        <v>6250</v>
      </c>
      <c r="HY107" s="67">
        <f t="shared" si="2047"/>
        <v>0</v>
      </c>
      <c r="HZ107" s="64">
        <f t="shared" si="2048"/>
        <v>6250</v>
      </c>
      <c r="IA107" s="62"/>
      <c r="IB107" s="63"/>
      <c r="IC107" s="64">
        <f t="shared" si="2049"/>
        <v>0</v>
      </c>
      <c r="ID107" s="65"/>
      <c r="IE107" s="63"/>
      <c r="IF107" s="64">
        <f t="shared" si="2050"/>
        <v>0</v>
      </c>
      <c r="IG107" s="65"/>
      <c r="IH107" s="63"/>
      <c r="II107" s="64">
        <f t="shared" si="2051"/>
        <v>0</v>
      </c>
      <c r="IJ107" s="65">
        <v>100</v>
      </c>
      <c r="IK107" s="63"/>
      <c r="IL107" s="64">
        <f t="shared" si="2052"/>
        <v>100</v>
      </c>
      <c r="IM107" s="66">
        <f t="shared" si="1554"/>
        <v>100</v>
      </c>
      <c r="IN107" s="67">
        <f t="shared" si="2053"/>
        <v>0</v>
      </c>
      <c r="IO107" s="64">
        <f t="shared" si="2054"/>
        <v>100</v>
      </c>
      <c r="IP107" s="62"/>
      <c r="IQ107" s="63"/>
      <c r="IR107" s="64">
        <f t="shared" si="2055"/>
        <v>0</v>
      </c>
      <c r="IS107" s="65"/>
      <c r="IT107" s="63"/>
      <c r="IU107" s="64">
        <f t="shared" si="2056"/>
        <v>0</v>
      </c>
      <c r="IV107" s="65"/>
      <c r="IW107" s="63"/>
      <c r="IX107" s="64">
        <f t="shared" si="2057"/>
        <v>0</v>
      </c>
      <c r="IY107" s="65"/>
      <c r="IZ107" s="63"/>
      <c r="JA107" s="64">
        <f t="shared" si="2058"/>
        <v>0</v>
      </c>
      <c r="JB107" s="66">
        <f t="shared" si="1561"/>
        <v>0</v>
      </c>
      <c r="JC107" s="67">
        <f t="shared" si="2059"/>
        <v>0</v>
      </c>
      <c r="JD107" s="64">
        <f t="shared" si="2060"/>
        <v>0</v>
      </c>
      <c r="JE107" s="72"/>
      <c r="JF107" s="150"/>
      <c r="JG107" s="74"/>
      <c r="JH107" s="75"/>
      <c r="JI107" s="150"/>
      <c r="JJ107" s="74"/>
      <c r="JK107" s="75"/>
      <c r="JL107" s="150"/>
      <c r="JM107" s="74"/>
      <c r="JN107" s="75"/>
      <c r="JO107" s="150"/>
      <c r="JP107" s="74"/>
      <c r="JQ107" s="76"/>
      <c r="JR107" s="77"/>
      <c r="JS107" s="74"/>
      <c r="JT107" s="72"/>
      <c r="JU107" s="73"/>
      <c r="JV107" s="74"/>
      <c r="JW107" s="75"/>
      <c r="JX107" s="73"/>
      <c r="JY107" s="74"/>
      <c r="JZ107" s="75"/>
      <c r="KA107" s="73"/>
      <c r="KB107" s="74"/>
      <c r="KC107" s="75"/>
      <c r="KD107" s="73"/>
      <c r="KE107" s="74"/>
      <c r="KF107" s="76"/>
      <c r="KG107" s="77"/>
      <c r="KH107" s="64">
        <f t="shared" si="2061"/>
        <v>0</v>
      </c>
      <c r="KI107" s="62"/>
      <c r="KJ107" s="63"/>
      <c r="KK107" s="64">
        <f t="shared" si="2062"/>
        <v>0</v>
      </c>
      <c r="KL107" s="65"/>
      <c r="KM107" s="63"/>
      <c r="KN107" s="64">
        <f t="shared" si="2063"/>
        <v>0</v>
      </c>
      <c r="KO107" s="65"/>
      <c r="KP107" s="63"/>
      <c r="KQ107" s="64">
        <f t="shared" si="2064"/>
        <v>0</v>
      </c>
      <c r="KR107" s="65"/>
      <c r="KS107" s="63"/>
      <c r="KT107" s="64">
        <f t="shared" si="2065"/>
        <v>0</v>
      </c>
      <c r="KU107" s="66">
        <f t="shared" si="1439"/>
        <v>0</v>
      </c>
      <c r="KV107" s="67">
        <f t="shared" si="2066"/>
        <v>0</v>
      </c>
      <c r="KW107" s="64">
        <f t="shared" si="2067"/>
        <v>0</v>
      </c>
      <c r="KX107" s="72"/>
      <c r="KY107" s="73"/>
      <c r="KZ107" s="74"/>
      <c r="LA107" s="75"/>
      <c r="LB107" s="73"/>
      <c r="LC107" s="74"/>
      <c r="LD107" s="75"/>
      <c r="LE107" s="73"/>
      <c r="LF107" s="74"/>
      <c r="LG107" s="75"/>
      <c r="LH107" s="73"/>
      <c r="LI107" s="74"/>
      <c r="LJ107" s="76"/>
      <c r="LK107" s="77"/>
      <c r="LL107" s="74"/>
      <c r="LM107" s="62"/>
      <c r="LN107" s="63"/>
      <c r="LO107" s="64">
        <f t="shared" si="2068"/>
        <v>0</v>
      </c>
      <c r="LP107" s="65"/>
      <c r="LQ107" s="63"/>
      <c r="LR107" s="64">
        <f t="shared" si="2069"/>
        <v>0</v>
      </c>
      <c r="LS107" s="65"/>
      <c r="LT107" s="63"/>
      <c r="LU107" s="64">
        <f t="shared" si="2070"/>
        <v>0</v>
      </c>
      <c r="LV107" s="65">
        <v>100</v>
      </c>
      <c r="LW107" s="63"/>
      <c r="LX107" s="64">
        <f t="shared" si="2071"/>
        <v>100</v>
      </c>
      <c r="LY107" s="66">
        <f t="shared" si="1575"/>
        <v>100</v>
      </c>
      <c r="LZ107" s="67">
        <f t="shared" si="2072"/>
        <v>0</v>
      </c>
      <c r="MA107" s="64">
        <f t="shared" si="2073"/>
        <v>100</v>
      </c>
      <c r="MB107" s="62"/>
      <c r="MC107" s="63"/>
      <c r="MD107" s="64">
        <f t="shared" si="2074"/>
        <v>0</v>
      </c>
      <c r="ME107" s="65">
        <v>889.11</v>
      </c>
      <c r="MF107" s="63"/>
      <c r="MG107" s="64">
        <f t="shared" si="2075"/>
        <v>889.11</v>
      </c>
      <c r="MH107" s="65"/>
      <c r="MI107" s="63"/>
      <c r="MJ107" s="64">
        <f t="shared" si="2076"/>
        <v>0</v>
      </c>
      <c r="MK107" s="65">
        <v>100</v>
      </c>
      <c r="ML107" s="63"/>
      <c r="MM107" s="64">
        <f t="shared" si="2077"/>
        <v>100</v>
      </c>
      <c r="MN107" s="66">
        <f t="shared" si="1582"/>
        <v>989.11</v>
      </c>
      <c r="MO107" s="67">
        <f t="shared" si="2078"/>
        <v>0</v>
      </c>
      <c r="MP107" s="64">
        <f t="shared" si="2079"/>
        <v>989.11</v>
      </c>
      <c r="MQ107" s="62"/>
      <c r="MR107" s="63"/>
      <c r="MS107" s="64">
        <f t="shared" si="2080"/>
        <v>0</v>
      </c>
      <c r="MT107" s="65"/>
      <c r="MU107" s="63"/>
      <c r="MV107" s="64">
        <f t="shared" si="2081"/>
        <v>0</v>
      </c>
      <c r="MW107" s="65"/>
      <c r="MX107" s="63"/>
      <c r="MY107" s="64">
        <f t="shared" si="2082"/>
        <v>0</v>
      </c>
      <c r="MZ107" s="65"/>
      <c r="NA107" s="63"/>
      <c r="NB107" s="64">
        <f t="shared" si="2083"/>
        <v>0</v>
      </c>
      <c r="NC107" s="66">
        <f t="shared" si="1589"/>
        <v>0</v>
      </c>
      <c r="ND107" s="67">
        <f t="shared" si="2084"/>
        <v>0</v>
      </c>
      <c r="NE107" s="64">
        <f t="shared" si="2085"/>
        <v>0</v>
      </c>
      <c r="NF107" s="62"/>
      <c r="NG107" s="63"/>
      <c r="NH107" s="64">
        <f t="shared" si="2086"/>
        <v>0</v>
      </c>
      <c r="NI107" s="65">
        <v>1164.04</v>
      </c>
      <c r="NJ107" s="63"/>
      <c r="NK107" s="64">
        <f t="shared" si="2087"/>
        <v>1164.04</v>
      </c>
      <c r="NL107" s="65"/>
      <c r="NM107" s="63"/>
      <c r="NN107" s="64">
        <f t="shared" si="2088"/>
        <v>0</v>
      </c>
      <c r="NO107" s="65">
        <v>100</v>
      </c>
      <c r="NP107" s="63"/>
      <c r="NQ107" s="64">
        <f t="shared" si="2089"/>
        <v>100</v>
      </c>
      <c r="NR107" s="66">
        <f t="shared" si="1596"/>
        <v>1264.04</v>
      </c>
      <c r="NS107" s="67">
        <f t="shared" si="2090"/>
        <v>0</v>
      </c>
      <c r="NT107" s="64">
        <f t="shared" si="2091"/>
        <v>1264.04</v>
      </c>
      <c r="NU107" s="62"/>
      <c r="NV107" s="63"/>
      <c r="NW107" s="64">
        <f t="shared" si="2092"/>
        <v>0</v>
      </c>
      <c r="NX107" s="65">
        <v>1152.73</v>
      </c>
      <c r="NY107" s="63"/>
      <c r="NZ107" s="64">
        <f t="shared" si="2093"/>
        <v>1152.73</v>
      </c>
      <c r="OA107" s="65"/>
      <c r="OB107" s="63"/>
      <c r="OC107" s="64">
        <f t="shared" si="2094"/>
        <v>0</v>
      </c>
      <c r="OD107" s="65">
        <v>100</v>
      </c>
      <c r="OE107" s="63"/>
      <c r="OF107" s="64">
        <f t="shared" si="2095"/>
        <v>100</v>
      </c>
      <c r="OG107" s="66">
        <f t="shared" si="1603"/>
        <v>1252.73</v>
      </c>
      <c r="OH107" s="67">
        <f t="shared" si="2096"/>
        <v>0</v>
      </c>
      <c r="OI107" s="64">
        <f t="shared" si="2097"/>
        <v>1252.73</v>
      </c>
      <c r="OJ107" s="62"/>
      <c r="OK107" s="63"/>
      <c r="OL107" s="64">
        <f t="shared" si="2098"/>
        <v>0</v>
      </c>
      <c r="OM107" s="65"/>
      <c r="ON107" s="63"/>
      <c r="OO107" s="64">
        <f t="shared" si="2099"/>
        <v>0</v>
      </c>
      <c r="OP107" s="65"/>
      <c r="OQ107" s="63"/>
      <c r="OR107" s="64">
        <f t="shared" si="2100"/>
        <v>0</v>
      </c>
      <c r="OS107" s="65">
        <v>100</v>
      </c>
      <c r="OT107" s="63"/>
      <c r="OU107" s="64">
        <f t="shared" si="2101"/>
        <v>100</v>
      </c>
      <c r="OV107" s="66">
        <f t="shared" si="1610"/>
        <v>100</v>
      </c>
      <c r="OW107" s="67">
        <f t="shared" si="2102"/>
        <v>0</v>
      </c>
      <c r="OX107" s="64">
        <f t="shared" si="2103"/>
        <v>100</v>
      </c>
      <c r="OY107" s="62"/>
      <c r="OZ107" s="63"/>
      <c r="PA107" s="64">
        <f t="shared" si="2104"/>
        <v>0</v>
      </c>
      <c r="PB107" s="65"/>
      <c r="PC107" s="63"/>
      <c r="PD107" s="64">
        <f t="shared" si="2105"/>
        <v>0</v>
      </c>
      <c r="PE107" s="65"/>
      <c r="PF107" s="63"/>
      <c r="PG107" s="64">
        <f t="shared" si="2106"/>
        <v>0</v>
      </c>
      <c r="PH107" s="65">
        <v>100</v>
      </c>
      <c r="PI107" s="63"/>
      <c r="PJ107" s="64">
        <f t="shared" si="2107"/>
        <v>100</v>
      </c>
      <c r="PK107" s="66">
        <f t="shared" si="1617"/>
        <v>100</v>
      </c>
      <c r="PL107" s="67">
        <f t="shared" si="2108"/>
        <v>0</v>
      </c>
      <c r="PM107" s="64">
        <f t="shared" si="2109"/>
        <v>100</v>
      </c>
      <c r="PN107" s="62">
        <v>1550</v>
      </c>
      <c r="PO107" s="63"/>
      <c r="PP107" s="64">
        <f t="shared" si="2110"/>
        <v>1550</v>
      </c>
      <c r="PQ107" s="65"/>
      <c r="PR107" s="63"/>
      <c r="PS107" s="64">
        <f t="shared" si="2111"/>
        <v>0</v>
      </c>
      <c r="PT107" s="65"/>
      <c r="PU107" s="63"/>
      <c r="PV107" s="64">
        <f t="shared" si="2112"/>
        <v>0</v>
      </c>
      <c r="PW107" s="65">
        <v>100</v>
      </c>
      <c r="PX107" s="63"/>
      <c r="PY107" s="64">
        <f t="shared" si="2113"/>
        <v>100</v>
      </c>
      <c r="PZ107" s="66">
        <f t="shared" si="1624"/>
        <v>1650</v>
      </c>
      <c r="QA107" s="67">
        <f t="shared" si="2114"/>
        <v>0</v>
      </c>
      <c r="QB107" s="64">
        <f t="shared" si="2115"/>
        <v>1650</v>
      </c>
      <c r="QC107" s="62"/>
      <c r="QD107" s="63"/>
      <c r="QE107" s="64">
        <f t="shared" si="2116"/>
        <v>0</v>
      </c>
      <c r="QF107" s="65"/>
      <c r="QG107" s="63"/>
      <c r="QH107" s="64">
        <f t="shared" si="2117"/>
        <v>0</v>
      </c>
      <c r="QI107" s="65"/>
      <c r="QJ107" s="63"/>
      <c r="QK107" s="64">
        <f t="shared" si="2118"/>
        <v>0</v>
      </c>
      <c r="QL107" s="65">
        <v>100</v>
      </c>
      <c r="QM107" s="63"/>
      <c r="QN107" s="64">
        <f t="shared" si="2119"/>
        <v>100</v>
      </c>
      <c r="QO107" s="66">
        <f t="shared" si="1631"/>
        <v>100</v>
      </c>
      <c r="QP107" s="67">
        <f t="shared" si="2120"/>
        <v>0</v>
      </c>
      <c r="QQ107" s="64">
        <f t="shared" si="2121"/>
        <v>100</v>
      </c>
      <c r="QR107" s="74"/>
      <c r="QS107" s="74"/>
      <c r="QT107" s="72"/>
      <c r="QU107" s="73"/>
      <c r="QV107" s="74"/>
      <c r="QW107" s="75"/>
      <c r="QX107" s="73"/>
      <c r="QY107" s="74"/>
      <c r="QZ107" s="75"/>
      <c r="RA107" s="73"/>
      <c r="RB107" s="74"/>
      <c r="RC107" s="75"/>
      <c r="RD107" s="73"/>
      <c r="RE107" s="74"/>
      <c r="RF107" s="74"/>
      <c r="RG107" s="72"/>
      <c r="RH107" s="73"/>
      <c r="RI107" s="74"/>
      <c r="RJ107" s="75"/>
      <c r="RK107" s="73"/>
      <c r="RL107" s="74"/>
      <c r="RM107" s="75"/>
      <c r="RN107" s="73"/>
      <c r="RO107" s="74"/>
      <c r="RP107" s="75"/>
      <c r="RQ107" s="73"/>
      <c r="RR107" s="74"/>
      <c r="RS107" s="76"/>
      <c r="RT107" s="77"/>
      <c r="RU107" s="74"/>
      <c r="RV107" s="74"/>
      <c r="RW107" s="72"/>
      <c r="RX107" s="73"/>
      <c r="RY107" s="74"/>
      <c r="RZ107" s="75"/>
      <c r="SA107" s="73"/>
      <c r="SB107" s="74"/>
      <c r="SC107" s="75"/>
      <c r="SD107" s="73"/>
      <c r="SE107" s="74"/>
      <c r="SF107" s="75"/>
      <c r="SG107" s="73"/>
      <c r="SH107" s="74"/>
      <c r="SI107" s="76"/>
      <c r="SJ107" s="64">
        <f t="shared" si="2122"/>
        <v>0</v>
      </c>
      <c r="SK107" s="62"/>
      <c r="SL107" s="63"/>
      <c r="SM107" s="64">
        <f t="shared" si="2123"/>
        <v>0</v>
      </c>
      <c r="SN107" s="65"/>
      <c r="SO107" s="63"/>
      <c r="SP107" s="64">
        <f t="shared" si="2124"/>
        <v>0</v>
      </c>
      <c r="SQ107" s="65"/>
      <c r="SR107" s="63"/>
      <c r="SS107" s="64">
        <f t="shared" si="2125"/>
        <v>0</v>
      </c>
      <c r="ST107" s="65">
        <v>100</v>
      </c>
      <c r="SU107" s="63"/>
      <c r="SV107" s="64">
        <f t="shared" si="2126"/>
        <v>100</v>
      </c>
      <c r="SW107" s="66">
        <f t="shared" si="1639"/>
        <v>100</v>
      </c>
      <c r="SX107" s="67">
        <f t="shared" si="2127"/>
        <v>0</v>
      </c>
      <c r="SY107" s="64">
        <f t="shared" si="2128"/>
        <v>100</v>
      </c>
      <c r="SZ107" s="62">
        <v>985.33</v>
      </c>
      <c r="TA107" s="63"/>
      <c r="TB107" s="64">
        <f t="shared" si="2129"/>
        <v>985.33</v>
      </c>
      <c r="TC107" s="65">
        <v>700.9</v>
      </c>
      <c r="TD107" s="63"/>
      <c r="TE107" s="64">
        <f t="shared" si="2130"/>
        <v>700.9</v>
      </c>
      <c r="TF107" s="65"/>
      <c r="TG107" s="63"/>
      <c r="TH107" s="64">
        <f t="shared" si="2131"/>
        <v>0</v>
      </c>
      <c r="TI107" s="65">
        <v>100</v>
      </c>
      <c r="TJ107" s="63"/>
      <c r="TK107" s="64">
        <f t="shared" si="2132"/>
        <v>100</v>
      </c>
      <c r="TL107" s="66">
        <f t="shared" si="1646"/>
        <v>1786.23</v>
      </c>
      <c r="TM107" s="67">
        <f t="shared" si="2133"/>
        <v>0</v>
      </c>
      <c r="TN107" s="64">
        <f t="shared" si="2134"/>
        <v>1786.23</v>
      </c>
      <c r="TO107" s="62">
        <v>3875</v>
      </c>
      <c r="TP107" s="63"/>
      <c r="TQ107" s="64">
        <f t="shared" si="2135"/>
        <v>3875</v>
      </c>
      <c r="TR107" s="65"/>
      <c r="TS107" s="63"/>
      <c r="TT107" s="64">
        <f t="shared" si="2136"/>
        <v>0</v>
      </c>
      <c r="TU107" s="65"/>
      <c r="TV107" s="63"/>
      <c r="TW107" s="64">
        <f t="shared" si="2137"/>
        <v>0</v>
      </c>
      <c r="TX107" s="65">
        <v>100</v>
      </c>
      <c r="TY107" s="63"/>
      <c r="TZ107" s="64">
        <f t="shared" si="2138"/>
        <v>100</v>
      </c>
      <c r="UA107" s="66">
        <f t="shared" si="1653"/>
        <v>3975</v>
      </c>
      <c r="UB107" s="67">
        <f t="shared" si="2139"/>
        <v>0</v>
      </c>
      <c r="UC107" s="64">
        <f t="shared" si="2140"/>
        <v>3975</v>
      </c>
      <c r="UD107" s="62"/>
      <c r="UE107" s="63"/>
      <c r="UF107" s="64">
        <f t="shared" si="2141"/>
        <v>0</v>
      </c>
      <c r="UG107" s="65">
        <v>497.04</v>
      </c>
      <c r="UH107" s="63"/>
      <c r="UI107" s="64">
        <f t="shared" si="2142"/>
        <v>497.04</v>
      </c>
      <c r="UJ107" s="65"/>
      <c r="UK107" s="63"/>
      <c r="UL107" s="64">
        <f t="shared" si="2143"/>
        <v>0</v>
      </c>
      <c r="UM107" s="65">
        <v>100</v>
      </c>
      <c r="UN107" s="63"/>
      <c r="UO107" s="64">
        <f t="shared" si="2144"/>
        <v>100</v>
      </c>
      <c r="UP107" s="66">
        <f t="shared" si="1660"/>
        <v>597.04</v>
      </c>
      <c r="UQ107" s="67">
        <f t="shared" si="2145"/>
        <v>0</v>
      </c>
      <c r="UR107" s="64">
        <f t="shared" si="2146"/>
        <v>597.04</v>
      </c>
      <c r="US107" s="74"/>
      <c r="UT107" s="72"/>
      <c r="UU107" s="73"/>
      <c r="UV107" s="74"/>
      <c r="UW107" s="75"/>
      <c r="UX107" s="73"/>
      <c r="UY107" s="74"/>
      <c r="UZ107" s="75"/>
      <c r="VA107" s="73"/>
      <c r="VB107" s="74"/>
      <c r="VC107" s="75"/>
      <c r="VD107" s="73"/>
      <c r="VE107" s="74"/>
      <c r="VF107" s="76"/>
      <c r="VG107" s="77"/>
      <c r="VH107" s="62"/>
      <c r="VI107" s="63"/>
      <c r="VJ107" s="64">
        <f t="shared" si="2147"/>
        <v>0</v>
      </c>
      <c r="VK107" s="65"/>
      <c r="VL107" s="63"/>
      <c r="VM107" s="64">
        <f t="shared" si="2148"/>
        <v>0</v>
      </c>
      <c r="VN107" s="65"/>
      <c r="VO107" s="63"/>
      <c r="VP107" s="64">
        <f t="shared" si="2149"/>
        <v>0</v>
      </c>
      <c r="VQ107" s="65">
        <v>100</v>
      </c>
      <c r="VR107" s="63"/>
      <c r="VS107" s="64">
        <f t="shared" si="2150"/>
        <v>100</v>
      </c>
      <c r="VT107" s="66">
        <f t="shared" si="1667"/>
        <v>100</v>
      </c>
      <c r="VU107" s="67">
        <f t="shared" si="2151"/>
        <v>0</v>
      </c>
      <c r="VV107" s="64">
        <f t="shared" si="2152"/>
        <v>100</v>
      </c>
      <c r="VW107" s="74"/>
      <c r="VX107" s="72"/>
      <c r="VY107" s="73"/>
      <c r="VZ107" s="74"/>
      <c r="WA107" s="75"/>
      <c r="WB107" s="73"/>
      <c r="WC107" s="74"/>
      <c r="WD107" s="75"/>
      <c r="WE107" s="73"/>
      <c r="WF107" s="74"/>
      <c r="WG107" s="75"/>
      <c r="WH107" s="73"/>
      <c r="WI107" s="74"/>
      <c r="WJ107" s="76"/>
      <c r="WK107" s="77"/>
      <c r="WL107" s="74"/>
      <c r="WM107" s="72"/>
      <c r="WN107" s="73"/>
      <c r="WO107" s="74"/>
      <c r="WP107" s="75"/>
      <c r="WQ107" s="73"/>
      <c r="WR107" s="74"/>
      <c r="WS107" s="75"/>
      <c r="WT107" s="73"/>
      <c r="WU107" s="74"/>
      <c r="WV107" s="75"/>
      <c r="WW107" s="73"/>
      <c r="WX107" s="74"/>
      <c r="WY107" s="76"/>
      <c r="WZ107" s="77"/>
      <c r="XA107" s="74"/>
      <c r="XB107" s="72"/>
      <c r="XC107" s="73"/>
      <c r="XD107" s="74"/>
      <c r="XE107" s="75"/>
      <c r="XF107" s="73"/>
      <c r="XG107" s="74"/>
      <c r="XH107" s="75"/>
      <c r="XI107" s="73"/>
      <c r="XJ107" s="74"/>
      <c r="XK107" s="75"/>
      <c r="XL107" s="73"/>
      <c r="XM107" s="74"/>
      <c r="XN107" s="76"/>
      <c r="XO107" s="77"/>
      <c r="XP107" s="62"/>
      <c r="XQ107" s="63"/>
      <c r="XR107" s="64">
        <f t="shared" si="2153"/>
        <v>0</v>
      </c>
      <c r="XS107" s="65">
        <v>844.24</v>
      </c>
      <c r="XT107" s="63"/>
      <c r="XU107" s="64">
        <f t="shared" si="2154"/>
        <v>844.24</v>
      </c>
      <c r="XV107" s="65"/>
      <c r="XW107" s="63"/>
      <c r="XX107" s="64">
        <f t="shared" si="2155"/>
        <v>0</v>
      </c>
      <c r="XY107" s="65">
        <v>100</v>
      </c>
      <c r="XZ107" s="63"/>
      <c r="YA107" s="64">
        <f t="shared" si="2156"/>
        <v>100</v>
      </c>
      <c r="YB107" s="66">
        <f t="shared" si="1674"/>
        <v>944.24</v>
      </c>
      <c r="YC107" s="67">
        <f t="shared" si="2157"/>
        <v>0</v>
      </c>
      <c r="YD107" s="64">
        <f t="shared" si="2158"/>
        <v>944.24</v>
      </c>
      <c r="YE107" s="62"/>
      <c r="YF107" s="63"/>
      <c r="YG107" s="64">
        <f t="shared" si="2159"/>
        <v>0</v>
      </c>
      <c r="YH107" s="65">
        <v>847.85</v>
      </c>
      <c r="YI107" s="63"/>
      <c r="YJ107" s="64">
        <f t="shared" si="2160"/>
        <v>847.85</v>
      </c>
      <c r="YK107" s="65"/>
      <c r="YL107" s="63"/>
      <c r="YM107" s="64">
        <f t="shared" si="2161"/>
        <v>0</v>
      </c>
      <c r="YN107" s="65">
        <v>100</v>
      </c>
      <c r="YO107" s="63"/>
      <c r="YP107" s="64">
        <f t="shared" si="2162"/>
        <v>100</v>
      </c>
      <c r="YQ107" s="66">
        <f t="shared" si="1681"/>
        <v>947.85</v>
      </c>
      <c r="YR107" s="67">
        <f t="shared" si="2163"/>
        <v>0</v>
      </c>
      <c r="YS107" s="64">
        <f t="shared" si="2164"/>
        <v>947.85</v>
      </c>
      <c r="YT107" s="62"/>
      <c r="YU107" s="63"/>
      <c r="YV107" s="64">
        <f t="shared" si="2165"/>
        <v>0</v>
      </c>
      <c r="YW107" s="65">
        <v>695.73</v>
      </c>
      <c r="YX107" s="63"/>
      <c r="YY107" s="64">
        <f t="shared" si="2166"/>
        <v>695.73</v>
      </c>
      <c r="YZ107" s="65"/>
      <c r="ZA107" s="63"/>
      <c r="ZB107" s="64">
        <f t="shared" si="2167"/>
        <v>0</v>
      </c>
      <c r="ZC107" s="65">
        <v>100</v>
      </c>
      <c r="ZD107" s="63"/>
      <c r="ZE107" s="64">
        <f t="shared" si="2168"/>
        <v>100</v>
      </c>
      <c r="ZF107" s="66">
        <f t="shared" si="1688"/>
        <v>795.73</v>
      </c>
      <c r="ZG107" s="67">
        <f t="shared" si="2169"/>
        <v>0</v>
      </c>
      <c r="ZH107" s="74"/>
      <c r="ZI107" s="72"/>
      <c r="ZJ107" s="73"/>
      <c r="ZK107" s="74"/>
      <c r="ZL107" s="75"/>
      <c r="ZM107" s="73"/>
      <c r="ZN107" s="74"/>
      <c r="ZO107" s="75"/>
      <c r="ZP107" s="73"/>
      <c r="ZQ107" s="74"/>
      <c r="ZR107" s="75"/>
      <c r="ZS107" s="73"/>
      <c r="ZT107" s="74"/>
      <c r="ZU107" s="76"/>
      <c r="ZV107" s="77"/>
      <c r="ZW107" s="64">
        <f t="shared" si="2170"/>
        <v>0</v>
      </c>
      <c r="ZX107" s="62">
        <v>24.71</v>
      </c>
      <c r="ZY107" s="63"/>
      <c r="ZZ107" s="64">
        <f t="shared" si="2171"/>
        <v>24.71</v>
      </c>
      <c r="AAA107" s="66">
        <f t="shared" si="1692"/>
        <v>24.71</v>
      </c>
      <c r="AAB107" s="67">
        <f t="shared" si="1692"/>
        <v>0</v>
      </c>
      <c r="AAC107" s="64">
        <f t="shared" si="2172"/>
        <v>24.71</v>
      </c>
      <c r="AAD107" s="85">
        <f t="shared" si="1694"/>
        <v>55742.71</v>
      </c>
      <c r="AAE107" s="98">
        <f t="shared" si="1694"/>
        <v>0</v>
      </c>
      <c r="AAF107" s="99">
        <f t="shared" si="1457"/>
        <v>0</v>
      </c>
      <c r="AAG107" s="100">
        <f t="shared" si="2173"/>
        <v>-55742.71</v>
      </c>
      <c r="AAH107" s="96"/>
      <c r="AAI107" s="97"/>
      <c r="AAJ107" s="97"/>
      <c r="AAK107" s="60"/>
    </row>
    <row r="108" spans="1:713" s="83" customFormat="1" ht="20" customHeight="1" thickBot="1" x14ac:dyDescent="0.25">
      <c r="A108" s="152"/>
      <c r="F108" s="101" t="s">
        <v>168</v>
      </c>
      <c r="G108" s="102">
        <f t="shared" ref="G108:X108" si="2175">SUM(G96:G107)</f>
        <v>371675.99</v>
      </c>
      <c r="H108" s="103">
        <f t="shared" si="2175"/>
        <v>0</v>
      </c>
      <c r="I108" s="104">
        <f t="shared" si="2175"/>
        <v>371675.99</v>
      </c>
      <c r="J108" s="103">
        <f t="shared" si="2175"/>
        <v>37095.769999999997</v>
      </c>
      <c r="K108" s="105">
        <f t="shared" si="2175"/>
        <v>0</v>
      </c>
      <c r="L108" s="104">
        <f t="shared" si="2175"/>
        <v>37095.769999999997</v>
      </c>
      <c r="M108" s="103">
        <f t="shared" si="2175"/>
        <v>30000</v>
      </c>
      <c r="N108" s="105">
        <f t="shared" si="2175"/>
        <v>0</v>
      </c>
      <c r="O108" s="104">
        <f t="shared" si="2175"/>
        <v>30000</v>
      </c>
      <c r="P108" s="103">
        <f t="shared" si="2175"/>
        <v>11000</v>
      </c>
      <c r="Q108" s="105">
        <f t="shared" si="2175"/>
        <v>0</v>
      </c>
      <c r="R108" s="104">
        <f t="shared" si="2175"/>
        <v>11000</v>
      </c>
      <c r="S108" s="103">
        <f t="shared" si="2175"/>
        <v>2896</v>
      </c>
      <c r="T108" s="105">
        <f t="shared" si="2175"/>
        <v>0</v>
      </c>
      <c r="U108" s="104">
        <f t="shared" si="2175"/>
        <v>2896</v>
      </c>
      <c r="V108" s="103">
        <f t="shared" si="2175"/>
        <v>452667.75999999995</v>
      </c>
      <c r="W108" s="106">
        <f t="shared" si="2175"/>
        <v>0</v>
      </c>
      <c r="X108" s="104">
        <f t="shared" si="2175"/>
        <v>452667.75999999995</v>
      </c>
      <c r="Y108" s="107"/>
      <c r="Z108" s="108"/>
      <c r="AA108" s="109"/>
      <c r="AB108" s="108"/>
      <c r="AC108" s="110"/>
      <c r="AD108" s="109"/>
      <c r="AE108" s="108"/>
      <c r="AF108" s="110"/>
      <c r="AG108" s="109"/>
      <c r="AH108" s="108"/>
      <c r="AI108" s="110"/>
      <c r="AJ108" s="109"/>
      <c r="AK108" s="108"/>
      <c r="AL108" s="111"/>
      <c r="AM108" s="104">
        <f t="shared" ref="AM108:AY108" si="2176">SUM(AM96:AM107)</f>
        <v>0</v>
      </c>
      <c r="AN108" s="102">
        <f t="shared" si="2176"/>
        <v>25000</v>
      </c>
      <c r="AO108" s="103">
        <f t="shared" si="2176"/>
        <v>0</v>
      </c>
      <c r="AP108" s="104">
        <f t="shared" si="2176"/>
        <v>25000</v>
      </c>
      <c r="AQ108" s="103">
        <f t="shared" si="2176"/>
        <v>0</v>
      </c>
      <c r="AR108" s="105">
        <f t="shared" si="2176"/>
        <v>0</v>
      </c>
      <c r="AS108" s="104">
        <f t="shared" si="2176"/>
        <v>0</v>
      </c>
      <c r="AT108" s="103">
        <f t="shared" si="2176"/>
        <v>2745.49</v>
      </c>
      <c r="AU108" s="105">
        <f t="shared" si="2176"/>
        <v>0</v>
      </c>
      <c r="AV108" s="104">
        <f t="shared" si="2176"/>
        <v>2745.49</v>
      </c>
      <c r="AW108" s="103">
        <f t="shared" si="2176"/>
        <v>0</v>
      </c>
      <c r="AX108" s="105">
        <f t="shared" si="2176"/>
        <v>0</v>
      </c>
      <c r="AY108" s="104">
        <f t="shared" si="2176"/>
        <v>0</v>
      </c>
      <c r="AZ108" s="103">
        <f t="shared" si="1469"/>
        <v>27745.489999999998</v>
      </c>
      <c r="BA108" s="106">
        <f>SUM(BA96:BA107)</f>
        <v>0</v>
      </c>
      <c r="BB108" s="104">
        <f t="shared" ref="BB108:BN108" si="2177">SUM(BB96:BB107)</f>
        <v>27745.489999999998</v>
      </c>
      <c r="BC108" s="102">
        <f t="shared" si="2177"/>
        <v>36900</v>
      </c>
      <c r="BD108" s="103">
        <f t="shared" si="2177"/>
        <v>0</v>
      </c>
      <c r="BE108" s="104">
        <f t="shared" si="2177"/>
        <v>36900</v>
      </c>
      <c r="BF108" s="103">
        <f t="shared" si="2177"/>
        <v>0</v>
      </c>
      <c r="BG108" s="105">
        <f t="shared" si="2177"/>
        <v>0</v>
      </c>
      <c r="BH108" s="104">
        <f t="shared" si="2177"/>
        <v>0</v>
      </c>
      <c r="BI108" s="103">
        <f t="shared" si="2177"/>
        <v>8000</v>
      </c>
      <c r="BJ108" s="105">
        <f t="shared" si="2177"/>
        <v>0</v>
      </c>
      <c r="BK108" s="104">
        <f t="shared" si="2177"/>
        <v>8000</v>
      </c>
      <c r="BL108" s="103">
        <f t="shared" si="2177"/>
        <v>1200</v>
      </c>
      <c r="BM108" s="105">
        <f t="shared" si="2177"/>
        <v>0</v>
      </c>
      <c r="BN108" s="104">
        <f t="shared" si="2177"/>
        <v>1200</v>
      </c>
      <c r="BO108" s="103">
        <f t="shared" si="1476"/>
        <v>46100</v>
      </c>
      <c r="BP108" s="106">
        <f>SUM(BP96:BP107)</f>
        <v>0</v>
      </c>
      <c r="BQ108" s="104">
        <f>SUM(BQ96:BQ107)</f>
        <v>46100</v>
      </c>
      <c r="BR108" s="107"/>
      <c r="BS108" s="108"/>
      <c r="BT108" s="109"/>
      <c r="BU108" s="108"/>
      <c r="BV108" s="110"/>
      <c r="BW108" s="109"/>
      <c r="BX108" s="108"/>
      <c r="BY108" s="110"/>
      <c r="BZ108" s="109"/>
      <c r="CA108" s="108"/>
      <c r="CB108" s="110"/>
      <c r="CC108" s="109"/>
      <c r="CD108" s="108"/>
      <c r="CE108" s="111"/>
      <c r="CF108" s="104">
        <f t="shared" ref="CF108:CR108" si="2178">SUM(CF96:CF107)</f>
        <v>0</v>
      </c>
      <c r="CG108" s="102">
        <f t="shared" si="2178"/>
        <v>20000</v>
      </c>
      <c r="CH108" s="103">
        <f t="shared" si="2178"/>
        <v>0</v>
      </c>
      <c r="CI108" s="104">
        <f t="shared" si="2178"/>
        <v>20000</v>
      </c>
      <c r="CJ108" s="103">
        <f t="shared" si="2178"/>
        <v>0</v>
      </c>
      <c r="CK108" s="105">
        <f t="shared" si="2178"/>
        <v>0</v>
      </c>
      <c r="CL108" s="104">
        <f t="shared" si="2178"/>
        <v>0</v>
      </c>
      <c r="CM108" s="103">
        <f t="shared" si="2178"/>
        <v>2739.5</v>
      </c>
      <c r="CN108" s="105">
        <f t="shared" si="2178"/>
        <v>0</v>
      </c>
      <c r="CO108" s="104">
        <f t="shared" si="2178"/>
        <v>2739.5</v>
      </c>
      <c r="CP108" s="103">
        <f t="shared" si="2178"/>
        <v>0</v>
      </c>
      <c r="CQ108" s="105">
        <f t="shared" si="2178"/>
        <v>0</v>
      </c>
      <c r="CR108" s="104">
        <f t="shared" si="2178"/>
        <v>0</v>
      </c>
      <c r="CS108" s="103">
        <f t="shared" si="1484"/>
        <v>22739.5</v>
      </c>
      <c r="CT108" s="106">
        <f>SUM(CT96:CT107)</f>
        <v>0</v>
      </c>
      <c r="CU108" s="104">
        <f t="shared" ref="CU108:DG108" si="2179">SUM(CU96:CU107)</f>
        <v>22739.5</v>
      </c>
      <c r="CV108" s="102">
        <f t="shared" si="2179"/>
        <v>35000.400000000001</v>
      </c>
      <c r="CW108" s="103">
        <f t="shared" si="2179"/>
        <v>0</v>
      </c>
      <c r="CX108" s="104">
        <f t="shared" si="2179"/>
        <v>35000.400000000001</v>
      </c>
      <c r="CY108" s="103">
        <f t="shared" si="2179"/>
        <v>5149.7999999999993</v>
      </c>
      <c r="CZ108" s="105">
        <f t="shared" si="2179"/>
        <v>0</v>
      </c>
      <c r="DA108" s="104">
        <f t="shared" si="2179"/>
        <v>5149.7999999999993</v>
      </c>
      <c r="DB108" s="103">
        <f t="shared" si="2179"/>
        <v>3000</v>
      </c>
      <c r="DC108" s="105">
        <f t="shared" si="2179"/>
        <v>0</v>
      </c>
      <c r="DD108" s="104">
        <f t="shared" si="2179"/>
        <v>3000</v>
      </c>
      <c r="DE108" s="103">
        <f t="shared" si="2179"/>
        <v>0</v>
      </c>
      <c r="DF108" s="105">
        <f t="shared" si="2179"/>
        <v>0</v>
      </c>
      <c r="DG108" s="104">
        <f t="shared" si="2179"/>
        <v>0</v>
      </c>
      <c r="DH108" s="103">
        <f t="shared" si="1491"/>
        <v>43150.2</v>
      </c>
      <c r="DI108" s="106">
        <f>SUM(DI96:DI107)</f>
        <v>0</v>
      </c>
      <c r="DJ108" s="104">
        <f t="shared" ref="DJ108:DV108" si="2180">SUM(DJ96:DJ107)</f>
        <v>43150.19999999999</v>
      </c>
      <c r="DK108" s="102">
        <f t="shared" si="2180"/>
        <v>28800</v>
      </c>
      <c r="DL108" s="103">
        <f t="shared" si="2180"/>
        <v>0</v>
      </c>
      <c r="DM108" s="104">
        <f t="shared" si="2180"/>
        <v>28800</v>
      </c>
      <c r="DN108" s="103">
        <f t="shared" si="2180"/>
        <v>10956.960000000001</v>
      </c>
      <c r="DO108" s="105">
        <f t="shared" si="2180"/>
        <v>0</v>
      </c>
      <c r="DP108" s="104">
        <f t="shared" si="2180"/>
        <v>10956.960000000001</v>
      </c>
      <c r="DQ108" s="103">
        <f t="shared" si="2180"/>
        <v>0</v>
      </c>
      <c r="DR108" s="105">
        <f t="shared" si="2180"/>
        <v>0</v>
      </c>
      <c r="DS108" s="104">
        <f t="shared" si="2180"/>
        <v>0</v>
      </c>
      <c r="DT108" s="103">
        <f t="shared" si="2180"/>
        <v>1200</v>
      </c>
      <c r="DU108" s="105">
        <f t="shared" si="2180"/>
        <v>0</v>
      </c>
      <c r="DV108" s="104">
        <f t="shared" si="2180"/>
        <v>1200</v>
      </c>
      <c r="DW108" s="103">
        <f t="shared" si="1498"/>
        <v>40956.959999999999</v>
      </c>
      <c r="DX108" s="106">
        <f>SUM(DX96:DX107)</f>
        <v>0</v>
      </c>
      <c r="DY108" s="104">
        <f t="shared" ref="DY108:EK108" si="2181">SUM(DY96:DY107)</f>
        <v>40956.960000000014</v>
      </c>
      <c r="DZ108" s="102">
        <f t="shared" si="2181"/>
        <v>24000</v>
      </c>
      <c r="EA108" s="103">
        <f t="shared" si="2181"/>
        <v>0</v>
      </c>
      <c r="EB108" s="104">
        <f t="shared" si="2181"/>
        <v>24000</v>
      </c>
      <c r="EC108" s="103">
        <f t="shared" si="2181"/>
        <v>0</v>
      </c>
      <c r="ED108" s="105">
        <f t="shared" si="2181"/>
        <v>0</v>
      </c>
      <c r="EE108" s="104">
        <f t="shared" si="2181"/>
        <v>0</v>
      </c>
      <c r="EF108" s="103">
        <f t="shared" si="2181"/>
        <v>0</v>
      </c>
      <c r="EG108" s="105">
        <f t="shared" si="2181"/>
        <v>0</v>
      </c>
      <c r="EH108" s="104">
        <f t="shared" si="2181"/>
        <v>0</v>
      </c>
      <c r="EI108" s="103">
        <f t="shared" si="2181"/>
        <v>1200</v>
      </c>
      <c r="EJ108" s="105">
        <f t="shared" si="2181"/>
        <v>0</v>
      </c>
      <c r="EK108" s="104">
        <f t="shared" si="2181"/>
        <v>1200</v>
      </c>
      <c r="EL108" s="103">
        <f t="shared" si="1505"/>
        <v>25200</v>
      </c>
      <c r="EM108" s="106">
        <f>SUM(EM96:EM107)</f>
        <v>0</v>
      </c>
      <c r="EN108" s="104">
        <f t="shared" ref="EN108:EZ108" si="2182">SUM(EN96:EN107)</f>
        <v>25200</v>
      </c>
      <c r="EO108" s="102">
        <f t="shared" si="2182"/>
        <v>36900</v>
      </c>
      <c r="EP108" s="103">
        <f t="shared" si="2182"/>
        <v>0</v>
      </c>
      <c r="EQ108" s="104">
        <f t="shared" si="2182"/>
        <v>36900</v>
      </c>
      <c r="ER108" s="103">
        <f t="shared" si="2182"/>
        <v>3600</v>
      </c>
      <c r="ES108" s="105">
        <f t="shared" si="2182"/>
        <v>0</v>
      </c>
      <c r="ET108" s="104">
        <f t="shared" si="2182"/>
        <v>3600</v>
      </c>
      <c r="EU108" s="103">
        <f t="shared" si="2182"/>
        <v>4500</v>
      </c>
      <c r="EV108" s="105">
        <f t="shared" si="2182"/>
        <v>0</v>
      </c>
      <c r="EW108" s="104">
        <f t="shared" si="2182"/>
        <v>4500</v>
      </c>
      <c r="EX108" s="103">
        <f t="shared" si="2182"/>
        <v>1200</v>
      </c>
      <c r="EY108" s="105">
        <f t="shared" si="2182"/>
        <v>0</v>
      </c>
      <c r="EZ108" s="104">
        <f t="shared" si="2182"/>
        <v>1200</v>
      </c>
      <c r="FA108" s="103">
        <f t="shared" si="1512"/>
        <v>46200</v>
      </c>
      <c r="FB108" s="106">
        <f>SUM(FB96:FB107)</f>
        <v>0</v>
      </c>
      <c r="FC108" s="104">
        <f t="shared" ref="FC108:FO108" si="2183">SUM(FC96:FC107)</f>
        <v>46200</v>
      </c>
      <c r="FD108" s="102">
        <f t="shared" si="2183"/>
        <v>36900</v>
      </c>
      <c r="FE108" s="103">
        <f t="shared" si="2183"/>
        <v>0</v>
      </c>
      <c r="FF108" s="104">
        <f t="shared" si="2183"/>
        <v>36900</v>
      </c>
      <c r="FG108" s="103">
        <f t="shared" si="2183"/>
        <v>3600</v>
      </c>
      <c r="FH108" s="105">
        <f t="shared" si="2183"/>
        <v>0</v>
      </c>
      <c r="FI108" s="104">
        <f t="shared" si="2183"/>
        <v>3600</v>
      </c>
      <c r="FJ108" s="103">
        <f t="shared" si="2183"/>
        <v>4500</v>
      </c>
      <c r="FK108" s="105">
        <f t="shared" si="2183"/>
        <v>0</v>
      </c>
      <c r="FL108" s="104">
        <f t="shared" si="2183"/>
        <v>4500</v>
      </c>
      <c r="FM108" s="103">
        <f t="shared" si="2183"/>
        <v>1200</v>
      </c>
      <c r="FN108" s="105">
        <f t="shared" si="2183"/>
        <v>0</v>
      </c>
      <c r="FO108" s="104">
        <f t="shared" si="2183"/>
        <v>1200</v>
      </c>
      <c r="FP108" s="103">
        <f t="shared" si="1519"/>
        <v>46200</v>
      </c>
      <c r="FQ108" s="106">
        <f>SUM(FQ96:FQ107)</f>
        <v>0</v>
      </c>
      <c r="FR108" s="104">
        <f t="shared" ref="FR108:GD108" si="2184">SUM(FR96:FR107)</f>
        <v>46200</v>
      </c>
      <c r="FS108" s="102">
        <f t="shared" si="2184"/>
        <v>18000</v>
      </c>
      <c r="FT108" s="103">
        <f t="shared" si="2184"/>
        <v>0</v>
      </c>
      <c r="FU108" s="104">
        <f t="shared" si="2184"/>
        <v>18000</v>
      </c>
      <c r="FV108" s="103">
        <f t="shared" si="2184"/>
        <v>5824.2000000000007</v>
      </c>
      <c r="FW108" s="105">
        <f t="shared" si="2184"/>
        <v>0</v>
      </c>
      <c r="FX108" s="104">
        <f t="shared" si="2184"/>
        <v>5824.2000000000007</v>
      </c>
      <c r="FY108" s="103">
        <f t="shared" si="2184"/>
        <v>3650</v>
      </c>
      <c r="FZ108" s="105">
        <f t="shared" si="2184"/>
        <v>0</v>
      </c>
      <c r="GA108" s="104">
        <f t="shared" si="2184"/>
        <v>3650</v>
      </c>
      <c r="GB108" s="103">
        <f t="shared" si="2184"/>
        <v>0</v>
      </c>
      <c r="GC108" s="105">
        <f t="shared" si="2184"/>
        <v>0</v>
      </c>
      <c r="GD108" s="104">
        <f t="shared" si="2184"/>
        <v>0</v>
      </c>
      <c r="GE108" s="103">
        <f t="shared" si="1526"/>
        <v>27474.2</v>
      </c>
      <c r="GF108" s="106">
        <f>SUM(GF96:GF107)</f>
        <v>0</v>
      </c>
      <c r="GG108" s="104">
        <f t="shared" ref="GG108:GS108" si="2185">SUM(GG96:GG107)</f>
        <v>27474.199999999993</v>
      </c>
      <c r="GH108" s="102">
        <f t="shared" si="2185"/>
        <v>18000</v>
      </c>
      <c r="GI108" s="103">
        <f t="shared" si="2185"/>
        <v>0</v>
      </c>
      <c r="GJ108" s="104">
        <f t="shared" si="2185"/>
        <v>18000</v>
      </c>
      <c r="GK108" s="103">
        <f t="shared" si="2185"/>
        <v>7923.96</v>
      </c>
      <c r="GL108" s="105">
        <f t="shared" si="2185"/>
        <v>0</v>
      </c>
      <c r="GM108" s="104">
        <f t="shared" si="2185"/>
        <v>7923.96</v>
      </c>
      <c r="GN108" s="103">
        <f t="shared" si="2185"/>
        <v>3650</v>
      </c>
      <c r="GO108" s="105">
        <f t="shared" si="2185"/>
        <v>0</v>
      </c>
      <c r="GP108" s="104">
        <f t="shared" si="2185"/>
        <v>3650</v>
      </c>
      <c r="GQ108" s="103">
        <f t="shared" si="2185"/>
        <v>0</v>
      </c>
      <c r="GR108" s="105">
        <f t="shared" si="2185"/>
        <v>0</v>
      </c>
      <c r="GS108" s="104">
        <f t="shared" si="2185"/>
        <v>0</v>
      </c>
      <c r="GT108" s="103">
        <f t="shared" si="1533"/>
        <v>29573.96</v>
      </c>
      <c r="GU108" s="106">
        <f>SUM(GU96:GU107)</f>
        <v>0</v>
      </c>
      <c r="GV108" s="104">
        <f t="shared" ref="GV108:HH108" si="2186">SUM(GV96:GV107)</f>
        <v>29573.96000000001</v>
      </c>
      <c r="GW108" s="102">
        <f t="shared" si="2186"/>
        <v>26700</v>
      </c>
      <c r="GX108" s="103">
        <f t="shared" si="2186"/>
        <v>0</v>
      </c>
      <c r="GY108" s="104">
        <f t="shared" si="2186"/>
        <v>26700</v>
      </c>
      <c r="GZ108" s="103">
        <f t="shared" si="2186"/>
        <v>6819</v>
      </c>
      <c r="HA108" s="105">
        <f t="shared" si="2186"/>
        <v>0</v>
      </c>
      <c r="HB108" s="104">
        <f t="shared" si="2186"/>
        <v>6819</v>
      </c>
      <c r="HC108" s="103">
        <f t="shared" si="2186"/>
        <v>0</v>
      </c>
      <c r="HD108" s="105">
        <f t="shared" si="2186"/>
        <v>0</v>
      </c>
      <c r="HE108" s="104">
        <f t="shared" si="2186"/>
        <v>0</v>
      </c>
      <c r="HF108" s="103">
        <f t="shared" si="2186"/>
        <v>1200</v>
      </c>
      <c r="HG108" s="105">
        <f t="shared" si="2186"/>
        <v>0</v>
      </c>
      <c r="HH108" s="104">
        <f t="shared" si="2186"/>
        <v>1200</v>
      </c>
      <c r="HI108" s="103">
        <f t="shared" si="1540"/>
        <v>34719</v>
      </c>
      <c r="HJ108" s="106">
        <f>SUM(HJ96:HJ107)</f>
        <v>0</v>
      </c>
      <c r="HK108" s="104">
        <f t="shared" ref="HK108:HW108" si="2187">SUM(HK96:HK107)</f>
        <v>34719</v>
      </c>
      <c r="HL108" s="102">
        <f t="shared" si="2187"/>
        <v>36900</v>
      </c>
      <c r="HM108" s="103">
        <f t="shared" si="2187"/>
        <v>0</v>
      </c>
      <c r="HN108" s="104">
        <f t="shared" si="2187"/>
        <v>36900</v>
      </c>
      <c r="HO108" s="103">
        <f t="shared" si="2187"/>
        <v>4400</v>
      </c>
      <c r="HP108" s="105">
        <f t="shared" si="2187"/>
        <v>0</v>
      </c>
      <c r="HQ108" s="104">
        <f t="shared" si="2187"/>
        <v>4400</v>
      </c>
      <c r="HR108" s="103">
        <f t="shared" si="2187"/>
        <v>4800</v>
      </c>
      <c r="HS108" s="105">
        <f t="shared" si="2187"/>
        <v>0</v>
      </c>
      <c r="HT108" s="104">
        <f t="shared" si="2187"/>
        <v>4800</v>
      </c>
      <c r="HU108" s="103">
        <f t="shared" si="2187"/>
        <v>1200</v>
      </c>
      <c r="HV108" s="105">
        <f t="shared" si="2187"/>
        <v>0</v>
      </c>
      <c r="HW108" s="104">
        <f t="shared" si="2187"/>
        <v>1200</v>
      </c>
      <c r="HX108" s="103">
        <f t="shared" si="1547"/>
        <v>47300</v>
      </c>
      <c r="HY108" s="106">
        <f>SUM(HY96:HY107)</f>
        <v>0</v>
      </c>
      <c r="HZ108" s="104">
        <f t="shared" ref="HZ108:IL108" si="2188">SUM(HZ96:HZ107)</f>
        <v>47300</v>
      </c>
      <c r="IA108" s="102">
        <f t="shared" si="2188"/>
        <v>19729</v>
      </c>
      <c r="IB108" s="103">
        <f t="shared" si="2188"/>
        <v>0</v>
      </c>
      <c r="IC108" s="104">
        <f t="shared" si="2188"/>
        <v>19729</v>
      </c>
      <c r="ID108" s="103">
        <f t="shared" si="2188"/>
        <v>0</v>
      </c>
      <c r="IE108" s="105">
        <f t="shared" si="2188"/>
        <v>0</v>
      </c>
      <c r="IF108" s="104">
        <f t="shared" si="2188"/>
        <v>0</v>
      </c>
      <c r="IG108" s="103">
        <f t="shared" si="2188"/>
        <v>9701.0400000000009</v>
      </c>
      <c r="IH108" s="105">
        <f t="shared" si="2188"/>
        <v>0</v>
      </c>
      <c r="II108" s="104">
        <f t="shared" si="2188"/>
        <v>9701.0400000000009</v>
      </c>
      <c r="IJ108" s="103">
        <f t="shared" si="2188"/>
        <v>1200</v>
      </c>
      <c r="IK108" s="105">
        <f t="shared" si="2188"/>
        <v>0</v>
      </c>
      <c r="IL108" s="104">
        <f t="shared" si="2188"/>
        <v>1200</v>
      </c>
      <c r="IM108" s="103">
        <f t="shared" si="1554"/>
        <v>30630.04</v>
      </c>
      <c r="IN108" s="106">
        <f>SUM(IN96:IN107)</f>
        <v>0</v>
      </c>
      <c r="IO108" s="104">
        <f t="shared" ref="IO108:JA108" si="2189">SUM(IO96:IO107)</f>
        <v>30630.04</v>
      </c>
      <c r="IP108" s="102">
        <f t="shared" si="2189"/>
        <v>20000</v>
      </c>
      <c r="IQ108" s="103">
        <f t="shared" si="2189"/>
        <v>0</v>
      </c>
      <c r="IR108" s="104">
        <f t="shared" si="2189"/>
        <v>20000</v>
      </c>
      <c r="IS108" s="103">
        <f t="shared" si="2189"/>
        <v>0</v>
      </c>
      <c r="IT108" s="105">
        <f t="shared" si="2189"/>
        <v>0</v>
      </c>
      <c r="IU108" s="104">
        <f t="shared" si="2189"/>
        <v>0</v>
      </c>
      <c r="IV108" s="103">
        <f t="shared" si="2189"/>
        <v>2739.5</v>
      </c>
      <c r="IW108" s="105">
        <f t="shared" si="2189"/>
        <v>0</v>
      </c>
      <c r="IX108" s="104">
        <f t="shared" si="2189"/>
        <v>2739.5</v>
      </c>
      <c r="IY108" s="103">
        <f t="shared" si="2189"/>
        <v>0</v>
      </c>
      <c r="IZ108" s="105">
        <f t="shared" si="2189"/>
        <v>0</v>
      </c>
      <c r="JA108" s="104">
        <f t="shared" si="2189"/>
        <v>0</v>
      </c>
      <c r="JB108" s="103">
        <f t="shared" si="1561"/>
        <v>22739.5</v>
      </c>
      <c r="JC108" s="106">
        <f>SUM(JC96:JC107)</f>
        <v>0</v>
      </c>
      <c r="JD108" s="104">
        <f>SUM(JD96:JD107)</f>
        <v>22739.5</v>
      </c>
      <c r="JE108" s="107"/>
      <c r="JF108" s="108"/>
      <c r="JG108" s="109"/>
      <c r="JH108" s="108"/>
      <c r="JI108" s="110"/>
      <c r="JJ108" s="109"/>
      <c r="JK108" s="108"/>
      <c r="JL108" s="110"/>
      <c r="JM108" s="109"/>
      <c r="JN108" s="108"/>
      <c r="JO108" s="110"/>
      <c r="JP108" s="109"/>
      <c r="JQ108" s="108"/>
      <c r="JR108" s="111"/>
      <c r="JS108" s="109"/>
      <c r="JT108" s="107"/>
      <c r="JU108" s="108"/>
      <c r="JV108" s="109"/>
      <c r="JW108" s="108"/>
      <c r="JX108" s="110"/>
      <c r="JY108" s="109"/>
      <c r="JZ108" s="108"/>
      <c r="KA108" s="110"/>
      <c r="KB108" s="109"/>
      <c r="KC108" s="108"/>
      <c r="KD108" s="110"/>
      <c r="KE108" s="109"/>
      <c r="KF108" s="108"/>
      <c r="KG108" s="111"/>
      <c r="KH108" s="104">
        <f t="shared" ref="KH108:KT108" si="2190">SUM(KH96:KH107)</f>
        <v>0</v>
      </c>
      <c r="KI108" s="102">
        <f t="shared" si="2190"/>
        <v>100000</v>
      </c>
      <c r="KJ108" s="103">
        <f t="shared" si="2190"/>
        <v>0</v>
      </c>
      <c r="KK108" s="104">
        <f t="shared" si="2190"/>
        <v>100000</v>
      </c>
      <c r="KL108" s="103">
        <f t="shared" si="2190"/>
        <v>0</v>
      </c>
      <c r="KM108" s="105">
        <f t="shared" si="2190"/>
        <v>0</v>
      </c>
      <c r="KN108" s="104">
        <f t="shared" si="2190"/>
        <v>0</v>
      </c>
      <c r="KO108" s="103">
        <f t="shared" si="2190"/>
        <v>0</v>
      </c>
      <c r="KP108" s="105">
        <f t="shared" si="2190"/>
        <v>0</v>
      </c>
      <c r="KQ108" s="104">
        <f t="shared" si="2190"/>
        <v>0</v>
      </c>
      <c r="KR108" s="103">
        <f t="shared" si="2190"/>
        <v>0</v>
      </c>
      <c r="KS108" s="105">
        <f t="shared" si="2190"/>
        <v>0</v>
      </c>
      <c r="KT108" s="104">
        <f t="shared" si="2190"/>
        <v>0</v>
      </c>
      <c r="KU108" s="103">
        <f t="shared" si="1439"/>
        <v>100000</v>
      </c>
      <c r="KV108" s="106">
        <f>SUM(KV96:KV107)</f>
        <v>0</v>
      </c>
      <c r="KW108" s="104">
        <f>SUM(KW96:KW107)</f>
        <v>100000</v>
      </c>
      <c r="KX108" s="122"/>
      <c r="KY108" s="123"/>
      <c r="KZ108" s="124"/>
      <c r="LA108" s="123"/>
      <c r="LB108" s="125"/>
      <c r="LC108" s="124"/>
      <c r="LD108" s="123"/>
      <c r="LE108" s="125"/>
      <c r="LF108" s="124"/>
      <c r="LG108" s="123"/>
      <c r="LH108" s="125"/>
      <c r="LI108" s="109"/>
      <c r="LJ108" s="108"/>
      <c r="LK108" s="111"/>
      <c r="LL108" s="109"/>
      <c r="LM108" s="102">
        <f t="shared" ref="LM108:LX108" si="2191">SUM(LM96:LM107)</f>
        <v>18600</v>
      </c>
      <c r="LN108" s="103">
        <f t="shared" si="2191"/>
        <v>0</v>
      </c>
      <c r="LO108" s="104">
        <f t="shared" si="2191"/>
        <v>18600</v>
      </c>
      <c r="LP108" s="103">
        <f t="shared" si="2191"/>
        <v>0</v>
      </c>
      <c r="LQ108" s="105">
        <f t="shared" si="2191"/>
        <v>0</v>
      </c>
      <c r="LR108" s="104">
        <f t="shared" si="2191"/>
        <v>0</v>
      </c>
      <c r="LS108" s="103">
        <f t="shared" si="2191"/>
        <v>0</v>
      </c>
      <c r="LT108" s="105">
        <f t="shared" si="2191"/>
        <v>0</v>
      </c>
      <c r="LU108" s="104">
        <f t="shared" si="2191"/>
        <v>0</v>
      </c>
      <c r="LV108" s="103">
        <f t="shared" si="2191"/>
        <v>1200</v>
      </c>
      <c r="LW108" s="105">
        <f t="shared" si="2191"/>
        <v>0</v>
      </c>
      <c r="LX108" s="104">
        <f t="shared" si="2191"/>
        <v>1200</v>
      </c>
      <c r="LY108" s="103">
        <f t="shared" si="1575"/>
        <v>19800</v>
      </c>
      <c r="LZ108" s="106">
        <f>SUM(LZ96:LZ107)</f>
        <v>0</v>
      </c>
      <c r="MA108" s="104">
        <f t="shared" ref="MA108:MM108" si="2192">SUM(MA96:MA107)</f>
        <v>19800</v>
      </c>
      <c r="MB108" s="102">
        <f t="shared" si="2192"/>
        <v>7800</v>
      </c>
      <c r="MC108" s="103">
        <f t="shared" si="2192"/>
        <v>0</v>
      </c>
      <c r="MD108" s="104">
        <f t="shared" si="2192"/>
        <v>7800</v>
      </c>
      <c r="ME108" s="103">
        <f t="shared" si="2192"/>
        <v>10669.32</v>
      </c>
      <c r="MF108" s="105">
        <f t="shared" si="2192"/>
        <v>0</v>
      </c>
      <c r="MG108" s="104">
        <f t="shared" si="2192"/>
        <v>10669.32</v>
      </c>
      <c r="MH108" s="103">
        <f t="shared" si="2192"/>
        <v>0</v>
      </c>
      <c r="MI108" s="105">
        <f t="shared" si="2192"/>
        <v>0</v>
      </c>
      <c r="MJ108" s="104">
        <f t="shared" si="2192"/>
        <v>0</v>
      </c>
      <c r="MK108" s="103">
        <f t="shared" si="2192"/>
        <v>1200</v>
      </c>
      <c r="ML108" s="105">
        <f t="shared" si="2192"/>
        <v>0</v>
      </c>
      <c r="MM108" s="104">
        <f t="shared" si="2192"/>
        <v>1200</v>
      </c>
      <c r="MN108" s="103">
        <f t="shared" si="1582"/>
        <v>19669.32</v>
      </c>
      <c r="MO108" s="106">
        <f>SUM(MO96:MO107)</f>
        <v>0</v>
      </c>
      <c r="MP108" s="104">
        <f t="shared" ref="MP108:NB108" si="2193">SUM(MP96:MP107)</f>
        <v>19669.320000000003</v>
      </c>
      <c r="MQ108" s="102">
        <f t="shared" si="2193"/>
        <v>18200</v>
      </c>
      <c r="MR108" s="103">
        <f t="shared" si="2193"/>
        <v>0</v>
      </c>
      <c r="MS108" s="104">
        <f t="shared" si="2193"/>
        <v>18200</v>
      </c>
      <c r="MT108" s="103">
        <f t="shared" si="2193"/>
        <v>0</v>
      </c>
      <c r="MU108" s="105">
        <f t="shared" si="2193"/>
        <v>0</v>
      </c>
      <c r="MV108" s="104">
        <f t="shared" si="2193"/>
        <v>0</v>
      </c>
      <c r="MW108" s="103">
        <f t="shared" si="2193"/>
        <v>0</v>
      </c>
      <c r="MX108" s="105">
        <f t="shared" si="2193"/>
        <v>0</v>
      </c>
      <c r="MY108" s="104">
        <f t="shared" si="2193"/>
        <v>0</v>
      </c>
      <c r="MZ108" s="103">
        <f t="shared" si="2193"/>
        <v>0</v>
      </c>
      <c r="NA108" s="105">
        <f t="shared" si="2193"/>
        <v>0</v>
      </c>
      <c r="NB108" s="104">
        <f t="shared" si="2193"/>
        <v>0</v>
      </c>
      <c r="NC108" s="103">
        <f t="shared" si="1589"/>
        <v>18200</v>
      </c>
      <c r="ND108" s="106">
        <f>SUM(ND96:ND107)</f>
        <v>0</v>
      </c>
      <c r="NE108" s="104">
        <f t="shared" ref="NE108:NQ108" si="2194">SUM(NE96:NE107)</f>
        <v>18200</v>
      </c>
      <c r="NF108" s="102">
        <f t="shared" si="2194"/>
        <v>12000</v>
      </c>
      <c r="NG108" s="103">
        <f t="shared" si="2194"/>
        <v>0</v>
      </c>
      <c r="NH108" s="104">
        <f t="shared" si="2194"/>
        <v>12000</v>
      </c>
      <c r="NI108" s="103">
        <f t="shared" si="2194"/>
        <v>13968.480000000003</v>
      </c>
      <c r="NJ108" s="105">
        <f t="shared" si="2194"/>
        <v>0</v>
      </c>
      <c r="NK108" s="104">
        <f t="shared" si="2194"/>
        <v>13968.480000000003</v>
      </c>
      <c r="NL108" s="103">
        <f t="shared" si="2194"/>
        <v>0</v>
      </c>
      <c r="NM108" s="105">
        <f t="shared" si="2194"/>
        <v>0</v>
      </c>
      <c r="NN108" s="104">
        <f t="shared" si="2194"/>
        <v>0</v>
      </c>
      <c r="NO108" s="103">
        <f t="shared" si="2194"/>
        <v>1200</v>
      </c>
      <c r="NP108" s="105">
        <f t="shared" si="2194"/>
        <v>0</v>
      </c>
      <c r="NQ108" s="104">
        <f t="shared" si="2194"/>
        <v>1200</v>
      </c>
      <c r="NR108" s="103">
        <f t="shared" si="1596"/>
        <v>27168.480000000003</v>
      </c>
      <c r="NS108" s="106">
        <f>SUM(NS96:NS107)</f>
        <v>0</v>
      </c>
      <c r="NT108" s="104">
        <f t="shared" ref="NT108:OF108" si="2195">SUM(NT96:NT107)</f>
        <v>27168.480000000003</v>
      </c>
      <c r="NU108" s="102">
        <f t="shared" si="2195"/>
        <v>10368</v>
      </c>
      <c r="NV108" s="103">
        <f t="shared" si="2195"/>
        <v>0</v>
      </c>
      <c r="NW108" s="104">
        <f t="shared" si="2195"/>
        <v>10368</v>
      </c>
      <c r="NX108" s="103">
        <f t="shared" si="2195"/>
        <v>13832.759999999997</v>
      </c>
      <c r="NY108" s="105">
        <f t="shared" si="2195"/>
        <v>0</v>
      </c>
      <c r="NZ108" s="104">
        <f t="shared" si="2195"/>
        <v>13832.759999999997</v>
      </c>
      <c r="OA108" s="103">
        <f t="shared" si="2195"/>
        <v>884.31</v>
      </c>
      <c r="OB108" s="105">
        <f t="shared" si="2195"/>
        <v>0</v>
      </c>
      <c r="OC108" s="104">
        <f t="shared" si="2195"/>
        <v>884.31</v>
      </c>
      <c r="OD108" s="103">
        <f t="shared" si="2195"/>
        <v>1200</v>
      </c>
      <c r="OE108" s="105">
        <f t="shared" si="2195"/>
        <v>0</v>
      </c>
      <c r="OF108" s="104">
        <f t="shared" si="2195"/>
        <v>1200</v>
      </c>
      <c r="OG108" s="103">
        <f t="shared" si="1603"/>
        <v>26285.069999999996</v>
      </c>
      <c r="OH108" s="106">
        <f>SUM(OH96:OH107)</f>
        <v>0</v>
      </c>
      <c r="OI108" s="104">
        <f t="shared" ref="OI108:OU108" si="2196">SUM(OI96:OI107)</f>
        <v>26285.069999999996</v>
      </c>
      <c r="OJ108" s="102">
        <f t="shared" si="2196"/>
        <v>17500</v>
      </c>
      <c r="OK108" s="103">
        <f t="shared" si="2196"/>
        <v>0</v>
      </c>
      <c r="OL108" s="104">
        <f t="shared" si="2196"/>
        <v>17500</v>
      </c>
      <c r="OM108" s="103">
        <f t="shared" si="2196"/>
        <v>0</v>
      </c>
      <c r="ON108" s="105">
        <f t="shared" si="2196"/>
        <v>0</v>
      </c>
      <c r="OO108" s="104">
        <f t="shared" si="2196"/>
        <v>0</v>
      </c>
      <c r="OP108" s="103">
        <f t="shared" si="2196"/>
        <v>1200</v>
      </c>
      <c r="OQ108" s="105">
        <f t="shared" si="2196"/>
        <v>0</v>
      </c>
      <c r="OR108" s="104">
        <f t="shared" si="2196"/>
        <v>1200</v>
      </c>
      <c r="OS108" s="103">
        <f t="shared" si="2196"/>
        <v>1200</v>
      </c>
      <c r="OT108" s="105">
        <f t="shared" si="2196"/>
        <v>0</v>
      </c>
      <c r="OU108" s="104">
        <f t="shared" si="2196"/>
        <v>1200</v>
      </c>
      <c r="OV108" s="103">
        <f t="shared" si="1610"/>
        <v>19900</v>
      </c>
      <c r="OW108" s="106">
        <f>SUM(OW96:OW107)</f>
        <v>0</v>
      </c>
      <c r="OX108" s="104">
        <f t="shared" ref="OX108:PJ108" si="2197">SUM(OX96:OX107)</f>
        <v>19900</v>
      </c>
      <c r="OY108" s="102">
        <f t="shared" si="2197"/>
        <v>15800</v>
      </c>
      <c r="OZ108" s="103">
        <f t="shared" si="2197"/>
        <v>0</v>
      </c>
      <c r="PA108" s="104">
        <f t="shared" si="2197"/>
        <v>15800</v>
      </c>
      <c r="PB108" s="103">
        <f t="shared" si="2197"/>
        <v>600</v>
      </c>
      <c r="PC108" s="105">
        <f t="shared" si="2197"/>
        <v>0</v>
      </c>
      <c r="PD108" s="104">
        <f t="shared" si="2197"/>
        <v>600</v>
      </c>
      <c r="PE108" s="103">
        <f t="shared" si="2197"/>
        <v>0</v>
      </c>
      <c r="PF108" s="105">
        <f t="shared" si="2197"/>
        <v>0</v>
      </c>
      <c r="PG108" s="104">
        <f t="shared" si="2197"/>
        <v>0</v>
      </c>
      <c r="PH108" s="103">
        <f t="shared" si="2197"/>
        <v>1200</v>
      </c>
      <c r="PI108" s="105">
        <f t="shared" si="2197"/>
        <v>0</v>
      </c>
      <c r="PJ108" s="104">
        <f t="shared" si="2197"/>
        <v>1200</v>
      </c>
      <c r="PK108" s="103">
        <f t="shared" si="1617"/>
        <v>17600</v>
      </c>
      <c r="PL108" s="106">
        <f>SUM(PL96:PL107)</f>
        <v>0</v>
      </c>
      <c r="PM108" s="104">
        <f t="shared" ref="PM108:PY108" si="2198">SUM(PM96:PM107)</f>
        <v>17600</v>
      </c>
      <c r="PN108" s="102">
        <f t="shared" si="2198"/>
        <v>18600</v>
      </c>
      <c r="PO108" s="103">
        <f t="shared" si="2198"/>
        <v>0</v>
      </c>
      <c r="PP108" s="104">
        <f t="shared" si="2198"/>
        <v>18600</v>
      </c>
      <c r="PQ108" s="103">
        <f t="shared" si="2198"/>
        <v>0</v>
      </c>
      <c r="PR108" s="105">
        <f t="shared" si="2198"/>
        <v>0</v>
      </c>
      <c r="PS108" s="104">
        <f t="shared" si="2198"/>
        <v>0</v>
      </c>
      <c r="PT108" s="103">
        <f t="shared" si="2198"/>
        <v>0</v>
      </c>
      <c r="PU108" s="105">
        <f t="shared" si="2198"/>
        <v>0</v>
      </c>
      <c r="PV108" s="104">
        <f t="shared" si="2198"/>
        <v>0</v>
      </c>
      <c r="PW108" s="103">
        <f t="shared" si="2198"/>
        <v>1200</v>
      </c>
      <c r="PX108" s="105">
        <f t="shared" si="2198"/>
        <v>0</v>
      </c>
      <c r="PY108" s="104">
        <f t="shared" si="2198"/>
        <v>1200</v>
      </c>
      <c r="PZ108" s="103">
        <f t="shared" si="1624"/>
        <v>19800</v>
      </c>
      <c r="QA108" s="106">
        <f>SUM(QA96:QA107)</f>
        <v>0</v>
      </c>
      <c r="QB108" s="104">
        <f t="shared" ref="QB108:QN108" si="2199">SUM(QB96:QB107)</f>
        <v>19800</v>
      </c>
      <c r="QC108" s="102">
        <f t="shared" si="2199"/>
        <v>18000</v>
      </c>
      <c r="QD108" s="103">
        <f t="shared" si="2199"/>
        <v>0</v>
      </c>
      <c r="QE108" s="104">
        <f t="shared" si="2199"/>
        <v>18000</v>
      </c>
      <c r="QF108" s="103">
        <f t="shared" si="2199"/>
        <v>0</v>
      </c>
      <c r="QG108" s="105">
        <f t="shared" si="2199"/>
        <v>0</v>
      </c>
      <c r="QH108" s="104">
        <f t="shared" si="2199"/>
        <v>0</v>
      </c>
      <c r="QI108" s="103">
        <f t="shared" si="2199"/>
        <v>0</v>
      </c>
      <c r="QJ108" s="105">
        <f t="shared" si="2199"/>
        <v>0</v>
      </c>
      <c r="QK108" s="104">
        <f t="shared" si="2199"/>
        <v>0</v>
      </c>
      <c r="QL108" s="103">
        <f t="shared" si="2199"/>
        <v>1200</v>
      </c>
      <c r="QM108" s="105">
        <f t="shared" si="2199"/>
        <v>0</v>
      </c>
      <c r="QN108" s="104">
        <f t="shared" si="2199"/>
        <v>1200</v>
      </c>
      <c r="QO108" s="103">
        <f t="shared" si="1631"/>
        <v>19200</v>
      </c>
      <c r="QP108" s="106">
        <f>SUM(QP96:QP107)</f>
        <v>0</v>
      </c>
      <c r="QQ108" s="104">
        <f>SUM(QQ96:QQ107)</f>
        <v>19200</v>
      </c>
      <c r="QR108" s="109"/>
      <c r="QS108" s="109"/>
      <c r="QT108" s="107"/>
      <c r="QU108" s="108"/>
      <c r="QV108" s="109"/>
      <c r="QW108" s="108"/>
      <c r="QX108" s="110"/>
      <c r="QY108" s="109"/>
      <c r="QZ108" s="108"/>
      <c r="RA108" s="110"/>
      <c r="RB108" s="109"/>
      <c r="RC108" s="108"/>
      <c r="RD108" s="110"/>
      <c r="RE108" s="109"/>
      <c r="RF108" s="109"/>
      <c r="RG108" s="107"/>
      <c r="RH108" s="108"/>
      <c r="RI108" s="109"/>
      <c r="RJ108" s="108"/>
      <c r="RK108" s="110"/>
      <c r="RL108" s="109"/>
      <c r="RM108" s="108"/>
      <c r="RN108" s="110"/>
      <c r="RO108" s="109"/>
      <c r="RP108" s="108"/>
      <c r="RQ108" s="110"/>
      <c r="RR108" s="109"/>
      <c r="RS108" s="108"/>
      <c r="RT108" s="111"/>
      <c r="RU108" s="109"/>
      <c r="RV108" s="109"/>
      <c r="RW108" s="107"/>
      <c r="RX108" s="108"/>
      <c r="RY108" s="109"/>
      <c r="RZ108" s="108"/>
      <c r="SA108" s="110"/>
      <c r="SB108" s="109"/>
      <c r="SC108" s="108"/>
      <c r="SD108" s="110"/>
      <c r="SE108" s="109"/>
      <c r="SF108" s="108"/>
      <c r="SG108" s="110"/>
      <c r="SH108" s="109"/>
      <c r="SI108" s="108"/>
      <c r="SJ108" s="104">
        <f t="shared" ref="SJ108:SV108" si="2200">SUM(SJ96:SJ107)</f>
        <v>0</v>
      </c>
      <c r="SK108" s="102">
        <f t="shared" si="2200"/>
        <v>17000</v>
      </c>
      <c r="SL108" s="103">
        <f t="shared" si="2200"/>
        <v>0</v>
      </c>
      <c r="SM108" s="104">
        <f t="shared" si="2200"/>
        <v>17000</v>
      </c>
      <c r="SN108" s="103">
        <f t="shared" si="2200"/>
        <v>0</v>
      </c>
      <c r="SO108" s="105">
        <f t="shared" si="2200"/>
        <v>0</v>
      </c>
      <c r="SP108" s="104">
        <f t="shared" si="2200"/>
        <v>0</v>
      </c>
      <c r="SQ108" s="103">
        <f t="shared" si="2200"/>
        <v>0</v>
      </c>
      <c r="SR108" s="105">
        <f t="shared" si="2200"/>
        <v>0</v>
      </c>
      <c r="SS108" s="104">
        <f t="shared" si="2200"/>
        <v>0</v>
      </c>
      <c r="ST108" s="103">
        <f t="shared" si="2200"/>
        <v>1200</v>
      </c>
      <c r="SU108" s="105">
        <f t="shared" si="2200"/>
        <v>0</v>
      </c>
      <c r="SV108" s="104">
        <f t="shared" si="2200"/>
        <v>1200</v>
      </c>
      <c r="SW108" s="103">
        <f t="shared" si="1639"/>
        <v>18200</v>
      </c>
      <c r="SX108" s="106">
        <f>SUM(SX96:SX107)</f>
        <v>0</v>
      </c>
      <c r="SY108" s="104">
        <f t="shared" ref="SY108:TK108" si="2201">SUM(SY96:SY107)</f>
        <v>18200</v>
      </c>
      <c r="SZ108" s="102">
        <f t="shared" si="2201"/>
        <v>11823.960000000001</v>
      </c>
      <c r="TA108" s="103">
        <f t="shared" si="2201"/>
        <v>0</v>
      </c>
      <c r="TB108" s="104">
        <f t="shared" si="2201"/>
        <v>11823.960000000001</v>
      </c>
      <c r="TC108" s="103">
        <f t="shared" si="2201"/>
        <v>8410.7999999999975</v>
      </c>
      <c r="TD108" s="105">
        <f t="shared" si="2201"/>
        <v>0</v>
      </c>
      <c r="TE108" s="104">
        <f t="shared" si="2201"/>
        <v>8410.7999999999975</v>
      </c>
      <c r="TF108" s="103">
        <f t="shared" si="2201"/>
        <v>1800</v>
      </c>
      <c r="TG108" s="105">
        <f t="shared" si="2201"/>
        <v>0</v>
      </c>
      <c r="TH108" s="104">
        <f t="shared" si="2201"/>
        <v>1800</v>
      </c>
      <c r="TI108" s="103">
        <f t="shared" si="2201"/>
        <v>1200</v>
      </c>
      <c r="TJ108" s="105">
        <f t="shared" si="2201"/>
        <v>0</v>
      </c>
      <c r="TK108" s="104">
        <f t="shared" si="2201"/>
        <v>1200</v>
      </c>
      <c r="TL108" s="103">
        <f t="shared" si="1646"/>
        <v>23234.76</v>
      </c>
      <c r="TM108" s="106">
        <f>SUM(TM96:TM107)</f>
        <v>0</v>
      </c>
      <c r="TN108" s="104">
        <f t="shared" ref="TN108:TZ108" si="2202">SUM(TN96:TN107)</f>
        <v>23234.76</v>
      </c>
      <c r="TO108" s="102">
        <f t="shared" si="2202"/>
        <v>15500</v>
      </c>
      <c r="TP108" s="103">
        <f t="shared" si="2202"/>
        <v>0</v>
      </c>
      <c r="TQ108" s="104">
        <f t="shared" si="2202"/>
        <v>15500</v>
      </c>
      <c r="TR108" s="103">
        <f t="shared" si="2202"/>
        <v>0</v>
      </c>
      <c r="TS108" s="105">
        <f t="shared" si="2202"/>
        <v>0</v>
      </c>
      <c r="TT108" s="104">
        <f t="shared" si="2202"/>
        <v>0</v>
      </c>
      <c r="TU108" s="103">
        <f t="shared" si="2202"/>
        <v>0</v>
      </c>
      <c r="TV108" s="105">
        <f t="shared" si="2202"/>
        <v>0</v>
      </c>
      <c r="TW108" s="104">
        <f t="shared" si="2202"/>
        <v>0</v>
      </c>
      <c r="TX108" s="103">
        <f t="shared" si="2202"/>
        <v>1200</v>
      </c>
      <c r="TY108" s="105">
        <f t="shared" si="2202"/>
        <v>0</v>
      </c>
      <c r="TZ108" s="104">
        <f t="shared" si="2202"/>
        <v>1200</v>
      </c>
      <c r="UA108" s="103">
        <f t="shared" si="1653"/>
        <v>16700</v>
      </c>
      <c r="UB108" s="106">
        <f>SUM(UB96:UB107)</f>
        <v>0</v>
      </c>
      <c r="UC108" s="104">
        <f t="shared" ref="UC108:UO108" si="2203">SUM(UC96:UC107)</f>
        <v>16700</v>
      </c>
      <c r="UD108" s="102">
        <f t="shared" si="2203"/>
        <v>13500</v>
      </c>
      <c r="UE108" s="103">
        <f t="shared" si="2203"/>
        <v>0</v>
      </c>
      <c r="UF108" s="104">
        <f t="shared" si="2203"/>
        <v>13500</v>
      </c>
      <c r="UG108" s="103">
        <f t="shared" si="2203"/>
        <v>5964.4800000000005</v>
      </c>
      <c r="UH108" s="105">
        <f t="shared" si="2203"/>
        <v>0</v>
      </c>
      <c r="UI108" s="104">
        <f t="shared" si="2203"/>
        <v>5964.4800000000005</v>
      </c>
      <c r="UJ108" s="103">
        <f t="shared" si="2203"/>
        <v>0</v>
      </c>
      <c r="UK108" s="105">
        <f t="shared" si="2203"/>
        <v>0</v>
      </c>
      <c r="UL108" s="104">
        <f t="shared" si="2203"/>
        <v>0</v>
      </c>
      <c r="UM108" s="103">
        <f t="shared" si="2203"/>
        <v>1200</v>
      </c>
      <c r="UN108" s="105">
        <f t="shared" si="2203"/>
        <v>0</v>
      </c>
      <c r="UO108" s="104">
        <f t="shared" si="2203"/>
        <v>1200</v>
      </c>
      <c r="UP108" s="103">
        <f t="shared" si="1660"/>
        <v>20664.48</v>
      </c>
      <c r="UQ108" s="106">
        <f>SUM(UQ96:UQ107)</f>
        <v>0</v>
      </c>
      <c r="UR108" s="104">
        <f>SUM(UR96:UR107)</f>
        <v>20664.480000000007</v>
      </c>
      <c r="US108" s="109"/>
      <c r="UT108" s="107"/>
      <c r="UU108" s="108"/>
      <c r="UV108" s="109"/>
      <c r="UW108" s="108"/>
      <c r="UX108" s="110"/>
      <c r="UY108" s="109"/>
      <c r="UZ108" s="108"/>
      <c r="VA108" s="110"/>
      <c r="VB108" s="109"/>
      <c r="VC108" s="108"/>
      <c r="VD108" s="110"/>
      <c r="VE108" s="109"/>
      <c r="VF108" s="108"/>
      <c r="VG108" s="111"/>
      <c r="VH108" s="102">
        <f t="shared" ref="VH108:VS108" si="2204">SUM(VH96:VH107)</f>
        <v>18600</v>
      </c>
      <c r="VI108" s="103">
        <f t="shared" si="2204"/>
        <v>0</v>
      </c>
      <c r="VJ108" s="104">
        <f t="shared" si="2204"/>
        <v>18600</v>
      </c>
      <c r="VK108" s="103">
        <f t="shared" si="2204"/>
        <v>0</v>
      </c>
      <c r="VL108" s="105">
        <f t="shared" si="2204"/>
        <v>0</v>
      </c>
      <c r="VM108" s="104">
        <f t="shared" si="2204"/>
        <v>0</v>
      </c>
      <c r="VN108" s="103">
        <f t="shared" si="2204"/>
        <v>0</v>
      </c>
      <c r="VO108" s="105">
        <f t="shared" si="2204"/>
        <v>0</v>
      </c>
      <c r="VP108" s="104">
        <f t="shared" si="2204"/>
        <v>0</v>
      </c>
      <c r="VQ108" s="103">
        <f t="shared" si="2204"/>
        <v>1200</v>
      </c>
      <c r="VR108" s="105">
        <f t="shared" si="2204"/>
        <v>0</v>
      </c>
      <c r="VS108" s="104">
        <f t="shared" si="2204"/>
        <v>1200</v>
      </c>
      <c r="VT108" s="103">
        <f t="shared" si="1667"/>
        <v>19800</v>
      </c>
      <c r="VU108" s="106">
        <f>SUM(VU96:VU107)</f>
        <v>0</v>
      </c>
      <c r="VV108" s="104">
        <f>SUM(VV96:VV107)</f>
        <v>19800</v>
      </c>
      <c r="VW108" s="109"/>
      <c r="VX108" s="107"/>
      <c r="VY108" s="108"/>
      <c r="VZ108" s="109"/>
      <c r="WA108" s="108"/>
      <c r="WB108" s="110"/>
      <c r="WC108" s="109"/>
      <c r="WD108" s="108"/>
      <c r="WE108" s="110"/>
      <c r="WF108" s="109"/>
      <c r="WG108" s="108"/>
      <c r="WH108" s="110"/>
      <c r="WI108" s="109"/>
      <c r="WJ108" s="108"/>
      <c r="WK108" s="111"/>
      <c r="WL108" s="109"/>
      <c r="WM108" s="107"/>
      <c r="WN108" s="108"/>
      <c r="WO108" s="109"/>
      <c r="WP108" s="108"/>
      <c r="WQ108" s="110"/>
      <c r="WR108" s="109"/>
      <c r="WS108" s="108"/>
      <c r="WT108" s="110"/>
      <c r="WU108" s="109"/>
      <c r="WV108" s="108"/>
      <c r="WW108" s="110"/>
      <c r="WX108" s="109"/>
      <c r="WY108" s="108"/>
      <c r="WZ108" s="111"/>
      <c r="XA108" s="109"/>
      <c r="XB108" s="107"/>
      <c r="XC108" s="108"/>
      <c r="XD108" s="109"/>
      <c r="XE108" s="108"/>
      <c r="XF108" s="110"/>
      <c r="XG108" s="109"/>
      <c r="XH108" s="108"/>
      <c r="XI108" s="110"/>
      <c r="XJ108" s="109"/>
      <c r="XK108" s="108"/>
      <c r="XL108" s="110"/>
      <c r="XM108" s="109"/>
      <c r="XN108" s="108"/>
      <c r="XO108" s="111"/>
      <c r="XP108" s="102">
        <f t="shared" ref="XP108:YA108" si="2205">SUM(XP96:XP107)</f>
        <v>10404</v>
      </c>
      <c r="XQ108" s="103">
        <f t="shared" si="2205"/>
        <v>0</v>
      </c>
      <c r="XR108" s="104">
        <f t="shared" si="2205"/>
        <v>10404</v>
      </c>
      <c r="XS108" s="103">
        <f t="shared" si="2205"/>
        <v>10130.879999999999</v>
      </c>
      <c r="XT108" s="105">
        <f t="shared" si="2205"/>
        <v>0</v>
      </c>
      <c r="XU108" s="104">
        <f t="shared" si="2205"/>
        <v>10130.879999999999</v>
      </c>
      <c r="XV108" s="103">
        <f t="shared" si="2205"/>
        <v>0</v>
      </c>
      <c r="XW108" s="105">
        <f t="shared" si="2205"/>
        <v>0</v>
      </c>
      <c r="XX108" s="104">
        <f t="shared" si="2205"/>
        <v>0</v>
      </c>
      <c r="XY108" s="103">
        <f t="shared" si="2205"/>
        <v>1200</v>
      </c>
      <c r="XZ108" s="105">
        <f t="shared" si="2205"/>
        <v>0</v>
      </c>
      <c r="YA108" s="104">
        <f t="shared" si="2205"/>
        <v>1200</v>
      </c>
      <c r="YB108" s="103">
        <f t="shared" si="1674"/>
        <v>21734.879999999997</v>
      </c>
      <c r="YC108" s="106">
        <f>SUM(YC96:YC107)</f>
        <v>0</v>
      </c>
      <c r="YD108" s="104">
        <f t="shared" ref="YD108:YP108" si="2206">SUM(YD96:YD107)</f>
        <v>21734.880000000008</v>
      </c>
      <c r="YE108" s="102">
        <f t="shared" si="2206"/>
        <v>10680</v>
      </c>
      <c r="YF108" s="103">
        <f t="shared" si="2206"/>
        <v>0</v>
      </c>
      <c r="YG108" s="104">
        <f t="shared" si="2206"/>
        <v>10680</v>
      </c>
      <c r="YH108" s="103">
        <f t="shared" si="2206"/>
        <v>10174.200000000003</v>
      </c>
      <c r="YI108" s="105">
        <f t="shared" si="2206"/>
        <v>0</v>
      </c>
      <c r="YJ108" s="104">
        <f t="shared" si="2206"/>
        <v>10174.200000000003</v>
      </c>
      <c r="YK108" s="103">
        <f t="shared" si="2206"/>
        <v>1000</v>
      </c>
      <c r="YL108" s="105">
        <f t="shared" si="2206"/>
        <v>0</v>
      </c>
      <c r="YM108" s="104">
        <f t="shared" si="2206"/>
        <v>1000</v>
      </c>
      <c r="YN108" s="103">
        <f t="shared" si="2206"/>
        <v>1200</v>
      </c>
      <c r="YO108" s="105">
        <f t="shared" si="2206"/>
        <v>0</v>
      </c>
      <c r="YP108" s="104">
        <f t="shared" si="2206"/>
        <v>1200</v>
      </c>
      <c r="YQ108" s="103">
        <f t="shared" si="1681"/>
        <v>23054.200000000004</v>
      </c>
      <c r="YR108" s="106">
        <f>SUM(YR96:YR107)</f>
        <v>0</v>
      </c>
      <c r="YS108" s="104">
        <f t="shared" ref="YS108:ZE108" si="2207">SUM(YS96:YS107)</f>
        <v>23054.199999999997</v>
      </c>
      <c r="YT108" s="102">
        <f t="shared" si="2207"/>
        <v>11184</v>
      </c>
      <c r="YU108" s="103">
        <f t="shared" si="2207"/>
        <v>0</v>
      </c>
      <c r="YV108" s="104">
        <f t="shared" si="2207"/>
        <v>11184</v>
      </c>
      <c r="YW108" s="103">
        <f t="shared" si="2207"/>
        <v>8348.7599999999984</v>
      </c>
      <c r="YX108" s="105">
        <f t="shared" si="2207"/>
        <v>0</v>
      </c>
      <c r="YY108" s="104">
        <f t="shared" si="2207"/>
        <v>8348.7599999999984</v>
      </c>
      <c r="YZ108" s="103">
        <f t="shared" si="2207"/>
        <v>1000</v>
      </c>
      <c r="ZA108" s="105">
        <f t="shared" si="2207"/>
        <v>0</v>
      </c>
      <c r="ZB108" s="104">
        <f t="shared" si="2207"/>
        <v>1000</v>
      </c>
      <c r="ZC108" s="103">
        <f t="shared" si="2207"/>
        <v>1200</v>
      </c>
      <c r="ZD108" s="105">
        <f t="shared" si="2207"/>
        <v>0</v>
      </c>
      <c r="ZE108" s="104">
        <f t="shared" si="2207"/>
        <v>1200</v>
      </c>
      <c r="ZF108" s="103">
        <f t="shared" si="1688"/>
        <v>21732.76</v>
      </c>
      <c r="ZG108" s="106">
        <f>SUM(ZG96:ZG107)</f>
        <v>0</v>
      </c>
      <c r="ZH108" s="109"/>
      <c r="ZI108" s="107"/>
      <c r="ZJ108" s="108"/>
      <c r="ZK108" s="109"/>
      <c r="ZL108" s="108"/>
      <c r="ZM108" s="110"/>
      <c r="ZN108" s="109"/>
      <c r="ZO108" s="108"/>
      <c r="ZP108" s="110"/>
      <c r="ZQ108" s="109"/>
      <c r="ZR108" s="108"/>
      <c r="ZS108" s="110"/>
      <c r="ZT108" s="109"/>
      <c r="ZU108" s="108"/>
      <c r="ZV108" s="111"/>
      <c r="ZW108" s="104">
        <f>SUM(ZW96:ZW107)</f>
        <v>0</v>
      </c>
      <c r="ZX108" s="102">
        <f>SUM(ZX96:ZX107)</f>
        <v>296.52000000000004</v>
      </c>
      <c r="ZY108" s="103">
        <f>SUM(ZY96:ZY107)</f>
        <v>0</v>
      </c>
      <c r="ZZ108" s="104">
        <f>SUM(ZZ96:ZZ107)</f>
        <v>296.52000000000004</v>
      </c>
      <c r="AAA108" s="103">
        <f t="shared" si="1692"/>
        <v>296.52000000000004</v>
      </c>
      <c r="AAB108" s="106">
        <f t="shared" si="1692"/>
        <v>0</v>
      </c>
      <c r="AAC108" s="104">
        <f>SUM(AAC96:AAC107)</f>
        <v>296.52000000000004</v>
      </c>
      <c r="AAD108" s="112">
        <f t="shared" si="1694"/>
        <v>1396140.5599999998</v>
      </c>
      <c r="AAE108" s="113">
        <f t="shared" si="1694"/>
        <v>0</v>
      </c>
      <c r="AAF108" s="114">
        <f t="shared" si="1457"/>
        <v>0</v>
      </c>
      <c r="AAG108" s="113">
        <f>SUM(AAG96:AAG107)</f>
        <v>-1396140.5599999998</v>
      </c>
    </row>
    <row r="109" spans="1:713" s="83" customFormat="1" ht="20" customHeight="1" x14ac:dyDescent="0.2">
      <c r="A109" s="153"/>
      <c r="B109" s="58" t="s">
        <v>136</v>
      </c>
      <c r="C109" s="59"/>
      <c r="D109" s="59"/>
      <c r="E109" s="60">
        <v>2030</v>
      </c>
      <c r="F109" s="61">
        <v>47484</v>
      </c>
      <c r="G109" s="62"/>
      <c r="H109" s="63"/>
      <c r="I109" s="64">
        <f t="shared" ref="I109:I120" si="2208">G109-H109</f>
        <v>0</v>
      </c>
      <c r="J109" s="65">
        <v>4812.04</v>
      </c>
      <c r="K109" s="63"/>
      <c r="L109" s="64">
        <f t="shared" ref="L109:L120" si="2209">J109-K109</f>
        <v>4812.04</v>
      </c>
      <c r="M109" s="65">
        <v>2500</v>
      </c>
      <c r="N109" s="63"/>
      <c r="O109" s="64">
        <f t="shared" ref="O109:O120" si="2210">M109-N109</f>
        <v>2500</v>
      </c>
      <c r="P109" s="65">
        <v>500</v>
      </c>
      <c r="Q109" s="63"/>
      <c r="R109" s="64">
        <f t="shared" ref="R109:R120" si="2211">P109-Q109</f>
        <v>500</v>
      </c>
      <c r="S109" s="65">
        <v>181</v>
      </c>
      <c r="T109" s="63"/>
      <c r="U109" s="64">
        <f t="shared" ref="U109:U120" si="2212">S109-T109</f>
        <v>181</v>
      </c>
      <c r="V109" s="66">
        <f t="shared" ref="V109:W120" si="2213">G109+J109+M109+P109+S109</f>
        <v>7993.04</v>
      </c>
      <c r="W109" s="67">
        <f t="shared" si="2213"/>
        <v>0</v>
      </c>
      <c r="X109" s="64">
        <f t="shared" ref="X109:X120" si="2214">V109-W109</f>
        <v>7993.04</v>
      </c>
      <c r="Y109" s="72"/>
      <c r="Z109" s="73"/>
      <c r="AA109" s="74"/>
      <c r="AB109" s="75"/>
      <c r="AC109" s="73"/>
      <c r="AD109" s="74"/>
      <c r="AE109" s="75"/>
      <c r="AF109" s="73"/>
      <c r="AG109" s="74"/>
      <c r="AH109" s="75"/>
      <c r="AI109" s="73"/>
      <c r="AJ109" s="74"/>
      <c r="AK109" s="76"/>
      <c r="AL109" s="77"/>
      <c r="AM109" s="64">
        <f t="shared" ref="AM109:AM120" si="2215">AK109-AL109</f>
        <v>0</v>
      </c>
      <c r="AN109" s="62"/>
      <c r="AO109" s="63"/>
      <c r="AP109" s="64">
        <f>AN109-AO109</f>
        <v>0</v>
      </c>
      <c r="AQ109" s="65"/>
      <c r="AR109" s="63"/>
      <c r="AS109" s="64">
        <f t="shared" ref="AS109:AS120" si="2216">AQ109-AR109</f>
        <v>0</v>
      </c>
      <c r="AT109" s="65"/>
      <c r="AU109" s="63"/>
      <c r="AV109" s="64">
        <f t="shared" ref="AV109:AV120" si="2217">AT109-AU109</f>
        <v>0</v>
      </c>
      <c r="AW109" s="65"/>
      <c r="AX109" s="63"/>
      <c r="AY109" s="64">
        <f t="shared" ref="AY109:AY120" si="2218">AW109-AX109</f>
        <v>0</v>
      </c>
      <c r="AZ109" s="66">
        <f t="shared" si="1469"/>
        <v>0</v>
      </c>
      <c r="BA109" s="67">
        <f t="shared" ref="BA109:BA120" si="2219">AO109+AR109+AU109++AX109</f>
        <v>0</v>
      </c>
      <c r="BB109" s="64">
        <f t="shared" ref="BB109:BB120" si="2220">AZ109-BA109</f>
        <v>0</v>
      </c>
      <c r="BC109" s="62"/>
      <c r="BD109" s="63"/>
      <c r="BE109" s="64">
        <f t="shared" ref="BE109:BE120" si="2221">BC109-BD109</f>
        <v>0</v>
      </c>
      <c r="BF109" s="65"/>
      <c r="BG109" s="63"/>
      <c r="BH109" s="64">
        <f t="shared" ref="BH109:BH120" si="2222">BF109-BG109</f>
        <v>0</v>
      </c>
      <c r="BI109" s="65"/>
      <c r="BJ109" s="63"/>
      <c r="BK109" s="64">
        <f t="shared" ref="BK109:BK120" si="2223">BI109-BJ109</f>
        <v>0</v>
      </c>
      <c r="BL109" s="65">
        <v>100</v>
      </c>
      <c r="BM109" s="63"/>
      <c r="BN109" s="64">
        <f t="shared" ref="BN109:BN120" si="2224">BL109-BM109</f>
        <v>100</v>
      </c>
      <c r="BO109" s="66">
        <f t="shared" si="1476"/>
        <v>100</v>
      </c>
      <c r="BP109" s="67">
        <f t="shared" ref="BP109:BP120" si="2225">BD109+BG109+BJ109++BM109</f>
        <v>0</v>
      </c>
      <c r="BQ109" s="64">
        <f t="shared" ref="BQ109:BQ120" si="2226">BO109-BP109</f>
        <v>100</v>
      </c>
      <c r="BR109" s="72"/>
      <c r="BS109" s="73"/>
      <c r="BT109" s="74"/>
      <c r="BU109" s="75"/>
      <c r="BV109" s="73"/>
      <c r="BW109" s="74"/>
      <c r="BX109" s="75"/>
      <c r="BY109" s="73"/>
      <c r="BZ109" s="74"/>
      <c r="CA109" s="75"/>
      <c r="CB109" s="73"/>
      <c r="CC109" s="74"/>
      <c r="CD109" s="76"/>
      <c r="CE109" s="77"/>
      <c r="CF109" s="64">
        <f t="shared" ref="CF109:CF120" si="2227">CD109-CE109</f>
        <v>0</v>
      </c>
      <c r="CG109" s="62"/>
      <c r="CH109" s="63"/>
      <c r="CI109" s="64">
        <f t="shared" ref="CI109:CI120" si="2228">CG109-CH109</f>
        <v>0</v>
      </c>
      <c r="CJ109" s="65"/>
      <c r="CK109" s="63"/>
      <c r="CL109" s="64">
        <f t="shared" ref="CL109:CL120" si="2229">CJ109-CK109</f>
        <v>0</v>
      </c>
      <c r="CM109" s="65"/>
      <c r="CN109" s="63"/>
      <c r="CO109" s="64">
        <f t="shared" ref="CO109:CO120" si="2230">CM109-CN109</f>
        <v>0</v>
      </c>
      <c r="CP109" s="65"/>
      <c r="CQ109" s="63"/>
      <c r="CR109" s="64">
        <f t="shared" ref="CR109:CR120" si="2231">CP109-CQ109</f>
        <v>0</v>
      </c>
      <c r="CS109" s="66">
        <f t="shared" si="1484"/>
        <v>0</v>
      </c>
      <c r="CT109" s="67">
        <f t="shared" ref="CT109:CT120" si="2232">CH109+CK109+CN109++CQ109</f>
        <v>0</v>
      </c>
      <c r="CU109" s="64">
        <f t="shared" ref="CU109:CU120" si="2233">CS109-CT109</f>
        <v>0</v>
      </c>
      <c r="CV109" s="62">
        <v>2916.7</v>
      </c>
      <c r="CW109" s="63"/>
      <c r="CX109" s="64">
        <f t="shared" ref="CX109:CX120" si="2234">CV109-CW109</f>
        <v>2916.7</v>
      </c>
      <c r="CY109" s="65">
        <v>429.15</v>
      </c>
      <c r="CZ109" s="63"/>
      <c r="DA109" s="64">
        <f t="shared" ref="DA109:DA120" si="2235">CY109-CZ109</f>
        <v>429.15</v>
      </c>
      <c r="DB109" s="65"/>
      <c r="DC109" s="63"/>
      <c r="DD109" s="64">
        <f t="shared" ref="DD109:DD120" si="2236">DB109-DC109</f>
        <v>0</v>
      </c>
      <c r="DE109" s="65"/>
      <c r="DF109" s="63"/>
      <c r="DG109" s="64">
        <f t="shared" ref="DG109:DG120" si="2237">DE109-DF109</f>
        <v>0</v>
      </c>
      <c r="DH109" s="66">
        <f t="shared" si="1491"/>
        <v>3345.85</v>
      </c>
      <c r="DI109" s="67">
        <f t="shared" ref="DI109:DI120" si="2238">CW109+CZ109+DC109++DF109</f>
        <v>0</v>
      </c>
      <c r="DJ109" s="64">
        <f t="shared" ref="DJ109:DJ120" si="2239">DH109-DI109</f>
        <v>3345.85</v>
      </c>
      <c r="DK109" s="62">
        <v>2400</v>
      </c>
      <c r="DL109" s="63"/>
      <c r="DM109" s="64">
        <f t="shared" ref="DM109:DM120" si="2240">DK109-DL109</f>
        <v>2400</v>
      </c>
      <c r="DN109" s="65">
        <v>913.08</v>
      </c>
      <c r="DO109" s="63"/>
      <c r="DP109" s="64">
        <f t="shared" ref="DP109:DP120" si="2241">DN109-DO109</f>
        <v>913.08</v>
      </c>
      <c r="DQ109" s="65"/>
      <c r="DR109" s="63"/>
      <c r="DS109" s="64">
        <f t="shared" ref="DS109:DS120" si="2242">DQ109-DR109</f>
        <v>0</v>
      </c>
      <c r="DT109" s="65">
        <v>100</v>
      </c>
      <c r="DU109" s="63"/>
      <c r="DV109" s="64">
        <f t="shared" ref="DV109:DV120" si="2243">DT109-DU109</f>
        <v>100</v>
      </c>
      <c r="DW109" s="66">
        <f t="shared" si="1498"/>
        <v>3413.08</v>
      </c>
      <c r="DX109" s="67">
        <f t="shared" ref="DX109:DX120" si="2244">DL109+DO109+DR109++DU109</f>
        <v>0</v>
      </c>
      <c r="DY109" s="64">
        <f t="shared" ref="DY109:DY120" si="2245">DW109-DX109</f>
        <v>3413.08</v>
      </c>
      <c r="DZ109" s="62"/>
      <c r="EA109" s="63"/>
      <c r="EB109" s="64">
        <f t="shared" ref="EB109:EB120" si="2246">DZ109-EA109</f>
        <v>0</v>
      </c>
      <c r="EC109" s="65"/>
      <c r="ED109" s="63"/>
      <c r="EE109" s="64">
        <f t="shared" ref="EE109:EE120" si="2247">EC109-ED109</f>
        <v>0</v>
      </c>
      <c r="EF109" s="65"/>
      <c r="EG109" s="63"/>
      <c r="EH109" s="64">
        <f t="shared" ref="EH109:EH120" si="2248">EF109-EG109</f>
        <v>0</v>
      </c>
      <c r="EI109" s="65">
        <v>100</v>
      </c>
      <c r="EJ109" s="63"/>
      <c r="EK109" s="64">
        <f t="shared" ref="EK109:EK120" si="2249">EI109-EJ109</f>
        <v>100</v>
      </c>
      <c r="EL109" s="66">
        <f t="shared" si="1505"/>
        <v>100</v>
      </c>
      <c r="EM109" s="67">
        <f t="shared" ref="EM109:EM120" si="2250">EA109+ED109+EG109++EJ109</f>
        <v>0</v>
      </c>
      <c r="EN109" s="64">
        <f t="shared" ref="EN109:EN120" si="2251">EL109-EM109</f>
        <v>100</v>
      </c>
      <c r="EO109" s="62"/>
      <c r="EP109" s="63"/>
      <c r="EQ109" s="64">
        <f t="shared" ref="EQ109:EQ120" si="2252">EO109-EP109</f>
        <v>0</v>
      </c>
      <c r="ER109" s="65"/>
      <c r="ES109" s="63"/>
      <c r="ET109" s="64">
        <f t="shared" ref="ET109:ET120" si="2253">ER109-ES109</f>
        <v>0</v>
      </c>
      <c r="EU109" s="65"/>
      <c r="EV109" s="63"/>
      <c r="EW109" s="64">
        <f t="shared" ref="EW109:EW120" si="2254">EU109-EV109</f>
        <v>0</v>
      </c>
      <c r="EX109" s="65">
        <v>100</v>
      </c>
      <c r="EY109" s="63"/>
      <c r="EZ109" s="64">
        <f t="shared" ref="EZ109:EZ120" si="2255">EX109-EY109</f>
        <v>100</v>
      </c>
      <c r="FA109" s="66">
        <f t="shared" si="1512"/>
        <v>100</v>
      </c>
      <c r="FB109" s="67">
        <f t="shared" ref="FB109:FB120" si="2256">EP109+ES109+EV109++EY109</f>
        <v>0</v>
      </c>
      <c r="FC109" s="64">
        <f t="shared" ref="FC109:FC120" si="2257">FA109-FB109</f>
        <v>100</v>
      </c>
      <c r="FD109" s="62"/>
      <c r="FE109" s="63"/>
      <c r="FF109" s="64">
        <f t="shared" ref="FF109:FF120" si="2258">FD109-FE109</f>
        <v>0</v>
      </c>
      <c r="FG109" s="65"/>
      <c r="FH109" s="63"/>
      <c r="FI109" s="64">
        <f t="shared" ref="FI109:FI120" si="2259">FG109-FH109</f>
        <v>0</v>
      </c>
      <c r="FJ109" s="65"/>
      <c r="FK109" s="63"/>
      <c r="FL109" s="64">
        <f t="shared" ref="FL109:FL120" si="2260">FJ109-FK109</f>
        <v>0</v>
      </c>
      <c r="FM109" s="65">
        <v>100</v>
      </c>
      <c r="FN109" s="63"/>
      <c r="FO109" s="64">
        <f t="shared" ref="FO109:FO120" si="2261">FM109-FN109</f>
        <v>100</v>
      </c>
      <c r="FP109" s="66">
        <f t="shared" si="1519"/>
        <v>100</v>
      </c>
      <c r="FQ109" s="67">
        <f t="shared" ref="FQ109:FQ120" si="2262">FE109+FH109+FK109++FN109</f>
        <v>0</v>
      </c>
      <c r="FR109" s="64">
        <f t="shared" ref="FR109:FR120" si="2263">FP109-FQ109</f>
        <v>100</v>
      </c>
      <c r="FS109" s="62"/>
      <c r="FT109" s="63"/>
      <c r="FU109" s="64">
        <f t="shared" ref="FU109:FU120" si="2264">FS109-FT109</f>
        <v>0</v>
      </c>
      <c r="FV109" s="65">
        <v>485.35</v>
      </c>
      <c r="FW109" s="63"/>
      <c r="FX109" s="64">
        <f t="shared" ref="FX109:FX120" si="2265">FV109-FW109</f>
        <v>485.35</v>
      </c>
      <c r="FY109" s="65"/>
      <c r="FZ109" s="63"/>
      <c r="GA109" s="64">
        <f t="shared" ref="GA109:GA120" si="2266">FY109-FZ109</f>
        <v>0</v>
      </c>
      <c r="GB109" s="65"/>
      <c r="GC109" s="63"/>
      <c r="GD109" s="64">
        <f t="shared" ref="GD109:GD120" si="2267">GB109-GC109</f>
        <v>0</v>
      </c>
      <c r="GE109" s="66">
        <f t="shared" si="1526"/>
        <v>485.35</v>
      </c>
      <c r="GF109" s="67">
        <f t="shared" ref="GF109:GF120" si="2268">FT109+FW109+FZ109++GC109</f>
        <v>0</v>
      </c>
      <c r="GG109" s="64">
        <f t="shared" ref="GG109:GG120" si="2269">GE109-GF109</f>
        <v>485.35</v>
      </c>
      <c r="GH109" s="62"/>
      <c r="GI109" s="63"/>
      <c r="GJ109" s="64">
        <f t="shared" ref="GJ109:GJ120" si="2270">GH109-GI109</f>
        <v>0</v>
      </c>
      <c r="GK109" s="65">
        <v>660.33</v>
      </c>
      <c r="GL109" s="63"/>
      <c r="GM109" s="64">
        <f t="shared" ref="GM109:GM120" si="2271">GK109-GL109</f>
        <v>660.33</v>
      </c>
      <c r="GN109" s="65"/>
      <c r="GO109" s="63"/>
      <c r="GP109" s="64">
        <f t="shared" ref="GP109:GP120" si="2272">GN109-GO109</f>
        <v>0</v>
      </c>
      <c r="GQ109" s="65"/>
      <c r="GR109" s="63"/>
      <c r="GS109" s="64">
        <f t="shared" ref="GS109:GS120" si="2273">GQ109-GR109</f>
        <v>0</v>
      </c>
      <c r="GT109" s="66">
        <f t="shared" si="1533"/>
        <v>660.33</v>
      </c>
      <c r="GU109" s="67">
        <f t="shared" ref="GU109:GU120" si="2274">GI109+GL109+GO109++GR109</f>
        <v>0</v>
      </c>
      <c r="GV109" s="64">
        <f t="shared" ref="GV109:GV120" si="2275">GT109-GU109</f>
        <v>660.33</v>
      </c>
      <c r="GW109" s="62"/>
      <c r="GX109" s="63"/>
      <c r="GY109" s="64">
        <f t="shared" ref="GY109:GY120" si="2276">GW109-GX109</f>
        <v>0</v>
      </c>
      <c r="GZ109" s="65">
        <v>568.25</v>
      </c>
      <c r="HA109" s="63"/>
      <c r="HB109" s="64">
        <f t="shared" ref="HB109:HB120" si="2277">GZ109-HA109</f>
        <v>568.25</v>
      </c>
      <c r="HC109" s="65"/>
      <c r="HD109" s="63"/>
      <c r="HE109" s="64">
        <f t="shared" ref="HE109:HE120" si="2278">HC109-HD109</f>
        <v>0</v>
      </c>
      <c r="HF109" s="65">
        <v>100</v>
      </c>
      <c r="HG109" s="63"/>
      <c r="HH109" s="64">
        <f t="shared" ref="HH109:HH120" si="2279">HF109-HG109</f>
        <v>100</v>
      </c>
      <c r="HI109" s="66">
        <f t="shared" si="1540"/>
        <v>668.25</v>
      </c>
      <c r="HJ109" s="67">
        <f t="shared" ref="HJ109:HJ120" si="2280">GX109+HA109+HD109++HG109</f>
        <v>0</v>
      </c>
      <c r="HK109" s="64">
        <f t="shared" ref="HK109:HK120" si="2281">HI109-HJ109</f>
        <v>668.25</v>
      </c>
      <c r="HL109" s="62"/>
      <c r="HM109" s="63"/>
      <c r="HN109" s="64">
        <f t="shared" ref="HN109:HN120" si="2282">HL109-HM109</f>
        <v>0</v>
      </c>
      <c r="HO109" s="65"/>
      <c r="HP109" s="63"/>
      <c r="HQ109" s="64">
        <f t="shared" ref="HQ109:HQ120" si="2283">HO109-HP109</f>
        <v>0</v>
      </c>
      <c r="HR109" s="65"/>
      <c r="HS109" s="63"/>
      <c r="HT109" s="64">
        <f t="shared" ref="HT109:HT120" si="2284">HR109-HS109</f>
        <v>0</v>
      </c>
      <c r="HU109" s="65">
        <v>100</v>
      </c>
      <c r="HV109" s="63"/>
      <c r="HW109" s="64">
        <f t="shared" ref="HW109:HW120" si="2285">HU109-HV109</f>
        <v>100</v>
      </c>
      <c r="HX109" s="66">
        <f t="shared" si="1547"/>
        <v>100</v>
      </c>
      <c r="HY109" s="67">
        <f t="shared" ref="HY109:HY120" si="2286">HM109+HP109+HS109++HV109</f>
        <v>0</v>
      </c>
      <c r="HZ109" s="64">
        <f t="shared" ref="HZ109:HZ120" si="2287">HX109-HY109</f>
        <v>100</v>
      </c>
      <c r="IA109" s="62"/>
      <c r="IB109" s="63"/>
      <c r="IC109" s="64">
        <f t="shared" ref="IC109:IC120" si="2288">IA109-IB109</f>
        <v>0</v>
      </c>
      <c r="ID109" s="65"/>
      <c r="IE109" s="63"/>
      <c r="IF109" s="64">
        <f t="shared" ref="IF109:IF120" si="2289">ID109-IE109</f>
        <v>0</v>
      </c>
      <c r="IG109" s="65"/>
      <c r="IH109" s="63"/>
      <c r="II109" s="64">
        <f t="shared" ref="II109:II120" si="2290">IG109-IH109</f>
        <v>0</v>
      </c>
      <c r="IJ109" s="65">
        <v>100</v>
      </c>
      <c r="IK109" s="63"/>
      <c r="IL109" s="64">
        <f t="shared" ref="IL109:IL120" si="2291">IJ109-IK109</f>
        <v>100</v>
      </c>
      <c r="IM109" s="66">
        <f t="shared" si="1554"/>
        <v>100</v>
      </c>
      <c r="IN109" s="67">
        <f t="shared" ref="IN109:IN120" si="2292">IB109+IE109+IH109++IK109</f>
        <v>0</v>
      </c>
      <c r="IO109" s="64">
        <f t="shared" ref="IO109:IO120" si="2293">IM109-IN109</f>
        <v>100</v>
      </c>
      <c r="IP109" s="62"/>
      <c r="IQ109" s="63"/>
      <c r="IR109" s="64">
        <f t="shared" ref="IR109:IR120" si="2294">IP109-IQ109</f>
        <v>0</v>
      </c>
      <c r="IS109" s="65"/>
      <c r="IT109" s="63"/>
      <c r="IU109" s="64">
        <f t="shared" ref="IU109:IU120" si="2295">IS109-IT109</f>
        <v>0</v>
      </c>
      <c r="IV109" s="65"/>
      <c r="IW109" s="63"/>
      <c r="IX109" s="64">
        <f t="shared" ref="IX109:IX120" si="2296">IV109-IW109</f>
        <v>0</v>
      </c>
      <c r="IY109" s="65"/>
      <c r="IZ109" s="63"/>
      <c r="JA109" s="64">
        <f t="shared" ref="JA109:JA120" si="2297">IY109-IZ109</f>
        <v>0</v>
      </c>
      <c r="JB109" s="66">
        <f t="shared" si="1561"/>
        <v>0</v>
      </c>
      <c r="JC109" s="67">
        <f t="shared" ref="JC109:JC120" si="2298">IQ109+IT109+IW109++IZ109</f>
        <v>0</v>
      </c>
      <c r="JD109" s="64">
        <f t="shared" ref="JD109:JD120" si="2299">JB109-JC109</f>
        <v>0</v>
      </c>
      <c r="JE109" s="72"/>
      <c r="JF109" s="150"/>
      <c r="JG109" s="74"/>
      <c r="JH109" s="75"/>
      <c r="JI109" s="150"/>
      <c r="JJ109" s="74"/>
      <c r="JK109" s="75"/>
      <c r="JL109" s="150"/>
      <c r="JM109" s="74"/>
      <c r="JN109" s="75"/>
      <c r="JO109" s="150"/>
      <c r="JP109" s="74"/>
      <c r="JQ109" s="76"/>
      <c r="JR109" s="77"/>
      <c r="JS109" s="74"/>
      <c r="JT109" s="72"/>
      <c r="JU109" s="73"/>
      <c r="JV109" s="74"/>
      <c r="JW109" s="75"/>
      <c r="JX109" s="73"/>
      <c r="JY109" s="74"/>
      <c r="JZ109" s="75"/>
      <c r="KA109" s="73"/>
      <c r="KB109" s="74"/>
      <c r="KC109" s="75"/>
      <c r="KD109" s="73"/>
      <c r="KE109" s="74"/>
      <c r="KF109" s="76"/>
      <c r="KG109" s="77"/>
      <c r="KH109" s="64">
        <f t="shared" ref="KH109:KH120" si="2300">KF109-KG109</f>
        <v>0</v>
      </c>
      <c r="KI109" s="62"/>
      <c r="KJ109" s="63"/>
      <c r="KK109" s="64">
        <f t="shared" ref="KK109:KK120" si="2301">KI109-KJ109</f>
        <v>0</v>
      </c>
      <c r="KL109" s="65"/>
      <c r="KM109" s="63"/>
      <c r="KN109" s="64">
        <f t="shared" ref="KN109:KN120" si="2302">KL109-KM109</f>
        <v>0</v>
      </c>
      <c r="KO109" s="65"/>
      <c r="KP109" s="63"/>
      <c r="KQ109" s="64">
        <f t="shared" ref="KQ109:KQ120" si="2303">KO109-KP109</f>
        <v>0</v>
      </c>
      <c r="KR109" s="65"/>
      <c r="KS109" s="63"/>
      <c r="KT109" s="64">
        <f t="shared" ref="KT109:KT120" si="2304">KR109-KS109</f>
        <v>0</v>
      </c>
      <c r="KU109" s="66">
        <f t="shared" si="1439"/>
        <v>0</v>
      </c>
      <c r="KV109" s="67">
        <f t="shared" ref="KV109:KV120" si="2305">KJ109+KM109+KP109++KS109</f>
        <v>0</v>
      </c>
      <c r="KW109" s="64">
        <f t="shared" ref="KW109:KW120" si="2306">KU109-KV109</f>
        <v>0</v>
      </c>
      <c r="KX109" s="72"/>
      <c r="KY109" s="73"/>
      <c r="KZ109" s="74"/>
      <c r="LA109" s="75"/>
      <c r="LB109" s="73"/>
      <c r="LC109" s="74"/>
      <c r="LD109" s="75"/>
      <c r="LE109" s="73"/>
      <c r="LF109" s="74"/>
      <c r="LG109" s="75"/>
      <c r="LH109" s="73"/>
      <c r="LI109" s="74"/>
      <c r="LJ109" s="76"/>
      <c r="LK109" s="77"/>
      <c r="LL109" s="74"/>
      <c r="LM109" s="62"/>
      <c r="LN109" s="63"/>
      <c r="LO109" s="64">
        <f t="shared" ref="LO109:LO120" si="2307">LM109-LN109</f>
        <v>0</v>
      </c>
      <c r="LP109" s="65"/>
      <c r="LQ109" s="63"/>
      <c r="LR109" s="64">
        <f t="shared" ref="LR109:LR120" si="2308">LP109-LQ109</f>
        <v>0</v>
      </c>
      <c r="LS109" s="65"/>
      <c r="LT109" s="63"/>
      <c r="LU109" s="64">
        <f t="shared" ref="LU109:LU120" si="2309">LS109-LT109</f>
        <v>0</v>
      </c>
      <c r="LV109" s="65">
        <v>100</v>
      </c>
      <c r="LW109" s="63"/>
      <c r="LX109" s="64">
        <f t="shared" ref="LX109:LX120" si="2310">LV109-LW109</f>
        <v>100</v>
      </c>
      <c r="LY109" s="66">
        <f t="shared" si="1575"/>
        <v>100</v>
      </c>
      <c r="LZ109" s="67">
        <f t="shared" ref="LZ109:LZ120" si="2311">LN109+LQ109+LT109++LW109</f>
        <v>0</v>
      </c>
      <c r="MA109" s="64">
        <f t="shared" ref="MA109:MA120" si="2312">LY109-LZ109</f>
        <v>100</v>
      </c>
      <c r="MB109" s="62"/>
      <c r="MC109" s="63"/>
      <c r="MD109" s="64">
        <f t="shared" ref="MD109:MD120" si="2313">MB109-MC109</f>
        <v>0</v>
      </c>
      <c r="ME109" s="65">
        <v>889.11</v>
      </c>
      <c r="MF109" s="63"/>
      <c r="MG109" s="64">
        <f t="shared" ref="MG109:MG120" si="2314">ME109-MF109</f>
        <v>889.11</v>
      </c>
      <c r="MH109" s="65"/>
      <c r="MI109" s="63"/>
      <c r="MJ109" s="64">
        <f t="shared" ref="MJ109:MJ120" si="2315">MH109-MI109</f>
        <v>0</v>
      </c>
      <c r="MK109" s="65">
        <v>100</v>
      </c>
      <c r="ML109" s="63"/>
      <c r="MM109" s="64">
        <f t="shared" ref="MM109:MM120" si="2316">MK109-ML109</f>
        <v>100</v>
      </c>
      <c r="MN109" s="66">
        <f t="shared" si="1582"/>
        <v>989.11</v>
      </c>
      <c r="MO109" s="67">
        <f t="shared" ref="MO109:MO120" si="2317">MC109+MF109+MI109++ML109</f>
        <v>0</v>
      </c>
      <c r="MP109" s="64">
        <f t="shared" ref="MP109:MP120" si="2318">MN109-MO109</f>
        <v>989.11</v>
      </c>
      <c r="MQ109" s="62"/>
      <c r="MR109" s="63"/>
      <c r="MS109" s="64">
        <f t="shared" ref="MS109:MS120" si="2319">MQ109-MR109</f>
        <v>0</v>
      </c>
      <c r="MT109" s="65"/>
      <c r="MU109" s="63"/>
      <c r="MV109" s="64">
        <f t="shared" ref="MV109:MV120" si="2320">MT109-MU109</f>
        <v>0</v>
      </c>
      <c r="MW109" s="65"/>
      <c r="MX109" s="63"/>
      <c r="MY109" s="64">
        <f t="shared" ref="MY109:MY120" si="2321">MW109-MX109</f>
        <v>0</v>
      </c>
      <c r="MZ109" s="65"/>
      <c r="NA109" s="63"/>
      <c r="NB109" s="64">
        <f t="shared" ref="NB109:NB120" si="2322">MZ109-NA109</f>
        <v>0</v>
      </c>
      <c r="NC109" s="66">
        <f t="shared" si="1589"/>
        <v>0</v>
      </c>
      <c r="ND109" s="67">
        <f t="shared" ref="ND109:ND120" si="2323">MR109+MU109+MX109++NA109</f>
        <v>0</v>
      </c>
      <c r="NE109" s="64">
        <f t="shared" ref="NE109:NE120" si="2324">NC109-ND109</f>
        <v>0</v>
      </c>
      <c r="NF109" s="62"/>
      <c r="NG109" s="63"/>
      <c r="NH109" s="64">
        <f t="shared" ref="NH109:NH120" si="2325">NF109-NG109</f>
        <v>0</v>
      </c>
      <c r="NI109" s="65">
        <v>1164.04</v>
      </c>
      <c r="NJ109" s="63"/>
      <c r="NK109" s="64">
        <f t="shared" ref="NK109:NK120" si="2326">NI109-NJ109</f>
        <v>1164.04</v>
      </c>
      <c r="NL109" s="65"/>
      <c r="NM109" s="63"/>
      <c r="NN109" s="64">
        <f t="shared" ref="NN109:NN120" si="2327">NL109-NM109</f>
        <v>0</v>
      </c>
      <c r="NO109" s="65">
        <v>100</v>
      </c>
      <c r="NP109" s="63"/>
      <c r="NQ109" s="64">
        <f t="shared" ref="NQ109:NQ120" si="2328">NO109-NP109</f>
        <v>100</v>
      </c>
      <c r="NR109" s="66">
        <f t="shared" si="1596"/>
        <v>1264.04</v>
      </c>
      <c r="NS109" s="67">
        <f t="shared" ref="NS109:NS120" si="2329">NG109+NJ109+NM109++NP109</f>
        <v>0</v>
      </c>
      <c r="NT109" s="64">
        <f t="shared" ref="NT109:NT120" si="2330">NR109-NS109</f>
        <v>1264.04</v>
      </c>
      <c r="NU109" s="62"/>
      <c r="NV109" s="63"/>
      <c r="NW109" s="64">
        <f t="shared" ref="NW109:NW120" si="2331">NU109-NV109</f>
        <v>0</v>
      </c>
      <c r="NX109" s="65">
        <v>1152.73</v>
      </c>
      <c r="NY109" s="63"/>
      <c r="NZ109" s="64">
        <f t="shared" ref="NZ109:NZ120" si="2332">NX109-NY109</f>
        <v>1152.73</v>
      </c>
      <c r="OA109" s="65"/>
      <c r="OB109" s="63"/>
      <c r="OC109" s="64">
        <f t="shared" ref="OC109:OC120" si="2333">OA109-OB109</f>
        <v>0</v>
      </c>
      <c r="OD109" s="65">
        <v>100</v>
      </c>
      <c r="OE109" s="63"/>
      <c r="OF109" s="64">
        <f t="shared" ref="OF109:OF120" si="2334">OD109-OE109</f>
        <v>100</v>
      </c>
      <c r="OG109" s="66">
        <f t="shared" si="1603"/>
        <v>1252.73</v>
      </c>
      <c r="OH109" s="67">
        <f t="shared" ref="OH109:OH120" si="2335">NV109+NY109+OB109++OE109</f>
        <v>0</v>
      </c>
      <c r="OI109" s="64">
        <f t="shared" ref="OI109:OI120" si="2336">OG109-OH109</f>
        <v>1252.73</v>
      </c>
      <c r="OJ109" s="62"/>
      <c r="OK109" s="63"/>
      <c r="OL109" s="64">
        <f t="shared" ref="OL109:OL120" si="2337">OJ109-OK109</f>
        <v>0</v>
      </c>
      <c r="OM109" s="65"/>
      <c r="ON109" s="63"/>
      <c r="OO109" s="64">
        <f t="shared" ref="OO109:OO120" si="2338">OM109-ON109</f>
        <v>0</v>
      </c>
      <c r="OP109" s="65"/>
      <c r="OQ109" s="63"/>
      <c r="OR109" s="64">
        <f t="shared" ref="OR109:OR120" si="2339">OP109-OQ109</f>
        <v>0</v>
      </c>
      <c r="OS109" s="65">
        <v>100</v>
      </c>
      <c r="OT109" s="63"/>
      <c r="OU109" s="64">
        <f t="shared" ref="OU109:OU120" si="2340">OS109-OT109</f>
        <v>100</v>
      </c>
      <c r="OV109" s="66">
        <f t="shared" si="1610"/>
        <v>100</v>
      </c>
      <c r="OW109" s="67">
        <f t="shared" ref="OW109:OW120" si="2341">OK109+ON109+OQ109++OT109</f>
        <v>0</v>
      </c>
      <c r="OX109" s="64">
        <f t="shared" ref="OX109:OX120" si="2342">OV109-OW109</f>
        <v>100</v>
      </c>
      <c r="OY109" s="62"/>
      <c r="OZ109" s="63"/>
      <c r="PA109" s="64">
        <f t="shared" ref="PA109:PA120" si="2343">OY109-OZ109</f>
        <v>0</v>
      </c>
      <c r="PB109" s="65"/>
      <c r="PC109" s="63"/>
      <c r="PD109" s="64">
        <f t="shared" ref="PD109:PD120" si="2344">PB109-PC109</f>
        <v>0</v>
      </c>
      <c r="PE109" s="65"/>
      <c r="PF109" s="63"/>
      <c r="PG109" s="64">
        <f t="shared" ref="PG109:PG120" si="2345">PE109-PF109</f>
        <v>0</v>
      </c>
      <c r="PH109" s="65">
        <v>100</v>
      </c>
      <c r="PI109" s="63"/>
      <c r="PJ109" s="64">
        <f t="shared" ref="PJ109:PJ120" si="2346">PH109-PI109</f>
        <v>100</v>
      </c>
      <c r="PK109" s="66">
        <f t="shared" si="1617"/>
        <v>100</v>
      </c>
      <c r="PL109" s="67">
        <f t="shared" ref="PL109:PL120" si="2347">OZ109+PC109+PF109++PI109</f>
        <v>0</v>
      </c>
      <c r="PM109" s="64">
        <f t="shared" ref="PM109:PM120" si="2348">PK109-PL109</f>
        <v>100</v>
      </c>
      <c r="PN109" s="62">
        <v>1550</v>
      </c>
      <c r="PO109" s="63"/>
      <c r="PP109" s="64">
        <f t="shared" ref="PP109:PP120" si="2349">PN109-PO109</f>
        <v>1550</v>
      </c>
      <c r="PQ109" s="65"/>
      <c r="PR109" s="63"/>
      <c r="PS109" s="64">
        <f t="shared" ref="PS109:PS120" si="2350">PQ109-PR109</f>
        <v>0</v>
      </c>
      <c r="PT109" s="65"/>
      <c r="PU109" s="63"/>
      <c r="PV109" s="64">
        <f t="shared" ref="PV109:PV120" si="2351">PT109-PU109</f>
        <v>0</v>
      </c>
      <c r="PW109" s="65">
        <v>100</v>
      </c>
      <c r="PX109" s="63"/>
      <c r="PY109" s="64">
        <f t="shared" ref="PY109:PY120" si="2352">PW109-PX109</f>
        <v>100</v>
      </c>
      <c r="PZ109" s="66">
        <f t="shared" si="1624"/>
        <v>1650</v>
      </c>
      <c r="QA109" s="67">
        <f t="shared" ref="QA109:QA120" si="2353">PO109+PR109+PU109++PX109</f>
        <v>0</v>
      </c>
      <c r="QB109" s="64">
        <f t="shared" ref="QB109:QB120" si="2354">PZ109-QA109</f>
        <v>1650</v>
      </c>
      <c r="QC109" s="62"/>
      <c r="QD109" s="63"/>
      <c r="QE109" s="64">
        <f t="shared" ref="QE109:QE120" si="2355">QC109-QD109</f>
        <v>0</v>
      </c>
      <c r="QF109" s="65"/>
      <c r="QG109" s="63"/>
      <c r="QH109" s="64">
        <f t="shared" ref="QH109:QH120" si="2356">QF109-QG109</f>
        <v>0</v>
      </c>
      <c r="QI109" s="65"/>
      <c r="QJ109" s="63"/>
      <c r="QK109" s="64">
        <f t="shared" ref="QK109:QK120" si="2357">QI109-QJ109</f>
        <v>0</v>
      </c>
      <c r="QL109" s="65">
        <v>100</v>
      </c>
      <c r="QM109" s="63"/>
      <c r="QN109" s="64">
        <f t="shared" ref="QN109:QN120" si="2358">QL109-QM109</f>
        <v>100</v>
      </c>
      <c r="QO109" s="66">
        <f t="shared" si="1631"/>
        <v>100</v>
      </c>
      <c r="QP109" s="67">
        <f t="shared" ref="QP109:QP120" si="2359">QD109+QG109+QJ109++QM109</f>
        <v>0</v>
      </c>
      <c r="QQ109" s="64">
        <f t="shared" ref="QQ109:QQ120" si="2360">QO109-QP109</f>
        <v>100</v>
      </c>
      <c r="QR109" s="74"/>
      <c r="QS109" s="74"/>
      <c r="QT109" s="72"/>
      <c r="QU109" s="73"/>
      <c r="QV109" s="74"/>
      <c r="QW109" s="75"/>
      <c r="QX109" s="73"/>
      <c r="QY109" s="74"/>
      <c r="QZ109" s="75"/>
      <c r="RA109" s="73"/>
      <c r="RB109" s="74"/>
      <c r="RC109" s="75"/>
      <c r="RD109" s="73"/>
      <c r="RE109" s="74"/>
      <c r="RF109" s="74"/>
      <c r="RG109" s="72"/>
      <c r="RH109" s="73"/>
      <c r="RI109" s="74"/>
      <c r="RJ109" s="75"/>
      <c r="RK109" s="73"/>
      <c r="RL109" s="74"/>
      <c r="RM109" s="75"/>
      <c r="RN109" s="73"/>
      <c r="RO109" s="74"/>
      <c r="RP109" s="75"/>
      <c r="RQ109" s="73"/>
      <c r="RR109" s="74"/>
      <c r="RS109" s="76"/>
      <c r="RT109" s="77"/>
      <c r="RU109" s="74"/>
      <c r="RV109" s="74"/>
      <c r="RW109" s="72"/>
      <c r="RX109" s="73"/>
      <c r="RY109" s="74"/>
      <c r="RZ109" s="75"/>
      <c r="SA109" s="73"/>
      <c r="SB109" s="74"/>
      <c r="SC109" s="75"/>
      <c r="SD109" s="73"/>
      <c r="SE109" s="74"/>
      <c r="SF109" s="75"/>
      <c r="SG109" s="73"/>
      <c r="SH109" s="74"/>
      <c r="SI109" s="76"/>
      <c r="SJ109" s="64">
        <f t="shared" ref="SJ109:SJ120" si="2361">SH109-SI109</f>
        <v>0</v>
      </c>
      <c r="SK109" s="62"/>
      <c r="SL109" s="63"/>
      <c r="SM109" s="64">
        <f t="shared" ref="SM109:SM120" si="2362">SK109-SL109</f>
        <v>0</v>
      </c>
      <c r="SN109" s="65"/>
      <c r="SO109" s="63"/>
      <c r="SP109" s="64">
        <f t="shared" ref="SP109:SP120" si="2363">SN109-SO109</f>
        <v>0</v>
      </c>
      <c r="SQ109" s="65"/>
      <c r="SR109" s="63"/>
      <c r="SS109" s="64">
        <f t="shared" ref="SS109:SS120" si="2364">SQ109-SR109</f>
        <v>0</v>
      </c>
      <c r="ST109" s="65">
        <v>100</v>
      </c>
      <c r="SU109" s="63"/>
      <c r="SV109" s="64">
        <f t="shared" ref="SV109:SV120" si="2365">ST109-SU109</f>
        <v>100</v>
      </c>
      <c r="SW109" s="66">
        <f t="shared" si="1639"/>
        <v>100</v>
      </c>
      <c r="SX109" s="67">
        <f t="shared" ref="SX109:SX120" si="2366">SL109+SO109+SR109++SU109</f>
        <v>0</v>
      </c>
      <c r="SY109" s="64">
        <f t="shared" ref="SY109:SY120" si="2367">SW109-SX109</f>
        <v>100</v>
      </c>
      <c r="SZ109" s="62">
        <v>985.33</v>
      </c>
      <c r="TA109" s="63"/>
      <c r="TB109" s="64">
        <f t="shared" ref="TB109:TB120" si="2368">SZ109-TA109</f>
        <v>985.33</v>
      </c>
      <c r="TC109" s="65">
        <v>700.9</v>
      </c>
      <c r="TD109" s="63"/>
      <c r="TE109" s="64">
        <f t="shared" ref="TE109:TE120" si="2369">TC109-TD109</f>
        <v>700.9</v>
      </c>
      <c r="TF109" s="65"/>
      <c r="TG109" s="63"/>
      <c r="TH109" s="64">
        <f t="shared" ref="TH109:TH120" si="2370">TF109-TG109</f>
        <v>0</v>
      </c>
      <c r="TI109" s="65">
        <v>100</v>
      </c>
      <c r="TJ109" s="63"/>
      <c r="TK109" s="64">
        <f t="shared" ref="TK109:TK120" si="2371">TI109-TJ109</f>
        <v>100</v>
      </c>
      <c r="TL109" s="66">
        <f t="shared" si="1646"/>
        <v>1786.23</v>
      </c>
      <c r="TM109" s="67">
        <f t="shared" ref="TM109:TM120" si="2372">TA109+TD109+TG109++TJ109</f>
        <v>0</v>
      </c>
      <c r="TN109" s="64">
        <f t="shared" ref="TN109:TN120" si="2373">TL109-TM109</f>
        <v>1786.23</v>
      </c>
      <c r="TO109" s="62"/>
      <c r="TP109" s="63"/>
      <c r="TQ109" s="64">
        <f t="shared" ref="TQ109:TQ120" si="2374">TO109-TP109</f>
        <v>0</v>
      </c>
      <c r="TR109" s="65"/>
      <c r="TS109" s="63"/>
      <c r="TT109" s="64">
        <f t="shared" ref="TT109:TT120" si="2375">TR109-TS109</f>
        <v>0</v>
      </c>
      <c r="TU109" s="65"/>
      <c r="TV109" s="63"/>
      <c r="TW109" s="64">
        <f t="shared" ref="TW109:TW120" si="2376">TU109-TV109</f>
        <v>0</v>
      </c>
      <c r="TX109" s="65">
        <v>100</v>
      </c>
      <c r="TY109" s="63"/>
      <c r="TZ109" s="64">
        <f t="shared" ref="TZ109:TZ120" si="2377">TX109-TY109</f>
        <v>100</v>
      </c>
      <c r="UA109" s="66">
        <f t="shared" si="1653"/>
        <v>100</v>
      </c>
      <c r="UB109" s="67">
        <f t="shared" ref="UB109:UB120" si="2378">TP109+TS109+TV109++TY109</f>
        <v>0</v>
      </c>
      <c r="UC109" s="64">
        <f t="shared" ref="UC109:UC120" si="2379">UA109-UB109</f>
        <v>100</v>
      </c>
      <c r="UD109" s="62">
        <v>1125</v>
      </c>
      <c r="UE109" s="63"/>
      <c r="UF109" s="64">
        <f t="shared" ref="UF109:UF120" si="2380">UD109-UE109</f>
        <v>1125</v>
      </c>
      <c r="UG109" s="65">
        <v>497.04</v>
      </c>
      <c r="UH109" s="63"/>
      <c r="UI109" s="64">
        <f t="shared" ref="UI109:UI120" si="2381">UG109-UH109</f>
        <v>497.04</v>
      </c>
      <c r="UJ109" s="65"/>
      <c r="UK109" s="63"/>
      <c r="UL109" s="64">
        <f t="shared" ref="UL109:UL120" si="2382">UJ109-UK109</f>
        <v>0</v>
      </c>
      <c r="UM109" s="65">
        <v>100</v>
      </c>
      <c r="UN109" s="63"/>
      <c r="UO109" s="64">
        <f t="shared" ref="UO109:UO120" si="2383">UM109-UN109</f>
        <v>100</v>
      </c>
      <c r="UP109" s="66">
        <f t="shared" si="1660"/>
        <v>1722.04</v>
      </c>
      <c r="UQ109" s="67">
        <f t="shared" ref="UQ109:UQ120" si="2384">UE109+UH109+UK109++UN109</f>
        <v>0</v>
      </c>
      <c r="UR109" s="64">
        <f t="shared" ref="UR109:UR120" si="2385">UP109-UQ109</f>
        <v>1722.04</v>
      </c>
      <c r="US109" s="74"/>
      <c r="UT109" s="72"/>
      <c r="UU109" s="73"/>
      <c r="UV109" s="74"/>
      <c r="UW109" s="75"/>
      <c r="UX109" s="73"/>
      <c r="UY109" s="74"/>
      <c r="UZ109" s="75"/>
      <c r="VA109" s="73"/>
      <c r="VB109" s="74"/>
      <c r="VC109" s="75"/>
      <c r="VD109" s="73"/>
      <c r="VE109" s="74"/>
      <c r="VF109" s="76"/>
      <c r="VG109" s="77"/>
      <c r="VH109" s="62"/>
      <c r="VI109" s="63"/>
      <c r="VJ109" s="64">
        <f t="shared" ref="VJ109:VJ120" si="2386">VH109-VI109</f>
        <v>0</v>
      </c>
      <c r="VK109" s="65"/>
      <c r="VL109" s="63"/>
      <c r="VM109" s="64">
        <f t="shared" ref="VM109:VM120" si="2387">VK109-VL109</f>
        <v>0</v>
      </c>
      <c r="VN109" s="65"/>
      <c r="VO109" s="63"/>
      <c r="VP109" s="64">
        <f t="shared" ref="VP109:VP120" si="2388">VN109-VO109</f>
        <v>0</v>
      </c>
      <c r="VQ109" s="65">
        <v>100</v>
      </c>
      <c r="VR109" s="63"/>
      <c r="VS109" s="64">
        <f t="shared" ref="VS109:VS120" si="2389">VQ109-VR109</f>
        <v>100</v>
      </c>
      <c r="VT109" s="66">
        <f t="shared" si="1667"/>
        <v>100</v>
      </c>
      <c r="VU109" s="67">
        <f t="shared" ref="VU109:VU120" si="2390">VI109+VL109+VO109++VR109</f>
        <v>0</v>
      </c>
      <c r="VV109" s="64">
        <f t="shared" ref="VV109:VV120" si="2391">VT109-VU109</f>
        <v>100</v>
      </c>
      <c r="VW109" s="74"/>
      <c r="VX109" s="72"/>
      <c r="VY109" s="73"/>
      <c r="VZ109" s="74"/>
      <c r="WA109" s="75"/>
      <c r="WB109" s="73"/>
      <c r="WC109" s="74"/>
      <c r="WD109" s="75"/>
      <c r="WE109" s="73"/>
      <c r="WF109" s="74"/>
      <c r="WG109" s="75"/>
      <c r="WH109" s="73"/>
      <c r="WI109" s="74"/>
      <c r="WJ109" s="76"/>
      <c r="WK109" s="77"/>
      <c r="WL109" s="74"/>
      <c r="WM109" s="72"/>
      <c r="WN109" s="73"/>
      <c r="WO109" s="74"/>
      <c r="WP109" s="75"/>
      <c r="WQ109" s="73"/>
      <c r="WR109" s="74"/>
      <c r="WS109" s="75"/>
      <c r="WT109" s="73"/>
      <c r="WU109" s="74"/>
      <c r="WV109" s="75"/>
      <c r="WW109" s="73"/>
      <c r="WX109" s="74"/>
      <c r="WY109" s="76"/>
      <c r="WZ109" s="77"/>
      <c r="XA109" s="74"/>
      <c r="XB109" s="72"/>
      <c r="XC109" s="73"/>
      <c r="XD109" s="74"/>
      <c r="XE109" s="75"/>
      <c r="XF109" s="73"/>
      <c r="XG109" s="74"/>
      <c r="XH109" s="75"/>
      <c r="XI109" s="73"/>
      <c r="XJ109" s="74"/>
      <c r="XK109" s="75"/>
      <c r="XL109" s="73"/>
      <c r="XM109" s="74"/>
      <c r="XN109" s="76"/>
      <c r="XO109" s="77"/>
      <c r="XP109" s="62"/>
      <c r="XQ109" s="63"/>
      <c r="XR109" s="64">
        <f t="shared" ref="XR109:XR120" si="2392">XP109-XQ109</f>
        <v>0</v>
      </c>
      <c r="XS109" s="65">
        <v>844.24</v>
      </c>
      <c r="XT109" s="63"/>
      <c r="XU109" s="64">
        <f t="shared" ref="XU109:XU120" si="2393">XS109-XT109</f>
        <v>844.24</v>
      </c>
      <c r="XV109" s="65"/>
      <c r="XW109" s="63"/>
      <c r="XX109" s="64">
        <f t="shared" ref="XX109:XX120" si="2394">XV109-XW109</f>
        <v>0</v>
      </c>
      <c r="XY109" s="65">
        <v>100</v>
      </c>
      <c r="XZ109" s="63"/>
      <c r="YA109" s="64">
        <f t="shared" ref="YA109:YA120" si="2395">XY109-XZ109</f>
        <v>100</v>
      </c>
      <c r="YB109" s="66">
        <f t="shared" si="1674"/>
        <v>944.24</v>
      </c>
      <c r="YC109" s="67">
        <f t="shared" ref="YC109:YC120" si="2396">XQ109+XT109+XW109++XZ109</f>
        <v>0</v>
      </c>
      <c r="YD109" s="64">
        <f t="shared" ref="YD109:YD120" si="2397">YB109-YC109</f>
        <v>944.24</v>
      </c>
      <c r="YE109" s="62"/>
      <c r="YF109" s="63"/>
      <c r="YG109" s="64">
        <f t="shared" ref="YG109:YG120" si="2398">YE109-YF109</f>
        <v>0</v>
      </c>
      <c r="YH109" s="65">
        <v>847.85</v>
      </c>
      <c r="YI109" s="63"/>
      <c r="YJ109" s="64">
        <f t="shared" ref="YJ109:YJ120" si="2399">YH109-YI109</f>
        <v>847.85</v>
      </c>
      <c r="YK109" s="65"/>
      <c r="YL109" s="63"/>
      <c r="YM109" s="64">
        <f t="shared" ref="YM109:YM120" si="2400">YK109-YL109</f>
        <v>0</v>
      </c>
      <c r="YN109" s="65">
        <v>100</v>
      </c>
      <c r="YO109" s="63"/>
      <c r="YP109" s="64">
        <f t="shared" ref="YP109:YP120" si="2401">YN109-YO109</f>
        <v>100</v>
      </c>
      <c r="YQ109" s="66">
        <f t="shared" si="1681"/>
        <v>947.85</v>
      </c>
      <c r="YR109" s="67">
        <f t="shared" ref="YR109:YR120" si="2402">YF109+YI109+YL109++YO109</f>
        <v>0</v>
      </c>
      <c r="YS109" s="64">
        <f t="shared" ref="YS109:YS120" si="2403">YQ109-YR109</f>
        <v>947.85</v>
      </c>
      <c r="YT109" s="62"/>
      <c r="YU109" s="63"/>
      <c r="YV109" s="64">
        <f t="shared" ref="YV109:YV120" si="2404">YT109-YU109</f>
        <v>0</v>
      </c>
      <c r="YW109" s="65">
        <v>695.73</v>
      </c>
      <c r="YX109" s="63"/>
      <c r="YY109" s="64">
        <f t="shared" ref="YY109:YY120" si="2405">YW109-YX109</f>
        <v>695.73</v>
      </c>
      <c r="YZ109" s="65"/>
      <c r="ZA109" s="63"/>
      <c r="ZB109" s="64">
        <f t="shared" ref="ZB109:ZB120" si="2406">YZ109-ZA109</f>
        <v>0</v>
      </c>
      <c r="ZC109" s="65">
        <v>100</v>
      </c>
      <c r="ZD109" s="63"/>
      <c r="ZE109" s="64">
        <f t="shared" ref="ZE109:ZE120" si="2407">ZC109-ZD109</f>
        <v>100</v>
      </c>
      <c r="ZF109" s="66">
        <f t="shared" si="1688"/>
        <v>795.73</v>
      </c>
      <c r="ZG109" s="67">
        <f t="shared" ref="ZG109:ZG120" si="2408">YU109+YX109+ZA109++ZD109</f>
        <v>0</v>
      </c>
      <c r="ZH109" s="74"/>
      <c r="ZI109" s="72"/>
      <c r="ZJ109" s="73"/>
      <c r="ZK109" s="74"/>
      <c r="ZL109" s="75"/>
      <c r="ZM109" s="73"/>
      <c r="ZN109" s="74"/>
      <c r="ZO109" s="75"/>
      <c r="ZP109" s="73"/>
      <c r="ZQ109" s="74"/>
      <c r="ZR109" s="75"/>
      <c r="ZS109" s="73"/>
      <c r="ZT109" s="74"/>
      <c r="ZU109" s="76"/>
      <c r="ZV109" s="77"/>
      <c r="ZW109" s="64">
        <f t="shared" ref="ZW109:ZW120" si="2409">ZU109-ZV109</f>
        <v>0</v>
      </c>
      <c r="ZX109" s="62">
        <v>24.71</v>
      </c>
      <c r="ZY109" s="63"/>
      <c r="ZZ109" s="64">
        <f t="shared" ref="ZZ109:ZZ120" si="2410">ZX109-ZY109</f>
        <v>24.71</v>
      </c>
      <c r="AAA109" s="66">
        <f t="shared" si="1692"/>
        <v>24.71</v>
      </c>
      <c r="AAB109" s="67">
        <f t="shared" si="1692"/>
        <v>0</v>
      </c>
      <c r="AAC109" s="64">
        <f t="shared" ref="AAC109:AAC120" si="2411">AAA109-AAB109</f>
        <v>24.71</v>
      </c>
      <c r="AAD109" s="78">
        <f t="shared" si="1694"/>
        <v>29217.870000000003</v>
      </c>
      <c r="AAE109" s="79">
        <f t="shared" si="1694"/>
        <v>0</v>
      </c>
      <c r="AAF109" s="80">
        <f t="shared" si="1457"/>
        <v>0</v>
      </c>
      <c r="AAG109" s="81">
        <f t="shared" ref="AAG109:AAG120" si="2412">AAE109-AAD109</f>
        <v>-29217.870000000003</v>
      </c>
      <c r="AAH109" s="58" t="s">
        <v>136</v>
      </c>
      <c r="AAI109" s="59"/>
      <c r="AAJ109" s="59"/>
      <c r="AAK109" s="60">
        <v>2030</v>
      </c>
    </row>
    <row r="110" spans="1:713" s="83" customFormat="1" ht="20" customHeight="1" x14ac:dyDescent="0.2">
      <c r="A110" s="152"/>
      <c r="B110" s="58"/>
      <c r="C110" s="59"/>
      <c r="D110" s="59"/>
      <c r="E110" s="60"/>
      <c r="F110" s="61">
        <v>47515</v>
      </c>
      <c r="G110" s="62"/>
      <c r="H110" s="63"/>
      <c r="I110" s="64">
        <f t="shared" si="2208"/>
        <v>0</v>
      </c>
      <c r="J110" s="65">
        <v>4160.16</v>
      </c>
      <c r="K110" s="63"/>
      <c r="L110" s="64">
        <f t="shared" si="2209"/>
        <v>4160.16</v>
      </c>
      <c r="M110" s="65">
        <v>2500</v>
      </c>
      <c r="N110" s="63"/>
      <c r="O110" s="64">
        <f t="shared" si="2210"/>
        <v>2500</v>
      </c>
      <c r="P110" s="65">
        <v>500</v>
      </c>
      <c r="Q110" s="63"/>
      <c r="R110" s="64">
        <f t="shared" si="2211"/>
        <v>500</v>
      </c>
      <c r="S110" s="65">
        <v>181</v>
      </c>
      <c r="T110" s="63"/>
      <c r="U110" s="64">
        <f t="shared" si="2212"/>
        <v>181</v>
      </c>
      <c r="V110" s="66">
        <f t="shared" si="2213"/>
        <v>7341.16</v>
      </c>
      <c r="W110" s="67">
        <f t="shared" si="2213"/>
        <v>0</v>
      </c>
      <c r="X110" s="64">
        <f t="shared" si="2214"/>
        <v>7341.16</v>
      </c>
      <c r="Y110" s="72"/>
      <c r="Z110" s="73"/>
      <c r="AA110" s="74"/>
      <c r="AB110" s="75"/>
      <c r="AC110" s="73"/>
      <c r="AD110" s="74"/>
      <c r="AE110" s="75"/>
      <c r="AF110" s="73"/>
      <c r="AG110" s="74"/>
      <c r="AH110" s="75"/>
      <c r="AI110" s="73"/>
      <c r="AJ110" s="74"/>
      <c r="AK110" s="76"/>
      <c r="AL110" s="77"/>
      <c r="AM110" s="64">
        <f t="shared" si="2215"/>
        <v>0</v>
      </c>
      <c r="AN110" s="62"/>
      <c r="AO110" s="63"/>
      <c r="AP110" s="64">
        <f t="shared" ref="AP110:AP120" si="2413">AN110-AO110</f>
        <v>0</v>
      </c>
      <c r="AQ110" s="65"/>
      <c r="AR110" s="63"/>
      <c r="AS110" s="64">
        <f t="shared" si="2216"/>
        <v>0</v>
      </c>
      <c r="AT110" s="65"/>
      <c r="AU110" s="63"/>
      <c r="AV110" s="64">
        <f t="shared" si="2217"/>
        <v>0</v>
      </c>
      <c r="AW110" s="65"/>
      <c r="AX110" s="63"/>
      <c r="AY110" s="64">
        <f t="shared" si="2218"/>
        <v>0</v>
      </c>
      <c r="AZ110" s="66">
        <f t="shared" si="1469"/>
        <v>0</v>
      </c>
      <c r="BA110" s="67">
        <f t="shared" si="2219"/>
        <v>0</v>
      </c>
      <c r="BB110" s="64">
        <f t="shared" si="2220"/>
        <v>0</v>
      </c>
      <c r="BC110" s="62">
        <v>6150</v>
      </c>
      <c r="BD110" s="63"/>
      <c r="BE110" s="64">
        <f t="shared" si="2221"/>
        <v>6150</v>
      </c>
      <c r="BF110" s="65"/>
      <c r="BG110" s="63"/>
      <c r="BH110" s="64">
        <f t="shared" si="2222"/>
        <v>0</v>
      </c>
      <c r="BI110" s="65"/>
      <c r="BJ110" s="63"/>
      <c r="BK110" s="64">
        <f t="shared" si="2223"/>
        <v>0</v>
      </c>
      <c r="BL110" s="65">
        <v>100</v>
      </c>
      <c r="BM110" s="63"/>
      <c r="BN110" s="64">
        <f t="shared" si="2224"/>
        <v>100</v>
      </c>
      <c r="BO110" s="66">
        <f t="shared" si="1476"/>
        <v>6250</v>
      </c>
      <c r="BP110" s="67">
        <f t="shared" si="2225"/>
        <v>0</v>
      </c>
      <c r="BQ110" s="64">
        <f t="shared" si="2226"/>
        <v>6250</v>
      </c>
      <c r="BR110" s="72"/>
      <c r="BS110" s="73"/>
      <c r="BT110" s="74"/>
      <c r="BU110" s="75"/>
      <c r="BV110" s="73"/>
      <c r="BW110" s="74"/>
      <c r="BX110" s="75"/>
      <c r="BY110" s="73"/>
      <c r="BZ110" s="74"/>
      <c r="CA110" s="75"/>
      <c r="CB110" s="73"/>
      <c r="CC110" s="74"/>
      <c r="CD110" s="76"/>
      <c r="CE110" s="77"/>
      <c r="CF110" s="64">
        <f t="shared" si="2227"/>
        <v>0</v>
      </c>
      <c r="CG110" s="62"/>
      <c r="CH110" s="63"/>
      <c r="CI110" s="64">
        <f t="shared" si="2228"/>
        <v>0</v>
      </c>
      <c r="CJ110" s="65"/>
      <c r="CK110" s="63"/>
      <c r="CL110" s="64">
        <f t="shared" si="2229"/>
        <v>0</v>
      </c>
      <c r="CM110" s="65"/>
      <c r="CN110" s="63"/>
      <c r="CO110" s="64">
        <f t="shared" si="2230"/>
        <v>0</v>
      </c>
      <c r="CP110" s="65"/>
      <c r="CQ110" s="63"/>
      <c r="CR110" s="64">
        <f t="shared" si="2231"/>
        <v>0</v>
      </c>
      <c r="CS110" s="66">
        <f t="shared" si="1484"/>
        <v>0</v>
      </c>
      <c r="CT110" s="67">
        <f t="shared" si="2232"/>
        <v>0</v>
      </c>
      <c r="CU110" s="64">
        <f t="shared" si="2233"/>
        <v>0</v>
      </c>
      <c r="CV110" s="62">
        <v>2916.7</v>
      </c>
      <c r="CW110" s="63"/>
      <c r="CX110" s="64">
        <f t="shared" si="2234"/>
        <v>2916.7</v>
      </c>
      <c r="CY110" s="65">
        <v>429.15</v>
      </c>
      <c r="CZ110" s="63"/>
      <c r="DA110" s="64">
        <f t="shared" si="2235"/>
        <v>429.15</v>
      </c>
      <c r="DB110" s="65"/>
      <c r="DC110" s="63"/>
      <c r="DD110" s="64">
        <f t="shared" si="2236"/>
        <v>0</v>
      </c>
      <c r="DE110" s="65"/>
      <c r="DF110" s="63"/>
      <c r="DG110" s="64">
        <f t="shared" si="2237"/>
        <v>0</v>
      </c>
      <c r="DH110" s="66">
        <f t="shared" si="1491"/>
        <v>3345.85</v>
      </c>
      <c r="DI110" s="67">
        <f t="shared" si="2238"/>
        <v>0</v>
      </c>
      <c r="DJ110" s="64">
        <f t="shared" si="2239"/>
        <v>3345.85</v>
      </c>
      <c r="DK110" s="62">
        <v>2400</v>
      </c>
      <c r="DL110" s="63"/>
      <c r="DM110" s="64">
        <f t="shared" si="2240"/>
        <v>2400</v>
      </c>
      <c r="DN110" s="65">
        <v>913.08</v>
      </c>
      <c r="DO110" s="63"/>
      <c r="DP110" s="64">
        <f t="shared" si="2241"/>
        <v>913.08</v>
      </c>
      <c r="DQ110" s="65"/>
      <c r="DR110" s="63"/>
      <c r="DS110" s="64">
        <f t="shared" si="2242"/>
        <v>0</v>
      </c>
      <c r="DT110" s="65">
        <v>100</v>
      </c>
      <c r="DU110" s="63"/>
      <c r="DV110" s="64">
        <f t="shared" si="2243"/>
        <v>100</v>
      </c>
      <c r="DW110" s="66">
        <f t="shared" si="1498"/>
        <v>3413.08</v>
      </c>
      <c r="DX110" s="67">
        <f t="shared" si="2244"/>
        <v>0</v>
      </c>
      <c r="DY110" s="64">
        <f t="shared" si="2245"/>
        <v>3413.08</v>
      </c>
      <c r="DZ110" s="62"/>
      <c r="EA110" s="63"/>
      <c r="EB110" s="64">
        <f t="shared" si="2246"/>
        <v>0</v>
      </c>
      <c r="EC110" s="65"/>
      <c r="ED110" s="63"/>
      <c r="EE110" s="64">
        <f t="shared" si="2247"/>
        <v>0</v>
      </c>
      <c r="EF110" s="65"/>
      <c r="EG110" s="63"/>
      <c r="EH110" s="64">
        <f t="shared" si="2248"/>
        <v>0</v>
      </c>
      <c r="EI110" s="65">
        <v>100</v>
      </c>
      <c r="EJ110" s="63"/>
      <c r="EK110" s="64">
        <f t="shared" si="2249"/>
        <v>100</v>
      </c>
      <c r="EL110" s="66">
        <f t="shared" si="1505"/>
        <v>100</v>
      </c>
      <c r="EM110" s="67">
        <f t="shared" si="2250"/>
        <v>0</v>
      </c>
      <c r="EN110" s="64">
        <f t="shared" si="2251"/>
        <v>100</v>
      </c>
      <c r="EO110" s="62">
        <v>6150</v>
      </c>
      <c r="EP110" s="63"/>
      <c r="EQ110" s="64">
        <f t="shared" si="2252"/>
        <v>6150</v>
      </c>
      <c r="ER110" s="65"/>
      <c r="ES110" s="63"/>
      <c r="ET110" s="64">
        <f t="shared" si="2253"/>
        <v>0</v>
      </c>
      <c r="EU110" s="65"/>
      <c r="EV110" s="63"/>
      <c r="EW110" s="64">
        <f t="shared" si="2254"/>
        <v>0</v>
      </c>
      <c r="EX110" s="65">
        <v>100</v>
      </c>
      <c r="EY110" s="63"/>
      <c r="EZ110" s="64">
        <f t="shared" si="2255"/>
        <v>100</v>
      </c>
      <c r="FA110" s="66">
        <f t="shared" si="1512"/>
        <v>6250</v>
      </c>
      <c r="FB110" s="67">
        <f t="shared" si="2256"/>
        <v>0</v>
      </c>
      <c r="FC110" s="64">
        <f t="shared" si="2257"/>
        <v>6250</v>
      </c>
      <c r="FD110" s="62">
        <v>6150</v>
      </c>
      <c r="FE110" s="63"/>
      <c r="FF110" s="64">
        <f t="shared" si="2258"/>
        <v>6150</v>
      </c>
      <c r="FG110" s="65"/>
      <c r="FH110" s="63"/>
      <c r="FI110" s="64">
        <f t="shared" si="2259"/>
        <v>0</v>
      </c>
      <c r="FJ110" s="65"/>
      <c r="FK110" s="63"/>
      <c r="FL110" s="64">
        <f t="shared" si="2260"/>
        <v>0</v>
      </c>
      <c r="FM110" s="65">
        <v>100</v>
      </c>
      <c r="FN110" s="63"/>
      <c r="FO110" s="64">
        <f t="shared" si="2261"/>
        <v>100</v>
      </c>
      <c r="FP110" s="66">
        <f t="shared" si="1519"/>
        <v>6250</v>
      </c>
      <c r="FQ110" s="67">
        <f t="shared" si="2262"/>
        <v>0</v>
      </c>
      <c r="FR110" s="64">
        <f t="shared" si="2263"/>
        <v>6250</v>
      </c>
      <c r="FS110" s="62"/>
      <c r="FT110" s="63"/>
      <c r="FU110" s="64">
        <f t="shared" si="2264"/>
        <v>0</v>
      </c>
      <c r="FV110" s="65">
        <v>485.35</v>
      </c>
      <c r="FW110" s="63"/>
      <c r="FX110" s="64">
        <f t="shared" si="2265"/>
        <v>485.35</v>
      </c>
      <c r="FY110" s="65"/>
      <c r="FZ110" s="63"/>
      <c r="GA110" s="64">
        <f t="shared" si="2266"/>
        <v>0</v>
      </c>
      <c r="GB110" s="65"/>
      <c r="GC110" s="63"/>
      <c r="GD110" s="64">
        <f t="shared" si="2267"/>
        <v>0</v>
      </c>
      <c r="GE110" s="66">
        <f t="shared" si="1526"/>
        <v>485.35</v>
      </c>
      <c r="GF110" s="67">
        <f t="shared" si="2268"/>
        <v>0</v>
      </c>
      <c r="GG110" s="64">
        <f t="shared" si="2269"/>
        <v>485.35</v>
      </c>
      <c r="GH110" s="62"/>
      <c r="GI110" s="63"/>
      <c r="GJ110" s="64">
        <f t="shared" si="2270"/>
        <v>0</v>
      </c>
      <c r="GK110" s="65">
        <v>660.33</v>
      </c>
      <c r="GL110" s="63"/>
      <c r="GM110" s="64">
        <f t="shared" si="2271"/>
        <v>660.33</v>
      </c>
      <c r="GN110" s="65"/>
      <c r="GO110" s="63"/>
      <c r="GP110" s="64">
        <f t="shared" si="2272"/>
        <v>0</v>
      </c>
      <c r="GQ110" s="65"/>
      <c r="GR110" s="63"/>
      <c r="GS110" s="64">
        <f t="shared" si="2273"/>
        <v>0</v>
      </c>
      <c r="GT110" s="66">
        <f t="shared" si="1533"/>
        <v>660.33</v>
      </c>
      <c r="GU110" s="67">
        <f t="shared" si="2274"/>
        <v>0</v>
      </c>
      <c r="GV110" s="64">
        <f t="shared" si="2275"/>
        <v>660.33</v>
      </c>
      <c r="GW110" s="62"/>
      <c r="GX110" s="63"/>
      <c r="GY110" s="64">
        <f t="shared" si="2276"/>
        <v>0</v>
      </c>
      <c r="GZ110" s="65">
        <v>568.25</v>
      </c>
      <c r="HA110" s="63"/>
      <c r="HB110" s="64">
        <f t="shared" si="2277"/>
        <v>568.25</v>
      </c>
      <c r="HC110" s="65"/>
      <c r="HD110" s="63"/>
      <c r="HE110" s="64">
        <f t="shared" si="2278"/>
        <v>0</v>
      </c>
      <c r="HF110" s="65">
        <v>100</v>
      </c>
      <c r="HG110" s="63"/>
      <c r="HH110" s="64">
        <f t="shared" si="2279"/>
        <v>100</v>
      </c>
      <c r="HI110" s="66">
        <f t="shared" si="1540"/>
        <v>668.25</v>
      </c>
      <c r="HJ110" s="67">
        <f t="shared" si="2280"/>
        <v>0</v>
      </c>
      <c r="HK110" s="64">
        <f t="shared" si="2281"/>
        <v>668.25</v>
      </c>
      <c r="HL110" s="62">
        <v>6150</v>
      </c>
      <c r="HM110" s="63"/>
      <c r="HN110" s="64">
        <f t="shared" si="2282"/>
        <v>6150</v>
      </c>
      <c r="HO110" s="65"/>
      <c r="HP110" s="63"/>
      <c r="HQ110" s="64">
        <f t="shared" si="2283"/>
        <v>0</v>
      </c>
      <c r="HR110" s="65"/>
      <c r="HS110" s="63"/>
      <c r="HT110" s="64">
        <f t="shared" si="2284"/>
        <v>0</v>
      </c>
      <c r="HU110" s="65">
        <v>100</v>
      </c>
      <c r="HV110" s="63"/>
      <c r="HW110" s="64">
        <f t="shared" si="2285"/>
        <v>100</v>
      </c>
      <c r="HX110" s="66">
        <f t="shared" si="1547"/>
        <v>6250</v>
      </c>
      <c r="HY110" s="67">
        <f t="shared" si="2286"/>
        <v>0</v>
      </c>
      <c r="HZ110" s="64">
        <f t="shared" si="2287"/>
        <v>6250</v>
      </c>
      <c r="IA110" s="62"/>
      <c r="IB110" s="63"/>
      <c r="IC110" s="64">
        <f t="shared" si="2288"/>
        <v>0</v>
      </c>
      <c r="ID110" s="65"/>
      <c r="IE110" s="63"/>
      <c r="IF110" s="64">
        <f t="shared" si="2289"/>
        <v>0</v>
      </c>
      <c r="IG110" s="65"/>
      <c r="IH110" s="63"/>
      <c r="II110" s="64">
        <f t="shared" si="2290"/>
        <v>0</v>
      </c>
      <c r="IJ110" s="65">
        <v>100</v>
      </c>
      <c r="IK110" s="63"/>
      <c r="IL110" s="64">
        <f t="shared" si="2291"/>
        <v>100</v>
      </c>
      <c r="IM110" s="66">
        <f t="shared" si="1554"/>
        <v>100</v>
      </c>
      <c r="IN110" s="67">
        <f t="shared" si="2292"/>
        <v>0</v>
      </c>
      <c r="IO110" s="64">
        <f t="shared" si="2293"/>
        <v>100</v>
      </c>
      <c r="IP110" s="62"/>
      <c r="IQ110" s="63"/>
      <c r="IR110" s="64">
        <f t="shared" si="2294"/>
        <v>0</v>
      </c>
      <c r="IS110" s="65"/>
      <c r="IT110" s="63"/>
      <c r="IU110" s="64">
        <f t="shared" si="2295"/>
        <v>0</v>
      </c>
      <c r="IV110" s="65"/>
      <c r="IW110" s="63"/>
      <c r="IX110" s="64">
        <f t="shared" si="2296"/>
        <v>0</v>
      </c>
      <c r="IY110" s="65"/>
      <c r="IZ110" s="63"/>
      <c r="JA110" s="64">
        <f t="shared" si="2297"/>
        <v>0</v>
      </c>
      <c r="JB110" s="66">
        <f t="shared" si="1561"/>
        <v>0</v>
      </c>
      <c r="JC110" s="67">
        <f t="shared" si="2298"/>
        <v>0</v>
      </c>
      <c r="JD110" s="64">
        <f t="shared" si="2299"/>
        <v>0</v>
      </c>
      <c r="JE110" s="72"/>
      <c r="JF110" s="150"/>
      <c r="JG110" s="74"/>
      <c r="JH110" s="75"/>
      <c r="JI110" s="150"/>
      <c r="JJ110" s="74"/>
      <c r="JK110" s="75"/>
      <c r="JL110" s="150"/>
      <c r="JM110" s="74"/>
      <c r="JN110" s="75"/>
      <c r="JO110" s="150"/>
      <c r="JP110" s="74"/>
      <c r="JQ110" s="76"/>
      <c r="JR110" s="77"/>
      <c r="JS110" s="74"/>
      <c r="JT110" s="72"/>
      <c r="JU110" s="73"/>
      <c r="JV110" s="74"/>
      <c r="JW110" s="75"/>
      <c r="JX110" s="73"/>
      <c r="JY110" s="74"/>
      <c r="JZ110" s="75"/>
      <c r="KA110" s="73"/>
      <c r="KB110" s="74"/>
      <c r="KC110" s="75"/>
      <c r="KD110" s="73"/>
      <c r="KE110" s="74"/>
      <c r="KF110" s="76"/>
      <c r="KG110" s="77"/>
      <c r="KH110" s="64">
        <f t="shared" si="2300"/>
        <v>0</v>
      </c>
      <c r="KI110" s="62"/>
      <c r="KJ110" s="63"/>
      <c r="KK110" s="64">
        <f t="shared" si="2301"/>
        <v>0</v>
      </c>
      <c r="KL110" s="65"/>
      <c r="KM110" s="63"/>
      <c r="KN110" s="64">
        <f t="shared" si="2302"/>
        <v>0</v>
      </c>
      <c r="KO110" s="65"/>
      <c r="KP110" s="63"/>
      <c r="KQ110" s="64">
        <f t="shared" si="2303"/>
        <v>0</v>
      </c>
      <c r="KR110" s="65"/>
      <c r="KS110" s="63"/>
      <c r="KT110" s="64">
        <f t="shared" si="2304"/>
        <v>0</v>
      </c>
      <c r="KU110" s="66">
        <f t="shared" si="1439"/>
        <v>0</v>
      </c>
      <c r="KV110" s="67">
        <f t="shared" si="2305"/>
        <v>0</v>
      </c>
      <c r="KW110" s="64">
        <f t="shared" si="2306"/>
        <v>0</v>
      </c>
      <c r="KX110" s="72"/>
      <c r="KY110" s="73"/>
      <c r="KZ110" s="74"/>
      <c r="LA110" s="75"/>
      <c r="LB110" s="73"/>
      <c r="LC110" s="74"/>
      <c r="LD110" s="75"/>
      <c r="LE110" s="73"/>
      <c r="LF110" s="74"/>
      <c r="LG110" s="75"/>
      <c r="LH110" s="73"/>
      <c r="LI110" s="74"/>
      <c r="LJ110" s="76"/>
      <c r="LK110" s="77"/>
      <c r="LL110" s="74"/>
      <c r="LM110" s="62"/>
      <c r="LN110" s="63"/>
      <c r="LO110" s="64">
        <f t="shared" si="2307"/>
        <v>0</v>
      </c>
      <c r="LP110" s="65"/>
      <c r="LQ110" s="63"/>
      <c r="LR110" s="64">
        <f t="shared" si="2308"/>
        <v>0</v>
      </c>
      <c r="LS110" s="65"/>
      <c r="LT110" s="63"/>
      <c r="LU110" s="64">
        <f t="shared" si="2309"/>
        <v>0</v>
      </c>
      <c r="LV110" s="65">
        <v>100</v>
      </c>
      <c r="LW110" s="63"/>
      <c r="LX110" s="64">
        <f t="shared" si="2310"/>
        <v>100</v>
      </c>
      <c r="LY110" s="66">
        <f t="shared" si="1575"/>
        <v>100</v>
      </c>
      <c r="LZ110" s="67">
        <f t="shared" si="2311"/>
        <v>0</v>
      </c>
      <c r="MA110" s="64">
        <f t="shared" si="2312"/>
        <v>100</v>
      </c>
      <c r="MB110" s="62"/>
      <c r="MC110" s="63"/>
      <c r="MD110" s="64">
        <f t="shared" si="2313"/>
        <v>0</v>
      </c>
      <c r="ME110" s="65">
        <v>889.11</v>
      </c>
      <c r="MF110" s="63"/>
      <c r="MG110" s="64">
        <f t="shared" si="2314"/>
        <v>889.11</v>
      </c>
      <c r="MH110" s="65"/>
      <c r="MI110" s="63"/>
      <c r="MJ110" s="64">
        <f t="shared" si="2315"/>
        <v>0</v>
      </c>
      <c r="MK110" s="65">
        <v>100</v>
      </c>
      <c r="ML110" s="63"/>
      <c r="MM110" s="64">
        <f t="shared" si="2316"/>
        <v>100</v>
      </c>
      <c r="MN110" s="66">
        <f t="shared" si="1582"/>
        <v>989.11</v>
      </c>
      <c r="MO110" s="67">
        <f t="shared" si="2317"/>
        <v>0</v>
      </c>
      <c r="MP110" s="64">
        <f t="shared" si="2318"/>
        <v>989.11</v>
      </c>
      <c r="MQ110" s="62"/>
      <c r="MR110" s="63"/>
      <c r="MS110" s="64">
        <f t="shared" si="2319"/>
        <v>0</v>
      </c>
      <c r="MT110" s="65"/>
      <c r="MU110" s="63"/>
      <c r="MV110" s="64">
        <f t="shared" si="2320"/>
        <v>0</v>
      </c>
      <c r="MW110" s="65"/>
      <c r="MX110" s="63"/>
      <c r="MY110" s="64">
        <f t="shared" si="2321"/>
        <v>0</v>
      </c>
      <c r="MZ110" s="65"/>
      <c r="NA110" s="63"/>
      <c r="NB110" s="64">
        <f t="shared" si="2322"/>
        <v>0</v>
      </c>
      <c r="NC110" s="66">
        <f t="shared" si="1589"/>
        <v>0</v>
      </c>
      <c r="ND110" s="67">
        <f t="shared" si="2323"/>
        <v>0</v>
      </c>
      <c r="NE110" s="64">
        <f t="shared" si="2324"/>
        <v>0</v>
      </c>
      <c r="NF110" s="62"/>
      <c r="NG110" s="63"/>
      <c r="NH110" s="64">
        <f t="shared" si="2325"/>
        <v>0</v>
      </c>
      <c r="NI110" s="65">
        <v>1164.04</v>
      </c>
      <c r="NJ110" s="63"/>
      <c r="NK110" s="64">
        <f t="shared" si="2326"/>
        <v>1164.04</v>
      </c>
      <c r="NL110" s="65"/>
      <c r="NM110" s="63"/>
      <c r="NN110" s="64">
        <f t="shared" si="2327"/>
        <v>0</v>
      </c>
      <c r="NO110" s="65">
        <v>100</v>
      </c>
      <c r="NP110" s="63"/>
      <c r="NQ110" s="64">
        <f t="shared" si="2328"/>
        <v>100</v>
      </c>
      <c r="NR110" s="66">
        <f t="shared" si="1596"/>
        <v>1264.04</v>
      </c>
      <c r="NS110" s="67">
        <f t="shared" si="2329"/>
        <v>0</v>
      </c>
      <c r="NT110" s="64">
        <f t="shared" si="2330"/>
        <v>1264.04</v>
      </c>
      <c r="NU110" s="62"/>
      <c r="NV110" s="63"/>
      <c r="NW110" s="64">
        <f t="shared" si="2331"/>
        <v>0</v>
      </c>
      <c r="NX110" s="65">
        <v>1152.73</v>
      </c>
      <c r="NY110" s="63"/>
      <c r="NZ110" s="64">
        <f t="shared" si="2332"/>
        <v>1152.73</v>
      </c>
      <c r="OA110" s="65"/>
      <c r="OB110" s="63"/>
      <c r="OC110" s="64">
        <f t="shared" si="2333"/>
        <v>0</v>
      </c>
      <c r="OD110" s="65">
        <v>100</v>
      </c>
      <c r="OE110" s="63"/>
      <c r="OF110" s="64">
        <f t="shared" si="2334"/>
        <v>100</v>
      </c>
      <c r="OG110" s="66">
        <f t="shared" si="1603"/>
        <v>1252.73</v>
      </c>
      <c r="OH110" s="67">
        <f t="shared" si="2335"/>
        <v>0</v>
      </c>
      <c r="OI110" s="64">
        <f t="shared" si="2336"/>
        <v>1252.73</v>
      </c>
      <c r="OJ110" s="62"/>
      <c r="OK110" s="63"/>
      <c r="OL110" s="64">
        <f t="shared" si="2337"/>
        <v>0</v>
      </c>
      <c r="OM110" s="65"/>
      <c r="ON110" s="63"/>
      <c r="OO110" s="64">
        <f t="shared" si="2338"/>
        <v>0</v>
      </c>
      <c r="OP110" s="65"/>
      <c r="OQ110" s="63"/>
      <c r="OR110" s="64">
        <f t="shared" si="2339"/>
        <v>0</v>
      </c>
      <c r="OS110" s="65">
        <v>100</v>
      </c>
      <c r="OT110" s="63"/>
      <c r="OU110" s="64">
        <f t="shared" si="2340"/>
        <v>100</v>
      </c>
      <c r="OV110" s="66">
        <f t="shared" si="1610"/>
        <v>100</v>
      </c>
      <c r="OW110" s="67">
        <f t="shared" si="2341"/>
        <v>0</v>
      </c>
      <c r="OX110" s="64">
        <f t="shared" si="2342"/>
        <v>100</v>
      </c>
      <c r="OY110" s="62"/>
      <c r="OZ110" s="63"/>
      <c r="PA110" s="64">
        <f t="shared" si="2343"/>
        <v>0</v>
      </c>
      <c r="PB110" s="65"/>
      <c r="PC110" s="63"/>
      <c r="PD110" s="64">
        <f t="shared" si="2344"/>
        <v>0</v>
      </c>
      <c r="PE110" s="65"/>
      <c r="PF110" s="63"/>
      <c r="PG110" s="64">
        <f t="shared" si="2345"/>
        <v>0</v>
      </c>
      <c r="PH110" s="65">
        <v>100</v>
      </c>
      <c r="PI110" s="63"/>
      <c r="PJ110" s="64">
        <f t="shared" si="2346"/>
        <v>100</v>
      </c>
      <c r="PK110" s="66">
        <f t="shared" si="1617"/>
        <v>100</v>
      </c>
      <c r="PL110" s="67">
        <f t="shared" si="2347"/>
        <v>0</v>
      </c>
      <c r="PM110" s="64">
        <f t="shared" si="2348"/>
        <v>100</v>
      </c>
      <c r="PN110" s="62">
        <v>1550</v>
      </c>
      <c r="PO110" s="63"/>
      <c r="PP110" s="64">
        <f t="shared" si="2349"/>
        <v>1550</v>
      </c>
      <c r="PQ110" s="65"/>
      <c r="PR110" s="63"/>
      <c r="PS110" s="64">
        <f t="shared" si="2350"/>
        <v>0</v>
      </c>
      <c r="PT110" s="65"/>
      <c r="PU110" s="63"/>
      <c r="PV110" s="64">
        <f t="shared" si="2351"/>
        <v>0</v>
      </c>
      <c r="PW110" s="65">
        <v>100</v>
      </c>
      <c r="PX110" s="63"/>
      <c r="PY110" s="64">
        <f t="shared" si="2352"/>
        <v>100</v>
      </c>
      <c r="PZ110" s="66">
        <f t="shared" si="1624"/>
        <v>1650</v>
      </c>
      <c r="QA110" s="67">
        <f t="shared" si="2353"/>
        <v>0</v>
      </c>
      <c r="QB110" s="64">
        <f t="shared" si="2354"/>
        <v>1650</v>
      </c>
      <c r="QC110" s="62"/>
      <c r="QD110" s="63"/>
      <c r="QE110" s="64">
        <f t="shared" si="2355"/>
        <v>0</v>
      </c>
      <c r="QF110" s="65"/>
      <c r="QG110" s="63"/>
      <c r="QH110" s="64">
        <f t="shared" si="2356"/>
        <v>0</v>
      </c>
      <c r="QI110" s="65"/>
      <c r="QJ110" s="63"/>
      <c r="QK110" s="64">
        <f t="shared" si="2357"/>
        <v>0</v>
      </c>
      <c r="QL110" s="65">
        <v>100</v>
      </c>
      <c r="QM110" s="63"/>
      <c r="QN110" s="64">
        <f t="shared" si="2358"/>
        <v>100</v>
      </c>
      <c r="QO110" s="66">
        <f t="shared" si="1631"/>
        <v>100</v>
      </c>
      <c r="QP110" s="67">
        <f t="shared" si="2359"/>
        <v>0</v>
      </c>
      <c r="QQ110" s="64">
        <f t="shared" si="2360"/>
        <v>100</v>
      </c>
      <c r="QR110" s="74"/>
      <c r="QS110" s="74"/>
      <c r="QT110" s="72"/>
      <c r="QU110" s="73"/>
      <c r="QV110" s="74"/>
      <c r="QW110" s="75"/>
      <c r="QX110" s="73"/>
      <c r="QY110" s="74"/>
      <c r="QZ110" s="75"/>
      <c r="RA110" s="73"/>
      <c r="RB110" s="74"/>
      <c r="RC110" s="75"/>
      <c r="RD110" s="73"/>
      <c r="RE110" s="74"/>
      <c r="RF110" s="74"/>
      <c r="RG110" s="72"/>
      <c r="RH110" s="73"/>
      <c r="RI110" s="74"/>
      <c r="RJ110" s="75"/>
      <c r="RK110" s="73"/>
      <c r="RL110" s="74"/>
      <c r="RM110" s="75"/>
      <c r="RN110" s="73"/>
      <c r="RO110" s="74"/>
      <c r="RP110" s="75"/>
      <c r="RQ110" s="73"/>
      <c r="RR110" s="74"/>
      <c r="RS110" s="76"/>
      <c r="RT110" s="77"/>
      <c r="RU110" s="74"/>
      <c r="RV110" s="74"/>
      <c r="RW110" s="72"/>
      <c r="RX110" s="73"/>
      <c r="RY110" s="74"/>
      <c r="RZ110" s="75"/>
      <c r="SA110" s="73"/>
      <c r="SB110" s="74"/>
      <c r="SC110" s="75"/>
      <c r="SD110" s="73"/>
      <c r="SE110" s="74"/>
      <c r="SF110" s="75"/>
      <c r="SG110" s="73"/>
      <c r="SH110" s="74"/>
      <c r="SI110" s="76"/>
      <c r="SJ110" s="64">
        <f t="shared" si="2361"/>
        <v>0</v>
      </c>
      <c r="SK110" s="62"/>
      <c r="SL110" s="63"/>
      <c r="SM110" s="64">
        <f t="shared" si="2362"/>
        <v>0</v>
      </c>
      <c r="SN110" s="65"/>
      <c r="SO110" s="63"/>
      <c r="SP110" s="64">
        <f t="shared" si="2363"/>
        <v>0</v>
      </c>
      <c r="SQ110" s="65"/>
      <c r="SR110" s="63"/>
      <c r="SS110" s="64">
        <f t="shared" si="2364"/>
        <v>0</v>
      </c>
      <c r="ST110" s="65">
        <v>100</v>
      </c>
      <c r="SU110" s="63"/>
      <c r="SV110" s="64">
        <f t="shared" si="2365"/>
        <v>100</v>
      </c>
      <c r="SW110" s="66">
        <f t="shared" si="1639"/>
        <v>100</v>
      </c>
      <c r="SX110" s="67">
        <f t="shared" si="2366"/>
        <v>0</v>
      </c>
      <c r="SY110" s="64">
        <f t="shared" si="2367"/>
        <v>100</v>
      </c>
      <c r="SZ110" s="62">
        <v>985.33</v>
      </c>
      <c r="TA110" s="63"/>
      <c r="TB110" s="64">
        <f t="shared" si="2368"/>
        <v>985.33</v>
      </c>
      <c r="TC110" s="65">
        <v>700.9</v>
      </c>
      <c r="TD110" s="63"/>
      <c r="TE110" s="64">
        <f t="shared" si="2369"/>
        <v>700.9</v>
      </c>
      <c r="TF110" s="65">
        <v>1800</v>
      </c>
      <c r="TG110" s="63"/>
      <c r="TH110" s="64">
        <f t="shared" si="2370"/>
        <v>1800</v>
      </c>
      <c r="TI110" s="65">
        <v>100</v>
      </c>
      <c r="TJ110" s="63"/>
      <c r="TK110" s="64">
        <f t="shared" si="2371"/>
        <v>100</v>
      </c>
      <c r="TL110" s="66">
        <f t="shared" si="1646"/>
        <v>3586.23</v>
      </c>
      <c r="TM110" s="67">
        <f t="shared" si="2372"/>
        <v>0</v>
      </c>
      <c r="TN110" s="64">
        <f t="shared" si="2373"/>
        <v>3586.23</v>
      </c>
      <c r="TO110" s="62"/>
      <c r="TP110" s="63"/>
      <c r="TQ110" s="64">
        <f t="shared" si="2374"/>
        <v>0</v>
      </c>
      <c r="TR110" s="65"/>
      <c r="TS110" s="63"/>
      <c r="TT110" s="64">
        <f t="shared" si="2375"/>
        <v>0</v>
      </c>
      <c r="TU110" s="65"/>
      <c r="TV110" s="63"/>
      <c r="TW110" s="64">
        <f t="shared" si="2376"/>
        <v>0</v>
      </c>
      <c r="TX110" s="65">
        <v>100</v>
      </c>
      <c r="TY110" s="63"/>
      <c r="TZ110" s="64">
        <f t="shared" si="2377"/>
        <v>100</v>
      </c>
      <c r="UA110" s="66">
        <f t="shared" si="1653"/>
        <v>100</v>
      </c>
      <c r="UB110" s="67">
        <f t="shared" si="2378"/>
        <v>0</v>
      </c>
      <c r="UC110" s="64">
        <f t="shared" si="2379"/>
        <v>100</v>
      </c>
      <c r="UD110" s="62">
        <v>1125</v>
      </c>
      <c r="UE110" s="63"/>
      <c r="UF110" s="64">
        <f t="shared" si="2380"/>
        <v>1125</v>
      </c>
      <c r="UG110" s="65">
        <v>497.04</v>
      </c>
      <c r="UH110" s="63"/>
      <c r="UI110" s="64">
        <f t="shared" si="2381"/>
        <v>497.04</v>
      </c>
      <c r="UJ110" s="65"/>
      <c r="UK110" s="63"/>
      <c r="UL110" s="64">
        <f t="shared" si="2382"/>
        <v>0</v>
      </c>
      <c r="UM110" s="65">
        <v>100</v>
      </c>
      <c r="UN110" s="63"/>
      <c r="UO110" s="64">
        <f t="shared" si="2383"/>
        <v>100</v>
      </c>
      <c r="UP110" s="66">
        <f t="shared" si="1660"/>
        <v>1722.04</v>
      </c>
      <c r="UQ110" s="67">
        <f t="shared" si="2384"/>
        <v>0</v>
      </c>
      <c r="UR110" s="64">
        <f t="shared" si="2385"/>
        <v>1722.04</v>
      </c>
      <c r="US110" s="74"/>
      <c r="UT110" s="72"/>
      <c r="UU110" s="73"/>
      <c r="UV110" s="74"/>
      <c r="UW110" s="75"/>
      <c r="UX110" s="73"/>
      <c r="UY110" s="74"/>
      <c r="UZ110" s="75"/>
      <c r="VA110" s="73"/>
      <c r="VB110" s="74"/>
      <c r="VC110" s="75"/>
      <c r="VD110" s="73"/>
      <c r="VE110" s="74"/>
      <c r="VF110" s="76"/>
      <c r="VG110" s="77"/>
      <c r="VH110" s="62"/>
      <c r="VI110" s="63"/>
      <c r="VJ110" s="64">
        <f t="shared" si="2386"/>
        <v>0</v>
      </c>
      <c r="VK110" s="65"/>
      <c r="VL110" s="63"/>
      <c r="VM110" s="64">
        <f t="shared" si="2387"/>
        <v>0</v>
      </c>
      <c r="VN110" s="65"/>
      <c r="VO110" s="63"/>
      <c r="VP110" s="64">
        <f t="shared" si="2388"/>
        <v>0</v>
      </c>
      <c r="VQ110" s="65">
        <v>100</v>
      </c>
      <c r="VR110" s="63"/>
      <c r="VS110" s="64">
        <f t="shared" si="2389"/>
        <v>100</v>
      </c>
      <c r="VT110" s="66">
        <f t="shared" si="1667"/>
        <v>100</v>
      </c>
      <c r="VU110" s="67">
        <f t="shared" si="2390"/>
        <v>0</v>
      </c>
      <c r="VV110" s="64">
        <f t="shared" si="2391"/>
        <v>100</v>
      </c>
      <c r="VW110" s="74"/>
      <c r="VX110" s="72"/>
      <c r="VY110" s="73"/>
      <c r="VZ110" s="74"/>
      <c r="WA110" s="75"/>
      <c r="WB110" s="73"/>
      <c r="WC110" s="74"/>
      <c r="WD110" s="75"/>
      <c r="WE110" s="73"/>
      <c r="WF110" s="74"/>
      <c r="WG110" s="75"/>
      <c r="WH110" s="73"/>
      <c r="WI110" s="74"/>
      <c r="WJ110" s="76"/>
      <c r="WK110" s="77"/>
      <c r="WL110" s="74"/>
      <c r="WM110" s="72"/>
      <c r="WN110" s="73"/>
      <c r="WO110" s="74"/>
      <c r="WP110" s="75"/>
      <c r="WQ110" s="73"/>
      <c r="WR110" s="74"/>
      <c r="WS110" s="75"/>
      <c r="WT110" s="73"/>
      <c r="WU110" s="74"/>
      <c r="WV110" s="75"/>
      <c r="WW110" s="73"/>
      <c r="WX110" s="74"/>
      <c r="WY110" s="76"/>
      <c r="WZ110" s="77"/>
      <c r="XA110" s="74"/>
      <c r="XB110" s="72"/>
      <c r="XC110" s="73"/>
      <c r="XD110" s="74"/>
      <c r="XE110" s="75"/>
      <c r="XF110" s="73"/>
      <c r="XG110" s="74"/>
      <c r="XH110" s="75"/>
      <c r="XI110" s="73"/>
      <c r="XJ110" s="74"/>
      <c r="XK110" s="75"/>
      <c r="XL110" s="73"/>
      <c r="XM110" s="74"/>
      <c r="XN110" s="76"/>
      <c r="XO110" s="77"/>
      <c r="XP110" s="62"/>
      <c r="XQ110" s="63"/>
      <c r="XR110" s="64">
        <f t="shared" si="2392"/>
        <v>0</v>
      </c>
      <c r="XS110" s="65">
        <v>844.24</v>
      </c>
      <c r="XT110" s="63"/>
      <c r="XU110" s="64">
        <f t="shared" si="2393"/>
        <v>844.24</v>
      </c>
      <c r="XV110" s="65"/>
      <c r="XW110" s="63"/>
      <c r="XX110" s="64">
        <f t="shared" si="2394"/>
        <v>0</v>
      </c>
      <c r="XY110" s="65">
        <v>100</v>
      </c>
      <c r="XZ110" s="63"/>
      <c r="YA110" s="64">
        <f t="shared" si="2395"/>
        <v>100</v>
      </c>
      <c r="YB110" s="66">
        <f t="shared" si="1674"/>
        <v>944.24</v>
      </c>
      <c r="YC110" s="67">
        <f t="shared" si="2396"/>
        <v>0</v>
      </c>
      <c r="YD110" s="64">
        <f t="shared" si="2397"/>
        <v>944.24</v>
      </c>
      <c r="YE110" s="62"/>
      <c r="YF110" s="63"/>
      <c r="YG110" s="64">
        <f t="shared" si="2398"/>
        <v>0</v>
      </c>
      <c r="YH110" s="65">
        <v>847.85</v>
      </c>
      <c r="YI110" s="63"/>
      <c r="YJ110" s="64">
        <f t="shared" si="2399"/>
        <v>847.85</v>
      </c>
      <c r="YK110" s="65"/>
      <c r="YL110" s="63"/>
      <c r="YM110" s="64">
        <f t="shared" si="2400"/>
        <v>0</v>
      </c>
      <c r="YN110" s="65">
        <v>100</v>
      </c>
      <c r="YO110" s="63"/>
      <c r="YP110" s="64">
        <f t="shared" si="2401"/>
        <v>100</v>
      </c>
      <c r="YQ110" s="66">
        <f t="shared" si="1681"/>
        <v>947.85</v>
      </c>
      <c r="YR110" s="67">
        <f t="shared" si="2402"/>
        <v>0</v>
      </c>
      <c r="YS110" s="64">
        <f t="shared" si="2403"/>
        <v>947.85</v>
      </c>
      <c r="YT110" s="62"/>
      <c r="YU110" s="63"/>
      <c r="YV110" s="64">
        <f t="shared" si="2404"/>
        <v>0</v>
      </c>
      <c r="YW110" s="65">
        <v>695.73</v>
      </c>
      <c r="YX110" s="63"/>
      <c r="YY110" s="64">
        <f t="shared" si="2405"/>
        <v>695.73</v>
      </c>
      <c r="YZ110" s="65"/>
      <c r="ZA110" s="63"/>
      <c r="ZB110" s="64">
        <f t="shared" si="2406"/>
        <v>0</v>
      </c>
      <c r="ZC110" s="65">
        <v>100</v>
      </c>
      <c r="ZD110" s="63"/>
      <c r="ZE110" s="64">
        <f t="shared" si="2407"/>
        <v>100</v>
      </c>
      <c r="ZF110" s="66">
        <f t="shared" si="1688"/>
        <v>795.73</v>
      </c>
      <c r="ZG110" s="67">
        <f t="shared" si="2408"/>
        <v>0</v>
      </c>
      <c r="ZH110" s="74"/>
      <c r="ZI110" s="72"/>
      <c r="ZJ110" s="73"/>
      <c r="ZK110" s="74"/>
      <c r="ZL110" s="75"/>
      <c r="ZM110" s="73"/>
      <c r="ZN110" s="74"/>
      <c r="ZO110" s="75"/>
      <c r="ZP110" s="73"/>
      <c r="ZQ110" s="74"/>
      <c r="ZR110" s="75"/>
      <c r="ZS110" s="73"/>
      <c r="ZT110" s="74"/>
      <c r="ZU110" s="76"/>
      <c r="ZV110" s="77"/>
      <c r="ZW110" s="64">
        <f t="shared" si="2409"/>
        <v>0</v>
      </c>
      <c r="ZX110" s="62">
        <v>24.71</v>
      </c>
      <c r="ZY110" s="63"/>
      <c r="ZZ110" s="64">
        <f t="shared" si="2410"/>
        <v>24.71</v>
      </c>
      <c r="AAA110" s="66">
        <f t="shared" si="1692"/>
        <v>24.71</v>
      </c>
      <c r="AAB110" s="67">
        <f t="shared" si="1692"/>
        <v>0</v>
      </c>
      <c r="AAC110" s="64">
        <f t="shared" si="2411"/>
        <v>24.71</v>
      </c>
      <c r="AAD110" s="85">
        <f t="shared" si="1694"/>
        <v>54965.990000000005</v>
      </c>
      <c r="AAE110" s="86">
        <f t="shared" si="1694"/>
        <v>0</v>
      </c>
      <c r="AAF110" s="87">
        <f t="shared" si="1457"/>
        <v>0</v>
      </c>
      <c r="AAG110" s="88">
        <f t="shared" si="2412"/>
        <v>-54965.990000000005</v>
      </c>
      <c r="AAH110" s="58"/>
      <c r="AAI110" s="59"/>
      <c r="AAJ110" s="59"/>
      <c r="AAK110" s="60"/>
    </row>
    <row r="111" spans="1:713" s="83" customFormat="1" ht="20" customHeight="1" x14ac:dyDescent="0.2">
      <c r="A111" s="154"/>
      <c r="B111" s="89">
        <f>AAH111</f>
        <v>1388390.5599999998</v>
      </c>
      <c r="C111" s="90"/>
      <c r="D111" s="90"/>
      <c r="E111" s="60"/>
      <c r="F111" s="61">
        <v>47543</v>
      </c>
      <c r="G111" s="62"/>
      <c r="H111" s="63"/>
      <c r="I111" s="64">
        <f t="shared" si="2208"/>
        <v>0</v>
      </c>
      <c r="J111" s="65">
        <v>4134.46</v>
      </c>
      <c r="K111" s="63"/>
      <c r="L111" s="64">
        <f t="shared" si="2209"/>
        <v>4134.46</v>
      </c>
      <c r="M111" s="65">
        <v>2500</v>
      </c>
      <c r="N111" s="63"/>
      <c r="O111" s="64">
        <f t="shared" si="2210"/>
        <v>2500</v>
      </c>
      <c r="P111" s="65">
        <v>500</v>
      </c>
      <c r="Q111" s="63"/>
      <c r="R111" s="64">
        <f t="shared" si="2211"/>
        <v>500</v>
      </c>
      <c r="S111" s="65">
        <v>181</v>
      </c>
      <c r="T111" s="63"/>
      <c r="U111" s="64">
        <f t="shared" si="2212"/>
        <v>181</v>
      </c>
      <c r="V111" s="66">
        <f t="shared" si="2213"/>
        <v>7315.46</v>
      </c>
      <c r="W111" s="67">
        <f t="shared" si="2213"/>
        <v>0</v>
      </c>
      <c r="X111" s="64">
        <f t="shared" si="2214"/>
        <v>7315.46</v>
      </c>
      <c r="Y111" s="72"/>
      <c r="Z111" s="73"/>
      <c r="AA111" s="74"/>
      <c r="AB111" s="75"/>
      <c r="AC111" s="73"/>
      <c r="AD111" s="74"/>
      <c r="AE111" s="75"/>
      <c r="AF111" s="73"/>
      <c r="AG111" s="74"/>
      <c r="AH111" s="75"/>
      <c r="AI111" s="73"/>
      <c r="AJ111" s="74"/>
      <c r="AK111" s="76"/>
      <c r="AL111" s="77"/>
      <c r="AM111" s="64">
        <f t="shared" si="2215"/>
        <v>0</v>
      </c>
      <c r="AN111" s="62"/>
      <c r="AO111" s="63"/>
      <c r="AP111" s="64">
        <f t="shared" si="2413"/>
        <v>0</v>
      </c>
      <c r="AQ111" s="65"/>
      <c r="AR111" s="63"/>
      <c r="AS111" s="64">
        <f t="shared" si="2216"/>
        <v>0</v>
      </c>
      <c r="AT111" s="65"/>
      <c r="AU111" s="63"/>
      <c r="AV111" s="64">
        <f t="shared" si="2217"/>
        <v>0</v>
      </c>
      <c r="AW111" s="65"/>
      <c r="AX111" s="63"/>
      <c r="AY111" s="64">
        <f t="shared" si="2218"/>
        <v>0</v>
      </c>
      <c r="AZ111" s="66">
        <f t="shared" si="1469"/>
        <v>0</v>
      </c>
      <c r="BA111" s="67">
        <f t="shared" si="2219"/>
        <v>0</v>
      </c>
      <c r="BB111" s="64">
        <f t="shared" si="2220"/>
        <v>0</v>
      </c>
      <c r="BC111" s="62"/>
      <c r="BD111" s="63"/>
      <c r="BE111" s="64">
        <f t="shared" si="2221"/>
        <v>0</v>
      </c>
      <c r="BF111" s="65"/>
      <c r="BG111" s="63"/>
      <c r="BH111" s="64">
        <f t="shared" si="2222"/>
        <v>0</v>
      </c>
      <c r="BI111" s="65"/>
      <c r="BJ111" s="63"/>
      <c r="BK111" s="64">
        <f t="shared" si="2223"/>
        <v>0</v>
      </c>
      <c r="BL111" s="65">
        <v>100</v>
      </c>
      <c r="BM111" s="63"/>
      <c r="BN111" s="64">
        <f t="shared" si="2224"/>
        <v>100</v>
      </c>
      <c r="BO111" s="66">
        <f t="shared" si="1476"/>
        <v>100</v>
      </c>
      <c r="BP111" s="67">
        <f t="shared" si="2225"/>
        <v>0</v>
      </c>
      <c r="BQ111" s="64">
        <f t="shared" si="2226"/>
        <v>100</v>
      </c>
      <c r="BR111" s="72"/>
      <c r="BS111" s="73"/>
      <c r="BT111" s="74"/>
      <c r="BU111" s="75"/>
      <c r="BV111" s="73"/>
      <c r="BW111" s="74"/>
      <c r="BX111" s="75"/>
      <c r="BY111" s="73"/>
      <c r="BZ111" s="74"/>
      <c r="CA111" s="75"/>
      <c r="CB111" s="73"/>
      <c r="CC111" s="74"/>
      <c r="CD111" s="76"/>
      <c r="CE111" s="77"/>
      <c r="CF111" s="64">
        <f t="shared" si="2227"/>
        <v>0</v>
      </c>
      <c r="CG111" s="62"/>
      <c r="CH111" s="63"/>
      <c r="CI111" s="64">
        <f t="shared" si="2228"/>
        <v>0</v>
      </c>
      <c r="CJ111" s="65"/>
      <c r="CK111" s="63"/>
      <c r="CL111" s="64">
        <f t="shared" si="2229"/>
        <v>0</v>
      </c>
      <c r="CM111" s="65"/>
      <c r="CN111" s="63"/>
      <c r="CO111" s="64">
        <f t="shared" si="2230"/>
        <v>0</v>
      </c>
      <c r="CP111" s="65"/>
      <c r="CQ111" s="63"/>
      <c r="CR111" s="64">
        <f t="shared" si="2231"/>
        <v>0</v>
      </c>
      <c r="CS111" s="66">
        <f t="shared" si="1484"/>
        <v>0</v>
      </c>
      <c r="CT111" s="67">
        <f t="shared" si="2232"/>
        <v>0</v>
      </c>
      <c r="CU111" s="64">
        <f t="shared" si="2233"/>
        <v>0</v>
      </c>
      <c r="CV111" s="62">
        <v>2916.7</v>
      </c>
      <c r="CW111" s="63"/>
      <c r="CX111" s="64">
        <f t="shared" si="2234"/>
        <v>2916.7</v>
      </c>
      <c r="CY111" s="65">
        <v>429.15</v>
      </c>
      <c r="CZ111" s="63"/>
      <c r="DA111" s="64">
        <f t="shared" si="2235"/>
        <v>429.15</v>
      </c>
      <c r="DB111" s="65"/>
      <c r="DC111" s="63"/>
      <c r="DD111" s="64">
        <f t="shared" si="2236"/>
        <v>0</v>
      </c>
      <c r="DE111" s="65"/>
      <c r="DF111" s="63"/>
      <c r="DG111" s="64">
        <f t="shared" si="2237"/>
        <v>0</v>
      </c>
      <c r="DH111" s="66">
        <f t="shared" si="1491"/>
        <v>3345.85</v>
      </c>
      <c r="DI111" s="67">
        <f t="shared" si="2238"/>
        <v>0</v>
      </c>
      <c r="DJ111" s="64">
        <f t="shared" si="2239"/>
        <v>3345.85</v>
      </c>
      <c r="DK111" s="62">
        <v>2400</v>
      </c>
      <c r="DL111" s="63"/>
      <c r="DM111" s="64">
        <f t="shared" si="2240"/>
        <v>2400</v>
      </c>
      <c r="DN111" s="65">
        <v>913.08</v>
      </c>
      <c r="DO111" s="63"/>
      <c r="DP111" s="64">
        <f t="shared" si="2241"/>
        <v>913.08</v>
      </c>
      <c r="DQ111" s="65"/>
      <c r="DR111" s="63"/>
      <c r="DS111" s="64">
        <f t="shared" si="2242"/>
        <v>0</v>
      </c>
      <c r="DT111" s="65">
        <v>100</v>
      </c>
      <c r="DU111" s="63"/>
      <c r="DV111" s="64">
        <f t="shared" si="2243"/>
        <v>100</v>
      </c>
      <c r="DW111" s="66">
        <f t="shared" si="1498"/>
        <v>3413.08</v>
      </c>
      <c r="DX111" s="67">
        <f t="shared" si="2244"/>
        <v>0</v>
      </c>
      <c r="DY111" s="64">
        <f t="shared" si="2245"/>
        <v>3413.08</v>
      </c>
      <c r="DZ111" s="62"/>
      <c r="EA111" s="63"/>
      <c r="EB111" s="64">
        <f t="shared" si="2246"/>
        <v>0</v>
      </c>
      <c r="EC111" s="65"/>
      <c r="ED111" s="63"/>
      <c r="EE111" s="64">
        <f t="shared" si="2247"/>
        <v>0</v>
      </c>
      <c r="EF111" s="65"/>
      <c r="EG111" s="63"/>
      <c r="EH111" s="64">
        <f t="shared" si="2248"/>
        <v>0</v>
      </c>
      <c r="EI111" s="65">
        <v>100</v>
      </c>
      <c r="EJ111" s="63"/>
      <c r="EK111" s="64">
        <f t="shared" si="2249"/>
        <v>100</v>
      </c>
      <c r="EL111" s="66">
        <f t="shared" si="1505"/>
        <v>100</v>
      </c>
      <c r="EM111" s="67">
        <f t="shared" si="2250"/>
        <v>0</v>
      </c>
      <c r="EN111" s="64">
        <f t="shared" si="2251"/>
        <v>100</v>
      </c>
      <c r="EO111" s="62"/>
      <c r="EP111" s="63"/>
      <c r="EQ111" s="64">
        <f t="shared" si="2252"/>
        <v>0</v>
      </c>
      <c r="ER111" s="65"/>
      <c r="ES111" s="63"/>
      <c r="ET111" s="64">
        <f t="shared" si="2253"/>
        <v>0</v>
      </c>
      <c r="EU111" s="65"/>
      <c r="EV111" s="63"/>
      <c r="EW111" s="64">
        <f t="shared" si="2254"/>
        <v>0</v>
      </c>
      <c r="EX111" s="65">
        <v>100</v>
      </c>
      <c r="EY111" s="63"/>
      <c r="EZ111" s="64">
        <f t="shared" si="2255"/>
        <v>100</v>
      </c>
      <c r="FA111" s="66">
        <f t="shared" si="1512"/>
        <v>100</v>
      </c>
      <c r="FB111" s="67">
        <f t="shared" si="2256"/>
        <v>0</v>
      </c>
      <c r="FC111" s="64">
        <f t="shared" si="2257"/>
        <v>100</v>
      </c>
      <c r="FD111" s="62"/>
      <c r="FE111" s="63"/>
      <c r="FF111" s="64">
        <f t="shared" si="2258"/>
        <v>0</v>
      </c>
      <c r="FG111" s="65"/>
      <c r="FH111" s="63"/>
      <c r="FI111" s="64">
        <f t="shared" si="2259"/>
        <v>0</v>
      </c>
      <c r="FJ111" s="65"/>
      <c r="FK111" s="63"/>
      <c r="FL111" s="64">
        <f t="shared" si="2260"/>
        <v>0</v>
      </c>
      <c r="FM111" s="65">
        <v>100</v>
      </c>
      <c r="FN111" s="63"/>
      <c r="FO111" s="64">
        <f t="shared" si="2261"/>
        <v>100</v>
      </c>
      <c r="FP111" s="66">
        <f t="shared" si="1519"/>
        <v>100</v>
      </c>
      <c r="FQ111" s="67">
        <f t="shared" si="2262"/>
        <v>0</v>
      </c>
      <c r="FR111" s="64">
        <f t="shared" si="2263"/>
        <v>100</v>
      </c>
      <c r="FS111" s="62"/>
      <c r="FT111" s="63"/>
      <c r="FU111" s="64">
        <f t="shared" si="2264"/>
        <v>0</v>
      </c>
      <c r="FV111" s="65">
        <v>485.35</v>
      </c>
      <c r="FW111" s="63"/>
      <c r="FX111" s="64">
        <f t="shared" si="2265"/>
        <v>485.35</v>
      </c>
      <c r="FY111" s="65">
        <v>3650</v>
      </c>
      <c r="FZ111" s="63"/>
      <c r="GA111" s="64">
        <f t="shared" si="2266"/>
        <v>3650</v>
      </c>
      <c r="GB111" s="65"/>
      <c r="GC111" s="63"/>
      <c r="GD111" s="64">
        <f t="shared" si="2267"/>
        <v>0</v>
      </c>
      <c r="GE111" s="66">
        <f t="shared" si="1526"/>
        <v>4135.3500000000004</v>
      </c>
      <c r="GF111" s="67">
        <f t="shared" si="2268"/>
        <v>0</v>
      </c>
      <c r="GG111" s="64">
        <f t="shared" si="2269"/>
        <v>4135.3500000000004</v>
      </c>
      <c r="GH111" s="62"/>
      <c r="GI111" s="63"/>
      <c r="GJ111" s="64">
        <f t="shared" si="2270"/>
        <v>0</v>
      </c>
      <c r="GK111" s="65">
        <v>660.33</v>
      </c>
      <c r="GL111" s="63"/>
      <c r="GM111" s="64">
        <f t="shared" si="2271"/>
        <v>660.33</v>
      </c>
      <c r="GN111" s="65">
        <v>3650</v>
      </c>
      <c r="GO111" s="63"/>
      <c r="GP111" s="64">
        <f t="shared" si="2272"/>
        <v>3650</v>
      </c>
      <c r="GQ111" s="65"/>
      <c r="GR111" s="63"/>
      <c r="GS111" s="64">
        <f t="shared" si="2273"/>
        <v>0</v>
      </c>
      <c r="GT111" s="66">
        <f t="shared" si="1533"/>
        <v>4310.33</v>
      </c>
      <c r="GU111" s="67">
        <f t="shared" si="2274"/>
        <v>0</v>
      </c>
      <c r="GV111" s="64">
        <f t="shared" si="2275"/>
        <v>4310.33</v>
      </c>
      <c r="GW111" s="62"/>
      <c r="GX111" s="63"/>
      <c r="GY111" s="64">
        <f t="shared" si="2276"/>
        <v>0</v>
      </c>
      <c r="GZ111" s="65">
        <v>568.25</v>
      </c>
      <c r="HA111" s="63"/>
      <c r="HB111" s="64">
        <f t="shared" si="2277"/>
        <v>568.25</v>
      </c>
      <c r="HC111" s="65"/>
      <c r="HD111" s="63"/>
      <c r="HE111" s="64">
        <f t="shared" si="2278"/>
        <v>0</v>
      </c>
      <c r="HF111" s="65">
        <v>100</v>
      </c>
      <c r="HG111" s="63"/>
      <c r="HH111" s="64">
        <f t="shared" si="2279"/>
        <v>100</v>
      </c>
      <c r="HI111" s="66">
        <f t="shared" si="1540"/>
        <v>668.25</v>
      </c>
      <c r="HJ111" s="67">
        <f t="shared" si="2280"/>
        <v>0</v>
      </c>
      <c r="HK111" s="64">
        <f t="shared" si="2281"/>
        <v>668.25</v>
      </c>
      <c r="HL111" s="62"/>
      <c r="HM111" s="63"/>
      <c r="HN111" s="64">
        <f t="shared" si="2282"/>
        <v>0</v>
      </c>
      <c r="HO111" s="65"/>
      <c r="HP111" s="63"/>
      <c r="HQ111" s="64">
        <f t="shared" si="2283"/>
        <v>0</v>
      </c>
      <c r="HR111" s="65"/>
      <c r="HS111" s="63"/>
      <c r="HT111" s="64">
        <f t="shared" si="2284"/>
        <v>0</v>
      </c>
      <c r="HU111" s="65">
        <v>100</v>
      </c>
      <c r="HV111" s="63"/>
      <c r="HW111" s="64">
        <f t="shared" si="2285"/>
        <v>100</v>
      </c>
      <c r="HX111" s="66">
        <f t="shared" si="1547"/>
        <v>100</v>
      </c>
      <c r="HY111" s="67">
        <f t="shared" si="2286"/>
        <v>0</v>
      </c>
      <c r="HZ111" s="64">
        <f t="shared" si="2287"/>
        <v>100</v>
      </c>
      <c r="IA111" s="62"/>
      <c r="IB111" s="63"/>
      <c r="IC111" s="64">
        <f t="shared" si="2288"/>
        <v>0</v>
      </c>
      <c r="ID111" s="65"/>
      <c r="IE111" s="63"/>
      <c r="IF111" s="64">
        <f t="shared" si="2289"/>
        <v>0</v>
      </c>
      <c r="IG111" s="65"/>
      <c r="IH111" s="63"/>
      <c r="II111" s="64">
        <f t="shared" si="2290"/>
        <v>0</v>
      </c>
      <c r="IJ111" s="65">
        <v>100</v>
      </c>
      <c r="IK111" s="63"/>
      <c r="IL111" s="64">
        <f t="shared" si="2291"/>
        <v>100</v>
      </c>
      <c r="IM111" s="66">
        <f t="shared" si="1554"/>
        <v>100</v>
      </c>
      <c r="IN111" s="67">
        <f t="shared" si="2292"/>
        <v>0</v>
      </c>
      <c r="IO111" s="64">
        <f t="shared" si="2293"/>
        <v>100</v>
      </c>
      <c r="IP111" s="62"/>
      <c r="IQ111" s="63"/>
      <c r="IR111" s="64">
        <f t="shared" si="2294"/>
        <v>0</v>
      </c>
      <c r="IS111" s="65"/>
      <c r="IT111" s="63"/>
      <c r="IU111" s="64">
        <f t="shared" si="2295"/>
        <v>0</v>
      </c>
      <c r="IV111" s="65"/>
      <c r="IW111" s="63"/>
      <c r="IX111" s="64">
        <f t="shared" si="2296"/>
        <v>0</v>
      </c>
      <c r="IY111" s="65"/>
      <c r="IZ111" s="63"/>
      <c r="JA111" s="64">
        <f t="shared" si="2297"/>
        <v>0</v>
      </c>
      <c r="JB111" s="66">
        <f t="shared" si="1561"/>
        <v>0</v>
      </c>
      <c r="JC111" s="67">
        <f t="shared" si="2298"/>
        <v>0</v>
      </c>
      <c r="JD111" s="64">
        <f t="shared" si="2299"/>
        <v>0</v>
      </c>
      <c r="JE111" s="72"/>
      <c r="JF111" s="150"/>
      <c r="JG111" s="74"/>
      <c r="JH111" s="75"/>
      <c r="JI111" s="150"/>
      <c r="JJ111" s="74"/>
      <c r="JK111" s="75"/>
      <c r="JL111" s="150"/>
      <c r="JM111" s="74"/>
      <c r="JN111" s="75"/>
      <c r="JO111" s="150"/>
      <c r="JP111" s="74"/>
      <c r="JQ111" s="76"/>
      <c r="JR111" s="77"/>
      <c r="JS111" s="74"/>
      <c r="JT111" s="72"/>
      <c r="JU111" s="73"/>
      <c r="JV111" s="74"/>
      <c r="JW111" s="75"/>
      <c r="JX111" s="73"/>
      <c r="JY111" s="74"/>
      <c r="JZ111" s="75"/>
      <c r="KA111" s="73"/>
      <c r="KB111" s="74"/>
      <c r="KC111" s="75"/>
      <c r="KD111" s="73"/>
      <c r="KE111" s="74"/>
      <c r="KF111" s="76"/>
      <c r="KG111" s="77"/>
      <c r="KH111" s="64">
        <f t="shared" si="2300"/>
        <v>0</v>
      </c>
      <c r="KI111" s="62"/>
      <c r="KJ111" s="63"/>
      <c r="KK111" s="64">
        <f t="shared" si="2301"/>
        <v>0</v>
      </c>
      <c r="KL111" s="65"/>
      <c r="KM111" s="63"/>
      <c r="KN111" s="64">
        <f t="shared" si="2302"/>
        <v>0</v>
      </c>
      <c r="KO111" s="65"/>
      <c r="KP111" s="63"/>
      <c r="KQ111" s="64">
        <f t="shared" si="2303"/>
        <v>0</v>
      </c>
      <c r="KR111" s="65"/>
      <c r="KS111" s="63"/>
      <c r="KT111" s="64">
        <f t="shared" si="2304"/>
        <v>0</v>
      </c>
      <c r="KU111" s="66">
        <f t="shared" si="1439"/>
        <v>0</v>
      </c>
      <c r="KV111" s="67">
        <f t="shared" si="2305"/>
        <v>0</v>
      </c>
      <c r="KW111" s="64">
        <f t="shared" si="2306"/>
        <v>0</v>
      </c>
      <c r="KX111" s="72"/>
      <c r="KY111" s="73"/>
      <c r="KZ111" s="74"/>
      <c r="LA111" s="75"/>
      <c r="LB111" s="73"/>
      <c r="LC111" s="74"/>
      <c r="LD111" s="75"/>
      <c r="LE111" s="73"/>
      <c r="LF111" s="74"/>
      <c r="LG111" s="75"/>
      <c r="LH111" s="73"/>
      <c r="LI111" s="74"/>
      <c r="LJ111" s="76"/>
      <c r="LK111" s="77"/>
      <c r="LL111" s="74"/>
      <c r="LM111" s="62"/>
      <c r="LN111" s="63"/>
      <c r="LO111" s="64">
        <f t="shared" si="2307"/>
        <v>0</v>
      </c>
      <c r="LP111" s="65"/>
      <c r="LQ111" s="63"/>
      <c r="LR111" s="64">
        <f t="shared" si="2308"/>
        <v>0</v>
      </c>
      <c r="LS111" s="65"/>
      <c r="LT111" s="63"/>
      <c r="LU111" s="64">
        <f t="shared" si="2309"/>
        <v>0</v>
      </c>
      <c r="LV111" s="65">
        <v>100</v>
      </c>
      <c r="LW111" s="63"/>
      <c r="LX111" s="64">
        <f t="shared" si="2310"/>
        <v>100</v>
      </c>
      <c r="LY111" s="66">
        <f t="shared" si="1575"/>
        <v>100</v>
      </c>
      <c r="LZ111" s="67">
        <f t="shared" si="2311"/>
        <v>0</v>
      </c>
      <c r="MA111" s="64">
        <f t="shared" si="2312"/>
        <v>100</v>
      </c>
      <c r="MB111" s="62"/>
      <c r="MC111" s="63"/>
      <c r="MD111" s="64">
        <f t="shared" si="2313"/>
        <v>0</v>
      </c>
      <c r="ME111" s="65">
        <v>889.11</v>
      </c>
      <c r="MF111" s="63"/>
      <c r="MG111" s="64">
        <f t="shared" si="2314"/>
        <v>889.11</v>
      </c>
      <c r="MH111" s="65"/>
      <c r="MI111" s="63"/>
      <c r="MJ111" s="64">
        <f t="shared" si="2315"/>
        <v>0</v>
      </c>
      <c r="MK111" s="65">
        <v>100</v>
      </c>
      <c r="ML111" s="63"/>
      <c r="MM111" s="64">
        <f t="shared" si="2316"/>
        <v>100</v>
      </c>
      <c r="MN111" s="66">
        <f t="shared" si="1582"/>
        <v>989.11</v>
      </c>
      <c r="MO111" s="67">
        <f t="shared" si="2317"/>
        <v>0</v>
      </c>
      <c r="MP111" s="64">
        <f t="shared" si="2318"/>
        <v>989.11</v>
      </c>
      <c r="MQ111" s="62"/>
      <c r="MR111" s="63"/>
      <c r="MS111" s="64">
        <f t="shared" si="2319"/>
        <v>0</v>
      </c>
      <c r="MT111" s="65"/>
      <c r="MU111" s="63"/>
      <c r="MV111" s="64">
        <f t="shared" si="2320"/>
        <v>0</v>
      </c>
      <c r="MW111" s="65"/>
      <c r="MX111" s="63"/>
      <c r="MY111" s="64">
        <f t="shared" si="2321"/>
        <v>0</v>
      </c>
      <c r="MZ111" s="65"/>
      <c r="NA111" s="63"/>
      <c r="NB111" s="64">
        <f t="shared" si="2322"/>
        <v>0</v>
      </c>
      <c r="NC111" s="66">
        <f t="shared" si="1589"/>
        <v>0</v>
      </c>
      <c r="ND111" s="67">
        <f t="shared" si="2323"/>
        <v>0</v>
      </c>
      <c r="NE111" s="64">
        <f t="shared" si="2324"/>
        <v>0</v>
      </c>
      <c r="NF111" s="62"/>
      <c r="NG111" s="63"/>
      <c r="NH111" s="64">
        <f t="shared" si="2325"/>
        <v>0</v>
      </c>
      <c r="NI111" s="65">
        <v>1164.04</v>
      </c>
      <c r="NJ111" s="63"/>
      <c r="NK111" s="64">
        <f t="shared" si="2326"/>
        <v>1164.04</v>
      </c>
      <c r="NL111" s="65"/>
      <c r="NM111" s="63"/>
      <c r="NN111" s="64">
        <f t="shared" si="2327"/>
        <v>0</v>
      </c>
      <c r="NO111" s="65">
        <v>100</v>
      </c>
      <c r="NP111" s="63"/>
      <c r="NQ111" s="64">
        <f t="shared" si="2328"/>
        <v>100</v>
      </c>
      <c r="NR111" s="66">
        <f t="shared" si="1596"/>
        <v>1264.04</v>
      </c>
      <c r="NS111" s="67">
        <f t="shared" si="2329"/>
        <v>0</v>
      </c>
      <c r="NT111" s="64">
        <f t="shared" si="2330"/>
        <v>1264.04</v>
      </c>
      <c r="NU111" s="62"/>
      <c r="NV111" s="63"/>
      <c r="NW111" s="64">
        <f t="shared" si="2331"/>
        <v>0</v>
      </c>
      <c r="NX111" s="65">
        <v>1152.73</v>
      </c>
      <c r="NY111" s="63"/>
      <c r="NZ111" s="64">
        <f t="shared" si="2332"/>
        <v>1152.73</v>
      </c>
      <c r="OA111" s="65">
        <v>884.31</v>
      </c>
      <c r="OB111" s="63"/>
      <c r="OC111" s="64">
        <f t="shared" si="2333"/>
        <v>884.31</v>
      </c>
      <c r="OD111" s="65">
        <v>100</v>
      </c>
      <c r="OE111" s="63"/>
      <c r="OF111" s="64">
        <f t="shared" si="2334"/>
        <v>100</v>
      </c>
      <c r="OG111" s="66">
        <f t="shared" si="1603"/>
        <v>2137.04</v>
      </c>
      <c r="OH111" s="67">
        <f t="shared" si="2335"/>
        <v>0</v>
      </c>
      <c r="OI111" s="64">
        <f t="shared" si="2336"/>
        <v>2137.04</v>
      </c>
      <c r="OJ111" s="62"/>
      <c r="OK111" s="63"/>
      <c r="OL111" s="64">
        <f t="shared" si="2337"/>
        <v>0</v>
      </c>
      <c r="OM111" s="65"/>
      <c r="ON111" s="63"/>
      <c r="OO111" s="64">
        <f t="shared" si="2338"/>
        <v>0</v>
      </c>
      <c r="OP111" s="65"/>
      <c r="OQ111" s="63"/>
      <c r="OR111" s="64">
        <f t="shared" si="2339"/>
        <v>0</v>
      </c>
      <c r="OS111" s="65">
        <v>100</v>
      </c>
      <c r="OT111" s="63"/>
      <c r="OU111" s="64">
        <f t="shared" si="2340"/>
        <v>100</v>
      </c>
      <c r="OV111" s="66">
        <f t="shared" si="1610"/>
        <v>100</v>
      </c>
      <c r="OW111" s="67">
        <f t="shared" si="2341"/>
        <v>0</v>
      </c>
      <c r="OX111" s="64">
        <f t="shared" si="2342"/>
        <v>100</v>
      </c>
      <c r="OY111" s="62"/>
      <c r="OZ111" s="63"/>
      <c r="PA111" s="64">
        <f t="shared" si="2343"/>
        <v>0</v>
      </c>
      <c r="PB111" s="65"/>
      <c r="PC111" s="63"/>
      <c r="PD111" s="64">
        <f t="shared" si="2344"/>
        <v>0</v>
      </c>
      <c r="PE111" s="65"/>
      <c r="PF111" s="63"/>
      <c r="PG111" s="64">
        <f t="shared" si="2345"/>
        <v>0</v>
      </c>
      <c r="PH111" s="65">
        <v>100</v>
      </c>
      <c r="PI111" s="63"/>
      <c r="PJ111" s="64">
        <f t="shared" si="2346"/>
        <v>100</v>
      </c>
      <c r="PK111" s="66">
        <f t="shared" si="1617"/>
        <v>100</v>
      </c>
      <c r="PL111" s="67">
        <f t="shared" si="2347"/>
        <v>0</v>
      </c>
      <c r="PM111" s="64">
        <f t="shared" si="2348"/>
        <v>100</v>
      </c>
      <c r="PN111" s="62">
        <v>1550</v>
      </c>
      <c r="PO111" s="63"/>
      <c r="PP111" s="64">
        <f t="shared" si="2349"/>
        <v>1550</v>
      </c>
      <c r="PQ111" s="65"/>
      <c r="PR111" s="63"/>
      <c r="PS111" s="64">
        <f t="shared" si="2350"/>
        <v>0</v>
      </c>
      <c r="PT111" s="65"/>
      <c r="PU111" s="63"/>
      <c r="PV111" s="64">
        <f t="shared" si="2351"/>
        <v>0</v>
      </c>
      <c r="PW111" s="65">
        <v>100</v>
      </c>
      <c r="PX111" s="63"/>
      <c r="PY111" s="64">
        <f t="shared" si="2352"/>
        <v>100</v>
      </c>
      <c r="PZ111" s="66">
        <f t="shared" si="1624"/>
        <v>1650</v>
      </c>
      <c r="QA111" s="67">
        <f t="shared" si="2353"/>
        <v>0</v>
      </c>
      <c r="QB111" s="64">
        <f t="shared" si="2354"/>
        <v>1650</v>
      </c>
      <c r="QC111" s="62"/>
      <c r="QD111" s="63"/>
      <c r="QE111" s="64">
        <f t="shared" si="2355"/>
        <v>0</v>
      </c>
      <c r="QF111" s="65"/>
      <c r="QG111" s="63"/>
      <c r="QH111" s="64">
        <f t="shared" si="2356"/>
        <v>0</v>
      </c>
      <c r="QI111" s="65"/>
      <c r="QJ111" s="63"/>
      <c r="QK111" s="64">
        <f t="shared" si="2357"/>
        <v>0</v>
      </c>
      <c r="QL111" s="65">
        <v>100</v>
      </c>
      <c r="QM111" s="63"/>
      <c r="QN111" s="64">
        <f t="shared" si="2358"/>
        <v>100</v>
      </c>
      <c r="QO111" s="66">
        <f t="shared" si="1631"/>
        <v>100</v>
      </c>
      <c r="QP111" s="67">
        <f t="shared" si="2359"/>
        <v>0</v>
      </c>
      <c r="QQ111" s="64">
        <f t="shared" si="2360"/>
        <v>100</v>
      </c>
      <c r="QR111" s="74"/>
      <c r="QS111" s="74"/>
      <c r="QT111" s="72"/>
      <c r="QU111" s="73"/>
      <c r="QV111" s="74"/>
      <c r="QW111" s="75"/>
      <c r="QX111" s="73"/>
      <c r="QY111" s="74"/>
      <c r="QZ111" s="75"/>
      <c r="RA111" s="73"/>
      <c r="RB111" s="74"/>
      <c r="RC111" s="75"/>
      <c r="RD111" s="73"/>
      <c r="RE111" s="74"/>
      <c r="RF111" s="74"/>
      <c r="RG111" s="72"/>
      <c r="RH111" s="73"/>
      <c r="RI111" s="74"/>
      <c r="RJ111" s="75"/>
      <c r="RK111" s="73"/>
      <c r="RL111" s="74"/>
      <c r="RM111" s="75"/>
      <c r="RN111" s="73"/>
      <c r="RO111" s="74"/>
      <c r="RP111" s="75"/>
      <c r="RQ111" s="73"/>
      <c r="RR111" s="74"/>
      <c r="RS111" s="76"/>
      <c r="RT111" s="77"/>
      <c r="RU111" s="74"/>
      <c r="RV111" s="74"/>
      <c r="RW111" s="72"/>
      <c r="RX111" s="73"/>
      <c r="RY111" s="74"/>
      <c r="RZ111" s="75"/>
      <c r="SA111" s="73"/>
      <c r="SB111" s="74"/>
      <c r="SC111" s="75"/>
      <c r="SD111" s="73"/>
      <c r="SE111" s="74"/>
      <c r="SF111" s="75"/>
      <c r="SG111" s="73"/>
      <c r="SH111" s="74"/>
      <c r="SI111" s="76"/>
      <c r="SJ111" s="64">
        <f t="shared" si="2361"/>
        <v>0</v>
      </c>
      <c r="SK111" s="62"/>
      <c r="SL111" s="63"/>
      <c r="SM111" s="64">
        <f t="shared" si="2362"/>
        <v>0</v>
      </c>
      <c r="SN111" s="65"/>
      <c r="SO111" s="63"/>
      <c r="SP111" s="64">
        <f t="shared" si="2363"/>
        <v>0</v>
      </c>
      <c r="SQ111" s="65"/>
      <c r="SR111" s="63"/>
      <c r="SS111" s="64">
        <f t="shared" si="2364"/>
        <v>0</v>
      </c>
      <c r="ST111" s="65">
        <v>100</v>
      </c>
      <c r="SU111" s="63"/>
      <c r="SV111" s="64">
        <f t="shared" si="2365"/>
        <v>100</v>
      </c>
      <c r="SW111" s="66">
        <f t="shared" si="1639"/>
        <v>100</v>
      </c>
      <c r="SX111" s="67">
        <f t="shared" si="2366"/>
        <v>0</v>
      </c>
      <c r="SY111" s="64">
        <f t="shared" si="2367"/>
        <v>100</v>
      </c>
      <c r="SZ111" s="62">
        <v>985.33</v>
      </c>
      <c r="TA111" s="63"/>
      <c r="TB111" s="64">
        <f t="shared" si="2368"/>
        <v>985.33</v>
      </c>
      <c r="TC111" s="65">
        <v>700.9</v>
      </c>
      <c r="TD111" s="63"/>
      <c r="TE111" s="64">
        <f t="shared" si="2369"/>
        <v>700.9</v>
      </c>
      <c r="TF111" s="65"/>
      <c r="TG111" s="63"/>
      <c r="TH111" s="64">
        <f t="shared" si="2370"/>
        <v>0</v>
      </c>
      <c r="TI111" s="65">
        <v>100</v>
      </c>
      <c r="TJ111" s="63"/>
      <c r="TK111" s="64">
        <f t="shared" si="2371"/>
        <v>100</v>
      </c>
      <c r="TL111" s="66">
        <f t="shared" si="1646"/>
        <v>1786.23</v>
      </c>
      <c r="TM111" s="67">
        <f t="shared" si="2372"/>
        <v>0</v>
      </c>
      <c r="TN111" s="64">
        <f t="shared" si="2373"/>
        <v>1786.23</v>
      </c>
      <c r="TO111" s="62">
        <v>3875</v>
      </c>
      <c r="TP111" s="63"/>
      <c r="TQ111" s="64">
        <f t="shared" si="2374"/>
        <v>3875</v>
      </c>
      <c r="TR111" s="65"/>
      <c r="TS111" s="63"/>
      <c r="TT111" s="64">
        <f t="shared" si="2375"/>
        <v>0</v>
      </c>
      <c r="TU111" s="65"/>
      <c r="TV111" s="63"/>
      <c r="TW111" s="64">
        <f t="shared" si="2376"/>
        <v>0</v>
      </c>
      <c r="TX111" s="65">
        <v>100</v>
      </c>
      <c r="TY111" s="63"/>
      <c r="TZ111" s="64">
        <f t="shared" si="2377"/>
        <v>100</v>
      </c>
      <c r="UA111" s="66">
        <f t="shared" si="1653"/>
        <v>3975</v>
      </c>
      <c r="UB111" s="67">
        <f t="shared" si="2378"/>
        <v>0</v>
      </c>
      <c r="UC111" s="64">
        <f t="shared" si="2379"/>
        <v>3975</v>
      </c>
      <c r="UD111" s="62">
        <v>1125</v>
      </c>
      <c r="UE111" s="63"/>
      <c r="UF111" s="64">
        <f t="shared" si="2380"/>
        <v>1125</v>
      </c>
      <c r="UG111" s="65">
        <v>497.04</v>
      </c>
      <c r="UH111" s="63"/>
      <c r="UI111" s="64">
        <f t="shared" si="2381"/>
        <v>497.04</v>
      </c>
      <c r="UJ111" s="65"/>
      <c r="UK111" s="63"/>
      <c r="UL111" s="64">
        <f t="shared" si="2382"/>
        <v>0</v>
      </c>
      <c r="UM111" s="65">
        <v>100</v>
      </c>
      <c r="UN111" s="63"/>
      <c r="UO111" s="64">
        <f t="shared" si="2383"/>
        <v>100</v>
      </c>
      <c r="UP111" s="66">
        <f t="shared" si="1660"/>
        <v>1722.04</v>
      </c>
      <c r="UQ111" s="67">
        <f t="shared" si="2384"/>
        <v>0</v>
      </c>
      <c r="UR111" s="64">
        <f t="shared" si="2385"/>
        <v>1722.04</v>
      </c>
      <c r="US111" s="74"/>
      <c r="UT111" s="72"/>
      <c r="UU111" s="73"/>
      <c r="UV111" s="74"/>
      <c r="UW111" s="75"/>
      <c r="UX111" s="73"/>
      <c r="UY111" s="74"/>
      <c r="UZ111" s="75"/>
      <c r="VA111" s="73"/>
      <c r="VB111" s="74"/>
      <c r="VC111" s="75"/>
      <c r="VD111" s="73"/>
      <c r="VE111" s="74"/>
      <c r="VF111" s="76"/>
      <c r="VG111" s="77"/>
      <c r="VH111" s="62"/>
      <c r="VI111" s="63"/>
      <c r="VJ111" s="64">
        <f t="shared" si="2386"/>
        <v>0</v>
      </c>
      <c r="VK111" s="65"/>
      <c r="VL111" s="63"/>
      <c r="VM111" s="64">
        <f t="shared" si="2387"/>
        <v>0</v>
      </c>
      <c r="VN111" s="65"/>
      <c r="VO111" s="63"/>
      <c r="VP111" s="64">
        <f t="shared" si="2388"/>
        <v>0</v>
      </c>
      <c r="VQ111" s="65">
        <v>100</v>
      </c>
      <c r="VR111" s="63"/>
      <c r="VS111" s="64">
        <f t="shared" si="2389"/>
        <v>100</v>
      </c>
      <c r="VT111" s="66">
        <f t="shared" si="1667"/>
        <v>100</v>
      </c>
      <c r="VU111" s="67">
        <f t="shared" si="2390"/>
        <v>0</v>
      </c>
      <c r="VV111" s="64">
        <f t="shared" si="2391"/>
        <v>100</v>
      </c>
      <c r="VW111" s="74"/>
      <c r="VX111" s="72"/>
      <c r="VY111" s="73"/>
      <c r="VZ111" s="74"/>
      <c r="WA111" s="75"/>
      <c r="WB111" s="73"/>
      <c r="WC111" s="74"/>
      <c r="WD111" s="75"/>
      <c r="WE111" s="73"/>
      <c r="WF111" s="74"/>
      <c r="WG111" s="75"/>
      <c r="WH111" s="73"/>
      <c r="WI111" s="74"/>
      <c r="WJ111" s="76"/>
      <c r="WK111" s="77"/>
      <c r="WL111" s="74"/>
      <c r="WM111" s="72"/>
      <c r="WN111" s="73"/>
      <c r="WO111" s="74"/>
      <c r="WP111" s="75"/>
      <c r="WQ111" s="73"/>
      <c r="WR111" s="74"/>
      <c r="WS111" s="75"/>
      <c r="WT111" s="73"/>
      <c r="WU111" s="74"/>
      <c r="WV111" s="75"/>
      <c r="WW111" s="73"/>
      <c r="WX111" s="74"/>
      <c r="WY111" s="76"/>
      <c r="WZ111" s="77"/>
      <c r="XA111" s="74"/>
      <c r="XB111" s="72"/>
      <c r="XC111" s="73"/>
      <c r="XD111" s="74"/>
      <c r="XE111" s="75"/>
      <c r="XF111" s="73"/>
      <c r="XG111" s="74"/>
      <c r="XH111" s="75"/>
      <c r="XI111" s="73"/>
      <c r="XJ111" s="74"/>
      <c r="XK111" s="75"/>
      <c r="XL111" s="73"/>
      <c r="XM111" s="74"/>
      <c r="XN111" s="76"/>
      <c r="XO111" s="77"/>
      <c r="XP111" s="62"/>
      <c r="XQ111" s="63"/>
      <c r="XR111" s="64">
        <f t="shared" si="2392"/>
        <v>0</v>
      </c>
      <c r="XS111" s="65">
        <v>844.24</v>
      </c>
      <c r="XT111" s="63"/>
      <c r="XU111" s="64">
        <f t="shared" si="2393"/>
        <v>844.24</v>
      </c>
      <c r="XV111" s="65"/>
      <c r="XW111" s="63"/>
      <c r="XX111" s="64">
        <f t="shared" si="2394"/>
        <v>0</v>
      </c>
      <c r="XY111" s="65">
        <v>100</v>
      </c>
      <c r="XZ111" s="63"/>
      <c r="YA111" s="64">
        <f t="shared" si="2395"/>
        <v>100</v>
      </c>
      <c r="YB111" s="66">
        <f t="shared" si="1674"/>
        <v>944.24</v>
      </c>
      <c r="YC111" s="67">
        <f t="shared" si="2396"/>
        <v>0</v>
      </c>
      <c r="YD111" s="64">
        <f t="shared" si="2397"/>
        <v>944.24</v>
      </c>
      <c r="YE111" s="62"/>
      <c r="YF111" s="63"/>
      <c r="YG111" s="64">
        <f t="shared" si="2398"/>
        <v>0</v>
      </c>
      <c r="YH111" s="65">
        <v>847.85</v>
      </c>
      <c r="YI111" s="63"/>
      <c r="YJ111" s="64">
        <f t="shared" si="2399"/>
        <v>847.85</v>
      </c>
      <c r="YK111" s="65">
        <v>1000</v>
      </c>
      <c r="YL111" s="63"/>
      <c r="YM111" s="64">
        <f t="shared" si="2400"/>
        <v>1000</v>
      </c>
      <c r="YN111" s="65">
        <v>100</v>
      </c>
      <c r="YO111" s="63"/>
      <c r="YP111" s="64">
        <f t="shared" si="2401"/>
        <v>100</v>
      </c>
      <c r="YQ111" s="66">
        <f t="shared" si="1681"/>
        <v>1947.85</v>
      </c>
      <c r="YR111" s="67">
        <f t="shared" si="2402"/>
        <v>0</v>
      </c>
      <c r="YS111" s="64">
        <f t="shared" si="2403"/>
        <v>1947.85</v>
      </c>
      <c r="YT111" s="62"/>
      <c r="YU111" s="63"/>
      <c r="YV111" s="64">
        <f t="shared" si="2404"/>
        <v>0</v>
      </c>
      <c r="YW111" s="65">
        <v>695.73</v>
      </c>
      <c r="YX111" s="63"/>
      <c r="YY111" s="64">
        <f t="shared" si="2405"/>
        <v>695.73</v>
      </c>
      <c r="YZ111" s="65">
        <v>1000</v>
      </c>
      <c r="ZA111" s="63"/>
      <c r="ZB111" s="64">
        <f t="shared" si="2406"/>
        <v>1000</v>
      </c>
      <c r="ZC111" s="65">
        <v>100</v>
      </c>
      <c r="ZD111" s="63"/>
      <c r="ZE111" s="64">
        <f t="shared" si="2407"/>
        <v>100</v>
      </c>
      <c r="ZF111" s="66">
        <f t="shared" si="1688"/>
        <v>1795.73</v>
      </c>
      <c r="ZG111" s="67">
        <f t="shared" si="2408"/>
        <v>0</v>
      </c>
      <c r="ZH111" s="74"/>
      <c r="ZI111" s="72"/>
      <c r="ZJ111" s="73"/>
      <c r="ZK111" s="74"/>
      <c r="ZL111" s="75"/>
      <c r="ZM111" s="73"/>
      <c r="ZN111" s="74"/>
      <c r="ZO111" s="75"/>
      <c r="ZP111" s="73"/>
      <c r="ZQ111" s="74"/>
      <c r="ZR111" s="75"/>
      <c r="ZS111" s="73"/>
      <c r="ZT111" s="74"/>
      <c r="ZU111" s="76"/>
      <c r="ZV111" s="77"/>
      <c r="ZW111" s="64">
        <f t="shared" si="2409"/>
        <v>0</v>
      </c>
      <c r="ZX111" s="62">
        <v>24.71</v>
      </c>
      <c r="ZY111" s="63"/>
      <c r="ZZ111" s="64">
        <f t="shared" si="2410"/>
        <v>24.71</v>
      </c>
      <c r="AAA111" s="66">
        <f t="shared" si="1692"/>
        <v>24.71</v>
      </c>
      <c r="AAB111" s="67">
        <f t="shared" si="1692"/>
        <v>0</v>
      </c>
      <c r="AAC111" s="64">
        <f t="shared" si="2411"/>
        <v>24.71</v>
      </c>
      <c r="AAD111" s="85">
        <f t="shared" si="1694"/>
        <v>42599.6</v>
      </c>
      <c r="AAE111" s="86">
        <f t="shared" si="1694"/>
        <v>0</v>
      </c>
      <c r="AAF111" s="87">
        <f t="shared" si="1457"/>
        <v>0</v>
      </c>
      <c r="AAG111" s="88">
        <f t="shared" si="2412"/>
        <v>-42599.6</v>
      </c>
      <c r="AAH111" s="91">
        <f>AAD121</f>
        <v>1388390.5599999998</v>
      </c>
      <c r="AAI111" s="92"/>
      <c r="AAJ111" s="92"/>
      <c r="AAK111" s="60"/>
    </row>
    <row r="112" spans="1:713" s="83" customFormat="1" ht="20" customHeight="1" x14ac:dyDescent="0.2">
      <c r="A112" s="154"/>
      <c r="B112" s="93"/>
      <c r="C112" s="90"/>
      <c r="D112" s="90"/>
      <c r="E112" s="60"/>
      <c r="F112" s="61">
        <v>47574</v>
      </c>
      <c r="G112" s="62"/>
      <c r="H112" s="63"/>
      <c r="I112" s="64">
        <f t="shared" si="2208"/>
        <v>0</v>
      </c>
      <c r="J112" s="65">
        <v>3418.12</v>
      </c>
      <c r="K112" s="63"/>
      <c r="L112" s="64">
        <f t="shared" si="2209"/>
        <v>3418.12</v>
      </c>
      <c r="M112" s="65">
        <v>2500</v>
      </c>
      <c r="N112" s="63"/>
      <c r="O112" s="64">
        <f t="shared" si="2210"/>
        <v>2500</v>
      </c>
      <c r="P112" s="65">
        <v>500</v>
      </c>
      <c r="Q112" s="63"/>
      <c r="R112" s="64">
        <f t="shared" si="2211"/>
        <v>500</v>
      </c>
      <c r="S112" s="65">
        <v>181</v>
      </c>
      <c r="T112" s="63"/>
      <c r="U112" s="64">
        <f t="shared" si="2212"/>
        <v>181</v>
      </c>
      <c r="V112" s="66">
        <f t="shared" si="2213"/>
        <v>6599.12</v>
      </c>
      <c r="W112" s="67">
        <f t="shared" si="2213"/>
        <v>0</v>
      </c>
      <c r="X112" s="64">
        <f t="shared" si="2214"/>
        <v>6599.12</v>
      </c>
      <c r="Y112" s="72"/>
      <c r="Z112" s="73"/>
      <c r="AA112" s="74"/>
      <c r="AB112" s="75"/>
      <c r="AC112" s="73"/>
      <c r="AD112" s="74"/>
      <c r="AE112" s="75"/>
      <c r="AF112" s="73"/>
      <c r="AG112" s="74"/>
      <c r="AH112" s="75"/>
      <c r="AI112" s="73"/>
      <c r="AJ112" s="74"/>
      <c r="AK112" s="76"/>
      <c r="AL112" s="77"/>
      <c r="AM112" s="64">
        <f t="shared" si="2215"/>
        <v>0</v>
      </c>
      <c r="AN112" s="62"/>
      <c r="AO112" s="63"/>
      <c r="AP112" s="64">
        <f t="shared" si="2413"/>
        <v>0</v>
      </c>
      <c r="AQ112" s="65"/>
      <c r="AR112" s="63"/>
      <c r="AS112" s="64">
        <f t="shared" si="2216"/>
        <v>0</v>
      </c>
      <c r="AT112" s="65"/>
      <c r="AU112" s="63"/>
      <c r="AV112" s="64">
        <f t="shared" si="2217"/>
        <v>0</v>
      </c>
      <c r="AW112" s="65"/>
      <c r="AX112" s="63"/>
      <c r="AY112" s="64">
        <f t="shared" si="2218"/>
        <v>0</v>
      </c>
      <c r="AZ112" s="66">
        <f t="shared" si="1469"/>
        <v>0</v>
      </c>
      <c r="BA112" s="67">
        <f t="shared" si="2219"/>
        <v>0</v>
      </c>
      <c r="BB112" s="64">
        <f t="shared" si="2220"/>
        <v>0</v>
      </c>
      <c r="BC112" s="62">
        <v>6150</v>
      </c>
      <c r="BD112" s="63"/>
      <c r="BE112" s="64">
        <f t="shared" si="2221"/>
        <v>6150</v>
      </c>
      <c r="BF112" s="65"/>
      <c r="BG112" s="63"/>
      <c r="BH112" s="64">
        <f t="shared" si="2222"/>
        <v>0</v>
      </c>
      <c r="BI112" s="65">
        <v>8000</v>
      </c>
      <c r="BJ112" s="63"/>
      <c r="BK112" s="64">
        <f t="shared" si="2223"/>
        <v>8000</v>
      </c>
      <c r="BL112" s="65">
        <v>100</v>
      </c>
      <c r="BM112" s="63"/>
      <c r="BN112" s="64">
        <f t="shared" si="2224"/>
        <v>100</v>
      </c>
      <c r="BO112" s="66">
        <f t="shared" si="1476"/>
        <v>14250</v>
      </c>
      <c r="BP112" s="67">
        <f t="shared" si="2225"/>
        <v>0</v>
      </c>
      <c r="BQ112" s="64">
        <f t="shared" si="2226"/>
        <v>14250</v>
      </c>
      <c r="BR112" s="72"/>
      <c r="BS112" s="73"/>
      <c r="BT112" s="74"/>
      <c r="BU112" s="75"/>
      <c r="BV112" s="73"/>
      <c r="BW112" s="74"/>
      <c r="BX112" s="75"/>
      <c r="BY112" s="73"/>
      <c r="BZ112" s="74"/>
      <c r="CA112" s="75"/>
      <c r="CB112" s="73"/>
      <c r="CC112" s="74"/>
      <c r="CD112" s="76"/>
      <c r="CE112" s="77"/>
      <c r="CF112" s="64">
        <f t="shared" si="2227"/>
        <v>0</v>
      </c>
      <c r="CG112" s="62"/>
      <c r="CH112" s="63"/>
      <c r="CI112" s="64">
        <f t="shared" si="2228"/>
        <v>0</v>
      </c>
      <c r="CJ112" s="65"/>
      <c r="CK112" s="63"/>
      <c r="CL112" s="64">
        <f t="shared" si="2229"/>
        <v>0</v>
      </c>
      <c r="CM112" s="65"/>
      <c r="CN112" s="63"/>
      <c r="CO112" s="64">
        <f t="shared" si="2230"/>
        <v>0</v>
      </c>
      <c r="CP112" s="65"/>
      <c r="CQ112" s="63"/>
      <c r="CR112" s="64">
        <f t="shared" si="2231"/>
        <v>0</v>
      </c>
      <c r="CS112" s="66">
        <f t="shared" si="1484"/>
        <v>0</v>
      </c>
      <c r="CT112" s="67">
        <f t="shared" si="2232"/>
        <v>0</v>
      </c>
      <c r="CU112" s="64">
        <f t="shared" si="2233"/>
        <v>0</v>
      </c>
      <c r="CV112" s="62">
        <v>2916.7</v>
      </c>
      <c r="CW112" s="63"/>
      <c r="CX112" s="64">
        <f t="shared" si="2234"/>
        <v>2916.7</v>
      </c>
      <c r="CY112" s="65">
        <v>429.15</v>
      </c>
      <c r="CZ112" s="63"/>
      <c r="DA112" s="64">
        <f t="shared" si="2235"/>
        <v>429.15</v>
      </c>
      <c r="DB112" s="65">
        <v>3000</v>
      </c>
      <c r="DC112" s="63"/>
      <c r="DD112" s="64">
        <f t="shared" si="2236"/>
        <v>3000</v>
      </c>
      <c r="DE112" s="65"/>
      <c r="DF112" s="63"/>
      <c r="DG112" s="64">
        <f t="shared" si="2237"/>
        <v>0</v>
      </c>
      <c r="DH112" s="66">
        <f t="shared" si="1491"/>
        <v>6345.85</v>
      </c>
      <c r="DI112" s="67">
        <f t="shared" si="2238"/>
        <v>0</v>
      </c>
      <c r="DJ112" s="64">
        <f t="shared" si="2239"/>
        <v>6345.85</v>
      </c>
      <c r="DK112" s="62">
        <v>2400</v>
      </c>
      <c r="DL112" s="63"/>
      <c r="DM112" s="64">
        <f t="shared" si="2240"/>
        <v>2400</v>
      </c>
      <c r="DN112" s="65">
        <v>913.08</v>
      </c>
      <c r="DO112" s="63"/>
      <c r="DP112" s="64">
        <f t="shared" si="2241"/>
        <v>913.08</v>
      </c>
      <c r="DQ112" s="65"/>
      <c r="DR112" s="63"/>
      <c r="DS112" s="64">
        <f t="shared" si="2242"/>
        <v>0</v>
      </c>
      <c r="DT112" s="65">
        <v>100</v>
      </c>
      <c r="DU112" s="63"/>
      <c r="DV112" s="64">
        <f t="shared" si="2243"/>
        <v>100</v>
      </c>
      <c r="DW112" s="66">
        <f t="shared" si="1498"/>
        <v>3413.08</v>
      </c>
      <c r="DX112" s="67">
        <f t="shared" si="2244"/>
        <v>0</v>
      </c>
      <c r="DY112" s="64">
        <f t="shared" si="2245"/>
        <v>3413.08</v>
      </c>
      <c r="DZ112" s="62"/>
      <c r="EA112" s="63"/>
      <c r="EB112" s="64">
        <f t="shared" si="2246"/>
        <v>0</v>
      </c>
      <c r="EC112" s="65"/>
      <c r="ED112" s="63"/>
      <c r="EE112" s="64">
        <f t="shared" si="2247"/>
        <v>0</v>
      </c>
      <c r="EF112" s="65"/>
      <c r="EG112" s="63"/>
      <c r="EH112" s="64">
        <f t="shared" si="2248"/>
        <v>0</v>
      </c>
      <c r="EI112" s="65">
        <v>100</v>
      </c>
      <c r="EJ112" s="63"/>
      <c r="EK112" s="64">
        <f t="shared" si="2249"/>
        <v>100</v>
      </c>
      <c r="EL112" s="66">
        <f t="shared" si="1505"/>
        <v>100</v>
      </c>
      <c r="EM112" s="67">
        <f t="shared" si="2250"/>
        <v>0</v>
      </c>
      <c r="EN112" s="64">
        <f t="shared" si="2251"/>
        <v>100</v>
      </c>
      <c r="EO112" s="62">
        <v>6150</v>
      </c>
      <c r="EP112" s="63"/>
      <c r="EQ112" s="64">
        <f t="shared" si="2252"/>
        <v>6150</v>
      </c>
      <c r="ER112" s="65"/>
      <c r="ES112" s="63"/>
      <c r="ET112" s="64">
        <f t="shared" si="2253"/>
        <v>0</v>
      </c>
      <c r="EU112" s="65"/>
      <c r="EV112" s="63"/>
      <c r="EW112" s="64">
        <f t="shared" si="2254"/>
        <v>0</v>
      </c>
      <c r="EX112" s="65">
        <v>100</v>
      </c>
      <c r="EY112" s="63"/>
      <c r="EZ112" s="64">
        <f t="shared" si="2255"/>
        <v>100</v>
      </c>
      <c r="FA112" s="66">
        <f t="shared" si="1512"/>
        <v>6250</v>
      </c>
      <c r="FB112" s="67">
        <f t="shared" si="2256"/>
        <v>0</v>
      </c>
      <c r="FC112" s="64">
        <f t="shared" si="2257"/>
        <v>6250</v>
      </c>
      <c r="FD112" s="62">
        <v>6150</v>
      </c>
      <c r="FE112" s="63"/>
      <c r="FF112" s="64">
        <f t="shared" si="2258"/>
        <v>6150</v>
      </c>
      <c r="FG112" s="65"/>
      <c r="FH112" s="63"/>
      <c r="FI112" s="64">
        <f t="shared" si="2259"/>
        <v>0</v>
      </c>
      <c r="FJ112" s="65"/>
      <c r="FK112" s="63"/>
      <c r="FL112" s="64">
        <f t="shared" si="2260"/>
        <v>0</v>
      </c>
      <c r="FM112" s="65">
        <v>100</v>
      </c>
      <c r="FN112" s="63"/>
      <c r="FO112" s="64">
        <f t="shared" si="2261"/>
        <v>100</v>
      </c>
      <c r="FP112" s="66">
        <f t="shared" si="1519"/>
        <v>6250</v>
      </c>
      <c r="FQ112" s="67">
        <f t="shared" si="2262"/>
        <v>0</v>
      </c>
      <c r="FR112" s="64">
        <f t="shared" si="2263"/>
        <v>6250</v>
      </c>
      <c r="FS112" s="62"/>
      <c r="FT112" s="63"/>
      <c r="FU112" s="64">
        <f t="shared" si="2264"/>
        <v>0</v>
      </c>
      <c r="FV112" s="65">
        <v>485.35</v>
      </c>
      <c r="FW112" s="63"/>
      <c r="FX112" s="64">
        <f t="shared" si="2265"/>
        <v>485.35</v>
      </c>
      <c r="FY112" s="65"/>
      <c r="FZ112" s="63"/>
      <c r="GA112" s="64">
        <f t="shared" si="2266"/>
        <v>0</v>
      </c>
      <c r="GB112" s="65"/>
      <c r="GC112" s="63"/>
      <c r="GD112" s="64">
        <f t="shared" si="2267"/>
        <v>0</v>
      </c>
      <c r="GE112" s="66">
        <f t="shared" si="1526"/>
        <v>485.35</v>
      </c>
      <c r="GF112" s="67">
        <f t="shared" si="2268"/>
        <v>0</v>
      </c>
      <c r="GG112" s="64">
        <f t="shared" si="2269"/>
        <v>485.35</v>
      </c>
      <c r="GH112" s="62"/>
      <c r="GI112" s="63"/>
      <c r="GJ112" s="64">
        <f t="shared" si="2270"/>
        <v>0</v>
      </c>
      <c r="GK112" s="65">
        <v>660.33</v>
      </c>
      <c r="GL112" s="63"/>
      <c r="GM112" s="64">
        <f t="shared" si="2271"/>
        <v>660.33</v>
      </c>
      <c r="GN112" s="65"/>
      <c r="GO112" s="63"/>
      <c r="GP112" s="64">
        <f t="shared" si="2272"/>
        <v>0</v>
      </c>
      <c r="GQ112" s="65"/>
      <c r="GR112" s="63"/>
      <c r="GS112" s="64">
        <f t="shared" si="2273"/>
        <v>0</v>
      </c>
      <c r="GT112" s="66">
        <f t="shared" si="1533"/>
        <v>660.33</v>
      </c>
      <c r="GU112" s="67">
        <f t="shared" si="2274"/>
        <v>0</v>
      </c>
      <c r="GV112" s="64">
        <f t="shared" si="2275"/>
        <v>660.33</v>
      </c>
      <c r="GW112" s="62"/>
      <c r="GX112" s="63"/>
      <c r="GY112" s="64">
        <f t="shared" si="2276"/>
        <v>0</v>
      </c>
      <c r="GZ112" s="65">
        <v>568.25</v>
      </c>
      <c r="HA112" s="63"/>
      <c r="HB112" s="64">
        <f t="shared" si="2277"/>
        <v>568.25</v>
      </c>
      <c r="HC112" s="65"/>
      <c r="HD112" s="63"/>
      <c r="HE112" s="64">
        <f t="shared" si="2278"/>
        <v>0</v>
      </c>
      <c r="HF112" s="65">
        <v>100</v>
      </c>
      <c r="HG112" s="63"/>
      <c r="HH112" s="64">
        <f t="shared" si="2279"/>
        <v>100</v>
      </c>
      <c r="HI112" s="66">
        <f t="shared" si="1540"/>
        <v>668.25</v>
      </c>
      <c r="HJ112" s="67">
        <f t="shared" si="2280"/>
        <v>0</v>
      </c>
      <c r="HK112" s="64">
        <f t="shared" si="2281"/>
        <v>668.25</v>
      </c>
      <c r="HL112" s="62">
        <v>6150</v>
      </c>
      <c r="HM112" s="63"/>
      <c r="HN112" s="64">
        <f t="shared" si="2282"/>
        <v>6150</v>
      </c>
      <c r="HO112" s="65"/>
      <c r="HP112" s="63"/>
      <c r="HQ112" s="64">
        <f t="shared" si="2283"/>
        <v>0</v>
      </c>
      <c r="HR112" s="65">
        <v>4800</v>
      </c>
      <c r="HS112" s="63"/>
      <c r="HT112" s="64">
        <f t="shared" si="2284"/>
        <v>4800</v>
      </c>
      <c r="HU112" s="65">
        <v>100</v>
      </c>
      <c r="HV112" s="63"/>
      <c r="HW112" s="64">
        <f t="shared" si="2285"/>
        <v>100</v>
      </c>
      <c r="HX112" s="66">
        <f t="shared" si="1547"/>
        <v>11050</v>
      </c>
      <c r="HY112" s="67">
        <f t="shared" si="2286"/>
        <v>0</v>
      </c>
      <c r="HZ112" s="64">
        <f t="shared" si="2287"/>
        <v>11050</v>
      </c>
      <c r="IA112" s="62"/>
      <c r="IB112" s="63"/>
      <c r="IC112" s="64">
        <f t="shared" si="2288"/>
        <v>0</v>
      </c>
      <c r="ID112" s="65"/>
      <c r="IE112" s="63"/>
      <c r="IF112" s="64">
        <f t="shared" si="2289"/>
        <v>0</v>
      </c>
      <c r="IG112" s="65"/>
      <c r="IH112" s="63"/>
      <c r="II112" s="64">
        <f t="shared" si="2290"/>
        <v>0</v>
      </c>
      <c r="IJ112" s="65">
        <v>100</v>
      </c>
      <c r="IK112" s="63"/>
      <c r="IL112" s="64">
        <f t="shared" si="2291"/>
        <v>100</v>
      </c>
      <c r="IM112" s="66">
        <f t="shared" si="1554"/>
        <v>100</v>
      </c>
      <c r="IN112" s="67">
        <f t="shared" si="2292"/>
        <v>0</v>
      </c>
      <c r="IO112" s="64">
        <f t="shared" si="2293"/>
        <v>100</v>
      </c>
      <c r="IP112" s="62"/>
      <c r="IQ112" s="63"/>
      <c r="IR112" s="64">
        <f t="shared" si="2294"/>
        <v>0</v>
      </c>
      <c r="IS112" s="65"/>
      <c r="IT112" s="63"/>
      <c r="IU112" s="64">
        <f t="shared" si="2295"/>
        <v>0</v>
      </c>
      <c r="IV112" s="65"/>
      <c r="IW112" s="63"/>
      <c r="IX112" s="64">
        <f t="shared" si="2296"/>
        <v>0</v>
      </c>
      <c r="IY112" s="65"/>
      <c r="IZ112" s="63"/>
      <c r="JA112" s="64">
        <f t="shared" si="2297"/>
        <v>0</v>
      </c>
      <c r="JB112" s="66">
        <f t="shared" si="1561"/>
        <v>0</v>
      </c>
      <c r="JC112" s="67">
        <f t="shared" si="2298"/>
        <v>0</v>
      </c>
      <c r="JD112" s="64">
        <f t="shared" si="2299"/>
        <v>0</v>
      </c>
      <c r="JE112" s="72"/>
      <c r="JF112" s="150"/>
      <c r="JG112" s="74"/>
      <c r="JH112" s="75"/>
      <c r="JI112" s="150"/>
      <c r="JJ112" s="74"/>
      <c r="JK112" s="75"/>
      <c r="JL112" s="150"/>
      <c r="JM112" s="74"/>
      <c r="JN112" s="75"/>
      <c r="JO112" s="150"/>
      <c r="JP112" s="74"/>
      <c r="JQ112" s="76"/>
      <c r="JR112" s="77"/>
      <c r="JS112" s="74"/>
      <c r="JT112" s="72"/>
      <c r="JU112" s="73"/>
      <c r="JV112" s="74"/>
      <c r="JW112" s="75"/>
      <c r="JX112" s="73"/>
      <c r="JY112" s="74"/>
      <c r="JZ112" s="75"/>
      <c r="KA112" s="73"/>
      <c r="KB112" s="74"/>
      <c r="KC112" s="75"/>
      <c r="KD112" s="73"/>
      <c r="KE112" s="74"/>
      <c r="KF112" s="76"/>
      <c r="KG112" s="77"/>
      <c r="KH112" s="64">
        <f t="shared" si="2300"/>
        <v>0</v>
      </c>
      <c r="KI112" s="62"/>
      <c r="KJ112" s="63"/>
      <c r="KK112" s="64">
        <f t="shared" si="2301"/>
        <v>0</v>
      </c>
      <c r="KL112" s="65"/>
      <c r="KM112" s="63"/>
      <c r="KN112" s="64">
        <f t="shared" si="2302"/>
        <v>0</v>
      </c>
      <c r="KO112" s="65"/>
      <c r="KP112" s="63"/>
      <c r="KQ112" s="64">
        <f t="shared" si="2303"/>
        <v>0</v>
      </c>
      <c r="KR112" s="65"/>
      <c r="KS112" s="63"/>
      <c r="KT112" s="64">
        <f t="shared" si="2304"/>
        <v>0</v>
      </c>
      <c r="KU112" s="66">
        <f t="shared" si="1439"/>
        <v>0</v>
      </c>
      <c r="KV112" s="67">
        <f t="shared" si="2305"/>
        <v>0</v>
      </c>
      <c r="KW112" s="64">
        <f t="shared" si="2306"/>
        <v>0</v>
      </c>
      <c r="KX112" s="72"/>
      <c r="KY112" s="73"/>
      <c r="KZ112" s="74"/>
      <c r="LA112" s="75"/>
      <c r="LB112" s="73"/>
      <c r="LC112" s="74"/>
      <c r="LD112" s="75"/>
      <c r="LE112" s="73"/>
      <c r="LF112" s="74"/>
      <c r="LG112" s="75"/>
      <c r="LH112" s="73"/>
      <c r="LI112" s="74"/>
      <c r="LJ112" s="76"/>
      <c r="LK112" s="77"/>
      <c r="LL112" s="74"/>
      <c r="LM112" s="62"/>
      <c r="LN112" s="63"/>
      <c r="LO112" s="64">
        <f t="shared" si="2307"/>
        <v>0</v>
      </c>
      <c r="LP112" s="65"/>
      <c r="LQ112" s="63"/>
      <c r="LR112" s="64">
        <f t="shared" si="2308"/>
        <v>0</v>
      </c>
      <c r="LS112" s="65"/>
      <c r="LT112" s="63"/>
      <c r="LU112" s="64">
        <f t="shared" si="2309"/>
        <v>0</v>
      </c>
      <c r="LV112" s="65">
        <v>100</v>
      </c>
      <c r="LW112" s="63"/>
      <c r="LX112" s="64">
        <f t="shared" si="2310"/>
        <v>100</v>
      </c>
      <c r="LY112" s="66">
        <f t="shared" si="1575"/>
        <v>100</v>
      </c>
      <c r="LZ112" s="67">
        <f t="shared" si="2311"/>
        <v>0</v>
      </c>
      <c r="MA112" s="64">
        <f t="shared" si="2312"/>
        <v>100</v>
      </c>
      <c r="MB112" s="62"/>
      <c r="MC112" s="63"/>
      <c r="MD112" s="64">
        <f t="shared" si="2313"/>
        <v>0</v>
      </c>
      <c r="ME112" s="65">
        <v>889.11</v>
      </c>
      <c r="MF112" s="63"/>
      <c r="MG112" s="64">
        <f t="shared" si="2314"/>
        <v>889.11</v>
      </c>
      <c r="MH112" s="65"/>
      <c r="MI112" s="63"/>
      <c r="MJ112" s="64">
        <f t="shared" si="2315"/>
        <v>0</v>
      </c>
      <c r="MK112" s="65">
        <v>100</v>
      </c>
      <c r="ML112" s="63"/>
      <c r="MM112" s="64">
        <f t="shared" si="2316"/>
        <v>100</v>
      </c>
      <c r="MN112" s="66">
        <f t="shared" si="1582"/>
        <v>989.11</v>
      </c>
      <c r="MO112" s="67">
        <f t="shared" si="2317"/>
        <v>0</v>
      </c>
      <c r="MP112" s="64">
        <f t="shared" si="2318"/>
        <v>989.11</v>
      </c>
      <c r="MQ112" s="62"/>
      <c r="MR112" s="63"/>
      <c r="MS112" s="64">
        <f t="shared" si="2319"/>
        <v>0</v>
      </c>
      <c r="MT112" s="65"/>
      <c r="MU112" s="63"/>
      <c r="MV112" s="64">
        <f t="shared" si="2320"/>
        <v>0</v>
      </c>
      <c r="MW112" s="65"/>
      <c r="MX112" s="63"/>
      <c r="MY112" s="64">
        <f t="shared" si="2321"/>
        <v>0</v>
      </c>
      <c r="MZ112" s="65"/>
      <c r="NA112" s="63"/>
      <c r="NB112" s="64">
        <f t="shared" si="2322"/>
        <v>0</v>
      </c>
      <c r="NC112" s="66">
        <f t="shared" si="1589"/>
        <v>0</v>
      </c>
      <c r="ND112" s="67">
        <f t="shared" si="2323"/>
        <v>0</v>
      </c>
      <c r="NE112" s="64">
        <f t="shared" si="2324"/>
        <v>0</v>
      </c>
      <c r="NF112" s="62"/>
      <c r="NG112" s="63"/>
      <c r="NH112" s="64">
        <f t="shared" si="2325"/>
        <v>0</v>
      </c>
      <c r="NI112" s="65">
        <v>1164.04</v>
      </c>
      <c r="NJ112" s="63"/>
      <c r="NK112" s="64">
        <f t="shared" si="2326"/>
        <v>1164.04</v>
      </c>
      <c r="NL112" s="65"/>
      <c r="NM112" s="63"/>
      <c r="NN112" s="64">
        <f t="shared" si="2327"/>
        <v>0</v>
      </c>
      <c r="NO112" s="65">
        <v>100</v>
      </c>
      <c r="NP112" s="63"/>
      <c r="NQ112" s="64">
        <f t="shared" si="2328"/>
        <v>100</v>
      </c>
      <c r="NR112" s="66">
        <f t="shared" si="1596"/>
        <v>1264.04</v>
      </c>
      <c r="NS112" s="67">
        <f t="shared" si="2329"/>
        <v>0</v>
      </c>
      <c r="NT112" s="64">
        <f t="shared" si="2330"/>
        <v>1264.04</v>
      </c>
      <c r="NU112" s="62"/>
      <c r="NV112" s="63"/>
      <c r="NW112" s="64">
        <f t="shared" si="2331"/>
        <v>0</v>
      </c>
      <c r="NX112" s="65">
        <v>1152.73</v>
      </c>
      <c r="NY112" s="63"/>
      <c r="NZ112" s="64">
        <f t="shared" si="2332"/>
        <v>1152.73</v>
      </c>
      <c r="OA112" s="65"/>
      <c r="OB112" s="63"/>
      <c r="OC112" s="64">
        <f t="shared" si="2333"/>
        <v>0</v>
      </c>
      <c r="OD112" s="65">
        <v>100</v>
      </c>
      <c r="OE112" s="63"/>
      <c r="OF112" s="64">
        <f t="shared" si="2334"/>
        <v>100</v>
      </c>
      <c r="OG112" s="66">
        <f t="shared" si="1603"/>
        <v>1252.73</v>
      </c>
      <c r="OH112" s="67">
        <f t="shared" si="2335"/>
        <v>0</v>
      </c>
      <c r="OI112" s="64">
        <f t="shared" si="2336"/>
        <v>1252.73</v>
      </c>
      <c r="OJ112" s="62"/>
      <c r="OK112" s="63"/>
      <c r="OL112" s="64">
        <f t="shared" si="2337"/>
        <v>0</v>
      </c>
      <c r="OM112" s="65"/>
      <c r="ON112" s="63"/>
      <c r="OO112" s="64">
        <f t="shared" si="2338"/>
        <v>0</v>
      </c>
      <c r="OP112" s="65"/>
      <c r="OQ112" s="63"/>
      <c r="OR112" s="64">
        <f t="shared" si="2339"/>
        <v>0</v>
      </c>
      <c r="OS112" s="65">
        <v>100</v>
      </c>
      <c r="OT112" s="63"/>
      <c r="OU112" s="64">
        <f t="shared" si="2340"/>
        <v>100</v>
      </c>
      <c r="OV112" s="66">
        <f t="shared" si="1610"/>
        <v>100</v>
      </c>
      <c r="OW112" s="67">
        <f t="shared" si="2341"/>
        <v>0</v>
      </c>
      <c r="OX112" s="64">
        <f t="shared" si="2342"/>
        <v>100</v>
      </c>
      <c r="OY112" s="62"/>
      <c r="OZ112" s="63"/>
      <c r="PA112" s="64">
        <f t="shared" si="2343"/>
        <v>0</v>
      </c>
      <c r="PB112" s="65"/>
      <c r="PC112" s="63"/>
      <c r="PD112" s="64">
        <f t="shared" si="2344"/>
        <v>0</v>
      </c>
      <c r="PE112" s="65"/>
      <c r="PF112" s="63"/>
      <c r="PG112" s="64">
        <f t="shared" si="2345"/>
        <v>0</v>
      </c>
      <c r="PH112" s="65">
        <v>100</v>
      </c>
      <c r="PI112" s="63"/>
      <c r="PJ112" s="64">
        <f t="shared" si="2346"/>
        <v>100</v>
      </c>
      <c r="PK112" s="66">
        <f t="shared" si="1617"/>
        <v>100</v>
      </c>
      <c r="PL112" s="67">
        <f t="shared" si="2347"/>
        <v>0</v>
      </c>
      <c r="PM112" s="64">
        <f t="shared" si="2348"/>
        <v>100</v>
      </c>
      <c r="PN112" s="62">
        <v>1550</v>
      </c>
      <c r="PO112" s="63"/>
      <c r="PP112" s="64">
        <f t="shared" si="2349"/>
        <v>1550</v>
      </c>
      <c r="PQ112" s="65"/>
      <c r="PR112" s="63"/>
      <c r="PS112" s="64">
        <f t="shared" si="2350"/>
        <v>0</v>
      </c>
      <c r="PT112" s="65"/>
      <c r="PU112" s="63"/>
      <c r="PV112" s="64">
        <f t="shared" si="2351"/>
        <v>0</v>
      </c>
      <c r="PW112" s="65">
        <v>100</v>
      </c>
      <c r="PX112" s="63"/>
      <c r="PY112" s="64">
        <f t="shared" si="2352"/>
        <v>100</v>
      </c>
      <c r="PZ112" s="66">
        <f t="shared" si="1624"/>
        <v>1650</v>
      </c>
      <c r="QA112" s="67">
        <f t="shared" si="2353"/>
        <v>0</v>
      </c>
      <c r="QB112" s="64">
        <f t="shared" si="2354"/>
        <v>1650</v>
      </c>
      <c r="QC112" s="62"/>
      <c r="QD112" s="63"/>
      <c r="QE112" s="64">
        <f t="shared" si="2355"/>
        <v>0</v>
      </c>
      <c r="QF112" s="65"/>
      <c r="QG112" s="63"/>
      <c r="QH112" s="64">
        <f t="shared" si="2356"/>
        <v>0</v>
      </c>
      <c r="QI112" s="65"/>
      <c r="QJ112" s="63"/>
      <c r="QK112" s="64">
        <f t="shared" si="2357"/>
        <v>0</v>
      </c>
      <c r="QL112" s="65">
        <v>100</v>
      </c>
      <c r="QM112" s="63"/>
      <c r="QN112" s="64">
        <f t="shared" si="2358"/>
        <v>100</v>
      </c>
      <c r="QO112" s="66">
        <f t="shared" si="1631"/>
        <v>100</v>
      </c>
      <c r="QP112" s="67">
        <f t="shared" si="2359"/>
        <v>0</v>
      </c>
      <c r="QQ112" s="64">
        <f t="shared" si="2360"/>
        <v>100</v>
      </c>
      <c r="QR112" s="74"/>
      <c r="QS112" s="74"/>
      <c r="QT112" s="72"/>
      <c r="QU112" s="73"/>
      <c r="QV112" s="74"/>
      <c r="QW112" s="75"/>
      <c r="QX112" s="73"/>
      <c r="QY112" s="74"/>
      <c r="QZ112" s="75"/>
      <c r="RA112" s="73"/>
      <c r="RB112" s="74"/>
      <c r="RC112" s="75"/>
      <c r="RD112" s="73"/>
      <c r="RE112" s="74"/>
      <c r="RF112" s="74"/>
      <c r="RG112" s="72"/>
      <c r="RH112" s="73"/>
      <c r="RI112" s="74"/>
      <c r="RJ112" s="75"/>
      <c r="RK112" s="73"/>
      <c r="RL112" s="74"/>
      <c r="RM112" s="75"/>
      <c r="RN112" s="73"/>
      <c r="RO112" s="74"/>
      <c r="RP112" s="75"/>
      <c r="RQ112" s="73"/>
      <c r="RR112" s="74"/>
      <c r="RS112" s="76"/>
      <c r="RT112" s="77"/>
      <c r="RU112" s="74"/>
      <c r="RV112" s="74"/>
      <c r="RW112" s="72"/>
      <c r="RX112" s="73"/>
      <c r="RY112" s="74"/>
      <c r="RZ112" s="75"/>
      <c r="SA112" s="73"/>
      <c r="SB112" s="74"/>
      <c r="SC112" s="75"/>
      <c r="SD112" s="73"/>
      <c r="SE112" s="74"/>
      <c r="SF112" s="75"/>
      <c r="SG112" s="73"/>
      <c r="SH112" s="74"/>
      <c r="SI112" s="76"/>
      <c r="SJ112" s="64">
        <f t="shared" si="2361"/>
        <v>0</v>
      </c>
      <c r="SK112" s="62"/>
      <c r="SL112" s="63"/>
      <c r="SM112" s="64">
        <f t="shared" si="2362"/>
        <v>0</v>
      </c>
      <c r="SN112" s="65"/>
      <c r="SO112" s="63"/>
      <c r="SP112" s="64">
        <f t="shared" si="2363"/>
        <v>0</v>
      </c>
      <c r="SQ112" s="65"/>
      <c r="SR112" s="63"/>
      <c r="SS112" s="64">
        <f t="shared" si="2364"/>
        <v>0</v>
      </c>
      <c r="ST112" s="65">
        <v>100</v>
      </c>
      <c r="SU112" s="63"/>
      <c r="SV112" s="64">
        <f t="shared" si="2365"/>
        <v>100</v>
      </c>
      <c r="SW112" s="66">
        <f t="shared" si="1639"/>
        <v>100</v>
      </c>
      <c r="SX112" s="67">
        <f t="shared" si="2366"/>
        <v>0</v>
      </c>
      <c r="SY112" s="64">
        <f t="shared" si="2367"/>
        <v>100</v>
      </c>
      <c r="SZ112" s="62">
        <v>985.33</v>
      </c>
      <c r="TA112" s="63"/>
      <c r="TB112" s="64">
        <f t="shared" si="2368"/>
        <v>985.33</v>
      </c>
      <c r="TC112" s="65">
        <v>700.9</v>
      </c>
      <c r="TD112" s="63"/>
      <c r="TE112" s="64">
        <f t="shared" si="2369"/>
        <v>700.9</v>
      </c>
      <c r="TF112" s="65"/>
      <c r="TG112" s="63"/>
      <c r="TH112" s="64">
        <f t="shared" si="2370"/>
        <v>0</v>
      </c>
      <c r="TI112" s="65">
        <v>100</v>
      </c>
      <c r="TJ112" s="63"/>
      <c r="TK112" s="64">
        <f t="shared" si="2371"/>
        <v>100</v>
      </c>
      <c r="TL112" s="66">
        <f t="shared" si="1646"/>
        <v>1786.23</v>
      </c>
      <c r="TM112" s="67">
        <f t="shared" si="2372"/>
        <v>0</v>
      </c>
      <c r="TN112" s="64">
        <f t="shared" si="2373"/>
        <v>1786.23</v>
      </c>
      <c r="TO112" s="62"/>
      <c r="TP112" s="63"/>
      <c r="TQ112" s="64">
        <f t="shared" si="2374"/>
        <v>0</v>
      </c>
      <c r="TR112" s="65"/>
      <c r="TS112" s="63"/>
      <c r="TT112" s="64">
        <f t="shared" si="2375"/>
        <v>0</v>
      </c>
      <c r="TU112" s="65"/>
      <c r="TV112" s="63"/>
      <c r="TW112" s="64">
        <f t="shared" si="2376"/>
        <v>0</v>
      </c>
      <c r="TX112" s="65">
        <v>100</v>
      </c>
      <c r="TY112" s="63"/>
      <c r="TZ112" s="64">
        <f t="shared" si="2377"/>
        <v>100</v>
      </c>
      <c r="UA112" s="66">
        <f t="shared" si="1653"/>
        <v>100</v>
      </c>
      <c r="UB112" s="67">
        <f t="shared" si="2378"/>
        <v>0</v>
      </c>
      <c r="UC112" s="64">
        <f t="shared" si="2379"/>
        <v>100</v>
      </c>
      <c r="UD112" s="62">
        <v>1125</v>
      </c>
      <c r="UE112" s="63"/>
      <c r="UF112" s="64">
        <f t="shared" si="2380"/>
        <v>1125</v>
      </c>
      <c r="UG112" s="65">
        <v>497.04</v>
      </c>
      <c r="UH112" s="63"/>
      <c r="UI112" s="64">
        <f t="shared" si="2381"/>
        <v>497.04</v>
      </c>
      <c r="UJ112" s="65"/>
      <c r="UK112" s="63"/>
      <c r="UL112" s="64">
        <f t="shared" si="2382"/>
        <v>0</v>
      </c>
      <c r="UM112" s="65">
        <v>100</v>
      </c>
      <c r="UN112" s="63"/>
      <c r="UO112" s="64">
        <f t="shared" si="2383"/>
        <v>100</v>
      </c>
      <c r="UP112" s="66">
        <f t="shared" si="1660"/>
        <v>1722.04</v>
      </c>
      <c r="UQ112" s="67">
        <f t="shared" si="2384"/>
        <v>0</v>
      </c>
      <c r="UR112" s="64">
        <f t="shared" si="2385"/>
        <v>1722.04</v>
      </c>
      <c r="US112" s="74"/>
      <c r="UT112" s="72"/>
      <c r="UU112" s="73"/>
      <c r="UV112" s="74"/>
      <c r="UW112" s="75"/>
      <c r="UX112" s="73"/>
      <c r="UY112" s="74"/>
      <c r="UZ112" s="75"/>
      <c r="VA112" s="73"/>
      <c r="VB112" s="74"/>
      <c r="VC112" s="75"/>
      <c r="VD112" s="73"/>
      <c r="VE112" s="74"/>
      <c r="VF112" s="76"/>
      <c r="VG112" s="77"/>
      <c r="VH112" s="62"/>
      <c r="VI112" s="63"/>
      <c r="VJ112" s="64">
        <f t="shared" si="2386"/>
        <v>0</v>
      </c>
      <c r="VK112" s="65"/>
      <c r="VL112" s="63"/>
      <c r="VM112" s="64">
        <f t="shared" si="2387"/>
        <v>0</v>
      </c>
      <c r="VN112" s="65"/>
      <c r="VO112" s="63"/>
      <c r="VP112" s="64">
        <f t="shared" si="2388"/>
        <v>0</v>
      </c>
      <c r="VQ112" s="65">
        <v>100</v>
      </c>
      <c r="VR112" s="63"/>
      <c r="VS112" s="64">
        <f t="shared" si="2389"/>
        <v>100</v>
      </c>
      <c r="VT112" s="66">
        <f t="shared" si="1667"/>
        <v>100</v>
      </c>
      <c r="VU112" s="67">
        <f t="shared" si="2390"/>
        <v>0</v>
      </c>
      <c r="VV112" s="64">
        <f t="shared" si="2391"/>
        <v>100</v>
      </c>
      <c r="VW112" s="74"/>
      <c r="VX112" s="72"/>
      <c r="VY112" s="73"/>
      <c r="VZ112" s="74"/>
      <c r="WA112" s="75"/>
      <c r="WB112" s="73"/>
      <c r="WC112" s="74"/>
      <c r="WD112" s="75"/>
      <c r="WE112" s="73"/>
      <c r="WF112" s="74"/>
      <c r="WG112" s="75"/>
      <c r="WH112" s="73"/>
      <c r="WI112" s="74"/>
      <c r="WJ112" s="76"/>
      <c r="WK112" s="77"/>
      <c r="WL112" s="74"/>
      <c r="WM112" s="72"/>
      <c r="WN112" s="73"/>
      <c r="WO112" s="74"/>
      <c r="WP112" s="75"/>
      <c r="WQ112" s="73"/>
      <c r="WR112" s="74"/>
      <c r="WS112" s="75"/>
      <c r="WT112" s="73"/>
      <c r="WU112" s="74"/>
      <c r="WV112" s="75"/>
      <c r="WW112" s="73"/>
      <c r="WX112" s="74"/>
      <c r="WY112" s="76"/>
      <c r="WZ112" s="77"/>
      <c r="XA112" s="74"/>
      <c r="XB112" s="72"/>
      <c r="XC112" s="73"/>
      <c r="XD112" s="74"/>
      <c r="XE112" s="75"/>
      <c r="XF112" s="73"/>
      <c r="XG112" s="74"/>
      <c r="XH112" s="75"/>
      <c r="XI112" s="73"/>
      <c r="XJ112" s="74"/>
      <c r="XK112" s="75"/>
      <c r="XL112" s="73"/>
      <c r="XM112" s="74"/>
      <c r="XN112" s="76"/>
      <c r="XO112" s="77"/>
      <c r="XP112" s="62"/>
      <c r="XQ112" s="63"/>
      <c r="XR112" s="64">
        <f t="shared" si="2392"/>
        <v>0</v>
      </c>
      <c r="XS112" s="65">
        <v>844.24</v>
      </c>
      <c r="XT112" s="63"/>
      <c r="XU112" s="64">
        <f t="shared" si="2393"/>
        <v>844.24</v>
      </c>
      <c r="XV112" s="65"/>
      <c r="XW112" s="63"/>
      <c r="XX112" s="64">
        <f t="shared" si="2394"/>
        <v>0</v>
      </c>
      <c r="XY112" s="65">
        <v>100</v>
      </c>
      <c r="XZ112" s="63"/>
      <c r="YA112" s="64">
        <f t="shared" si="2395"/>
        <v>100</v>
      </c>
      <c r="YB112" s="66">
        <f t="shared" si="1674"/>
        <v>944.24</v>
      </c>
      <c r="YC112" s="67">
        <f t="shared" si="2396"/>
        <v>0</v>
      </c>
      <c r="YD112" s="64">
        <f t="shared" si="2397"/>
        <v>944.24</v>
      </c>
      <c r="YE112" s="62"/>
      <c r="YF112" s="63"/>
      <c r="YG112" s="64">
        <f t="shared" si="2398"/>
        <v>0</v>
      </c>
      <c r="YH112" s="65">
        <v>847.85</v>
      </c>
      <c r="YI112" s="63"/>
      <c r="YJ112" s="64">
        <f t="shared" si="2399"/>
        <v>847.85</v>
      </c>
      <c r="YK112" s="65"/>
      <c r="YL112" s="63"/>
      <c r="YM112" s="64">
        <f t="shared" si="2400"/>
        <v>0</v>
      </c>
      <c r="YN112" s="65">
        <v>100</v>
      </c>
      <c r="YO112" s="63"/>
      <c r="YP112" s="64">
        <f t="shared" si="2401"/>
        <v>100</v>
      </c>
      <c r="YQ112" s="66">
        <f t="shared" si="1681"/>
        <v>947.85</v>
      </c>
      <c r="YR112" s="67">
        <f t="shared" si="2402"/>
        <v>0</v>
      </c>
      <c r="YS112" s="64">
        <f t="shared" si="2403"/>
        <v>947.85</v>
      </c>
      <c r="YT112" s="62"/>
      <c r="YU112" s="63"/>
      <c r="YV112" s="64">
        <f t="shared" si="2404"/>
        <v>0</v>
      </c>
      <c r="YW112" s="65">
        <v>695.73</v>
      </c>
      <c r="YX112" s="63"/>
      <c r="YY112" s="64">
        <f t="shared" si="2405"/>
        <v>695.73</v>
      </c>
      <c r="YZ112" s="65"/>
      <c r="ZA112" s="63"/>
      <c r="ZB112" s="64">
        <f t="shared" si="2406"/>
        <v>0</v>
      </c>
      <c r="ZC112" s="65">
        <v>100</v>
      </c>
      <c r="ZD112" s="63"/>
      <c r="ZE112" s="64">
        <f t="shared" si="2407"/>
        <v>100</v>
      </c>
      <c r="ZF112" s="66">
        <f t="shared" si="1688"/>
        <v>795.73</v>
      </c>
      <c r="ZG112" s="67">
        <f t="shared" si="2408"/>
        <v>0</v>
      </c>
      <c r="ZH112" s="74"/>
      <c r="ZI112" s="72"/>
      <c r="ZJ112" s="73"/>
      <c r="ZK112" s="74"/>
      <c r="ZL112" s="75"/>
      <c r="ZM112" s="73"/>
      <c r="ZN112" s="74"/>
      <c r="ZO112" s="75"/>
      <c r="ZP112" s="73"/>
      <c r="ZQ112" s="74"/>
      <c r="ZR112" s="75"/>
      <c r="ZS112" s="73"/>
      <c r="ZT112" s="74"/>
      <c r="ZU112" s="76"/>
      <c r="ZV112" s="77"/>
      <c r="ZW112" s="64">
        <f t="shared" si="2409"/>
        <v>0</v>
      </c>
      <c r="ZX112" s="62">
        <v>24.71</v>
      </c>
      <c r="ZY112" s="63"/>
      <c r="ZZ112" s="64">
        <f t="shared" si="2410"/>
        <v>24.71</v>
      </c>
      <c r="AAA112" s="66">
        <f t="shared" si="1692"/>
        <v>24.71</v>
      </c>
      <c r="AAB112" s="67">
        <f t="shared" si="1692"/>
        <v>0</v>
      </c>
      <c r="AAC112" s="64">
        <f t="shared" si="2411"/>
        <v>24.71</v>
      </c>
      <c r="AAD112" s="85">
        <f t="shared" si="1694"/>
        <v>68223.95</v>
      </c>
      <c r="AAE112" s="86">
        <f t="shared" si="1694"/>
        <v>0</v>
      </c>
      <c r="AAF112" s="87">
        <f t="shared" si="1457"/>
        <v>0</v>
      </c>
      <c r="AAG112" s="88">
        <f t="shared" si="2412"/>
        <v>-68223.95</v>
      </c>
      <c r="AAH112" s="91"/>
      <c r="AAI112" s="92"/>
      <c r="AAJ112" s="92"/>
      <c r="AAK112" s="60"/>
    </row>
    <row r="113" spans="1:713" s="83" customFormat="1" ht="20" customHeight="1" x14ac:dyDescent="0.2">
      <c r="A113" s="154"/>
      <c r="B113" s="58" t="s">
        <v>145</v>
      </c>
      <c r="C113" s="59"/>
      <c r="D113" s="59"/>
      <c r="E113" s="60"/>
      <c r="F113" s="61">
        <v>47604</v>
      </c>
      <c r="G113" s="62"/>
      <c r="H113" s="63"/>
      <c r="I113" s="64">
        <f t="shared" si="2208"/>
        <v>0</v>
      </c>
      <c r="J113" s="65">
        <v>3514.55</v>
      </c>
      <c r="K113" s="63"/>
      <c r="L113" s="64">
        <f t="shared" si="2209"/>
        <v>3514.55</v>
      </c>
      <c r="M113" s="65">
        <v>2500</v>
      </c>
      <c r="N113" s="63"/>
      <c r="O113" s="64">
        <f t="shared" si="2210"/>
        <v>2500</v>
      </c>
      <c r="P113" s="65">
        <v>750</v>
      </c>
      <c r="Q113" s="63"/>
      <c r="R113" s="64">
        <f t="shared" si="2211"/>
        <v>750</v>
      </c>
      <c r="S113" s="65">
        <v>181</v>
      </c>
      <c r="T113" s="63"/>
      <c r="U113" s="64">
        <f t="shared" si="2212"/>
        <v>181</v>
      </c>
      <c r="V113" s="66">
        <f t="shared" si="2213"/>
        <v>6945.55</v>
      </c>
      <c r="W113" s="67">
        <f t="shared" si="2213"/>
        <v>0</v>
      </c>
      <c r="X113" s="64">
        <f t="shared" si="2214"/>
        <v>6945.55</v>
      </c>
      <c r="Y113" s="72"/>
      <c r="Z113" s="73"/>
      <c r="AA113" s="74"/>
      <c r="AB113" s="75"/>
      <c r="AC113" s="73"/>
      <c r="AD113" s="74"/>
      <c r="AE113" s="75"/>
      <c r="AF113" s="73"/>
      <c r="AG113" s="74"/>
      <c r="AH113" s="75"/>
      <c r="AI113" s="73"/>
      <c r="AJ113" s="74"/>
      <c r="AK113" s="76"/>
      <c r="AL113" s="77"/>
      <c r="AM113" s="64">
        <f t="shared" si="2215"/>
        <v>0</v>
      </c>
      <c r="AN113" s="62"/>
      <c r="AO113" s="63"/>
      <c r="AP113" s="64">
        <f t="shared" si="2413"/>
        <v>0</v>
      </c>
      <c r="AQ113" s="65"/>
      <c r="AR113" s="63"/>
      <c r="AS113" s="64">
        <f t="shared" si="2216"/>
        <v>0</v>
      </c>
      <c r="AT113" s="65"/>
      <c r="AU113" s="63"/>
      <c r="AV113" s="64">
        <f t="shared" si="2217"/>
        <v>0</v>
      </c>
      <c r="AW113" s="65"/>
      <c r="AX113" s="63"/>
      <c r="AY113" s="64">
        <f t="shared" si="2218"/>
        <v>0</v>
      </c>
      <c r="AZ113" s="66">
        <f t="shared" si="1469"/>
        <v>0</v>
      </c>
      <c r="BA113" s="67">
        <f t="shared" si="2219"/>
        <v>0</v>
      </c>
      <c r="BB113" s="64">
        <f t="shared" si="2220"/>
        <v>0</v>
      </c>
      <c r="BC113" s="62"/>
      <c r="BD113" s="63"/>
      <c r="BE113" s="64">
        <f t="shared" si="2221"/>
        <v>0</v>
      </c>
      <c r="BF113" s="65"/>
      <c r="BG113" s="63"/>
      <c r="BH113" s="64">
        <f t="shared" si="2222"/>
        <v>0</v>
      </c>
      <c r="BI113" s="65"/>
      <c r="BJ113" s="63"/>
      <c r="BK113" s="64">
        <f t="shared" si="2223"/>
        <v>0</v>
      </c>
      <c r="BL113" s="65">
        <v>100</v>
      </c>
      <c r="BM113" s="63"/>
      <c r="BN113" s="64">
        <f t="shared" si="2224"/>
        <v>100</v>
      </c>
      <c r="BO113" s="66">
        <f t="shared" si="1476"/>
        <v>100</v>
      </c>
      <c r="BP113" s="67">
        <f t="shared" si="2225"/>
        <v>0</v>
      </c>
      <c r="BQ113" s="64">
        <f t="shared" si="2226"/>
        <v>100</v>
      </c>
      <c r="BR113" s="72"/>
      <c r="BS113" s="73"/>
      <c r="BT113" s="74"/>
      <c r="BU113" s="75"/>
      <c r="BV113" s="73"/>
      <c r="BW113" s="74"/>
      <c r="BX113" s="75"/>
      <c r="BY113" s="73"/>
      <c r="BZ113" s="74"/>
      <c r="CA113" s="75"/>
      <c r="CB113" s="73"/>
      <c r="CC113" s="74"/>
      <c r="CD113" s="76"/>
      <c r="CE113" s="77"/>
      <c r="CF113" s="64">
        <f t="shared" si="2227"/>
        <v>0</v>
      </c>
      <c r="CG113" s="62"/>
      <c r="CH113" s="63"/>
      <c r="CI113" s="64">
        <f t="shared" si="2228"/>
        <v>0</v>
      </c>
      <c r="CJ113" s="65"/>
      <c r="CK113" s="63"/>
      <c r="CL113" s="64">
        <f t="shared" si="2229"/>
        <v>0</v>
      </c>
      <c r="CM113" s="65"/>
      <c r="CN113" s="63"/>
      <c r="CO113" s="64">
        <f t="shared" si="2230"/>
        <v>0</v>
      </c>
      <c r="CP113" s="65"/>
      <c r="CQ113" s="63"/>
      <c r="CR113" s="64">
        <f t="shared" si="2231"/>
        <v>0</v>
      </c>
      <c r="CS113" s="66">
        <f t="shared" si="1484"/>
        <v>0</v>
      </c>
      <c r="CT113" s="67">
        <f t="shared" si="2232"/>
        <v>0</v>
      </c>
      <c r="CU113" s="64">
        <f t="shared" si="2233"/>
        <v>0</v>
      </c>
      <c r="CV113" s="62">
        <v>2916.7</v>
      </c>
      <c r="CW113" s="63"/>
      <c r="CX113" s="64">
        <f t="shared" si="2234"/>
        <v>2916.7</v>
      </c>
      <c r="CY113" s="65">
        <v>429.15</v>
      </c>
      <c r="CZ113" s="63"/>
      <c r="DA113" s="64">
        <f t="shared" si="2235"/>
        <v>429.15</v>
      </c>
      <c r="DB113" s="65"/>
      <c r="DC113" s="63"/>
      <c r="DD113" s="64">
        <f t="shared" si="2236"/>
        <v>0</v>
      </c>
      <c r="DE113" s="65"/>
      <c r="DF113" s="63"/>
      <c r="DG113" s="64">
        <f t="shared" si="2237"/>
        <v>0</v>
      </c>
      <c r="DH113" s="66">
        <f t="shared" si="1491"/>
        <v>3345.85</v>
      </c>
      <c r="DI113" s="67">
        <f t="shared" si="2238"/>
        <v>0</v>
      </c>
      <c r="DJ113" s="64">
        <f t="shared" si="2239"/>
        <v>3345.85</v>
      </c>
      <c r="DK113" s="62">
        <v>2400</v>
      </c>
      <c r="DL113" s="63"/>
      <c r="DM113" s="64">
        <f t="shared" si="2240"/>
        <v>2400</v>
      </c>
      <c r="DN113" s="65">
        <v>913.08</v>
      </c>
      <c r="DO113" s="63"/>
      <c r="DP113" s="64">
        <f t="shared" si="2241"/>
        <v>913.08</v>
      </c>
      <c r="DQ113" s="65"/>
      <c r="DR113" s="63"/>
      <c r="DS113" s="64">
        <f t="shared" si="2242"/>
        <v>0</v>
      </c>
      <c r="DT113" s="65">
        <v>100</v>
      </c>
      <c r="DU113" s="63"/>
      <c r="DV113" s="64">
        <f t="shared" si="2243"/>
        <v>100</v>
      </c>
      <c r="DW113" s="66">
        <f t="shared" si="1498"/>
        <v>3413.08</v>
      </c>
      <c r="DX113" s="67">
        <f t="shared" si="2244"/>
        <v>0</v>
      </c>
      <c r="DY113" s="64">
        <f t="shared" si="2245"/>
        <v>3413.08</v>
      </c>
      <c r="DZ113" s="62"/>
      <c r="EA113" s="63"/>
      <c r="EB113" s="64">
        <f t="shared" si="2246"/>
        <v>0</v>
      </c>
      <c r="EC113" s="65"/>
      <c r="ED113" s="63"/>
      <c r="EE113" s="64">
        <f t="shared" si="2247"/>
        <v>0</v>
      </c>
      <c r="EF113" s="65"/>
      <c r="EG113" s="63"/>
      <c r="EH113" s="64">
        <f t="shared" si="2248"/>
        <v>0</v>
      </c>
      <c r="EI113" s="65">
        <v>100</v>
      </c>
      <c r="EJ113" s="63"/>
      <c r="EK113" s="64">
        <f t="shared" si="2249"/>
        <v>100</v>
      </c>
      <c r="EL113" s="66">
        <f t="shared" si="1505"/>
        <v>100</v>
      </c>
      <c r="EM113" s="67">
        <f t="shared" si="2250"/>
        <v>0</v>
      </c>
      <c r="EN113" s="64">
        <f t="shared" si="2251"/>
        <v>100</v>
      </c>
      <c r="EO113" s="62"/>
      <c r="EP113" s="63"/>
      <c r="EQ113" s="64">
        <f t="shared" si="2252"/>
        <v>0</v>
      </c>
      <c r="ER113" s="65"/>
      <c r="ES113" s="63"/>
      <c r="ET113" s="64">
        <f t="shared" si="2253"/>
        <v>0</v>
      </c>
      <c r="EU113" s="65">
        <v>4500</v>
      </c>
      <c r="EV113" s="63"/>
      <c r="EW113" s="64">
        <f t="shared" si="2254"/>
        <v>4500</v>
      </c>
      <c r="EX113" s="65">
        <v>100</v>
      </c>
      <c r="EY113" s="63"/>
      <c r="EZ113" s="64">
        <f t="shared" si="2255"/>
        <v>100</v>
      </c>
      <c r="FA113" s="66">
        <f t="shared" si="1512"/>
        <v>4600</v>
      </c>
      <c r="FB113" s="67">
        <f t="shared" si="2256"/>
        <v>0</v>
      </c>
      <c r="FC113" s="64">
        <f t="shared" si="2257"/>
        <v>4600</v>
      </c>
      <c r="FD113" s="62"/>
      <c r="FE113" s="63"/>
      <c r="FF113" s="64">
        <f t="shared" si="2258"/>
        <v>0</v>
      </c>
      <c r="FG113" s="65"/>
      <c r="FH113" s="63"/>
      <c r="FI113" s="64">
        <f t="shared" si="2259"/>
        <v>0</v>
      </c>
      <c r="FJ113" s="65">
        <v>4500</v>
      </c>
      <c r="FK113" s="63"/>
      <c r="FL113" s="64">
        <f t="shared" si="2260"/>
        <v>4500</v>
      </c>
      <c r="FM113" s="65">
        <v>100</v>
      </c>
      <c r="FN113" s="63"/>
      <c r="FO113" s="64">
        <f t="shared" si="2261"/>
        <v>100</v>
      </c>
      <c r="FP113" s="66">
        <f t="shared" si="1519"/>
        <v>4600</v>
      </c>
      <c r="FQ113" s="67">
        <f t="shared" si="2262"/>
        <v>0</v>
      </c>
      <c r="FR113" s="64">
        <f t="shared" si="2263"/>
        <v>4600</v>
      </c>
      <c r="FS113" s="62"/>
      <c r="FT113" s="63"/>
      <c r="FU113" s="64">
        <f t="shared" si="2264"/>
        <v>0</v>
      </c>
      <c r="FV113" s="65">
        <v>485.35</v>
      </c>
      <c r="FW113" s="63"/>
      <c r="FX113" s="64">
        <f t="shared" si="2265"/>
        <v>485.35</v>
      </c>
      <c r="FY113" s="65"/>
      <c r="FZ113" s="63"/>
      <c r="GA113" s="64">
        <f t="shared" si="2266"/>
        <v>0</v>
      </c>
      <c r="GB113" s="65"/>
      <c r="GC113" s="63"/>
      <c r="GD113" s="64">
        <f t="shared" si="2267"/>
        <v>0</v>
      </c>
      <c r="GE113" s="66">
        <f t="shared" si="1526"/>
        <v>485.35</v>
      </c>
      <c r="GF113" s="67">
        <f t="shared" si="2268"/>
        <v>0</v>
      </c>
      <c r="GG113" s="64">
        <f t="shared" si="2269"/>
        <v>485.35</v>
      </c>
      <c r="GH113" s="62"/>
      <c r="GI113" s="63"/>
      <c r="GJ113" s="64">
        <f t="shared" si="2270"/>
        <v>0</v>
      </c>
      <c r="GK113" s="65">
        <v>660.33</v>
      </c>
      <c r="GL113" s="63"/>
      <c r="GM113" s="64">
        <f t="shared" si="2271"/>
        <v>660.33</v>
      </c>
      <c r="GN113" s="65"/>
      <c r="GO113" s="63"/>
      <c r="GP113" s="64">
        <f t="shared" si="2272"/>
        <v>0</v>
      </c>
      <c r="GQ113" s="65"/>
      <c r="GR113" s="63"/>
      <c r="GS113" s="64">
        <f t="shared" si="2273"/>
        <v>0</v>
      </c>
      <c r="GT113" s="66">
        <f t="shared" si="1533"/>
        <v>660.33</v>
      </c>
      <c r="GU113" s="67">
        <f t="shared" si="2274"/>
        <v>0</v>
      </c>
      <c r="GV113" s="64">
        <f t="shared" si="2275"/>
        <v>660.33</v>
      </c>
      <c r="GW113" s="62"/>
      <c r="GX113" s="63"/>
      <c r="GY113" s="64">
        <f t="shared" si="2276"/>
        <v>0</v>
      </c>
      <c r="GZ113" s="65">
        <v>568.25</v>
      </c>
      <c r="HA113" s="63"/>
      <c r="HB113" s="64">
        <f t="shared" si="2277"/>
        <v>568.25</v>
      </c>
      <c r="HC113" s="65"/>
      <c r="HD113" s="63"/>
      <c r="HE113" s="64">
        <f t="shared" si="2278"/>
        <v>0</v>
      </c>
      <c r="HF113" s="65">
        <v>100</v>
      </c>
      <c r="HG113" s="63"/>
      <c r="HH113" s="64">
        <f t="shared" si="2279"/>
        <v>100</v>
      </c>
      <c r="HI113" s="66">
        <f t="shared" si="1540"/>
        <v>668.25</v>
      </c>
      <c r="HJ113" s="67">
        <f t="shared" si="2280"/>
        <v>0</v>
      </c>
      <c r="HK113" s="64">
        <f t="shared" si="2281"/>
        <v>668.25</v>
      </c>
      <c r="HL113" s="62"/>
      <c r="HM113" s="63"/>
      <c r="HN113" s="64">
        <f t="shared" si="2282"/>
        <v>0</v>
      </c>
      <c r="HO113" s="65"/>
      <c r="HP113" s="63"/>
      <c r="HQ113" s="64">
        <f t="shared" si="2283"/>
        <v>0</v>
      </c>
      <c r="HR113" s="65"/>
      <c r="HS113" s="63"/>
      <c r="HT113" s="64">
        <f t="shared" si="2284"/>
        <v>0</v>
      </c>
      <c r="HU113" s="65">
        <v>100</v>
      </c>
      <c r="HV113" s="63"/>
      <c r="HW113" s="64">
        <f t="shared" si="2285"/>
        <v>100</v>
      </c>
      <c r="HX113" s="66">
        <f t="shared" si="1547"/>
        <v>100</v>
      </c>
      <c r="HY113" s="67">
        <f t="shared" si="2286"/>
        <v>0</v>
      </c>
      <c r="HZ113" s="64">
        <f t="shared" si="2287"/>
        <v>100</v>
      </c>
      <c r="IA113" s="62"/>
      <c r="IB113" s="63"/>
      <c r="IC113" s="64">
        <f t="shared" si="2288"/>
        <v>0</v>
      </c>
      <c r="ID113" s="65"/>
      <c r="IE113" s="63"/>
      <c r="IF113" s="64">
        <f t="shared" si="2289"/>
        <v>0</v>
      </c>
      <c r="IG113" s="65"/>
      <c r="IH113" s="63"/>
      <c r="II113" s="64">
        <f t="shared" si="2290"/>
        <v>0</v>
      </c>
      <c r="IJ113" s="65">
        <v>100</v>
      </c>
      <c r="IK113" s="63"/>
      <c r="IL113" s="64">
        <f t="shared" si="2291"/>
        <v>100</v>
      </c>
      <c r="IM113" s="66">
        <f t="shared" si="1554"/>
        <v>100</v>
      </c>
      <c r="IN113" s="67">
        <f t="shared" si="2292"/>
        <v>0</v>
      </c>
      <c r="IO113" s="64">
        <f t="shared" si="2293"/>
        <v>100</v>
      </c>
      <c r="IP113" s="62"/>
      <c r="IQ113" s="63"/>
      <c r="IR113" s="64">
        <f t="shared" si="2294"/>
        <v>0</v>
      </c>
      <c r="IS113" s="65"/>
      <c r="IT113" s="63"/>
      <c r="IU113" s="64">
        <f t="shared" si="2295"/>
        <v>0</v>
      </c>
      <c r="IV113" s="65"/>
      <c r="IW113" s="63"/>
      <c r="IX113" s="64">
        <f t="shared" si="2296"/>
        <v>0</v>
      </c>
      <c r="IY113" s="65"/>
      <c r="IZ113" s="63"/>
      <c r="JA113" s="64">
        <f t="shared" si="2297"/>
        <v>0</v>
      </c>
      <c r="JB113" s="66">
        <f t="shared" si="1561"/>
        <v>0</v>
      </c>
      <c r="JC113" s="67">
        <f t="shared" si="2298"/>
        <v>0</v>
      </c>
      <c r="JD113" s="64">
        <f t="shared" si="2299"/>
        <v>0</v>
      </c>
      <c r="JE113" s="72"/>
      <c r="JF113" s="150"/>
      <c r="JG113" s="74"/>
      <c r="JH113" s="75"/>
      <c r="JI113" s="150"/>
      <c r="JJ113" s="74"/>
      <c r="JK113" s="75"/>
      <c r="JL113" s="150"/>
      <c r="JM113" s="74"/>
      <c r="JN113" s="75"/>
      <c r="JO113" s="150"/>
      <c r="JP113" s="74"/>
      <c r="JQ113" s="76"/>
      <c r="JR113" s="77"/>
      <c r="JS113" s="74"/>
      <c r="JT113" s="72"/>
      <c r="JU113" s="73"/>
      <c r="JV113" s="74"/>
      <c r="JW113" s="75"/>
      <c r="JX113" s="73"/>
      <c r="JY113" s="74"/>
      <c r="JZ113" s="75"/>
      <c r="KA113" s="73"/>
      <c r="KB113" s="74"/>
      <c r="KC113" s="75"/>
      <c r="KD113" s="73"/>
      <c r="KE113" s="74"/>
      <c r="KF113" s="76"/>
      <c r="KG113" s="77"/>
      <c r="KH113" s="64">
        <f t="shared" si="2300"/>
        <v>0</v>
      </c>
      <c r="KI113" s="62"/>
      <c r="KJ113" s="63"/>
      <c r="KK113" s="64">
        <f t="shared" si="2301"/>
        <v>0</v>
      </c>
      <c r="KL113" s="65"/>
      <c r="KM113" s="63"/>
      <c r="KN113" s="64">
        <f t="shared" si="2302"/>
        <v>0</v>
      </c>
      <c r="KO113" s="65"/>
      <c r="KP113" s="63"/>
      <c r="KQ113" s="64">
        <f t="shared" si="2303"/>
        <v>0</v>
      </c>
      <c r="KR113" s="65"/>
      <c r="KS113" s="63"/>
      <c r="KT113" s="64">
        <f t="shared" si="2304"/>
        <v>0</v>
      </c>
      <c r="KU113" s="66">
        <f t="shared" si="1439"/>
        <v>0</v>
      </c>
      <c r="KV113" s="67">
        <f t="shared" si="2305"/>
        <v>0</v>
      </c>
      <c r="KW113" s="64">
        <f t="shared" si="2306"/>
        <v>0</v>
      </c>
      <c r="KX113" s="72"/>
      <c r="KY113" s="73"/>
      <c r="KZ113" s="74"/>
      <c r="LA113" s="75"/>
      <c r="LB113" s="73"/>
      <c r="LC113" s="74"/>
      <c r="LD113" s="75"/>
      <c r="LE113" s="73"/>
      <c r="LF113" s="74"/>
      <c r="LG113" s="75"/>
      <c r="LH113" s="73"/>
      <c r="LI113" s="74"/>
      <c r="LJ113" s="76"/>
      <c r="LK113" s="77"/>
      <c r="LL113" s="74"/>
      <c r="LM113" s="62"/>
      <c r="LN113" s="63"/>
      <c r="LO113" s="64">
        <f t="shared" si="2307"/>
        <v>0</v>
      </c>
      <c r="LP113" s="65"/>
      <c r="LQ113" s="63"/>
      <c r="LR113" s="64">
        <f t="shared" si="2308"/>
        <v>0</v>
      </c>
      <c r="LS113" s="65"/>
      <c r="LT113" s="63"/>
      <c r="LU113" s="64">
        <f t="shared" si="2309"/>
        <v>0</v>
      </c>
      <c r="LV113" s="65">
        <v>100</v>
      </c>
      <c r="LW113" s="63"/>
      <c r="LX113" s="64">
        <f t="shared" si="2310"/>
        <v>100</v>
      </c>
      <c r="LY113" s="66">
        <f t="shared" si="1575"/>
        <v>100</v>
      </c>
      <c r="LZ113" s="67">
        <f t="shared" si="2311"/>
        <v>0</v>
      </c>
      <c r="MA113" s="64">
        <f t="shared" si="2312"/>
        <v>100</v>
      </c>
      <c r="MB113" s="62"/>
      <c r="MC113" s="63"/>
      <c r="MD113" s="64">
        <f t="shared" si="2313"/>
        <v>0</v>
      </c>
      <c r="ME113" s="65">
        <v>889.11</v>
      </c>
      <c r="MF113" s="63"/>
      <c r="MG113" s="64">
        <f t="shared" si="2314"/>
        <v>889.11</v>
      </c>
      <c r="MH113" s="65"/>
      <c r="MI113" s="63"/>
      <c r="MJ113" s="64">
        <f t="shared" si="2315"/>
        <v>0</v>
      </c>
      <c r="MK113" s="65">
        <v>100</v>
      </c>
      <c r="ML113" s="63"/>
      <c r="MM113" s="64">
        <f t="shared" si="2316"/>
        <v>100</v>
      </c>
      <c r="MN113" s="66">
        <f t="shared" si="1582"/>
        <v>989.11</v>
      </c>
      <c r="MO113" s="67">
        <f t="shared" si="2317"/>
        <v>0</v>
      </c>
      <c r="MP113" s="64">
        <f t="shared" si="2318"/>
        <v>989.11</v>
      </c>
      <c r="MQ113" s="62"/>
      <c r="MR113" s="63"/>
      <c r="MS113" s="64">
        <f t="shared" si="2319"/>
        <v>0</v>
      </c>
      <c r="MT113" s="65"/>
      <c r="MU113" s="63"/>
      <c r="MV113" s="64">
        <f t="shared" si="2320"/>
        <v>0</v>
      </c>
      <c r="MW113" s="65"/>
      <c r="MX113" s="63"/>
      <c r="MY113" s="64">
        <f t="shared" si="2321"/>
        <v>0</v>
      </c>
      <c r="MZ113" s="65"/>
      <c r="NA113" s="63"/>
      <c r="NB113" s="64">
        <f t="shared" si="2322"/>
        <v>0</v>
      </c>
      <c r="NC113" s="66">
        <f t="shared" si="1589"/>
        <v>0</v>
      </c>
      <c r="ND113" s="67">
        <f t="shared" si="2323"/>
        <v>0</v>
      </c>
      <c r="NE113" s="64">
        <f t="shared" si="2324"/>
        <v>0</v>
      </c>
      <c r="NF113" s="62"/>
      <c r="NG113" s="63"/>
      <c r="NH113" s="64">
        <f t="shared" si="2325"/>
        <v>0</v>
      </c>
      <c r="NI113" s="65">
        <v>1164.04</v>
      </c>
      <c r="NJ113" s="63"/>
      <c r="NK113" s="64">
        <f t="shared" si="2326"/>
        <v>1164.04</v>
      </c>
      <c r="NL113" s="65"/>
      <c r="NM113" s="63"/>
      <c r="NN113" s="64">
        <f t="shared" si="2327"/>
        <v>0</v>
      </c>
      <c r="NO113" s="65">
        <v>100</v>
      </c>
      <c r="NP113" s="63"/>
      <c r="NQ113" s="64">
        <f t="shared" si="2328"/>
        <v>100</v>
      </c>
      <c r="NR113" s="66">
        <f t="shared" si="1596"/>
        <v>1264.04</v>
      </c>
      <c r="NS113" s="67">
        <f t="shared" si="2329"/>
        <v>0</v>
      </c>
      <c r="NT113" s="64">
        <f t="shared" si="2330"/>
        <v>1264.04</v>
      </c>
      <c r="NU113" s="62"/>
      <c r="NV113" s="63"/>
      <c r="NW113" s="64">
        <f t="shared" si="2331"/>
        <v>0</v>
      </c>
      <c r="NX113" s="65">
        <v>1152.73</v>
      </c>
      <c r="NY113" s="63"/>
      <c r="NZ113" s="64">
        <f t="shared" si="2332"/>
        <v>1152.73</v>
      </c>
      <c r="OA113" s="65"/>
      <c r="OB113" s="63"/>
      <c r="OC113" s="64">
        <f t="shared" si="2333"/>
        <v>0</v>
      </c>
      <c r="OD113" s="65">
        <v>100</v>
      </c>
      <c r="OE113" s="63"/>
      <c r="OF113" s="64">
        <f t="shared" si="2334"/>
        <v>100</v>
      </c>
      <c r="OG113" s="66">
        <f t="shared" si="1603"/>
        <v>1252.73</v>
      </c>
      <c r="OH113" s="67">
        <f t="shared" si="2335"/>
        <v>0</v>
      </c>
      <c r="OI113" s="64">
        <f t="shared" si="2336"/>
        <v>1252.73</v>
      </c>
      <c r="OJ113" s="62"/>
      <c r="OK113" s="63"/>
      <c r="OL113" s="64">
        <f t="shared" si="2337"/>
        <v>0</v>
      </c>
      <c r="OM113" s="65"/>
      <c r="ON113" s="63"/>
      <c r="OO113" s="64">
        <f t="shared" si="2338"/>
        <v>0</v>
      </c>
      <c r="OP113" s="65"/>
      <c r="OQ113" s="63"/>
      <c r="OR113" s="64">
        <f t="shared" si="2339"/>
        <v>0</v>
      </c>
      <c r="OS113" s="65">
        <v>100</v>
      </c>
      <c r="OT113" s="63"/>
      <c r="OU113" s="64">
        <f t="shared" si="2340"/>
        <v>100</v>
      </c>
      <c r="OV113" s="66">
        <f t="shared" si="1610"/>
        <v>100</v>
      </c>
      <c r="OW113" s="67">
        <f t="shared" si="2341"/>
        <v>0</v>
      </c>
      <c r="OX113" s="64">
        <f t="shared" si="2342"/>
        <v>100</v>
      </c>
      <c r="OY113" s="62"/>
      <c r="OZ113" s="63"/>
      <c r="PA113" s="64">
        <f t="shared" si="2343"/>
        <v>0</v>
      </c>
      <c r="PB113" s="65"/>
      <c r="PC113" s="63"/>
      <c r="PD113" s="64">
        <f t="shared" si="2344"/>
        <v>0</v>
      </c>
      <c r="PE113" s="65"/>
      <c r="PF113" s="63"/>
      <c r="PG113" s="64">
        <f t="shared" si="2345"/>
        <v>0</v>
      </c>
      <c r="PH113" s="65">
        <v>100</v>
      </c>
      <c r="PI113" s="63"/>
      <c r="PJ113" s="64">
        <f t="shared" si="2346"/>
        <v>100</v>
      </c>
      <c r="PK113" s="66">
        <f t="shared" si="1617"/>
        <v>100</v>
      </c>
      <c r="PL113" s="67">
        <f t="shared" si="2347"/>
        <v>0</v>
      </c>
      <c r="PM113" s="64">
        <f t="shared" si="2348"/>
        <v>100</v>
      </c>
      <c r="PN113" s="62">
        <v>1550</v>
      </c>
      <c r="PO113" s="63"/>
      <c r="PP113" s="64">
        <f t="shared" si="2349"/>
        <v>1550</v>
      </c>
      <c r="PQ113" s="65"/>
      <c r="PR113" s="63"/>
      <c r="PS113" s="64">
        <f t="shared" si="2350"/>
        <v>0</v>
      </c>
      <c r="PT113" s="65"/>
      <c r="PU113" s="63"/>
      <c r="PV113" s="64">
        <f t="shared" si="2351"/>
        <v>0</v>
      </c>
      <c r="PW113" s="65">
        <v>100</v>
      </c>
      <c r="PX113" s="63"/>
      <c r="PY113" s="64">
        <f t="shared" si="2352"/>
        <v>100</v>
      </c>
      <c r="PZ113" s="66">
        <f t="shared" si="1624"/>
        <v>1650</v>
      </c>
      <c r="QA113" s="67">
        <f t="shared" si="2353"/>
        <v>0</v>
      </c>
      <c r="QB113" s="64">
        <f t="shared" si="2354"/>
        <v>1650</v>
      </c>
      <c r="QC113" s="62"/>
      <c r="QD113" s="63"/>
      <c r="QE113" s="64">
        <f t="shared" si="2355"/>
        <v>0</v>
      </c>
      <c r="QF113" s="65"/>
      <c r="QG113" s="63"/>
      <c r="QH113" s="64">
        <f t="shared" si="2356"/>
        <v>0</v>
      </c>
      <c r="QI113" s="65"/>
      <c r="QJ113" s="63"/>
      <c r="QK113" s="64">
        <f t="shared" si="2357"/>
        <v>0</v>
      </c>
      <c r="QL113" s="65">
        <v>100</v>
      </c>
      <c r="QM113" s="63"/>
      <c r="QN113" s="64">
        <f t="shared" si="2358"/>
        <v>100</v>
      </c>
      <c r="QO113" s="66">
        <f t="shared" si="1631"/>
        <v>100</v>
      </c>
      <c r="QP113" s="67">
        <f t="shared" si="2359"/>
        <v>0</v>
      </c>
      <c r="QQ113" s="64">
        <f t="shared" si="2360"/>
        <v>100</v>
      </c>
      <c r="QR113" s="74"/>
      <c r="QS113" s="74"/>
      <c r="QT113" s="72"/>
      <c r="QU113" s="73"/>
      <c r="QV113" s="74"/>
      <c r="QW113" s="75"/>
      <c r="QX113" s="73"/>
      <c r="QY113" s="74"/>
      <c r="QZ113" s="75"/>
      <c r="RA113" s="73"/>
      <c r="RB113" s="74"/>
      <c r="RC113" s="75"/>
      <c r="RD113" s="73"/>
      <c r="RE113" s="74"/>
      <c r="RF113" s="74"/>
      <c r="RG113" s="72"/>
      <c r="RH113" s="73"/>
      <c r="RI113" s="74"/>
      <c r="RJ113" s="75"/>
      <c r="RK113" s="73"/>
      <c r="RL113" s="74"/>
      <c r="RM113" s="75"/>
      <c r="RN113" s="73"/>
      <c r="RO113" s="74"/>
      <c r="RP113" s="75"/>
      <c r="RQ113" s="73"/>
      <c r="RR113" s="74"/>
      <c r="RS113" s="76"/>
      <c r="RT113" s="77"/>
      <c r="RU113" s="74"/>
      <c r="RV113" s="74"/>
      <c r="RW113" s="72"/>
      <c r="RX113" s="73"/>
      <c r="RY113" s="74"/>
      <c r="RZ113" s="75"/>
      <c r="SA113" s="73"/>
      <c r="SB113" s="74"/>
      <c r="SC113" s="75"/>
      <c r="SD113" s="73"/>
      <c r="SE113" s="74"/>
      <c r="SF113" s="75"/>
      <c r="SG113" s="73"/>
      <c r="SH113" s="74"/>
      <c r="SI113" s="76"/>
      <c r="SJ113" s="64">
        <f t="shared" si="2361"/>
        <v>0</v>
      </c>
      <c r="SK113" s="62"/>
      <c r="SL113" s="63"/>
      <c r="SM113" s="64">
        <f t="shared" si="2362"/>
        <v>0</v>
      </c>
      <c r="SN113" s="65"/>
      <c r="SO113" s="63"/>
      <c r="SP113" s="64">
        <f t="shared" si="2363"/>
        <v>0</v>
      </c>
      <c r="SQ113" s="65"/>
      <c r="SR113" s="63"/>
      <c r="SS113" s="64">
        <f t="shared" si="2364"/>
        <v>0</v>
      </c>
      <c r="ST113" s="65">
        <v>100</v>
      </c>
      <c r="SU113" s="63"/>
      <c r="SV113" s="64">
        <f t="shared" si="2365"/>
        <v>100</v>
      </c>
      <c r="SW113" s="66">
        <f t="shared" si="1639"/>
        <v>100</v>
      </c>
      <c r="SX113" s="67">
        <f t="shared" si="2366"/>
        <v>0</v>
      </c>
      <c r="SY113" s="64">
        <f t="shared" si="2367"/>
        <v>100</v>
      </c>
      <c r="SZ113" s="62">
        <v>985.33</v>
      </c>
      <c r="TA113" s="63"/>
      <c r="TB113" s="64">
        <f t="shared" si="2368"/>
        <v>985.33</v>
      </c>
      <c r="TC113" s="65">
        <v>700.9</v>
      </c>
      <c r="TD113" s="63"/>
      <c r="TE113" s="64">
        <f t="shared" si="2369"/>
        <v>700.9</v>
      </c>
      <c r="TF113" s="65"/>
      <c r="TG113" s="63"/>
      <c r="TH113" s="64">
        <f t="shared" si="2370"/>
        <v>0</v>
      </c>
      <c r="TI113" s="65">
        <v>100</v>
      </c>
      <c r="TJ113" s="63"/>
      <c r="TK113" s="64">
        <f t="shared" si="2371"/>
        <v>100</v>
      </c>
      <c r="TL113" s="66">
        <f t="shared" si="1646"/>
        <v>1786.23</v>
      </c>
      <c r="TM113" s="67">
        <f t="shared" si="2372"/>
        <v>0</v>
      </c>
      <c r="TN113" s="64">
        <f t="shared" si="2373"/>
        <v>1786.23</v>
      </c>
      <c r="TO113" s="62"/>
      <c r="TP113" s="63"/>
      <c r="TQ113" s="64">
        <f t="shared" si="2374"/>
        <v>0</v>
      </c>
      <c r="TR113" s="65"/>
      <c r="TS113" s="63"/>
      <c r="TT113" s="64">
        <f t="shared" si="2375"/>
        <v>0</v>
      </c>
      <c r="TU113" s="65"/>
      <c r="TV113" s="63"/>
      <c r="TW113" s="64">
        <f t="shared" si="2376"/>
        <v>0</v>
      </c>
      <c r="TX113" s="65">
        <v>100</v>
      </c>
      <c r="TY113" s="63"/>
      <c r="TZ113" s="64">
        <f t="shared" si="2377"/>
        <v>100</v>
      </c>
      <c r="UA113" s="66">
        <f t="shared" si="1653"/>
        <v>100</v>
      </c>
      <c r="UB113" s="67">
        <f t="shared" si="2378"/>
        <v>0</v>
      </c>
      <c r="UC113" s="64">
        <f t="shared" si="2379"/>
        <v>100</v>
      </c>
      <c r="UD113" s="62">
        <v>1125</v>
      </c>
      <c r="UE113" s="63"/>
      <c r="UF113" s="64">
        <f t="shared" si="2380"/>
        <v>1125</v>
      </c>
      <c r="UG113" s="65">
        <v>497.04</v>
      </c>
      <c r="UH113" s="63"/>
      <c r="UI113" s="64">
        <f t="shared" si="2381"/>
        <v>497.04</v>
      </c>
      <c r="UJ113" s="65"/>
      <c r="UK113" s="63"/>
      <c r="UL113" s="64">
        <f t="shared" si="2382"/>
        <v>0</v>
      </c>
      <c r="UM113" s="65">
        <v>100</v>
      </c>
      <c r="UN113" s="63"/>
      <c r="UO113" s="64">
        <f t="shared" si="2383"/>
        <v>100</v>
      </c>
      <c r="UP113" s="66">
        <f t="shared" si="1660"/>
        <v>1722.04</v>
      </c>
      <c r="UQ113" s="67">
        <f t="shared" si="2384"/>
        <v>0</v>
      </c>
      <c r="UR113" s="64">
        <f t="shared" si="2385"/>
        <v>1722.04</v>
      </c>
      <c r="US113" s="74"/>
      <c r="UT113" s="72"/>
      <c r="UU113" s="73"/>
      <c r="UV113" s="74"/>
      <c r="UW113" s="75"/>
      <c r="UX113" s="73"/>
      <c r="UY113" s="74"/>
      <c r="UZ113" s="75"/>
      <c r="VA113" s="73"/>
      <c r="VB113" s="74"/>
      <c r="VC113" s="75"/>
      <c r="VD113" s="73"/>
      <c r="VE113" s="74"/>
      <c r="VF113" s="76"/>
      <c r="VG113" s="77"/>
      <c r="VH113" s="62"/>
      <c r="VI113" s="63"/>
      <c r="VJ113" s="64">
        <f t="shared" si="2386"/>
        <v>0</v>
      </c>
      <c r="VK113" s="65"/>
      <c r="VL113" s="63"/>
      <c r="VM113" s="64">
        <f t="shared" si="2387"/>
        <v>0</v>
      </c>
      <c r="VN113" s="65"/>
      <c r="VO113" s="63"/>
      <c r="VP113" s="64">
        <f t="shared" si="2388"/>
        <v>0</v>
      </c>
      <c r="VQ113" s="65">
        <v>100</v>
      </c>
      <c r="VR113" s="63"/>
      <c r="VS113" s="64">
        <f t="shared" si="2389"/>
        <v>100</v>
      </c>
      <c r="VT113" s="66">
        <f t="shared" si="1667"/>
        <v>100</v>
      </c>
      <c r="VU113" s="67">
        <f t="shared" si="2390"/>
        <v>0</v>
      </c>
      <c r="VV113" s="64">
        <f t="shared" si="2391"/>
        <v>100</v>
      </c>
      <c r="VW113" s="74"/>
      <c r="VX113" s="72"/>
      <c r="VY113" s="73"/>
      <c r="VZ113" s="74"/>
      <c r="WA113" s="75"/>
      <c r="WB113" s="73"/>
      <c r="WC113" s="74"/>
      <c r="WD113" s="75"/>
      <c r="WE113" s="73"/>
      <c r="WF113" s="74"/>
      <c r="WG113" s="75"/>
      <c r="WH113" s="73"/>
      <c r="WI113" s="74"/>
      <c r="WJ113" s="76"/>
      <c r="WK113" s="77"/>
      <c r="WL113" s="74"/>
      <c r="WM113" s="72"/>
      <c r="WN113" s="73"/>
      <c r="WO113" s="74"/>
      <c r="WP113" s="75"/>
      <c r="WQ113" s="73"/>
      <c r="WR113" s="74"/>
      <c r="WS113" s="75"/>
      <c r="WT113" s="73"/>
      <c r="WU113" s="74"/>
      <c r="WV113" s="75"/>
      <c r="WW113" s="73"/>
      <c r="WX113" s="74"/>
      <c r="WY113" s="76"/>
      <c r="WZ113" s="77"/>
      <c r="XA113" s="74"/>
      <c r="XB113" s="72"/>
      <c r="XC113" s="73"/>
      <c r="XD113" s="74"/>
      <c r="XE113" s="75"/>
      <c r="XF113" s="73"/>
      <c r="XG113" s="74"/>
      <c r="XH113" s="75"/>
      <c r="XI113" s="73"/>
      <c r="XJ113" s="74"/>
      <c r="XK113" s="75"/>
      <c r="XL113" s="73"/>
      <c r="XM113" s="74"/>
      <c r="XN113" s="76"/>
      <c r="XO113" s="77"/>
      <c r="XP113" s="62"/>
      <c r="XQ113" s="63"/>
      <c r="XR113" s="64">
        <f t="shared" si="2392"/>
        <v>0</v>
      </c>
      <c r="XS113" s="65">
        <v>844.24</v>
      </c>
      <c r="XT113" s="63"/>
      <c r="XU113" s="64">
        <f t="shared" si="2393"/>
        <v>844.24</v>
      </c>
      <c r="XV113" s="65"/>
      <c r="XW113" s="63"/>
      <c r="XX113" s="64">
        <f t="shared" si="2394"/>
        <v>0</v>
      </c>
      <c r="XY113" s="65">
        <v>100</v>
      </c>
      <c r="XZ113" s="63"/>
      <c r="YA113" s="64">
        <f t="shared" si="2395"/>
        <v>100</v>
      </c>
      <c r="YB113" s="66">
        <f t="shared" si="1674"/>
        <v>944.24</v>
      </c>
      <c r="YC113" s="67">
        <f t="shared" si="2396"/>
        <v>0</v>
      </c>
      <c r="YD113" s="64">
        <f t="shared" si="2397"/>
        <v>944.24</v>
      </c>
      <c r="YE113" s="62"/>
      <c r="YF113" s="63"/>
      <c r="YG113" s="64">
        <f t="shared" si="2398"/>
        <v>0</v>
      </c>
      <c r="YH113" s="65">
        <v>847.85</v>
      </c>
      <c r="YI113" s="63"/>
      <c r="YJ113" s="64">
        <f t="shared" si="2399"/>
        <v>847.85</v>
      </c>
      <c r="YK113" s="65"/>
      <c r="YL113" s="63"/>
      <c r="YM113" s="64">
        <f t="shared" si="2400"/>
        <v>0</v>
      </c>
      <c r="YN113" s="65">
        <v>100</v>
      </c>
      <c r="YO113" s="63"/>
      <c r="YP113" s="64">
        <f t="shared" si="2401"/>
        <v>100</v>
      </c>
      <c r="YQ113" s="66">
        <f t="shared" si="1681"/>
        <v>947.85</v>
      </c>
      <c r="YR113" s="67">
        <f t="shared" si="2402"/>
        <v>0</v>
      </c>
      <c r="YS113" s="64">
        <f t="shared" si="2403"/>
        <v>947.85</v>
      </c>
      <c r="YT113" s="62"/>
      <c r="YU113" s="63"/>
      <c r="YV113" s="64">
        <f t="shared" si="2404"/>
        <v>0</v>
      </c>
      <c r="YW113" s="65">
        <v>695.73</v>
      </c>
      <c r="YX113" s="63"/>
      <c r="YY113" s="64">
        <f t="shared" si="2405"/>
        <v>695.73</v>
      </c>
      <c r="YZ113" s="65"/>
      <c r="ZA113" s="63"/>
      <c r="ZB113" s="64">
        <f t="shared" si="2406"/>
        <v>0</v>
      </c>
      <c r="ZC113" s="65">
        <v>100</v>
      </c>
      <c r="ZD113" s="63"/>
      <c r="ZE113" s="64">
        <f t="shared" si="2407"/>
        <v>100</v>
      </c>
      <c r="ZF113" s="66">
        <f t="shared" si="1688"/>
        <v>795.73</v>
      </c>
      <c r="ZG113" s="67">
        <f t="shared" si="2408"/>
        <v>0</v>
      </c>
      <c r="ZH113" s="74"/>
      <c r="ZI113" s="72"/>
      <c r="ZJ113" s="73"/>
      <c r="ZK113" s="74"/>
      <c r="ZL113" s="75"/>
      <c r="ZM113" s="73"/>
      <c r="ZN113" s="74"/>
      <c r="ZO113" s="75"/>
      <c r="ZP113" s="73"/>
      <c r="ZQ113" s="74"/>
      <c r="ZR113" s="75"/>
      <c r="ZS113" s="73"/>
      <c r="ZT113" s="74"/>
      <c r="ZU113" s="76"/>
      <c r="ZV113" s="77"/>
      <c r="ZW113" s="64">
        <f t="shared" si="2409"/>
        <v>0</v>
      </c>
      <c r="ZX113" s="62">
        <v>24.71</v>
      </c>
      <c r="ZY113" s="63"/>
      <c r="ZZ113" s="64">
        <f t="shared" si="2410"/>
        <v>24.71</v>
      </c>
      <c r="AAA113" s="66">
        <f t="shared" si="1692"/>
        <v>24.71</v>
      </c>
      <c r="AAB113" s="67">
        <f t="shared" si="1692"/>
        <v>0</v>
      </c>
      <c r="AAC113" s="64">
        <f t="shared" si="2411"/>
        <v>24.71</v>
      </c>
      <c r="AAD113" s="85">
        <f t="shared" si="1694"/>
        <v>37170.380000000005</v>
      </c>
      <c r="AAE113" s="86">
        <f t="shared" si="1694"/>
        <v>0</v>
      </c>
      <c r="AAF113" s="87">
        <f t="shared" si="1457"/>
        <v>0</v>
      </c>
      <c r="AAG113" s="88">
        <f t="shared" si="2412"/>
        <v>-37170.380000000005</v>
      </c>
      <c r="AAH113" s="58" t="s">
        <v>145</v>
      </c>
      <c r="AAI113" s="59"/>
      <c r="AAJ113" s="59"/>
      <c r="AAK113" s="60"/>
    </row>
    <row r="114" spans="1:713" s="83" customFormat="1" ht="20" customHeight="1" x14ac:dyDescent="0.2">
      <c r="A114" s="154"/>
      <c r="B114" s="58"/>
      <c r="C114" s="59"/>
      <c r="D114" s="59"/>
      <c r="E114" s="60"/>
      <c r="F114" s="61">
        <v>47635</v>
      </c>
      <c r="G114" s="62"/>
      <c r="H114" s="63"/>
      <c r="I114" s="64">
        <f t="shared" si="2208"/>
        <v>0</v>
      </c>
      <c r="J114" s="65">
        <v>2485.8200000000002</v>
      </c>
      <c r="K114" s="63"/>
      <c r="L114" s="64">
        <f t="shared" si="2209"/>
        <v>2485.8200000000002</v>
      </c>
      <c r="M114" s="65">
        <v>2500</v>
      </c>
      <c r="N114" s="63"/>
      <c r="O114" s="64">
        <f t="shared" si="2210"/>
        <v>2500</v>
      </c>
      <c r="P114" s="65">
        <v>1000</v>
      </c>
      <c r="Q114" s="63"/>
      <c r="R114" s="64">
        <f t="shared" si="2211"/>
        <v>1000</v>
      </c>
      <c r="S114" s="65">
        <v>362</v>
      </c>
      <c r="T114" s="63"/>
      <c r="U114" s="64">
        <f t="shared" si="2212"/>
        <v>362</v>
      </c>
      <c r="V114" s="66">
        <f t="shared" si="2213"/>
        <v>6347.82</v>
      </c>
      <c r="W114" s="67">
        <f t="shared" si="2213"/>
        <v>0</v>
      </c>
      <c r="X114" s="64">
        <f t="shared" si="2214"/>
        <v>6347.82</v>
      </c>
      <c r="Y114" s="72"/>
      <c r="Z114" s="73"/>
      <c r="AA114" s="74"/>
      <c r="AB114" s="75"/>
      <c r="AC114" s="73"/>
      <c r="AD114" s="74"/>
      <c r="AE114" s="75"/>
      <c r="AF114" s="73"/>
      <c r="AG114" s="74"/>
      <c r="AH114" s="75"/>
      <c r="AI114" s="73"/>
      <c r="AJ114" s="74"/>
      <c r="AK114" s="76"/>
      <c r="AL114" s="77"/>
      <c r="AM114" s="64">
        <f t="shared" si="2215"/>
        <v>0</v>
      </c>
      <c r="AN114" s="62">
        <v>6250</v>
      </c>
      <c r="AO114" s="63"/>
      <c r="AP114" s="64">
        <f t="shared" si="2413"/>
        <v>6250</v>
      </c>
      <c r="AQ114" s="65"/>
      <c r="AR114" s="63"/>
      <c r="AS114" s="64">
        <f t="shared" si="2216"/>
        <v>0</v>
      </c>
      <c r="AT114" s="65"/>
      <c r="AU114" s="63"/>
      <c r="AV114" s="64">
        <f t="shared" si="2217"/>
        <v>0</v>
      </c>
      <c r="AW114" s="65"/>
      <c r="AX114" s="63"/>
      <c r="AY114" s="64">
        <f t="shared" si="2218"/>
        <v>0</v>
      </c>
      <c r="AZ114" s="66">
        <f t="shared" si="1469"/>
        <v>6250</v>
      </c>
      <c r="BA114" s="67">
        <f t="shared" si="2219"/>
        <v>0</v>
      </c>
      <c r="BB114" s="64">
        <f t="shared" si="2220"/>
        <v>6250</v>
      </c>
      <c r="BC114" s="62">
        <v>6150</v>
      </c>
      <c r="BD114" s="63"/>
      <c r="BE114" s="64">
        <f t="shared" si="2221"/>
        <v>6150</v>
      </c>
      <c r="BF114" s="65"/>
      <c r="BG114" s="63"/>
      <c r="BH114" s="64">
        <f t="shared" si="2222"/>
        <v>0</v>
      </c>
      <c r="BI114" s="65"/>
      <c r="BJ114" s="63"/>
      <c r="BK114" s="64">
        <f t="shared" si="2223"/>
        <v>0</v>
      </c>
      <c r="BL114" s="65">
        <v>100</v>
      </c>
      <c r="BM114" s="63"/>
      <c r="BN114" s="64">
        <f t="shared" si="2224"/>
        <v>100</v>
      </c>
      <c r="BO114" s="66">
        <f t="shared" si="1476"/>
        <v>6250</v>
      </c>
      <c r="BP114" s="67">
        <f t="shared" si="2225"/>
        <v>0</v>
      </c>
      <c r="BQ114" s="64">
        <f t="shared" si="2226"/>
        <v>6250</v>
      </c>
      <c r="BR114" s="72"/>
      <c r="BS114" s="73"/>
      <c r="BT114" s="74"/>
      <c r="BU114" s="75"/>
      <c r="BV114" s="73"/>
      <c r="BW114" s="74"/>
      <c r="BX114" s="75"/>
      <c r="BY114" s="73"/>
      <c r="BZ114" s="74"/>
      <c r="CA114" s="75"/>
      <c r="CB114" s="73"/>
      <c r="CC114" s="74"/>
      <c r="CD114" s="76"/>
      <c r="CE114" s="77"/>
      <c r="CF114" s="64">
        <f t="shared" si="2227"/>
        <v>0</v>
      </c>
      <c r="CG114" s="62">
        <v>5000</v>
      </c>
      <c r="CH114" s="63"/>
      <c r="CI114" s="64">
        <f t="shared" si="2228"/>
        <v>5000</v>
      </c>
      <c r="CJ114" s="65"/>
      <c r="CK114" s="63"/>
      <c r="CL114" s="64">
        <f t="shared" si="2229"/>
        <v>0</v>
      </c>
      <c r="CM114" s="65"/>
      <c r="CN114" s="63"/>
      <c r="CO114" s="64">
        <f t="shared" si="2230"/>
        <v>0</v>
      </c>
      <c r="CP114" s="65"/>
      <c r="CQ114" s="63"/>
      <c r="CR114" s="64">
        <f t="shared" si="2231"/>
        <v>0</v>
      </c>
      <c r="CS114" s="66">
        <f t="shared" si="1484"/>
        <v>5000</v>
      </c>
      <c r="CT114" s="67">
        <f t="shared" si="2232"/>
        <v>0</v>
      </c>
      <c r="CU114" s="64">
        <f t="shared" si="2233"/>
        <v>5000</v>
      </c>
      <c r="CV114" s="62">
        <v>2916.7</v>
      </c>
      <c r="CW114" s="63"/>
      <c r="CX114" s="64">
        <f t="shared" si="2234"/>
        <v>2916.7</v>
      </c>
      <c r="CY114" s="65">
        <v>429.15</v>
      </c>
      <c r="CZ114" s="63"/>
      <c r="DA114" s="64">
        <f t="shared" si="2235"/>
        <v>429.15</v>
      </c>
      <c r="DB114" s="65"/>
      <c r="DC114" s="63"/>
      <c r="DD114" s="64">
        <f t="shared" si="2236"/>
        <v>0</v>
      </c>
      <c r="DE114" s="65"/>
      <c r="DF114" s="63"/>
      <c r="DG114" s="64">
        <f t="shared" si="2237"/>
        <v>0</v>
      </c>
      <c r="DH114" s="66">
        <f t="shared" si="1491"/>
        <v>3345.85</v>
      </c>
      <c r="DI114" s="67">
        <f t="shared" si="2238"/>
        <v>0</v>
      </c>
      <c r="DJ114" s="64">
        <f t="shared" si="2239"/>
        <v>3345.85</v>
      </c>
      <c r="DK114" s="62">
        <v>2400</v>
      </c>
      <c r="DL114" s="63"/>
      <c r="DM114" s="64">
        <f t="shared" si="2240"/>
        <v>2400</v>
      </c>
      <c r="DN114" s="65">
        <v>913.08</v>
      </c>
      <c r="DO114" s="63"/>
      <c r="DP114" s="64">
        <f t="shared" si="2241"/>
        <v>913.08</v>
      </c>
      <c r="DQ114" s="65"/>
      <c r="DR114" s="63"/>
      <c r="DS114" s="64">
        <f t="shared" si="2242"/>
        <v>0</v>
      </c>
      <c r="DT114" s="65">
        <v>100</v>
      </c>
      <c r="DU114" s="63"/>
      <c r="DV114" s="64">
        <f t="shared" si="2243"/>
        <v>100</v>
      </c>
      <c r="DW114" s="66">
        <f t="shared" si="1498"/>
        <v>3413.08</v>
      </c>
      <c r="DX114" s="67">
        <f t="shared" si="2244"/>
        <v>0</v>
      </c>
      <c r="DY114" s="64">
        <f t="shared" si="2245"/>
        <v>3413.08</v>
      </c>
      <c r="DZ114" s="62"/>
      <c r="EA114" s="63"/>
      <c r="EB114" s="64">
        <f t="shared" si="2246"/>
        <v>0</v>
      </c>
      <c r="EC114" s="65"/>
      <c r="ED114" s="63"/>
      <c r="EE114" s="64">
        <f t="shared" si="2247"/>
        <v>0</v>
      </c>
      <c r="EF114" s="65"/>
      <c r="EG114" s="63"/>
      <c r="EH114" s="64">
        <f t="shared" si="2248"/>
        <v>0</v>
      </c>
      <c r="EI114" s="65">
        <v>100</v>
      </c>
      <c r="EJ114" s="63"/>
      <c r="EK114" s="64">
        <f t="shared" si="2249"/>
        <v>100</v>
      </c>
      <c r="EL114" s="66">
        <f t="shared" si="1505"/>
        <v>100</v>
      </c>
      <c r="EM114" s="67">
        <f t="shared" si="2250"/>
        <v>0</v>
      </c>
      <c r="EN114" s="64">
        <f t="shared" si="2251"/>
        <v>100</v>
      </c>
      <c r="EO114" s="62">
        <v>6150</v>
      </c>
      <c r="EP114" s="63"/>
      <c r="EQ114" s="64">
        <f t="shared" si="2252"/>
        <v>6150</v>
      </c>
      <c r="ER114" s="65"/>
      <c r="ES114" s="63"/>
      <c r="ET114" s="64">
        <f t="shared" si="2253"/>
        <v>0</v>
      </c>
      <c r="EU114" s="65"/>
      <c r="EV114" s="63"/>
      <c r="EW114" s="64">
        <f t="shared" si="2254"/>
        <v>0</v>
      </c>
      <c r="EX114" s="65">
        <v>100</v>
      </c>
      <c r="EY114" s="63"/>
      <c r="EZ114" s="64">
        <f t="shared" si="2255"/>
        <v>100</v>
      </c>
      <c r="FA114" s="66">
        <f t="shared" si="1512"/>
        <v>6250</v>
      </c>
      <c r="FB114" s="67">
        <f t="shared" si="2256"/>
        <v>0</v>
      </c>
      <c r="FC114" s="64">
        <f t="shared" si="2257"/>
        <v>6250</v>
      </c>
      <c r="FD114" s="62">
        <v>6150</v>
      </c>
      <c r="FE114" s="63"/>
      <c r="FF114" s="64">
        <f t="shared" si="2258"/>
        <v>6150</v>
      </c>
      <c r="FG114" s="65"/>
      <c r="FH114" s="63"/>
      <c r="FI114" s="64">
        <f t="shared" si="2259"/>
        <v>0</v>
      </c>
      <c r="FJ114" s="65"/>
      <c r="FK114" s="63"/>
      <c r="FL114" s="64">
        <f t="shared" si="2260"/>
        <v>0</v>
      </c>
      <c r="FM114" s="65">
        <v>100</v>
      </c>
      <c r="FN114" s="63"/>
      <c r="FO114" s="64">
        <f t="shared" si="2261"/>
        <v>100</v>
      </c>
      <c r="FP114" s="66">
        <f t="shared" si="1519"/>
        <v>6250</v>
      </c>
      <c r="FQ114" s="67">
        <f t="shared" si="2262"/>
        <v>0</v>
      </c>
      <c r="FR114" s="64">
        <f t="shared" si="2263"/>
        <v>6250</v>
      </c>
      <c r="FS114" s="62"/>
      <c r="FT114" s="63"/>
      <c r="FU114" s="64">
        <f t="shared" si="2264"/>
        <v>0</v>
      </c>
      <c r="FV114" s="65">
        <v>485.35</v>
      </c>
      <c r="FW114" s="63"/>
      <c r="FX114" s="64">
        <f t="shared" si="2265"/>
        <v>485.35</v>
      </c>
      <c r="FY114" s="65"/>
      <c r="FZ114" s="63"/>
      <c r="GA114" s="64">
        <f t="shared" si="2266"/>
        <v>0</v>
      </c>
      <c r="GB114" s="65"/>
      <c r="GC114" s="63"/>
      <c r="GD114" s="64">
        <f t="shared" si="2267"/>
        <v>0</v>
      </c>
      <c r="GE114" s="66">
        <f t="shared" si="1526"/>
        <v>485.35</v>
      </c>
      <c r="GF114" s="67">
        <f t="shared" si="2268"/>
        <v>0</v>
      </c>
      <c r="GG114" s="64">
        <f t="shared" si="2269"/>
        <v>485.35</v>
      </c>
      <c r="GH114" s="62"/>
      <c r="GI114" s="63"/>
      <c r="GJ114" s="64">
        <f t="shared" si="2270"/>
        <v>0</v>
      </c>
      <c r="GK114" s="65">
        <v>660.33</v>
      </c>
      <c r="GL114" s="63"/>
      <c r="GM114" s="64">
        <f t="shared" si="2271"/>
        <v>660.33</v>
      </c>
      <c r="GN114" s="65"/>
      <c r="GO114" s="63"/>
      <c r="GP114" s="64">
        <f t="shared" si="2272"/>
        <v>0</v>
      </c>
      <c r="GQ114" s="65"/>
      <c r="GR114" s="63"/>
      <c r="GS114" s="64">
        <f t="shared" si="2273"/>
        <v>0</v>
      </c>
      <c r="GT114" s="66">
        <f t="shared" si="1533"/>
        <v>660.33</v>
      </c>
      <c r="GU114" s="67">
        <f t="shared" si="2274"/>
        <v>0</v>
      </c>
      <c r="GV114" s="64">
        <f t="shared" si="2275"/>
        <v>660.33</v>
      </c>
      <c r="GW114" s="62"/>
      <c r="GX114" s="63"/>
      <c r="GY114" s="64">
        <f t="shared" si="2276"/>
        <v>0</v>
      </c>
      <c r="GZ114" s="65">
        <v>568.25</v>
      </c>
      <c r="HA114" s="63"/>
      <c r="HB114" s="64">
        <f t="shared" si="2277"/>
        <v>568.25</v>
      </c>
      <c r="HC114" s="65"/>
      <c r="HD114" s="63"/>
      <c r="HE114" s="64">
        <f t="shared" si="2278"/>
        <v>0</v>
      </c>
      <c r="HF114" s="65">
        <v>100</v>
      </c>
      <c r="HG114" s="63"/>
      <c r="HH114" s="64">
        <f t="shared" si="2279"/>
        <v>100</v>
      </c>
      <c r="HI114" s="66">
        <f t="shared" si="1540"/>
        <v>668.25</v>
      </c>
      <c r="HJ114" s="67">
        <f t="shared" si="2280"/>
        <v>0</v>
      </c>
      <c r="HK114" s="64">
        <f t="shared" si="2281"/>
        <v>668.25</v>
      </c>
      <c r="HL114" s="62">
        <v>6150</v>
      </c>
      <c r="HM114" s="63"/>
      <c r="HN114" s="64">
        <f t="shared" si="2282"/>
        <v>6150</v>
      </c>
      <c r="HO114" s="65"/>
      <c r="HP114" s="63"/>
      <c r="HQ114" s="64">
        <f t="shared" si="2283"/>
        <v>0</v>
      </c>
      <c r="HR114" s="65"/>
      <c r="HS114" s="63"/>
      <c r="HT114" s="64">
        <f t="shared" si="2284"/>
        <v>0</v>
      </c>
      <c r="HU114" s="65">
        <v>100</v>
      </c>
      <c r="HV114" s="63"/>
      <c r="HW114" s="64">
        <f t="shared" si="2285"/>
        <v>100</v>
      </c>
      <c r="HX114" s="66">
        <f t="shared" si="1547"/>
        <v>6250</v>
      </c>
      <c r="HY114" s="67">
        <f t="shared" si="2286"/>
        <v>0</v>
      </c>
      <c r="HZ114" s="64">
        <f t="shared" si="2287"/>
        <v>6250</v>
      </c>
      <c r="IA114" s="62"/>
      <c r="IB114" s="63"/>
      <c r="IC114" s="64">
        <f t="shared" si="2288"/>
        <v>0</v>
      </c>
      <c r="ID114" s="65"/>
      <c r="IE114" s="63"/>
      <c r="IF114" s="64">
        <f t="shared" si="2289"/>
        <v>0</v>
      </c>
      <c r="IG114" s="65">
        <v>9701.0400000000009</v>
      </c>
      <c r="IH114" s="63"/>
      <c r="II114" s="64">
        <f t="shared" si="2290"/>
        <v>9701.0400000000009</v>
      </c>
      <c r="IJ114" s="65">
        <v>100</v>
      </c>
      <c r="IK114" s="63"/>
      <c r="IL114" s="64">
        <f t="shared" si="2291"/>
        <v>100</v>
      </c>
      <c r="IM114" s="66">
        <f t="shared" si="1554"/>
        <v>9801.0400000000009</v>
      </c>
      <c r="IN114" s="67">
        <f t="shared" si="2292"/>
        <v>0</v>
      </c>
      <c r="IO114" s="64">
        <f t="shared" si="2293"/>
        <v>9801.0400000000009</v>
      </c>
      <c r="IP114" s="62">
        <v>5000</v>
      </c>
      <c r="IQ114" s="63"/>
      <c r="IR114" s="64">
        <f t="shared" si="2294"/>
        <v>5000</v>
      </c>
      <c r="IS114" s="65"/>
      <c r="IT114" s="63"/>
      <c r="IU114" s="64">
        <f t="shared" si="2295"/>
        <v>0</v>
      </c>
      <c r="IV114" s="65"/>
      <c r="IW114" s="63"/>
      <c r="IX114" s="64">
        <f t="shared" si="2296"/>
        <v>0</v>
      </c>
      <c r="IY114" s="65"/>
      <c r="IZ114" s="63"/>
      <c r="JA114" s="64">
        <f t="shared" si="2297"/>
        <v>0</v>
      </c>
      <c r="JB114" s="66">
        <f t="shared" si="1561"/>
        <v>5000</v>
      </c>
      <c r="JC114" s="67">
        <f t="shared" si="2298"/>
        <v>0</v>
      </c>
      <c r="JD114" s="64">
        <f t="shared" si="2299"/>
        <v>5000</v>
      </c>
      <c r="JE114" s="72"/>
      <c r="JF114" s="150"/>
      <c r="JG114" s="74"/>
      <c r="JH114" s="75"/>
      <c r="JI114" s="150"/>
      <c r="JJ114" s="74"/>
      <c r="JK114" s="75"/>
      <c r="JL114" s="150"/>
      <c r="JM114" s="74"/>
      <c r="JN114" s="75"/>
      <c r="JO114" s="150"/>
      <c r="JP114" s="74"/>
      <c r="JQ114" s="76"/>
      <c r="JR114" s="77"/>
      <c r="JS114" s="74"/>
      <c r="JT114" s="72"/>
      <c r="JU114" s="73"/>
      <c r="JV114" s="74"/>
      <c r="JW114" s="75"/>
      <c r="JX114" s="73"/>
      <c r="JY114" s="74"/>
      <c r="JZ114" s="75"/>
      <c r="KA114" s="73"/>
      <c r="KB114" s="74"/>
      <c r="KC114" s="75"/>
      <c r="KD114" s="73"/>
      <c r="KE114" s="74"/>
      <c r="KF114" s="76"/>
      <c r="KG114" s="77"/>
      <c r="KH114" s="64">
        <f t="shared" si="2300"/>
        <v>0</v>
      </c>
      <c r="KI114" s="62">
        <v>50000</v>
      </c>
      <c r="KJ114" s="63"/>
      <c r="KK114" s="64">
        <f t="shared" si="2301"/>
        <v>50000</v>
      </c>
      <c r="KL114" s="65"/>
      <c r="KM114" s="63"/>
      <c r="KN114" s="64">
        <f t="shared" si="2302"/>
        <v>0</v>
      </c>
      <c r="KO114" s="65"/>
      <c r="KP114" s="63"/>
      <c r="KQ114" s="64">
        <f t="shared" si="2303"/>
        <v>0</v>
      </c>
      <c r="KR114" s="65"/>
      <c r="KS114" s="63"/>
      <c r="KT114" s="64">
        <f t="shared" si="2304"/>
        <v>0</v>
      </c>
      <c r="KU114" s="66">
        <f t="shared" si="1439"/>
        <v>50000</v>
      </c>
      <c r="KV114" s="67">
        <f t="shared" si="2305"/>
        <v>0</v>
      </c>
      <c r="KW114" s="64">
        <f t="shared" si="2306"/>
        <v>50000</v>
      </c>
      <c r="KX114" s="72"/>
      <c r="KY114" s="73"/>
      <c r="KZ114" s="74"/>
      <c r="LA114" s="75"/>
      <c r="LB114" s="73"/>
      <c r="LC114" s="74"/>
      <c r="LD114" s="75"/>
      <c r="LE114" s="73"/>
      <c r="LF114" s="74"/>
      <c r="LG114" s="75"/>
      <c r="LH114" s="73"/>
      <c r="LI114" s="74"/>
      <c r="LJ114" s="76"/>
      <c r="LK114" s="77"/>
      <c r="LL114" s="74"/>
      <c r="LM114" s="62"/>
      <c r="LN114" s="63"/>
      <c r="LO114" s="64">
        <f t="shared" si="2307"/>
        <v>0</v>
      </c>
      <c r="LP114" s="65"/>
      <c r="LQ114" s="63"/>
      <c r="LR114" s="64">
        <f t="shared" si="2308"/>
        <v>0</v>
      </c>
      <c r="LS114" s="65"/>
      <c r="LT114" s="63"/>
      <c r="LU114" s="64">
        <f t="shared" si="2309"/>
        <v>0</v>
      </c>
      <c r="LV114" s="65">
        <v>100</v>
      </c>
      <c r="LW114" s="63"/>
      <c r="LX114" s="64">
        <f t="shared" si="2310"/>
        <v>100</v>
      </c>
      <c r="LY114" s="66">
        <f t="shared" si="1575"/>
        <v>100</v>
      </c>
      <c r="LZ114" s="67">
        <f t="shared" si="2311"/>
        <v>0</v>
      </c>
      <c r="MA114" s="64">
        <f t="shared" si="2312"/>
        <v>100</v>
      </c>
      <c r="MB114" s="62">
        <f>6*650</f>
        <v>3900</v>
      </c>
      <c r="MC114" s="63"/>
      <c r="MD114" s="64">
        <f t="shared" si="2313"/>
        <v>3900</v>
      </c>
      <c r="ME114" s="65">
        <v>889.11</v>
      </c>
      <c r="MF114" s="63"/>
      <c r="MG114" s="64">
        <f t="shared" si="2314"/>
        <v>889.11</v>
      </c>
      <c r="MH114" s="65"/>
      <c r="MI114" s="63"/>
      <c r="MJ114" s="64">
        <f t="shared" si="2315"/>
        <v>0</v>
      </c>
      <c r="MK114" s="65">
        <v>100</v>
      </c>
      <c r="ML114" s="63"/>
      <c r="MM114" s="64">
        <f t="shared" si="2316"/>
        <v>100</v>
      </c>
      <c r="MN114" s="66">
        <f t="shared" si="1582"/>
        <v>4889.1099999999997</v>
      </c>
      <c r="MO114" s="67">
        <f t="shared" si="2317"/>
        <v>0</v>
      </c>
      <c r="MP114" s="64">
        <f t="shared" si="2318"/>
        <v>4889.1099999999997</v>
      </c>
      <c r="MQ114" s="62">
        <v>9100</v>
      </c>
      <c r="MR114" s="63"/>
      <c r="MS114" s="64">
        <f t="shared" si="2319"/>
        <v>9100</v>
      </c>
      <c r="MT114" s="65"/>
      <c r="MU114" s="63"/>
      <c r="MV114" s="64">
        <f t="shared" si="2320"/>
        <v>0</v>
      </c>
      <c r="MW114" s="65"/>
      <c r="MX114" s="63"/>
      <c r="MY114" s="64">
        <f t="shared" si="2321"/>
        <v>0</v>
      </c>
      <c r="MZ114" s="65"/>
      <c r="NA114" s="63"/>
      <c r="NB114" s="64">
        <f t="shared" si="2322"/>
        <v>0</v>
      </c>
      <c r="NC114" s="66">
        <f t="shared" si="1589"/>
        <v>9100</v>
      </c>
      <c r="ND114" s="67">
        <f t="shared" si="2323"/>
        <v>0</v>
      </c>
      <c r="NE114" s="64">
        <f t="shared" si="2324"/>
        <v>9100</v>
      </c>
      <c r="NF114" s="62">
        <v>6000</v>
      </c>
      <c r="NG114" s="63"/>
      <c r="NH114" s="64">
        <f t="shared" si="2325"/>
        <v>6000</v>
      </c>
      <c r="NI114" s="65">
        <v>1164.04</v>
      </c>
      <c r="NJ114" s="63"/>
      <c r="NK114" s="64">
        <f t="shared" si="2326"/>
        <v>1164.04</v>
      </c>
      <c r="NL114" s="65"/>
      <c r="NM114" s="63"/>
      <c r="NN114" s="64">
        <f t="shared" si="2327"/>
        <v>0</v>
      </c>
      <c r="NO114" s="65">
        <v>100</v>
      </c>
      <c r="NP114" s="63"/>
      <c r="NQ114" s="64">
        <f t="shared" si="2328"/>
        <v>100</v>
      </c>
      <c r="NR114" s="66">
        <f t="shared" si="1596"/>
        <v>7264.04</v>
      </c>
      <c r="NS114" s="67">
        <f t="shared" si="2329"/>
        <v>0</v>
      </c>
      <c r="NT114" s="64">
        <f t="shared" si="2330"/>
        <v>7264.04</v>
      </c>
      <c r="NU114" s="62">
        <f>6*864</f>
        <v>5184</v>
      </c>
      <c r="NV114" s="63"/>
      <c r="NW114" s="64">
        <f t="shared" si="2331"/>
        <v>5184</v>
      </c>
      <c r="NX114" s="65">
        <v>1152.73</v>
      </c>
      <c r="NY114" s="63"/>
      <c r="NZ114" s="64">
        <f t="shared" si="2332"/>
        <v>1152.73</v>
      </c>
      <c r="OA114" s="65"/>
      <c r="OB114" s="63"/>
      <c r="OC114" s="64">
        <f t="shared" si="2333"/>
        <v>0</v>
      </c>
      <c r="OD114" s="65">
        <v>100</v>
      </c>
      <c r="OE114" s="63"/>
      <c r="OF114" s="64">
        <f t="shared" si="2334"/>
        <v>100</v>
      </c>
      <c r="OG114" s="66">
        <f t="shared" si="1603"/>
        <v>6436.73</v>
      </c>
      <c r="OH114" s="67">
        <f t="shared" si="2335"/>
        <v>0</v>
      </c>
      <c r="OI114" s="64">
        <f t="shared" si="2336"/>
        <v>6436.73</v>
      </c>
      <c r="OJ114" s="62"/>
      <c r="OK114" s="63"/>
      <c r="OL114" s="64">
        <f t="shared" si="2337"/>
        <v>0</v>
      </c>
      <c r="OM114" s="65"/>
      <c r="ON114" s="63"/>
      <c r="OO114" s="64">
        <f t="shared" si="2338"/>
        <v>0</v>
      </c>
      <c r="OP114" s="65"/>
      <c r="OQ114" s="63"/>
      <c r="OR114" s="64">
        <f t="shared" si="2339"/>
        <v>0</v>
      </c>
      <c r="OS114" s="65">
        <v>100</v>
      </c>
      <c r="OT114" s="63"/>
      <c r="OU114" s="64">
        <f t="shared" si="2340"/>
        <v>100</v>
      </c>
      <c r="OV114" s="66">
        <f t="shared" si="1610"/>
        <v>100</v>
      </c>
      <c r="OW114" s="67">
        <f t="shared" si="2341"/>
        <v>0</v>
      </c>
      <c r="OX114" s="64">
        <f t="shared" si="2342"/>
        <v>100</v>
      </c>
      <c r="OY114" s="62"/>
      <c r="OZ114" s="63"/>
      <c r="PA114" s="64">
        <f t="shared" si="2343"/>
        <v>0</v>
      </c>
      <c r="PB114" s="65">
        <v>600</v>
      </c>
      <c r="PC114" s="63"/>
      <c r="PD114" s="64">
        <f t="shared" si="2344"/>
        <v>600</v>
      </c>
      <c r="PE114" s="65"/>
      <c r="PF114" s="63"/>
      <c r="PG114" s="64">
        <f t="shared" si="2345"/>
        <v>0</v>
      </c>
      <c r="PH114" s="65">
        <v>100</v>
      </c>
      <c r="PI114" s="63"/>
      <c r="PJ114" s="64">
        <f t="shared" si="2346"/>
        <v>100</v>
      </c>
      <c r="PK114" s="66">
        <f t="shared" si="1617"/>
        <v>700</v>
      </c>
      <c r="PL114" s="67">
        <f t="shared" si="2347"/>
        <v>0</v>
      </c>
      <c r="PM114" s="64">
        <f t="shared" si="2348"/>
        <v>700</v>
      </c>
      <c r="PN114" s="62">
        <v>1550</v>
      </c>
      <c r="PO114" s="63"/>
      <c r="PP114" s="64">
        <f t="shared" si="2349"/>
        <v>1550</v>
      </c>
      <c r="PQ114" s="65"/>
      <c r="PR114" s="63"/>
      <c r="PS114" s="64">
        <f t="shared" si="2350"/>
        <v>0</v>
      </c>
      <c r="PT114" s="65"/>
      <c r="PU114" s="63"/>
      <c r="PV114" s="64">
        <f t="shared" si="2351"/>
        <v>0</v>
      </c>
      <c r="PW114" s="65">
        <v>100</v>
      </c>
      <c r="PX114" s="63"/>
      <c r="PY114" s="64">
        <f t="shared" si="2352"/>
        <v>100</v>
      </c>
      <c r="PZ114" s="66">
        <f t="shared" si="1624"/>
        <v>1650</v>
      </c>
      <c r="QA114" s="67">
        <f t="shared" si="2353"/>
        <v>0</v>
      </c>
      <c r="QB114" s="64">
        <f t="shared" si="2354"/>
        <v>1650</v>
      </c>
      <c r="QC114" s="62"/>
      <c r="QD114" s="63"/>
      <c r="QE114" s="64">
        <f t="shared" si="2355"/>
        <v>0</v>
      </c>
      <c r="QF114" s="65"/>
      <c r="QG114" s="63"/>
      <c r="QH114" s="64">
        <f t="shared" si="2356"/>
        <v>0</v>
      </c>
      <c r="QI114" s="65"/>
      <c r="QJ114" s="63"/>
      <c r="QK114" s="64">
        <f t="shared" si="2357"/>
        <v>0</v>
      </c>
      <c r="QL114" s="65">
        <v>100</v>
      </c>
      <c r="QM114" s="63"/>
      <c r="QN114" s="64">
        <f t="shared" si="2358"/>
        <v>100</v>
      </c>
      <c r="QO114" s="66">
        <f t="shared" si="1631"/>
        <v>100</v>
      </c>
      <c r="QP114" s="67">
        <f t="shared" si="2359"/>
        <v>0</v>
      </c>
      <c r="QQ114" s="64">
        <f t="shared" si="2360"/>
        <v>100</v>
      </c>
      <c r="QR114" s="74"/>
      <c r="QS114" s="74"/>
      <c r="QT114" s="72"/>
      <c r="QU114" s="73"/>
      <c r="QV114" s="74"/>
      <c r="QW114" s="75"/>
      <c r="QX114" s="73"/>
      <c r="QY114" s="74"/>
      <c r="QZ114" s="75"/>
      <c r="RA114" s="73"/>
      <c r="RB114" s="74"/>
      <c r="RC114" s="75"/>
      <c r="RD114" s="73"/>
      <c r="RE114" s="74"/>
      <c r="RF114" s="74"/>
      <c r="RG114" s="72"/>
      <c r="RH114" s="73"/>
      <c r="RI114" s="74"/>
      <c r="RJ114" s="75"/>
      <c r="RK114" s="73"/>
      <c r="RL114" s="74"/>
      <c r="RM114" s="75"/>
      <c r="RN114" s="73"/>
      <c r="RO114" s="74"/>
      <c r="RP114" s="75"/>
      <c r="RQ114" s="73"/>
      <c r="RR114" s="74"/>
      <c r="RS114" s="76"/>
      <c r="RT114" s="77"/>
      <c r="RU114" s="74"/>
      <c r="RV114" s="74"/>
      <c r="RW114" s="72"/>
      <c r="RX114" s="73"/>
      <c r="RY114" s="74"/>
      <c r="RZ114" s="75"/>
      <c r="SA114" s="73"/>
      <c r="SB114" s="74"/>
      <c r="SC114" s="75"/>
      <c r="SD114" s="73"/>
      <c r="SE114" s="74"/>
      <c r="SF114" s="75"/>
      <c r="SG114" s="73"/>
      <c r="SH114" s="74"/>
      <c r="SI114" s="76"/>
      <c r="SJ114" s="64">
        <f t="shared" si="2361"/>
        <v>0</v>
      </c>
      <c r="SK114" s="62"/>
      <c r="SL114" s="63"/>
      <c r="SM114" s="64">
        <f t="shared" si="2362"/>
        <v>0</v>
      </c>
      <c r="SN114" s="65"/>
      <c r="SO114" s="63"/>
      <c r="SP114" s="64">
        <f t="shared" si="2363"/>
        <v>0</v>
      </c>
      <c r="SQ114" s="65"/>
      <c r="SR114" s="63"/>
      <c r="SS114" s="64">
        <f t="shared" si="2364"/>
        <v>0</v>
      </c>
      <c r="ST114" s="65">
        <v>100</v>
      </c>
      <c r="SU114" s="63"/>
      <c r="SV114" s="64">
        <f t="shared" si="2365"/>
        <v>100</v>
      </c>
      <c r="SW114" s="66">
        <f t="shared" si="1639"/>
        <v>100</v>
      </c>
      <c r="SX114" s="67">
        <f t="shared" si="2366"/>
        <v>0</v>
      </c>
      <c r="SY114" s="64">
        <f t="shared" si="2367"/>
        <v>100</v>
      </c>
      <c r="SZ114" s="62">
        <v>985.33</v>
      </c>
      <c r="TA114" s="63"/>
      <c r="TB114" s="64">
        <f t="shared" si="2368"/>
        <v>985.33</v>
      </c>
      <c r="TC114" s="65">
        <v>700.9</v>
      </c>
      <c r="TD114" s="63"/>
      <c r="TE114" s="64">
        <f t="shared" si="2369"/>
        <v>700.9</v>
      </c>
      <c r="TF114" s="65"/>
      <c r="TG114" s="63"/>
      <c r="TH114" s="64">
        <f t="shared" si="2370"/>
        <v>0</v>
      </c>
      <c r="TI114" s="65">
        <v>100</v>
      </c>
      <c r="TJ114" s="63"/>
      <c r="TK114" s="64">
        <f t="shared" si="2371"/>
        <v>100</v>
      </c>
      <c r="TL114" s="66">
        <f t="shared" si="1646"/>
        <v>1786.23</v>
      </c>
      <c r="TM114" s="67">
        <f t="shared" si="2372"/>
        <v>0</v>
      </c>
      <c r="TN114" s="64">
        <f t="shared" si="2373"/>
        <v>1786.23</v>
      </c>
      <c r="TO114" s="62">
        <v>3875</v>
      </c>
      <c r="TP114" s="63"/>
      <c r="TQ114" s="64">
        <f t="shared" si="2374"/>
        <v>3875</v>
      </c>
      <c r="TR114" s="65"/>
      <c r="TS114" s="63"/>
      <c r="TT114" s="64">
        <f t="shared" si="2375"/>
        <v>0</v>
      </c>
      <c r="TU114" s="65"/>
      <c r="TV114" s="63"/>
      <c r="TW114" s="64">
        <f t="shared" si="2376"/>
        <v>0</v>
      </c>
      <c r="TX114" s="65">
        <v>100</v>
      </c>
      <c r="TY114" s="63"/>
      <c r="TZ114" s="64">
        <f t="shared" si="2377"/>
        <v>100</v>
      </c>
      <c r="UA114" s="66">
        <f t="shared" si="1653"/>
        <v>3975</v>
      </c>
      <c r="UB114" s="67">
        <f t="shared" si="2378"/>
        <v>0</v>
      </c>
      <c r="UC114" s="64">
        <f t="shared" si="2379"/>
        <v>3975</v>
      </c>
      <c r="UD114" s="62">
        <v>1125</v>
      </c>
      <c r="UE114" s="63"/>
      <c r="UF114" s="64">
        <f t="shared" si="2380"/>
        <v>1125</v>
      </c>
      <c r="UG114" s="65">
        <v>497.04</v>
      </c>
      <c r="UH114" s="63"/>
      <c r="UI114" s="64">
        <f t="shared" si="2381"/>
        <v>497.04</v>
      </c>
      <c r="UJ114" s="65"/>
      <c r="UK114" s="63"/>
      <c r="UL114" s="64">
        <f t="shared" si="2382"/>
        <v>0</v>
      </c>
      <c r="UM114" s="65">
        <v>100</v>
      </c>
      <c r="UN114" s="63"/>
      <c r="UO114" s="64">
        <f t="shared" si="2383"/>
        <v>100</v>
      </c>
      <c r="UP114" s="66">
        <f t="shared" si="1660"/>
        <v>1722.04</v>
      </c>
      <c r="UQ114" s="67">
        <f t="shared" si="2384"/>
        <v>0</v>
      </c>
      <c r="UR114" s="64">
        <f t="shared" si="2385"/>
        <v>1722.04</v>
      </c>
      <c r="US114" s="74"/>
      <c r="UT114" s="72"/>
      <c r="UU114" s="73"/>
      <c r="UV114" s="74"/>
      <c r="UW114" s="75"/>
      <c r="UX114" s="73"/>
      <c r="UY114" s="74"/>
      <c r="UZ114" s="75"/>
      <c r="VA114" s="73"/>
      <c r="VB114" s="74"/>
      <c r="VC114" s="75"/>
      <c r="VD114" s="73"/>
      <c r="VE114" s="74"/>
      <c r="VF114" s="76"/>
      <c r="VG114" s="77"/>
      <c r="VH114" s="62">
        <v>18600</v>
      </c>
      <c r="VI114" s="63"/>
      <c r="VJ114" s="64">
        <f t="shared" si="2386"/>
        <v>18600</v>
      </c>
      <c r="VK114" s="65"/>
      <c r="VL114" s="63"/>
      <c r="VM114" s="64">
        <f t="shared" si="2387"/>
        <v>0</v>
      </c>
      <c r="VN114" s="65"/>
      <c r="VO114" s="63"/>
      <c r="VP114" s="64">
        <f t="shared" si="2388"/>
        <v>0</v>
      </c>
      <c r="VQ114" s="65">
        <v>100</v>
      </c>
      <c r="VR114" s="63"/>
      <c r="VS114" s="64">
        <f t="shared" si="2389"/>
        <v>100</v>
      </c>
      <c r="VT114" s="66">
        <f t="shared" si="1667"/>
        <v>18700</v>
      </c>
      <c r="VU114" s="67">
        <f t="shared" si="2390"/>
        <v>0</v>
      </c>
      <c r="VV114" s="64">
        <f t="shared" si="2391"/>
        <v>18700</v>
      </c>
      <c r="VW114" s="74"/>
      <c r="VX114" s="72"/>
      <c r="VY114" s="73"/>
      <c r="VZ114" s="74"/>
      <c r="WA114" s="75"/>
      <c r="WB114" s="73"/>
      <c r="WC114" s="74"/>
      <c r="WD114" s="75"/>
      <c r="WE114" s="73"/>
      <c r="WF114" s="74"/>
      <c r="WG114" s="75"/>
      <c r="WH114" s="73"/>
      <c r="WI114" s="74"/>
      <c r="WJ114" s="76"/>
      <c r="WK114" s="77"/>
      <c r="WL114" s="74"/>
      <c r="WM114" s="72"/>
      <c r="WN114" s="73"/>
      <c r="WO114" s="74"/>
      <c r="WP114" s="75"/>
      <c r="WQ114" s="73"/>
      <c r="WR114" s="74"/>
      <c r="WS114" s="75"/>
      <c r="WT114" s="73"/>
      <c r="WU114" s="74"/>
      <c r="WV114" s="75"/>
      <c r="WW114" s="73"/>
      <c r="WX114" s="74"/>
      <c r="WY114" s="76"/>
      <c r="WZ114" s="77"/>
      <c r="XA114" s="74"/>
      <c r="XB114" s="72"/>
      <c r="XC114" s="73"/>
      <c r="XD114" s="74"/>
      <c r="XE114" s="75"/>
      <c r="XF114" s="73"/>
      <c r="XG114" s="74"/>
      <c r="XH114" s="75"/>
      <c r="XI114" s="73"/>
      <c r="XJ114" s="74"/>
      <c r="XK114" s="75"/>
      <c r="XL114" s="73"/>
      <c r="XM114" s="74"/>
      <c r="XN114" s="76"/>
      <c r="XO114" s="77"/>
      <c r="XP114" s="62">
        <v>5202</v>
      </c>
      <c r="XQ114" s="63"/>
      <c r="XR114" s="64">
        <f t="shared" si="2392"/>
        <v>5202</v>
      </c>
      <c r="XS114" s="65">
        <v>844.24</v>
      </c>
      <c r="XT114" s="63"/>
      <c r="XU114" s="64">
        <f t="shared" si="2393"/>
        <v>844.24</v>
      </c>
      <c r="XV114" s="65"/>
      <c r="XW114" s="63"/>
      <c r="XX114" s="64">
        <f t="shared" si="2394"/>
        <v>0</v>
      </c>
      <c r="XY114" s="65">
        <v>100</v>
      </c>
      <c r="XZ114" s="63"/>
      <c r="YA114" s="64">
        <f t="shared" si="2395"/>
        <v>100</v>
      </c>
      <c r="YB114" s="66">
        <f t="shared" si="1674"/>
        <v>6146.24</v>
      </c>
      <c r="YC114" s="67">
        <f t="shared" si="2396"/>
        <v>0</v>
      </c>
      <c r="YD114" s="64">
        <f t="shared" si="2397"/>
        <v>6146.24</v>
      </c>
      <c r="YE114" s="62">
        <v>5340</v>
      </c>
      <c r="YF114" s="63"/>
      <c r="YG114" s="64">
        <f t="shared" si="2398"/>
        <v>5340</v>
      </c>
      <c r="YH114" s="65">
        <v>847.85</v>
      </c>
      <c r="YI114" s="63"/>
      <c r="YJ114" s="64">
        <f t="shared" si="2399"/>
        <v>847.85</v>
      </c>
      <c r="YK114" s="65"/>
      <c r="YL114" s="63"/>
      <c r="YM114" s="64">
        <f t="shared" si="2400"/>
        <v>0</v>
      </c>
      <c r="YN114" s="65">
        <v>100</v>
      </c>
      <c r="YO114" s="63"/>
      <c r="YP114" s="64">
        <f t="shared" si="2401"/>
        <v>100</v>
      </c>
      <c r="YQ114" s="66">
        <f t="shared" si="1681"/>
        <v>6287.85</v>
      </c>
      <c r="YR114" s="67">
        <f t="shared" si="2402"/>
        <v>0</v>
      </c>
      <c r="YS114" s="64">
        <f t="shared" si="2403"/>
        <v>6287.85</v>
      </c>
      <c r="YT114" s="62">
        <v>5592</v>
      </c>
      <c r="YU114" s="63"/>
      <c r="YV114" s="64">
        <f t="shared" si="2404"/>
        <v>5592</v>
      </c>
      <c r="YW114" s="65">
        <v>695.73</v>
      </c>
      <c r="YX114" s="63"/>
      <c r="YY114" s="64">
        <f t="shared" si="2405"/>
        <v>695.73</v>
      </c>
      <c r="YZ114" s="65"/>
      <c r="ZA114" s="63"/>
      <c r="ZB114" s="64">
        <f t="shared" si="2406"/>
        <v>0</v>
      </c>
      <c r="ZC114" s="65">
        <v>100</v>
      </c>
      <c r="ZD114" s="63"/>
      <c r="ZE114" s="64">
        <f t="shared" si="2407"/>
        <v>100</v>
      </c>
      <c r="ZF114" s="66">
        <f t="shared" si="1688"/>
        <v>6387.73</v>
      </c>
      <c r="ZG114" s="67">
        <f t="shared" si="2408"/>
        <v>0</v>
      </c>
      <c r="ZH114" s="74"/>
      <c r="ZI114" s="72"/>
      <c r="ZJ114" s="73"/>
      <c r="ZK114" s="74"/>
      <c r="ZL114" s="75"/>
      <c r="ZM114" s="73"/>
      <c r="ZN114" s="74"/>
      <c r="ZO114" s="75"/>
      <c r="ZP114" s="73"/>
      <c r="ZQ114" s="74"/>
      <c r="ZR114" s="75"/>
      <c r="ZS114" s="73"/>
      <c r="ZT114" s="74"/>
      <c r="ZU114" s="76"/>
      <c r="ZV114" s="77"/>
      <c r="ZW114" s="64">
        <f t="shared" si="2409"/>
        <v>0</v>
      </c>
      <c r="ZX114" s="62">
        <v>24.71</v>
      </c>
      <c r="ZY114" s="63"/>
      <c r="ZZ114" s="64">
        <f t="shared" si="2410"/>
        <v>24.71</v>
      </c>
      <c r="AAA114" s="66">
        <f t="shared" si="1692"/>
        <v>24.71</v>
      </c>
      <c r="AAB114" s="67">
        <f t="shared" si="1692"/>
        <v>0</v>
      </c>
      <c r="AAC114" s="64">
        <f t="shared" si="2411"/>
        <v>24.71</v>
      </c>
      <c r="AAD114" s="85">
        <f t="shared" si="1694"/>
        <v>191516.69</v>
      </c>
      <c r="AAE114" s="86">
        <f t="shared" si="1694"/>
        <v>0</v>
      </c>
      <c r="AAF114" s="87">
        <f t="shared" si="1457"/>
        <v>0</v>
      </c>
      <c r="AAG114" s="88">
        <f t="shared" si="2412"/>
        <v>-191516.69</v>
      </c>
      <c r="AAH114" s="58"/>
      <c r="AAI114" s="59"/>
      <c r="AAJ114" s="59"/>
      <c r="AAK114" s="60"/>
    </row>
    <row r="115" spans="1:713" s="83" customFormat="1" ht="20" customHeight="1" x14ac:dyDescent="0.2">
      <c r="A115" s="154"/>
      <c r="B115" s="89">
        <f>AAH115</f>
        <v>0</v>
      </c>
      <c r="C115" s="90"/>
      <c r="D115" s="90"/>
      <c r="E115" s="60"/>
      <c r="F115" s="61">
        <v>47665</v>
      </c>
      <c r="G115" s="62">
        <f>371675.99/2</f>
        <v>185837.995</v>
      </c>
      <c r="H115" s="63"/>
      <c r="I115" s="64">
        <f t="shared" si="2208"/>
        <v>185837.995</v>
      </c>
      <c r="J115" s="65">
        <v>2166.9299999999998</v>
      </c>
      <c r="K115" s="63"/>
      <c r="L115" s="64">
        <f t="shared" si="2209"/>
        <v>2166.9299999999998</v>
      </c>
      <c r="M115" s="65">
        <v>2500</v>
      </c>
      <c r="N115" s="63"/>
      <c r="O115" s="64">
        <f t="shared" si="2210"/>
        <v>2500</v>
      </c>
      <c r="P115" s="65">
        <v>1250</v>
      </c>
      <c r="Q115" s="63"/>
      <c r="R115" s="64">
        <f t="shared" si="2211"/>
        <v>1250</v>
      </c>
      <c r="S115" s="65">
        <v>362</v>
      </c>
      <c r="T115" s="63"/>
      <c r="U115" s="64">
        <f t="shared" si="2212"/>
        <v>362</v>
      </c>
      <c r="V115" s="66">
        <f t="shared" si="2213"/>
        <v>192116.92499999999</v>
      </c>
      <c r="W115" s="67">
        <f t="shared" si="2213"/>
        <v>0</v>
      </c>
      <c r="X115" s="64">
        <f t="shared" si="2214"/>
        <v>192116.92499999999</v>
      </c>
      <c r="Y115" s="72"/>
      <c r="Z115" s="73"/>
      <c r="AA115" s="74"/>
      <c r="AB115" s="75"/>
      <c r="AC115" s="73"/>
      <c r="AD115" s="74"/>
      <c r="AE115" s="75"/>
      <c r="AF115" s="73"/>
      <c r="AG115" s="74"/>
      <c r="AH115" s="75"/>
      <c r="AI115" s="73"/>
      <c r="AJ115" s="74"/>
      <c r="AK115" s="76"/>
      <c r="AL115" s="77"/>
      <c r="AM115" s="64">
        <f t="shared" si="2215"/>
        <v>0</v>
      </c>
      <c r="AN115" s="62">
        <v>6250</v>
      </c>
      <c r="AO115" s="63"/>
      <c r="AP115" s="64">
        <f t="shared" si="2413"/>
        <v>6250</v>
      </c>
      <c r="AQ115" s="65"/>
      <c r="AR115" s="63"/>
      <c r="AS115" s="64">
        <f t="shared" si="2216"/>
        <v>0</v>
      </c>
      <c r="AT115" s="65"/>
      <c r="AU115" s="63"/>
      <c r="AV115" s="64">
        <f t="shared" si="2217"/>
        <v>0</v>
      </c>
      <c r="AW115" s="65"/>
      <c r="AX115" s="63"/>
      <c r="AY115" s="64">
        <f t="shared" si="2218"/>
        <v>0</v>
      </c>
      <c r="AZ115" s="66">
        <f t="shared" si="1469"/>
        <v>6250</v>
      </c>
      <c r="BA115" s="67">
        <f t="shared" si="2219"/>
        <v>0</v>
      </c>
      <c r="BB115" s="64">
        <f t="shared" si="2220"/>
        <v>6250</v>
      </c>
      <c r="BC115" s="62"/>
      <c r="BD115" s="63"/>
      <c r="BE115" s="64">
        <f t="shared" si="2221"/>
        <v>0</v>
      </c>
      <c r="BF115" s="65"/>
      <c r="BG115" s="63"/>
      <c r="BH115" s="64">
        <f t="shared" si="2222"/>
        <v>0</v>
      </c>
      <c r="BI115" s="65"/>
      <c r="BJ115" s="63"/>
      <c r="BK115" s="64">
        <f t="shared" si="2223"/>
        <v>0</v>
      </c>
      <c r="BL115" s="65">
        <v>100</v>
      </c>
      <c r="BM115" s="63"/>
      <c r="BN115" s="64">
        <f t="shared" si="2224"/>
        <v>100</v>
      </c>
      <c r="BO115" s="66">
        <f t="shared" si="1476"/>
        <v>100</v>
      </c>
      <c r="BP115" s="67">
        <f t="shared" si="2225"/>
        <v>0</v>
      </c>
      <c r="BQ115" s="64">
        <f t="shared" si="2226"/>
        <v>100</v>
      </c>
      <c r="BR115" s="72"/>
      <c r="BS115" s="73"/>
      <c r="BT115" s="74"/>
      <c r="BU115" s="75"/>
      <c r="BV115" s="73"/>
      <c r="BW115" s="74"/>
      <c r="BX115" s="75"/>
      <c r="BY115" s="73"/>
      <c r="BZ115" s="74"/>
      <c r="CA115" s="75"/>
      <c r="CB115" s="73"/>
      <c r="CC115" s="74"/>
      <c r="CD115" s="76"/>
      <c r="CE115" s="77"/>
      <c r="CF115" s="64">
        <f t="shared" si="2227"/>
        <v>0</v>
      </c>
      <c r="CG115" s="62">
        <v>5000</v>
      </c>
      <c r="CH115" s="63"/>
      <c r="CI115" s="64">
        <f t="shared" si="2228"/>
        <v>5000</v>
      </c>
      <c r="CJ115" s="65"/>
      <c r="CK115" s="63"/>
      <c r="CL115" s="64">
        <f t="shared" si="2229"/>
        <v>0</v>
      </c>
      <c r="CM115" s="65"/>
      <c r="CN115" s="63"/>
      <c r="CO115" s="64">
        <f t="shared" si="2230"/>
        <v>0</v>
      </c>
      <c r="CP115" s="65"/>
      <c r="CQ115" s="63"/>
      <c r="CR115" s="64">
        <f t="shared" si="2231"/>
        <v>0</v>
      </c>
      <c r="CS115" s="66">
        <f t="shared" si="1484"/>
        <v>5000</v>
      </c>
      <c r="CT115" s="67">
        <f t="shared" si="2232"/>
        <v>0</v>
      </c>
      <c r="CU115" s="64">
        <f t="shared" si="2233"/>
        <v>5000</v>
      </c>
      <c r="CV115" s="62">
        <v>2916.7</v>
      </c>
      <c r="CW115" s="63"/>
      <c r="CX115" s="64">
        <f t="shared" si="2234"/>
        <v>2916.7</v>
      </c>
      <c r="CY115" s="65">
        <v>429.15</v>
      </c>
      <c r="CZ115" s="63"/>
      <c r="DA115" s="64">
        <f t="shared" si="2235"/>
        <v>429.15</v>
      </c>
      <c r="DB115" s="65"/>
      <c r="DC115" s="63"/>
      <c r="DD115" s="64">
        <f t="shared" si="2236"/>
        <v>0</v>
      </c>
      <c r="DE115" s="65"/>
      <c r="DF115" s="63"/>
      <c r="DG115" s="64">
        <f t="shared" si="2237"/>
        <v>0</v>
      </c>
      <c r="DH115" s="66">
        <f t="shared" si="1491"/>
        <v>3345.85</v>
      </c>
      <c r="DI115" s="67">
        <f t="shared" si="2238"/>
        <v>0</v>
      </c>
      <c r="DJ115" s="64">
        <f t="shared" si="2239"/>
        <v>3345.85</v>
      </c>
      <c r="DK115" s="62">
        <v>2400</v>
      </c>
      <c r="DL115" s="63"/>
      <c r="DM115" s="64">
        <f t="shared" si="2240"/>
        <v>2400</v>
      </c>
      <c r="DN115" s="65">
        <v>913.08</v>
      </c>
      <c r="DO115" s="63"/>
      <c r="DP115" s="64">
        <f t="shared" si="2241"/>
        <v>913.08</v>
      </c>
      <c r="DQ115" s="65"/>
      <c r="DR115" s="63"/>
      <c r="DS115" s="64">
        <f t="shared" si="2242"/>
        <v>0</v>
      </c>
      <c r="DT115" s="65">
        <v>100</v>
      </c>
      <c r="DU115" s="63"/>
      <c r="DV115" s="64">
        <f t="shared" si="2243"/>
        <v>100</v>
      </c>
      <c r="DW115" s="66">
        <f t="shared" si="1498"/>
        <v>3413.08</v>
      </c>
      <c r="DX115" s="67">
        <f t="shared" si="2244"/>
        <v>0</v>
      </c>
      <c r="DY115" s="64">
        <f t="shared" si="2245"/>
        <v>3413.08</v>
      </c>
      <c r="DZ115" s="62">
        <v>12000</v>
      </c>
      <c r="EA115" s="63"/>
      <c r="EB115" s="64">
        <f t="shared" si="2246"/>
        <v>12000</v>
      </c>
      <c r="EC115" s="65"/>
      <c r="ED115" s="63"/>
      <c r="EE115" s="64">
        <f t="shared" si="2247"/>
        <v>0</v>
      </c>
      <c r="EF115" s="65"/>
      <c r="EG115" s="63"/>
      <c r="EH115" s="64">
        <f t="shared" si="2248"/>
        <v>0</v>
      </c>
      <c r="EI115" s="65">
        <v>100</v>
      </c>
      <c r="EJ115" s="63"/>
      <c r="EK115" s="64">
        <f t="shared" si="2249"/>
        <v>100</v>
      </c>
      <c r="EL115" s="66">
        <f t="shared" si="1505"/>
        <v>12100</v>
      </c>
      <c r="EM115" s="67">
        <f t="shared" si="2250"/>
        <v>0</v>
      </c>
      <c r="EN115" s="64">
        <f t="shared" si="2251"/>
        <v>12100</v>
      </c>
      <c r="EO115" s="62"/>
      <c r="EP115" s="63"/>
      <c r="EQ115" s="64">
        <f t="shared" si="2252"/>
        <v>0</v>
      </c>
      <c r="ER115" s="65">
        <v>3600</v>
      </c>
      <c r="ES115" s="63"/>
      <c r="ET115" s="64">
        <f t="shared" si="2253"/>
        <v>3600</v>
      </c>
      <c r="EU115" s="65"/>
      <c r="EV115" s="63"/>
      <c r="EW115" s="64">
        <f t="shared" si="2254"/>
        <v>0</v>
      </c>
      <c r="EX115" s="65">
        <v>100</v>
      </c>
      <c r="EY115" s="63"/>
      <c r="EZ115" s="64">
        <f t="shared" si="2255"/>
        <v>100</v>
      </c>
      <c r="FA115" s="66">
        <f t="shared" si="1512"/>
        <v>3700</v>
      </c>
      <c r="FB115" s="67">
        <f t="shared" si="2256"/>
        <v>0</v>
      </c>
      <c r="FC115" s="64">
        <f t="shared" si="2257"/>
        <v>3700</v>
      </c>
      <c r="FD115" s="62"/>
      <c r="FE115" s="63"/>
      <c r="FF115" s="64">
        <f t="shared" si="2258"/>
        <v>0</v>
      </c>
      <c r="FG115" s="65">
        <v>3600</v>
      </c>
      <c r="FH115" s="63"/>
      <c r="FI115" s="64">
        <f t="shared" si="2259"/>
        <v>3600</v>
      </c>
      <c r="FJ115" s="65"/>
      <c r="FK115" s="63"/>
      <c r="FL115" s="64">
        <f t="shared" si="2260"/>
        <v>0</v>
      </c>
      <c r="FM115" s="65">
        <v>100</v>
      </c>
      <c r="FN115" s="63"/>
      <c r="FO115" s="64">
        <f t="shared" si="2261"/>
        <v>100</v>
      </c>
      <c r="FP115" s="66">
        <f t="shared" si="1519"/>
        <v>3700</v>
      </c>
      <c r="FQ115" s="67">
        <f t="shared" si="2262"/>
        <v>0</v>
      </c>
      <c r="FR115" s="64">
        <f t="shared" si="2263"/>
        <v>3700</v>
      </c>
      <c r="FS115" s="62">
        <v>18000</v>
      </c>
      <c r="FT115" s="63"/>
      <c r="FU115" s="64">
        <f t="shared" si="2264"/>
        <v>18000</v>
      </c>
      <c r="FV115" s="65">
        <v>485.35</v>
      </c>
      <c r="FW115" s="63"/>
      <c r="FX115" s="64">
        <f t="shared" si="2265"/>
        <v>485.35</v>
      </c>
      <c r="FY115" s="65"/>
      <c r="FZ115" s="63"/>
      <c r="GA115" s="64">
        <f t="shared" si="2266"/>
        <v>0</v>
      </c>
      <c r="GB115" s="65"/>
      <c r="GC115" s="63"/>
      <c r="GD115" s="64">
        <f t="shared" si="2267"/>
        <v>0</v>
      </c>
      <c r="GE115" s="66">
        <f t="shared" si="1526"/>
        <v>18485.349999999999</v>
      </c>
      <c r="GF115" s="67">
        <f t="shared" si="2268"/>
        <v>0</v>
      </c>
      <c r="GG115" s="64">
        <f t="shared" si="2269"/>
        <v>18485.349999999999</v>
      </c>
      <c r="GH115" s="62">
        <v>18000</v>
      </c>
      <c r="GI115" s="63"/>
      <c r="GJ115" s="64">
        <f t="shared" si="2270"/>
        <v>18000</v>
      </c>
      <c r="GK115" s="65">
        <v>660.33</v>
      </c>
      <c r="GL115" s="63"/>
      <c r="GM115" s="64">
        <f t="shared" si="2271"/>
        <v>660.33</v>
      </c>
      <c r="GN115" s="65"/>
      <c r="GO115" s="63"/>
      <c r="GP115" s="64">
        <f t="shared" si="2272"/>
        <v>0</v>
      </c>
      <c r="GQ115" s="65"/>
      <c r="GR115" s="63"/>
      <c r="GS115" s="64">
        <f t="shared" si="2273"/>
        <v>0</v>
      </c>
      <c r="GT115" s="66">
        <f t="shared" si="1533"/>
        <v>18660.330000000002</v>
      </c>
      <c r="GU115" s="67">
        <f t="shared" si="2274"/>
        <v>0</v>
      </c>
      <c r="GV115" s="64">
        <f t="shared" si="2275"/>
        <v>18660.330000000002</v>
      </c>
      <c r="GW115" s="62">
        <v>13350</v>
      </c>
      <c r="GX115" s="63"/>
      <c r="GY115" s="64">
        <f t="shared" si="2276"/>
        <v>13350</v>
      </c>
      <c r="GZ115" s="65">
        <v>568.25</v>
      </c>
      <c r="HA115" s="63"/>
      <c r="HB115" s="64">
        <f t="shared" si="2277"/>
        <v>568.25</v>
      </c>
      <c r="HC115" s="65"/>
      <c r="HD115" s="63"/>
      <c r="HE115" s="64">
        <f t="shared" si="2278"/>
        <v>0</v>
      </c>
      <c r="HF115" s="65">
        <v>100</v>
      </c>
      <c r="HG115" s="63"/>
      <c r="HH115" s="64">
        <f t="shared" si="2279"/>
        <v>100</v>
      </c>
      <c r="HI115" s="66">
        <f t="shared" si="1540"/>
        <v>14018.25</v>
      </c>
      <c r="HJ115" s="67">
        <f t="shared" si="2280"/>
        <v>0</v>
      </c>
      <c r="HK115" s="64">
        <f t="shared" si="2281"/>
        <v>14018.25</v>
      </c>
      <c r="HL115" s="62"/>
      <c r="HM115" s="63"/>
      <c r="HN115" s="64">
        <f t="shared" si="2282"/>
        <v>0</v>
      </c>
      <c r="HO115" s="65">
        <v>4400</v>
      </c>
      <c r="HP115" s="63"/>
      <c r="HQ115" s="64">
        <f t="shared" si="2283"/>
        <v>4400</v>
      </c>
      <c r="HR115" s="65"/>
      <c r="HS115" s="63"/>
      <c r="HT115" s="64">
        <f t="shared" si="2284"/>
        <v>0</v>
      </c>
      <c r="HU115" s="65">
        <v>100</v>
      </c>
      <c r="HV115" s="63"/>
      <c r="HW115" s="64">
        <f t="shared" si="2285"/>
        <v>100</v>
      </c>
      <c r="HX115" s="66">
        <f t="shared" si="1547"/>
        <v>4500</v>
      </c>
      <c r="HY115" s="67">
        <f t="shared" si="2286"/>
        <v>0</v>
      </c>
      <c r="HZ115" s="64">
        <f t="shared" si="2287"/>
        <v>4500</v>
      </c>
      <c r="IA115" s="62">
        <v>9864.5</v>
      </c>
      <c r="IB115" s="63"/>
      <c r="IC115" s="64">
        <f t="shared" si="2288"/>
        <v>9864.5</v>
      </c>
      <c r="ID115" s="65"/>
      <c r="IE115" s="63"/>
      <c r="IF115" s="64">
        <f t="shared" si="2289"/>
        <v>0</v>
      </c>
      <c r="IG115" s="65"/>
      <c r="IH115" s="63"/>
      <c r="II115" s="64">
        <f t="shared" si="2290"/>
        <v>0</v>
      </c>
      <c r="IJ115" s="65">
        <v>100</v>
      </c>
      <c r="IK115" s="63"/>
      <c r="IL115" s="64">
        <f t="shared" si="2291"/>
        <v>100</v>
      </c>
      <c r="IM115" s="66">
        <f t="shared" si="1554"/>
        <v>9964.5</v>
      </c>
      <c r="IN115" s="67">
        <f t="shared" si="2292"/>
        <v>0</v>
      </c>
      <c r="IO115" s="64">
        <f t="shared" si="2293"/>
        <v>9964.5</v>
      </c>
      <c r="IP115" s="62">
        <v>5000</v>
      </c>
      <c r="IQ115" s="63"/>
      <c r="IR115" s="64">
        <f t="shared" si="2294"/>
        <v>5000</v>
      </c>
      <c r="IS115" s="65"/>
      <c r="IT115" s="63"/>
      <c r="IU115" s="64">
        <f t="shared" si="2295"/>
        <v>0</v>
      </c>
      <c r="IV115" s="65"/>
      <c r="IW115" s="63"/>
      <c r="IX115" s="64">
        <f t="shared" si="2296"/>
        <v>0</v>
      </c>
      <c r="IY115" s="65"/>
      <c r="IZ115" s="63"/>
      <c r="JA115" s="64">
        <f t="shared" si="2297"/>
        <v>0</v>
      </c>
      <c r="JB115" s="66">
        <f t="shared" si="1561"/>
        <v>5000</v>
      </c>
      <c r="JC115" s="67">
        <f t="shared" si="2298"/>
        <v>0</v>
      </c>
      <c r="JD115" s="64">
        <f t="shared" si="2299"/>
        <v>5000</v>
      </c>
      <c r="JE115" s="72"/>
      <c r="JF115" s="150"/>
      <c r="JG115" s="74"/>
      <c r="JH115" s="75"/>
      <c r="JI115" s="150"/>
      <c r="JJ115" s="74"/>
      <c r="JK115" s="75"/>
      <c r="JL115" s="150"/>
      <c r="JM115" s="74"/>
      <c r="JN115" s="75"/>
      <c r="JO115" s="150"/>
      <c r="JP115" s="74"/>
      <c r="JQ115" s="76"/>
      <c r="JR115" s="77"/>
      <c r="JS115" s="74"/>
      <c r="JT115" s="72"/>
      <c r="JU115" s="73"/>
      <c r="JV115" s="74"/>
      <c r="JW115" s="75"/>
      <c r="JX115" s="73"/>
      <c r="JY115" s="74"/>
      <c r="JZ115" s="75"/>
      <c r="KA115" s="73"/>
      <c r="KB115" s="74"/>
      <c r="KC115" s="75"/>
      <c r="KD115" s="73"/>
      <c r="KE115" s="74"/>
      <c r="KF115" s="76"/>
      <c r="KG115" s="77"/>
      <c r="KH115" s="64">
        <f t="shared" si="2300"/>
        <v>0</v>
      </c>
      <c r="KI115" s="62">
        <v>50000</v>
      </c>
      <c r="KJ115" s="63"/>
      <c r="KK115" s="64">
        <f t="shared" si="2301"/>
        <v>50000</v>
      </c>
      <c r="KL115" s="65"/>
      <c r="KM115" s="63"/>
      <c r="KN115" s="64">
        <f t="shared" si="2302"/>
        <v>0</v>
      </c>
      <c r="KO115" s="65"/>
      <c r="KP115" s="63"/>
      <c r="KQ115" s="64">
        <f t="shared" si="2303"/>
        <v>0</v>
      </c>
      <c r="KR115" s="65"/>
      <c r="KS115" s="63"/>
      <c r="KT115" s="64">
        <f t="shared" si="2304"/>
        <v>0</v>
      </c>
      <c r="KU115" s="66">
        <f t="shared" si="1439"/>
        <v>50000</v>
      </c>
      <c r="KV115" s="67">
        <f t="shared" si="2305"/>
        <v>0</v>
      </c>
      <c r="KW115" s="64">
        <f t="shared" si="2306"/>
        <v>50000</v>
      </c>
      <c r="KX115" s="72"/>
      <c r="KY115" s="73"/>
      <c r="KZ115" s="74"/>
      <c r="LA115" s="75"/>
      <c r="LB115" s="73"/>
      <c r="LC115" s="74"/>
      <c r="LD115" s="75"/>
      <c r="LE115" s="73"/>
      <c r="LF115" s="74"/>
      <c r="LG115" s="75"/>
      <c r="LH115" s="73"/>
      <c r="LI115" s="74"/>
      <c r="LJ115" s="76"/>
      <c r="LK115" s="77"/>
      <c r="LL115" s="74"/>
      <c r="LM115" s="62">
        <v>9300</v>
      </c>
      <c r="LN115" s="63"/>
      <c r="LO115" s="64">
        <f t="shared" si="2307"/>
        <v>9300</v>
      </c>
      <c r="LP115" s="65"/>
      <c r="LQ115" s="63"/>
      <c r="LR115" s="64">
        <f t="shared" si="2308"/>
        <v>0</v>
      </c>
      <c r="LS115" s="65"/>
      <c r="LT115" s="63"/>
      <c r="LU115" s="64">
        <f t="shared" si="2309"/>
        <v>0</v>
      </c>
      <c r="LV115" s="65">
        <v>100</v>
      </c>
      <c r="LW115" s="63"/>
      <c r="LX115" s="64">
        <f t="shared" si="2310"/>
        <v>100</v>
      </c>
      <c r="LY115" s="66">
        <f t="shared" si="1575"/>
        <v>9400</v>
      </c>
      <c r="LZ115" s="67">
        <f t="shared" si="2311"/>
        <v>0</v>
      </c>
      <c r="MA115" s="64">
        <f t="shared" si="2312"/>
        <v>9400</v>
      </c>
      <c r="MB115" s="62">
        <f>6*650</f>
        <v>3900</v>
      </c>
      <c r="MC115" s="63"/>
      <c r="MD115" s="64">
        <f t="shared" si="2313"/>
        <v>3900</v>
      </c>
      <c r="ME115" s="65">
        <v>889.11</v>
      </c>
      <c r="MF115" s="63"/>
      <c r="MG115" s="64">
        <f t="shared" si="2314"/>
        <v>889.11</v>
      </c>
      <c r="MH115" s="65"/>
      <c r="MI115" s="63"/>
      <c r="MJ115" s="64">
        <f t="shared" si="2315"/>
        <v>0</v>
      </c>
      <c r="MK115" s="65">
        <v>100</v>
      </c>
      <c r="ML115" s="63"/>
      <c r="MM115" s="64">
        <f t="shared" si="2316"/>
        <v>100</v>
      </c>
      <c r="MN115" s="66">
        <f t="shared" si="1582"/>
        <v>4889.1099999999997</v>
      </c>
      <c r="MO115" s="67">
        <f t="shared" si="2317"/>
        <v>0</v>
      </c>
      <c r="MP115" s="64">
        <f t="shared" si="2318"/>
        <v>4889.1099999999997</v>
      </c>
      <c r="MQ115" s="62">
        <v>9100</v>
      </c>
      <c r="MR115" s="63"/>
      <c r="MS115" s="64">
        <f t="shared" si="2319"/>
        <v>9100</v>
      </c>
      <c r="MT115" s="65"/>
      <c r="MU115" s="63"/>
      <c r="MV115" s="64">
        <f t="shared" si="2320"/>
        <v>0</v>
      </c>
      <c r="MW115" s="65"/>
      <c r="MX115" s="63"/>
      <c r="MY115" s="64">
        <f t="shared" si="2321"/>
        <v>0</v>
      </c>
      <c r="MZ115" s="65"/>
      <c r="NA115" s="63"/>
      <c r="NB115" s="64">
        <f t="shared" si="2322"/>
        <v>0</v>
      </c>
      <c r="NC115" s="66">
        <f t="shared" si="1589"/>
        <v>9100</v>
      </c>
      <c r="ND115" s="67">
        <f t="shared" si="2323"/>
        <v>0</v>
      </c>
      <c r="NE115" s="64">
        <f t="shared" si="2324"/>
        <v>9100</v>
      </c>
      <c r="NF115" s="62">
        <v>6000</v>
      </c>
      <c r="NG115" s="63"/>
      <c r="NH115" s="64">
        <f t="shared" si="2325"/>
        <v>6000</v>
      </c>
      <c r="NI115" s="65">
        <v>1164.04</v>
      </c>
      <c r="NJ115" s="63"/>
      <c r="NK115" s="64">
        <f t="shared" si="2326"/>
        <v>1164.04</v>
      </c>
      <c r="NL115" s="65"/>
      <c r="NM115" s="63"/>
      <c r="NN115" s="64">
        <f t="shared" si="2327"/>
        <v>0</v>
      </c>
      <c r="NO115" s="65">
        <v>100</v>
      </c>
      <c r="NP115" s="63"/>
      <c r="NQ115" s="64">
        <f t="shared" si="2328"/>
        <v>100</v>
      </c>
      <c r="NR115" s="66">
        <f t="shared" si="1596"/>
        <v>7264.04</v>
      </c>
      <c r="NS115" s="67">
        <f t="shared" si="2329"/>
        <v>0</v>
      </c>
      <c r="NT115" s="64">
        <f t="shared" si="2330"/>
        <v>7264.04</v>
      </c>
      <c r="NU115" s="62">
        <f>6*864</f>
        <v>5184</v>
      </c>
      <c r="NV115" s="63"/>
      <c r="NW115" s="64">
        <f t="shared" si="2331"/>
        <v>5184</v>
      </c>
      <c r="NX115" s="65">
        <v>1152.73</v>
      </c>
      <c r="NY115" s="63"/>
      <c r="NZ115" s="64">
        <f t="shared" si="2332"/>
        <v>1152.73</v>
      </c>
      <c r="OA115" s="65"/>
      <c r="OB115" s="63"/>
      <c r="OC115" s="64">
        <f t="shared" si="2333"/>
        <v>0</v>
      </c>
      <c r="OD115" s="65">
        <v>100</v>
      </c>
      <c r="OE115" s="63"/>
      <c r="OF115" s="64">
        <f t="shared" si="2334"/>
        <v>100</v>
      </c>
      <c r="OG115" s="66">
        <f t="shared" si="1603"/>
        <v>6436.73</v>
      </c>
      <c r="OH115" s="67">
        <f t="shared" si="2335"/>
        <v>0</v>
      </c>
      <c r="OI115" s="64">
        <f t="shared" si="2336"/>
        <v>6436.73</v>
      </c>
      <c r="OJ115" s="62"/>
      <c r="OK115" s="63"/>
      <c r="OL115" s="64">
        <f t="shared" si="2337"/>
        <v>0</v>
      </c>
      <c r="OM115" s="65"/>
      <c r="ON115" s="63"/>
      <c r="OO115" s="64">
        <f t="shared" si="2338"/>
        <v>0</v>
      </c>
      <c r="OP115" s="65"/>
      <c r="OQ115" s="63"/>
      <c r="OR115" s="64">
        <f t="shared" si="2339"/>
        <v>0</v>
      </c>
      <c r="OS115" s="65">
        <v>100</v>
      </c>
      <c r="OT115" s="63"/>
      <c r="OU115" s="64">
        <f t="shared" si="2340"/>
        <v>100</v>
      </c>
      <c r="OV115" s="66">
        <f t="shared" si="1610"/>
        <v>100</v>
      </c>
      <c r="OW115" s="67">
        <f t="shared" si="2341"/>
        <v>0</v>
      </c>
      <c r="OX115" s="64">
        <f t="shared" si="2342"/>
        <v>100</v>
      </c>
      <c r="OY115" s="62">
        <v>15800</v>
      </c>
      <c r="OZ115" s="63"/>
      <c r="PA115" s="64">
        <f t="shared" si="2343"/>
        <v>15800</v>
      </c>
      <c r="PB115" s="65"/>
      <c r="PC115" s="63"/>
      <c r="PD115" s="64">
        <f t="shared" si="2344"/>
        <v>0</v>
      </c>
      <c r="PE115" s="65"/>
      <c r="PF115" s="63"/>
      <c r="PG115" s="64">
        <f t="shared" si="2345"/>
        <v>0</v>
      </c>
      <c r="PH115" s="65">
        <v>100</v>
      </c>
      <c r="PI115" s="63"/>
      <c r="PJ115" s="64">
        <f t="shared" si="2346"/>
        <v>100</v>
      </c>
      <c r="PK115" s="66">
        <f t="shared" si="1617"/>
        <v>15900</v>
      </c>
      <c r="PL115" s="67">
        <f t="shared" si="2347"/>
        <v>0</v>
      </c>
      <c r="PM115" s="64">
        <f t="shared" si="2348"/>
        <v>15900</v>
      </c>
      <c r="PN115" s="62">
        <v>1550</v>
      </c>
      <c r="PO115" s="63"/>
      <c r="PP115" s="64">
        <f t="shared" si="2349"/>
        <v>1550</v>
      </c>
      <c r="PQ115" s="65"/>
      <c r="PR115" s="63"/>
      <c r="PS115" s="64">
        <f t="shared" si="2350"/>
        <v>0</v>
      </c>
      <c r="PT115" s="65"/>
      <c r="PU115" s="63"/>
      <c r="PV115" s="64">
        <f t="shared" si="2351"/>
        <v>0</v>
      </c>
      <c r="PW115" s="65">
        <v>100</v>
      </c>
      <c r="PX115" s="63"/>
      <c r="PY115" s="64">
        <f t="shared" si="2352"/>
        <v>100</v>
      </c>
      <c r="PZ115" s="66">
        <f t="shared" si="1624"/>
        <v>1650</v>
      </c>
      <c r="QA115" s="67">
        <f t="shared" si="2353"/>
        <v>0</v>
      </c>
      <c r="QB115" s="64">
        <f t="shared" si="2354"/>
        <v>1650</v>
      </c>
      <c r="QC115" s="62">
        <v>9000</v>
      </c>
      <c r="QD115" s="63"/>
      <c r="QE115" s="64">
        <f t="shared" si="2355"/>
        <v>9000</v>
      </c>
      <c r="QF115" s="65"/>
      <c r="QG115" s="63"/>
      <c r="QH115" s="64">
        <f t="shared" si="2356"/>
        <v>0</v>
      </c>
      <c r="QI115" s="65"/>
      <c r="QJ115" s="63"/>
      <c r="QK115" s="64">
        <f t="shared" si="2357"/>
        <v>0</v>
      </c>
      <c r="QL115" s="65">
        <v>100</v>
      </c>
      <c r="QM115" s="63"/>
      <c r="QN115" s="64">
        <f t="shared" si="2358"/>
        <v>100</v>
      </c>
      <c r="QO115" s="66">
        <f t="shared" si="1631"/>
        <v>9100</v>
      </c>
      <c r="QP115" s="67">
        <f t="shared" si="2359"/>
        <v>0</v>
      </c>
      <c r="QQ115" s="64">
        <f t="shared" si="2360"/>
        <v>9100</v>
      </c>
      <c r="QR115" s="74"/>
      <c r="QS115" s="74"/>
      <c r="QT115" s="72"/>
      <c r="QU115" s="73"/>
      <c r="QV115" s="74"/>
      <c r="QW115" s="75"/>
      <c r="QX115" s="73"/>
      <c r="QY115" s="74"/>
      <c r="QZ115" s="75"/>
      <c r="RA115" s="73"/>
      <c r="RB115" s="74"/>
      <c r="RC115" s="75"/>
      <c r="RD115" s="73"/>
      <c r="RE115" s="74"/>
      <c r="RF115" s="74"/>
      <c r="RG115" s="72"/>
      <c r="RH115" s="73"/>
      <c r="RI115" s="74"/>
      <c r="RJ115" s="75"/>
      <c r="RK115" s="73"/>
      <c r="RL115" s="74"/>
      <c r="RM115" s="75"/>
      <c r="RN115" s="73"/>
      <c r="RO115" s="74"/>
      <c r="RP115" s="75"/>
      <c r="RQ115" s="73"/>
      <c r="RR115" s="74"/>
      <c r="RS115" s="76"/>
      <c r="RT115" s="77"/>
      <c r="RU115" s="74"/>
      <c r="RV115" s="74"/>
      <c r="RW115" s="72"/>
      <c r="RX115" s="73"/>
      <c r="RY115" s="74"/>
      <c r="RZ115" s="75"/>
      <c r="SA115" s="73"/>
      <c r="SB115" s="74"/>
      <c r="SC115" s="75"/>
      <c r="SD115" s="73"/>
      <c r="SE115" s="74"/>
      <c r="SF115" s="75"/>
      <c r="SG115" s="73"/>
      <c r="SH115" s="74"/>
      <c r="SI115" s="76"/>
      <c r="SJ115" s="64">
        <f t="shared" si="2361"/>
        <v>0</v>
      </c>
      <c r="SK115" s="62"/>
      <c r="SL115" s="63"/>
      <c r="SM115" s="64">
        <f t="shared" si="2362"/>
        <v>0</v>
      </c>
      <c r="SN115" s="65"/>
      <c r="SO115" s="63"/>
      <c r="SP115" s="64">
        <f t="shared" si="2363"/>
        <v>0</v>
      </c>
      <c r="SQ115" s="65"/>
      <c r="SR115" s="63"/>
      <c r="SS115" s="64">
        <f t="shared" si="2364"/>
        <v>0</v>
      </c>
      <c r="ST115" s="65">
        <v>100</v>
      </c>
      <c r="SU115" s="63"/>
      <c r="SV115" s="64">
        <f t="shared" si="2365"/>
        <v>100</v>
      </c>
      <c r="SW115" s="66">
        <f t="shared" si="1639"/>
        <v>100</v>
      </c>
      <c r="SX115" s="67">
        <f t="shared" si="2366"/>
        <v>0</v>
      </c>
      <c r="SY115" s="64">
        <f t="shared" si="2367"/>
        <v>100</v>
      </c>
      <c r="SZ115" s="62">
        <v>985.33</v>
      </c>
      <c r="TA115" s="63"/>
      <c r="TB115" s="64">
        <f t="shared" si="2368"/>
        <v>985.33</v>
      </c>
      <c r="TC115" s="65">
        <v>700.9</v>
      </c>
      <c r="TD115" s="63"/>
      <c r="TE115" s="64">
        <f t="shared" si="2369"/>
        <v>700.9</v>
      </c>
      <c r="TF115" s="65"/>
      <c r="TG115" s="63"/>
      <c r="TH115" s="64">
        <f t="shared" si="2370"/>
        <v>0</v>
      </c>
      <c r="TI115" s="65">
        <v>100</v>
      </c>
      <c r="TJ115" s="63"/>
      <c r="TK115" s="64">
        <f t="shared" si="2371"/>
        <v>100</v>
      </c>
      <c r="TL115" s="66">
        <f t="shared" si="1646"/>
        <v>1786.23</v>
      </c>
      <c r="TM115" s="67">
        <f t="shared" si="2372"/>
        <v>0</v>
      </c>
      <c r="TN115" s="64">
        <f t="shared" si="2373"/>
        <v>1786.23</v>
      </c>
      <c r="TO115" s="62"/>
      <c r="TP115" s="63"/>
      <c r="TQ115" s="64">
        <f t="shared" si="2374"/>
        <v>0</v>
      </c>
      <c r="TR115" s="65"/>
      <c r="TS115" s="63"/>
      <c r="TT115" s="64">
        <f t="shared" si="2375"/>
        <v>0</v>
      </c>
      <c r="TU115" s="65"/>
      <c r="TV115" s="63"/>
      <c r="TW115" s="64">
        <f t="shared" si="2376"/>
        <v>0</v>
      </c>
      <c r="TX115" s="65">
        <v>100</v>
      </c>
      <c r="TY115" s="63"/>
      <c r="TZ115" s="64">
        <f t="shared" si="2377"/>
        <v>100</v>
      </c>
      <c r="UA115" s="66">
        <f t="shared" si="1653"/>
        <v>100</v>
      </c>
      <c r="UB115" s="67">
        <f t="shared" si="2378"/>
        <v>0</v>
      </c>
      <c r="UC115" s="64">
        <f t="shared" si="2379"/>
        <v>100</v>
      </c>
      <c r="UD115" s="62">
        <v>6750</v>
      </c>
      <c r="UE115" s="63"/>
      <c r="UF115" s="64">
        <f t="shared" si="2380"/>
        <v>6750</v>
      </c>
      <c r="UG115" s="65">
        <v>497.04</v>
      </c>
      <c r="UH115" s="63"/>
      <c r="UI115" s="64">
        <f t="shared" si="2381"/>
        <v>497.04</v>
      </c>
      <c r="UJ115" s="65"/>
      <c r="UK115" s="63"/>
      <c r="UL115" s="64">
        <f t="shared" si="2382"/>
        <v>0</v>
      </c>
      <c r="UM115" s="65">
        <v>100</v>
      </c>
      <c r="UN115" s="63"/>
      <c r="UO115" s="64">
        <f t="shared" si="2383"/>
        <v>100</v>
      </c>
      <c r="UP115" s="66">
        <f t="shared" si="1660"/>
        <v>7347.04</v>
      </c>
      <c r="UQ115" s="67">
        <f t="shared" si="2384"/>
        <v>0</v>
      </c>
      <c r="UR115" s="64">
        <f t="shared" si="2385"/>
        <v>7347.04</v>
      </c>
      <c r="US115" s="74"/>
      <c r="UT115" s="72"/>
      <c r="UU115" s="73"/>
      <c r="UV115" s="74"/>
      <c r="UW115" s="75"/>
      <c r="UX115" s="73"/>
      <c r="UY115" s="74"/>
      <c r="UZ115" s="75"/>
      <c r="VA115" s="73"/>
      <c r="VB115" s="74"/>
      <c r="VC115" s="75"/>
      <c r="VD115" s="73"/>
      <c r="VE115" s="74"/>
      <c r="VF115" s="76"/>
      <c r="VG115" s="77"/>
      <c r="VH115" s="62"/>
      <c r="VI115" s="63"/>
      <c r="VJ115" s="64">
        <f t="shared" si="2386"/>
        <v>0</v>
      </c>
      <c r="VK115" s="65"/>
      <c r="VL115" s="63"/>
      <c r="VM115" s="64">
        <f t="shared" si="2387"/>
        <v>0</v>
      </c>
      <c r="VN115" s="65"/>
      <c r="VO115" s="63"/>
      <c r="VP115" s="64">
        <f t="shared" si="2388"/>
        <v>0</v>
      </c>
      <c r="VQ115" s="65">
        <v>100</v>
      </c>
      <c r="VR115" s="63"/>
      <c r="VS115" s="64">
        <f t="shared" si="2389"/>
        <v>100</v>
      </c>
      <c r="VT115" s="66">
        <f t="shared" si="1667"/>
        <v>100</v>
      </c>
      <c r="VU115" s="67">
        <f t="shared" si="2390"/>
        <v>0</v>
      </c>
      <c r="VV115" s="64">
        <f t="shared" si="2391"/>
        <v>100</v>
      </c>
      <c r="VW115" s="74"/>
      <c r="VX115" s="72"/>
      <c r="VY115" s="73"/>
      <c r="VZ115" s="74"/>
      <c r="WA115" s="75"/>
      <c r="WB115" s="73"/>
      <c r="WC115" s="74"/>
      <c r="WD115" s="75"/>
      <c r="WE115" s="73"/>
      <c r="WF115" s="74"/>
      <c r="WG115" s="75"/>
      <c r="WH115" s="73"/>
      <c r="WI115" s="74"/>
      <c r="WJ115" s="76"/>
      <c r="WK115" s="77"/>
      <c r="WL115" s="74"/>
      <c r="WM115" s="72"/>
      <c r="WN115" s="73"/>
      <c r="WO115" s="74"/>
      <c r="WP115" s="75"/>
      <c r="WQ115" s="73"/>
      <c r="WR115" s="74"/>
      <c r="WS115" s="75"/>
      <c r="WT115" s="73"/>
      <c r="WU115" s="74"/>
      <c r="WV115" s="75"/>
      <c r="WW115" s="73"/>
      <c r="WX115" s="74"/>
      <c r="WY115" s="76"/>
      <c r="WZ115" s="77"/>
      <c r="XA115" s="74"/>
      <c r="XB115" s="72"/>
      <c r="XC115" s="73"/>
      <c r="XD115" s="74"/>
      <c r="XE115" s="75"/>
      <c r="XF115" s="73"/>
      <c r="XG115" s="74"/>
      <c r="XH115" s="75"/>
      <c r="XI115" s="73"/>
      <c r="XJ115" s="74"/>
      <c r="XK115" s="75"/>
      <c r="XL115" s="73"/>
      <c r="XM115" s="74"/>
      <c r="XN115" s="76"/>
      <c r="XO115" s="77"/>
      <c r="XP115" s="62">
        <v>5202</v>
      </c>
      <c r="XQ115" s="63"/>
      <c r="XR115" s="64">
        <f t="shared" si="2392"/>
        <v>5202</v>
      </c>
      <c r="XS115" s="65">
        <v>844.24</v>
      </c>
      <c r="XT115" s="63"/>
      <c r="XU115" s="64">
        <f t="shared" si="2393"/>
        <v>844.24</v>
      </c>
      <c r="XV115" s="65"/>
      <c r="XW115" s="63"/>
      <c r="XX115" s="64">
        <f t="shared" si="2394"/>
        <v>0</v>
      </c>
      <c r="XY115" s="65">
        <v>100</v>
      </c>
      <c r="XZ115" s="63"/>
      <c r="YA115" s="64">
        <f t="shared" si="2395"/>
        <v>100</v>
      </c>
      <c r="YB115" s="66">
        <f t="shared" si="1674"/>
        <v>6146.24</v>
      </c>
      <c r="YC115" s="67">
        <f t="shared" si="2396"/>
        <v>0</v>
      </c>
      <c r="YD115" s="64">
        <f t="shared" si="2397"/>
        <v>6146.24</v>
      </c>
      <c r="YE115" s="62">
        <v>5340</v>
      </c>
      <c r="YF115" s="63"/>
      <c r="YG115" s="64">
        <f t="shared" si="2398"/>
        <v>5340</v>
      </c>
      <c r="YH115" s="65">
        <v>847.85</v>
      </c>
      <c r="YI115" s="63"/>
      <c r="YJ115" s="64">
        <f t="shared" si="2399"/>
        <v>847.85</v>
      </c>
      <c r="YK115" s="65"/>
      <c r="YL115" s="63"/>
      <c r="YM115" s="64">
        <f t="shared" si="2400"/>
        <v>0</v>
      </c>
      <c r="YN115" s="65">
        <v>100</v>
      </c>
      <c r="YO115" s="63"/>
      <c r="YP115" s="64">
        <f t="shared" si="2401"/>
        <v>100</v>
      </c>
      <c r="YQ115" s="66">
        <f t="shared" si="1681"/>
        <v>6287.85</v>
      </c>
      <c r="YR115" s="67">
        <f t="shared" si="2402"/>
        <v>0</v>
      </c>
      <c r="YS115" s="64">
        <f t="shared" si="2403"/>
        <v>6287.85</v>
      </c>
      <c r="YT115" s="62">
        <v>5592</v>
      </c>
      <c r="YU115" s="63"/>
      <c r="YV115" s="64">
        <f t="shared" si="2404"/>
        <v>5592</v>
      </c>
      <c r="YW115" s="65">
        <v>695.73</v>
      </c>
      <c r="YX115" s="63"/>
      <c r="YY115" s="64">
        <f t="shared" si="2405"/>
        <v>695.73</v>
      </c>
      <c r="YZ115" s="65"/>
      <c r="ZA115" s="63"/>
      <c r="ZB115" s="64">
        <f t="shared" si="2406"/>
        <v>0</v>
      </c>
      <c r="ZC115" s="65">
        <v>100</v>
      </c>
      <c r="ZD115" s="63"/>
      <c r="ZE115" s="64">
        <f t="shared" si="2407"/>
        <v>100</v>
      </c>
      <c r="ZF115" s="66">
        <f t="shared" si="1688"/>
        <v>6387.73</v>
      </c>
      <c r="ZG115" s="67">
        <f t="shared" si="2408"/>
        <v>0</v>
      </c>
      <c r="ZH115" s="74"/>
      <c r="ZI115" s="72"/>
      <c r="ZJ115" s="73"/>
      <c r="ZK115" s="74"/>
      <c r="ZL115" s="75"/>
      <c r="ZM115" s="73"/>
      <c r="ZN115" s="74"/>
      <c r="ZO115" s="75"/>
      <c r="ZP115" s="73"/>
      <c r="ZQ115" s="74"/>
      <c r="ZR115" s="75"/>
      <c r="ZS115" s="73"/>
      <c r="ZT115" s="74"/>
      <c r="ZU115" s="76"/>
      <c r="ZV115" s="77"/>
      <c r="ZW115" s="64">
        <f t="shared" si="2409"/>
        <v>0</v>
      </c>
      <c r="ZX115" s="62">
        <v>24.71</v>
      </c>
      <c r="ZY115" s="63"/>
      <c r="ZZ115" s="64">
        <f t="shared" si="2410"/>
        <v>24.71</v>
      </c>
      <c r="AAA115" s="66">
        <f t="shared" si="1692"/>
        <v>24.71</v>
      </c>
      <c r="AAB115" s="67">
        <f t="shared" si="1692"/>
        <v>0</v>
      </c>
      <c r="AAC115" s="64">
        <f t="shared" si="2411"/>
        <v>24.71</v>
      </c>
      <c r="AAD115" s="85">
        <f t="shared" si="1694"/>
        <v>442449.255</v>
      </c>
      <c r="AAE115" s="86">
        <f t="shared" si="1694"/>
        <v>0</v>
      </c>
      <c r="AAF115" s="87">
        <f t="shared" si="1457"/>
        <v>0</v>
      </c>
      <c r="AAG115" s="88">
        <f t="shared" si="2412"/>
        <v>-442449.255</v>
      </c>
      <c r="AAH115" s="89">
        <f>W121+AL121+BA121+BP121+CE121+CT121+DI121+DX121+EM121+FB121+FQ121+GF121+GU121+HJ121+HY121+IN121+JC121+JR121+KG121+KV121+LZ121+MO121+ND121+NS121+OH121+OW121+PL121+QA121+QP121+RE121+RT121+SI121+TM121+UB121+UQ121+VF121+VU121+WJ121+WY121+XN121+YC121+YR121+ZG121+ZV121+AAB121</f>
        <v>0</v>
      </c>
      <c r="AAI115" s="92"/>
      <c r="AAJ115" s="92"/>
      <c r="AAK115" s="60"/>
    </row>
    <row r="116" spans="1:713" s="83" customFormat="1" ht="20" customHeight="1" x14ac:dyDescent="0.2">
      <c r="A116" s="154"/>
      <c r="B116" s="93"/>
      <c r="C116" s="90"/>
      <c r="D116" s="90"/>
      <c r="E116" s="60"/>
      <c r="F116" s="61">
        <v>47696</v>
      </c>
      <c r="G116" s="62">
        <f>371675.99/2</f>
        <v>185837.995</v>
      </c>
      <c r="H116" s="63"/>
      <c r="I116" s="64">
        <f t="shared" si="2208"/>
        <v>185837.995</v>
      </c>
      <c r="J116" s="65">
        <v>2157.52</v>
      </c>
      <c r="K116" s="63"/>
      <c r="L116" s="64">
        <f t="shared" si="2209"/>
        <v>2157.52</v>
      </c>
      <c r="M116" s="65">
        <v>2500</v>
      </c>
      <c r="N116" s="63"/>
      <c r="O116" s="64">
        <f t="shared" si="2210"/>
        <v>2500</v>
      </c>
      <c r="P116" s="65">
        <v>1500</v>
      </c>
      <c r="Q116" s="63"/>
      <c r="R116" s="64">
        <f t="shared" si="2211"/>
        <v>1500</v>
      </c>
      <c r="S116" s="65">
        <v>362</v>
      </c>
      <c r="T116" s="63"/>
      <c r="U116" s="64">
        <f t="shared" si="2212"/>
        <v>362</v>
      </c>
      <c r="V116" s="66">
        <f t="shared" si="2213"/>
        <v>192357.51499999998</v>
      </c>
      <c r="W116" s="67">
        <f t="shared" si="2213"/>
        <v>0</v>
      </c>
      <c r="X116" s="64">
        <f t="shared" si="2214"/>
        <v>192357.51499999998</v>
      </c>
      <c r="Y116" s="72"/>
      <c r="Z116" s="73"/>
      <c r="AA116" s="74"/>
      <c r="AB116" s="75"/>
      <c r="AC116" s="73"/>
      <c r="AD116" s="74"/>
      <c r="AE116" s="75"/>
      <c r="AF116" s="73"/>
      <c r="AG116" s="74"/>
      <c r="AH116" s="75"/>
      <c r="AI116" s="73"/>
      <c r="AJ116" s="74"/>
      <c r="AK116" s="76"/>
      <c r="AL116" s="77"/>
      <c r="AM116" s="64">
        <f t="shared" si="2215"/>
        <v>0</v>
      </c>
      <c r="AN116" s="62">
        <v>6250</v>
      </c>
      <c r="AO116" s="63"/>
      <c r="AP116" s="64">
        <f t="shared" si="2413"/>
        <v>6250</v>
      </c>
      <c r="AQ116" s="65"/>
      <c r="AR116" s="63"/>
      <c r="AS116" s="64">
        <f t="shared" si="2216"/>
        <v>0</v>
      </c>
      <c r="AT116" s="65">
        <v>2745.49</v>
      </c>
      <c r="AU116" s="63"/>
      <c r="AV116" s="64">
        <f t="shared" si="2217"/>
        <v>2745.49</v>
      </c>
      <c r="AW116" s="65"/>
      <c r="AX116" s="63"/>
      <c r="AY116" s="64">
        <f t="shared" si="2218"/>
        <v>0</v>
      </c>
      <c r="AZ116" s="66">
        <f t="shared" si="1469"/>
        <v>8995.49</v>
      </c>
      <c r="BA116" s="67">
        <f t="shared" si="2219"/>
        <v>0</v>
      </c>
      <c r="BB116" s="64">
        <f t="shared" si="2220"/>
        <v>8995.49</v>
      </c>
      <c r="BC116" s="62">
        <v>6150</v>
      </c>
      <c r="BD116" s="63"/>
      <c r="BE116" s="64">
        <f t="shared" si="2221"/>
        <v>6150</v>
      </c>
      <c r="BF116" s="65"/>
      <c r="BG116" s="63"/>
      <c r="BH116" s="64">
        <f t="shared" si="2222"/>
        <v>0</v>
      </c>
      <c r="BI116" s="65"/>
      <c r="BJ116" s="63"/>
      <c r="BK116" s="64">
        <f t="shared" si="2223"/>
        <v>0</v>
      </c>
      <c r="BL116" s="65">
        <v>100</v>
      </c>
      <c r="BM116" s="63"/>
      <c r="BN116" s="64">
        <f t="shared" si="2224"/>
        <v>100</v>
      </c>
      <c r="BO116" s="66">
        <f t="shared" si="1476"/>
        <v>6250</v>
      </c>
      <c r="BP116" s="67">
        <f t="shared" si="2225"/>
        <v>0</v>
      </c>
      <c r="BQ116" s="64">
        <f t="shared" si="2226"/>
        <v>6250</v>
      </c>
      <c r="BR116" s="72"/>
      <c r="BS116" s="73"/>
      <c r="BT116" s="74"/>
      <c r="BU116" s="75"/>
      <c r="BV116" s="73"/>
      <c r="BW116" s="74"/>
      <c r="BX116" s="75"/>
      <c r="BY116" s="73"/>
      <c r="BZ116" s="74"/>
      <c r="CA116" s="75"/>
      <c r="CB116" s="73"/>
      <c r="CC116" s="74"/>
      <c r="CD116" s="76"/>
      <c r="CE116" s="77"/>
      <c r="CF116" s="64">
        <f t="shared" si="2227"/>
        <v>0</v>
      </c>
      <c r="CG116" s="62">
        <v>5000</v>
      </c>
      <c r="CH116" s="63"/>
      <c r="CI116" s="64">
        <f t="shared" si="2228"/>
        <v>5000</v>
      </c>
      <c r="CJ116" s="65"/>
      <c r="CK116" s="63"/>
      <c r="CL116" s="64">
        <f t="shared" si="2229"/>
        <v>0</v>
      </c>
      <c r="CM116" s="65">
        <f>2739.5</f>
        <v>2739.5</v>
      </c>
      <c r="CN116" s="63"/>
      <c r="CO116" s="64">
        <f t="shared" si="2230"/>
        <v>2739.5</v>
      </c>
      <c r="CP116" s="65"/>
      <c r="CQ116" s="63"/>
      <c r="CR116" s="64">
        <f t="shared" si="2231"/>
        <v>0</v>
      </c>
      <c r="CS116" s="66">
        <f t="shared" si="1484"/>
        <v>7739.5</v>
      </c>
      <c r="CT116" s="67">
        <f t="shared" si="2232"/>
        <v>0</v>
      </c>
      <c r="CU116" s="64">
        <f t="shared" si="2233"/>
        <v>7739.5</v>
      </c>
      <c r="CV116" s="62">
        <v>2916.7</v>
      </c>
      <c r="CW116" s="63"/>
      <c r="CX116" s="64">
        <f t="shared" si="2234"/>
        <v>2916.7</v>
      </c>
      <c r="CY116" s="65">
        <v>429.15</v>
      </c>
      <c r="CZ116" s="63"/>
      <c r="DA116" s="64">
        <f t="shared" si="2235"/>
        <v>429.15</v>
      </c>
      <c r="DB116" s="65"/>
      <c r="DC116" s="63"/>
      <c r="DD116" s="64">
        <f t="shared" si="2236"/>
        <v>0</v>
      </c>
      <c r="DE116" s="65"/>
      <c r="DF116" s="63"/>
      <c r="DG116" s="64">
        <f t="shared" si="2237"/>
        <v>0</v>
      </c>
      <c r="DH116" s="66">
        <f t="shared" si="1491"/>
        <v>3345.85</v>
      </c>
      <c r="DI116" s="67">
        <f t="shared" si="2238"/>
        <v>0</v>
      </c>
      <c r="DJ116" s="64">
        <f t="shared" si="2239"/>
        <v>3345.85</v>
      </c>
      <c r="DK116" s="62">
        <v>2400</v>
      </c>
      <c r="DL116" s="63"/>
      <c r="DM116" s="64">
        <f t="shared" si="2240"/>
        <v>2400</v>
      </c>
      <c r="DN116" s="65">
        <v>913.08</v>
      </c>
      <c r="DO116" s="63"/>
      <c r="DP116" s="64">
        <f t="shared" si="2241"/>
        <v>913.08</v>
      </c>
      <c r="DQ116" s="65"/>
      <c r="DR116" s="63"/>
      <c r="DS116" s="64">
        <f t="shared" si="2242"/>
        <v>0</v>
      </c>
      <c r="DT116" s="65">
        <v>100</v>
      </c>
      <c r="DU116" s="63"/>
      <c r="DV116" s="64">
        <f t="shared" si="2243"/>
        <v>100</v>
      </c>
      <c r="DW116" s="66">
        <f t="shared" si="1498"/>
        <v>3413.08</v>
      </c>
      <c r="DX116" s="67">
        <f t="shared" si="2244"/>
        <v>0</v>
      </c>
      <c r="DY116" s="64">
        <f t="shared" si="2245"/>
        <v>3413.08</v>
      </c>
      <c r="DZ116" s="62">
        <v>12000</v>
      </c>
      <c r="EA116" s="63"/>
      <c r="EB116" s="64">
        <f t="shared" si="2246"/>
        <v>12000</v>
      </c>
      <c r="EC116" s="65"/>
      <c r="ED116" s="63"/>
      <c r="EE116" s="64">
        <f t="shared" si="2247"/>
        <v>0</v>
      </c>
      <c r="EF116" s="65"/>
      <c r="EG116" s="63"/>
      <c r="EH116" s="64">
        <f t="shared" si="2248"/>
        <v>0</v>
      </c>
      <c r="EI116" s="65">
        <v>100</v>
      </c>
      <c r="EJ116" s="63"/>
      <c r="EK116" s="64">
        <f t="shared" si="2249"/>
        <v>100</v>
      </c>
      <c r="EL116" s="66">
        <f t="shared" si="1505"/>
        <v>12100</v>
      </c>
      <c r="EM116" s="67">
        <f t="shared" si="2250"/>
        <v>0</v>
      </c>
      <c r="EN116" s="64">
        <f t="shared" si="2251"/>
        <v>12100</v>
      </c>
      <c r="EO116" s="62">
        <v>6150</v>
      </c>
      <c r="EP116" s="63"/>
      <c r="EQ116" s="64">
        <f t="shared" si="2252"/>
        <v>6150</v>
      </c>
      <c r="ER116" s="65"/>
      <c r="ES116" s="63"/>
      <c r="ET116" s="64">
        <f t="shared" si="2253"/>
        <v>0</v>
      </c>
      <c r="EU116" s="65"/>
      <c r="EV116" s="63"/>
      <c r="EW116" s="64">
        <f t="shared" si="2254"/>
        <v>0</v>
      </c>
      <c r="EX116" s="65">
        <v>100</v>
      </c>
      <c r="EY116" s="63"/>
      <c r="EZ116" s="64">
        <f t="shared" si="2255"/>
        <v>100</v>
      </c>
      <c r="FA116" s="66">
        <f t="shared" si="1512"/>
        <v>6250</v>
      </c>
      <c r="FB116" s="67">
        <f t="shared" si="2256"/>
        <v>0</v>
      </c>
      <c r="FC116" s="64">
        <f t="shared" si="2257"/>
        <v>6250</v>
      </c>
      <c r="FD116" s="62">
        <v>6150</v>
      </c>
      <c r="FE116" s="63"/>
      <c r="FF116" s="64">
        <f t="shared" si="2258"/>
        <v>6150</v>
      </c>
      <c r="FG116" s="65"/>
      <c r="FH116" s="63"/>
      <c r="FI116" s="64">
        <f t="shared" si="2259"/>
        <v>0</v>
      </c>
      <c r="FJ116" s="65"/>
      <c r="FK116" s="63"/>
      <c r="FL116" s="64">
        <f t="shared" si="2260"/>
        <v>0</v>
      </c>
      <c r="FM116" s="65">
        <v>100</v>
      </c>
      <c r="FN116" s="63"/>
      <c r="FO116" s="64">
        <f t="shared" si="2261"/>
        <v>100</v>
      </c>
      <c r="FP116" s="66">
        <f t="shared" si="1519"/>
        <v>6250</v>
      </c>
      <c r="FQ116" s="67">
        <f t="shared" si="2262"/>
        <v>0</v>
      </c>
      <c r="FR116" s="64">
        <f t="shared" si="2263"/>
        <v>6250</v>
      </c>
      <c r="FS116" s="62"/>
      <c r="FT116" s="63"/>
      <c r="FU116" s="64">
        <f t="shared" si="2264"/>
        <v>0</v>
      </c>
      <c r="FV116" s="65">
        <v>485.35</v>
      </c>
      <c r="FW116" s="63"/>
      <c r="FX116" s="64">
        <f t="shared" si="2265"/>
        <v>485.35</v>
      </c>
      <c r="FY116" s="65"/>
      <c r="FZ116" s="63"/>
      <c r="GA116" s="64">
        <f t="shared" si="2266"/>
        <v>0</v>
      </c>
      <c r="GB116" s="65"/>
      <c r="GC116" s="63"/>
      <c r="GD116" s="64">
        <f t="shared" si="2267"/>
        <v>0</v>
      </c>
      <c r="GE116" s="66">
        <f t="shared" si="1526"/>
        <v>485.35</v>
      </c>
      <c r="GF116" s="67">
        <f t="shared" si="2268"/>
        <v>0</v>
      </c>
      <c r="GG116" s="64">
        <f t="shared" si="2269"/>
        <v>485.35</v>
      </c>
      <c r="GH116" s="62"/>
      <c r="GI116" s="63"/>
      <c r="GJ116" s="64">
        <f t="shared" si="2270"/>
        <v>0</v>
      </c>
      <c r="GK116" s="65">
        <v>660.33</v>
      </c>
      <c r="GL116" s="63"/>
      <c r="GM116" s="64">
        <f t="shared" si="2271"/>
        <v>660.33</v>
      </c>
      <c r="GN116" s="65"/>
      <c r="GO116" s="63"/>
      <c r="GP116" s="64">
        <f t="shared" si="2272"/>
        <v>0</v>
      </c>
      <c r="GQ116" s="65"/>
      <c r="GR116" s="63"/>
      <c r="GS116" s="64">
        <f t="shared" si="2273"/>
        <v>0</v>
      </c>
      <c r="GT116" s="66">
        <f t="shared" si="1533"/>
        <v>660.33</v>
      </c>
      <c r="GU116" s="67">
        <f t="shared" si="2274"/>
        <v>0</v>
      </c>
      <c r="GV116" s="64">
        <f t="shared" si="2275"/>
        <v>660.33</v>
      </c>
      <c r="GW116" s="62">
        <v>13350</v>
      </c>
      <c r="GX116" s="63"/>
      <c r="GY116" s="64">
        <f t="shared" si="2276"/>
        <v>13350</v>
      </c>
      <c r="GZ116" s="65">
        <v>568.25</v>
      </c>
      <c r="HA116" s="63"/>
      <c r="HB116" s="64">
        <f t="shared" si="2277"/>
        <v>568.25</v>
      </c>
      <c r="HC116" s="65"/>
      <c r="HD116" s="63"/>
      <c r="HE116" s="64">
        <f t="shared" si="2278"/>
        <v>0</v>
      </c>
      <c r="HF116" s="65">
        <v>100</v>
      </c>
      <c r="HG116" s="63"/>
      <c r="HH116" s="64">
        <f t="shared" si="2279"/>
        <v>100</v>
      </c>
      <c r="HI116" s="66">
        <f t="shared" si="1540"/>
        <v>14018.25</v>
      </c>
      <c r="HJ116" s="67">
        <f t="shared" si="2280"/>
        <v>0</v>
      </c>
      <c r="HK116" s="64">
        <f t="shared" si="2281"/>
        <v>14018.25</v>
      </c>
      <c r="HL116" s="62">
        <v>6150</v>
      </c>
      <c r="HM116" s="63"/>
      <c r="HN116" s="64">
        <f t="shared" si="2282"/>
        <v>6150</v>
      </c>
      <c r="HO116" s="65"/>
      <c r="HP116" s="63"/>
      <c r="HQ116" s="64">
        <f t="shared" si="2283"/>
        <v>0</v>
      </c>
      <c r="HR116" s="65"/>
      <c r="HS116" s="63"/>
      <c r="HT116" s="64">
        <f t="shared" si="2284"/>
        <v>0</v>
      </c>
      <c r="HU116" s="65">
        <v>100</v>
      </c>
      <c r="HV116" s="63"/>
      <c r="HW116" s="64">
        <f t="shared" si="2285"/>
        <v>100</v>
      </c>
      <c r="HX116" s="66">
        <f t="shared" si="1547"/>
        <v>6250</v>
      </c>
      <c r="HY116" s="67">
        <f t="shared" si="2286"/>
        <v>0</v>
      </c>
      <c r="HZ116" s="64">
        <f t="shared" si="2287"/>
        <v>6250</v>
      </c>
      <c r="IA116" s="62">
        <f>9864.5</f>
        <v>9864.5</v>
      </c>
      <c r="IB116" s="63"/>
      <c r="IC116" s="64">
        <f t="shared" si="2288"/>
        <v>9864.5</v>
      </c>
      <c r="ID116" s="65"/>
      <c r="IE116" s="63"/>
      <c r="IF116" s="64">
        <f t="shared" si="2289"/>
        <v>0</v>
      </c>
      <c r="IG116" s="65"/>
      <c r="IH116" s="63"/>
      <c r="II116" s="64">
        <f t="shared" si="2290"/>
        <v>0</v>
      </c>
      <c r="IJ116" s="65">
        <v>100</v>
      </c>
      <c r="IK116" s="63"/>
      <c r="IL116" s="64">
        <f t="shared" si="2291"/>
        <v>100</v>
      </c>
      <c r="IM116" s="66">
        <f t="shared" si="1554"/>
        <v>9964.5</v>
      </c>
      <c r="IN116" s="67">
        <f t="shared" si="2292"/>
        <v>0</v>
      </c>
      <c r="IO116" s="64">
        <f t="shared" si="2293"/>
        <v>9964.5</v>
      </c>
      <c r="IP116" s="62">
        <v>5000</v>
      </c>
      <c r="IQ116" s="63"/>
      <c r="IR116" s="64">
        <f t="shared" si="2294"/>
        <v>5000</v>
      </c>
      <c r="IS116" s="65"/>
      <c r="IT116" s="63"/>
      <c r="IU116" s="64">
        <f t="shared" si="2295"/>
        <v>0</v>
      </c>
      <c r="IV116" s="65">
        <v>2739.5</v>
      </c>
      <c r="IW116" s="63"/>
      <c r="IX116" s="64">
        <f t="shared" si="2296"/>
        <v>2739.5</v>
      </c>
      <c r="IY116" s="65"/>
      <c r="IZ116" s="63"/>
      <c r="JA116" s="64">
        <f t="shared" si="2297"/>
        <v>0</v>
      </c>
      <c r="JB116" s="66">
        <f t="shared" si="1561"/>
        <v>7739.5</v>
      </c>
      <c r="JC116" s="67">
        <f t="shared" si="2298"/>
        <v>0</v>
      </c>
      <c r="JD116" s="64">
        <f t="shared" si="2299"/>
        <v>7739.5</v>
      </c>
      <c r="JE116" s="72"/>
      <c r="JF116" s="150"/>
      <c r="JG116" s="74"/>
      <c r="JH116" s="75"/>
      <c r="JI116" s="150"/>
      <c r="JJ116" s="74"/>
      <c r="JK116" s="75"/>
      <c r="JL116" s="150"/>
      <c r="JM116" s="74"/>
      <c r="JN116" s="75"/>
      <c r="JO116" s="150"/>
      <c r="JP116" s="74"/>
      <c r="JQ116" s="76"/>
      <c r="JR116" s="77"/>
      <c r="JS116" s="74"/>
      <c r="JT116" s="72"/>
      <c r="JU116" s="73"/>
      <c r="JV116" s="74"/>
      <c r="JW116" s="75"/>
      <c r="JX116" s="73"/>
      <c r="JY116" s="74"/>
      <c r="JZ116" s="75"/>
      <c r="KA116" s="73"/>
      <c r="KB116" s="74"/>
      <c r="KC116" s="75"/>
      <c r="KD116" s="73"/>
      <c r="KE116" s="74"/>
      <c r="KF116" s="76"/>
      <c r="KG116" s="77"/>
      <c r="KH116" s="64">
        <f t="shared" si="2300"/>
        <v>0</v>
      </c>
      <c r="KI116" s="62"/>
      <c r="KJ116" s="63"/>
      <c r="KK116" s="64">
        <f t="shared" si="2301"/>
        <v>0</v>
      </c>
      <c r="KL116" s="65"/>
      <c r="KM116" s="63"/>
      <c r="KN116" s="64">
        <f t="shared" si="2302"/>
        <v>0</v>
      </c>
      <c r="KO116" s="65"/>
      <c r="KP116" s="63"/>
      <c r="KQ116" s="64">
        <f t="shared" si="2303"/>
        <v>0</v>
      </c>
      <c r="KR116" s="65"/>
      <c r="KS116" s="63"/>
      <c r="KT116" s="64">
        <f t="shared" si="2304"/>
        <v>0</v>
      </c>
      <c r="KU116" s="66">
        <f t="shared" si="1439"/>
        <v>0</v>
      </c>
      <c r="KV116" s="67">
        <f t="shared" si="2305"/>
        <v>0</v>
      </c>
      <c r="KW116" s="64">
        <f t="shared" si="2306"/>
        <v>0</v>
      </c>
      <c r="KX116" s="72"/>
      <c r="KY116" s="73"/>
      <c r="KZ116" s="74"/>
      <c r="LA116" s="75"/>
      <c r="LB116" s="73"/>
      <c r="LC116" s="74"/>
      <c r="LD116" s="75"/>
      <c r="LE116" s="73"/>
      <c r="LF116" s="74"/>
      <c r="LG116" s="75"/>
      <c r="LH116" s="73"/>
      <c r="LI116" s="74"/>
      <c r="LJ116" s="76"/>
      <c r="LK116" s="77"/>
      <c r="LL116" s="74"/>
      <c r="LM116" s="62">
        <v>9300</v>
      </c>
      <c r="LN116" s="63"/>
      <c r="LO116" s="64">
        <f t="shared" si="2307"/>
        <v>9300</v>
      </c>
      <c r="LP116" s="65"/>
      <c r="LQ116" s="63"/>
      <c r="LR116" s="64">
        <f t="shared" si="2308"/>
        <v>0</v>
      </c>
      <c r="LS116" s="65"/>
      <c r="LT116" s="63"/>
      <c r="LU116" s="64">
        <f t="shared" si="2309"/>
        <v>0</v>
      </c>
      <c r="LV116" s="65">
        <v>100</v>
      </c>
      <c r="LW116" s="63"/>
      <c r="LX116" s="64">
        <f t="shared" si="2310"/>
        <v>100</v>
      </c>
      <c r="LY116" s="66">
        <f t="shared" si="1575"/>
        <v>9400</v>
      </c>
      <c r="LZ116" s="67">
        <f t="shared" si="2311"/>
        <v>0</v>
      </c>
      <c r="MA116" s="64">
        <f t="shared" si="2312"/>
        <v>9400</v>
      </c>
      <c r="MB116" s="62"/>
      <c r="MC116" s="63"/>
      <c r="MD116" s="64">
        <f t="shared" si="2313"/>
        <v>0</v>
      </c>
      <c r="ME116" s="65">
        <v>889.11</v>
      </c>
      <c r="MF116" s="63"/>
      <c r="MG116" s="64">
        <f t="shared" si="2314"/>
        <v>889.11</v>
      </c>
      <c r="MH116" s="65"/>
      <c r="MI116" s="63"/>
      <c r="MJ116" s="64">
        <f t="shared" si="2315"/>
        <v>0</v>
      </c>
      <c r="MK116" s="65">
        <v>100</v>
      </c>
      <c r="ML116" s="63"/>
      <c r="MM116" s="64">
        <f t="shared" si="2316"/>
        <v>100</v>
      </c>
      <c r="MN116" s="66">
        <f t="shared" si="1582"/>
        <v>989.11</v>
      </c>
      <c r="MO116" s="67">
        <f t="shared" si="2317"/>
        <v>0</v>
      </c>
      <c r="MP116" s="64">
        <f t="shared" si="2318"/>
        <v>989.11</v>
      </c>
      <c r="MQ116" s="62"/>
      <c r="MR116" s="63"/>
      <c r="MS116" s="64">
        <f t="shared" si="2319"/>
        <v>0</v>
      </c>
      <c r="MT116" s="65"/>
      <c r="MU116" s="63"/>
      <c r="MV116" s="64">
        <f t="shared" si="2320"/>
        <v>0</v>
      </c>
      <c r="MW116" s="65"/>
      <c r="MX116" s="63"/>
      <c r="MY116" s="64">
        <f t="shared" si="2321"/>
        <v>0</v>
      </c>
      <c r="MZ116" s="65"/>
      <c r="NA116" s="63"/>
      <c r="NB116" s="64">
        <f t="shared" si="2322"/>
        <v>0</v>
      </c>
      <c r="NC116" s="66">
        <f t="shared" si="1589"/>
        <v>0</v>
      </c>
      <c r="ND116" s="67">
        <f t="shared" si="2323"/>
        <v>0</v>
      </c>
      <c r="NE116" s="64">
        <f t="shared" si="2324"/>
        <v>0</v>
      </c>
      <c r="NF116" s="62"/>
      <c r="NG116" s="63"/>
      <c r="NH116" s="64">
        <f t="shared" si="2325"/>
        <v>0</v>
      </c>
      <c r="NI116" s="65">
        <v>1164.04</v>
      </c>
      <c r="NJ116" s="63"/>
      <c r="NK116" s="64">
        <f t="shared" si="2326"/>
        <v>1164.04</v>
      </c>
      <c r="NL116" s="65"/>
      <c r="NM116" s="63"/>
      <c r="NN116" s="64">
        <f t="shared" si="2327"/>
        <v>0</v>
      </c>
      <c r="NO116" s="65">
        <v>100</v>
      </c>
      <c r="NP116" s="63"/>
      <c r="NQ116" s="64">
        <f t="shared" si="2328"/>
        <v>100</v>
      </c>
      <c r="NR116" s="66">
        <f t="shared" si="1596"/>
        <v>1264.04</v>
      </c>
      <c r="NS116" s="67">
        <f t="shared" si="2329"/>
        <v>0</v>
      </c>
      <c r="NT116" s="64">
        <f t="shared" si="2330"/>
        <v>1264.04</v>
      </c>
      <c r="NU116" s="62"/>
      <c r="NV116" s="63"/>
      <c r="NW116" s="64">
        <f t="shared" si="2331"/>
        <v>0</v>
      </c>
      <c r="NX116" s="65">
        <v>1152.73</v>
      </c>
      <c r="NY116" s="63"/>
      <c r="NZ116" s="64">
        <f t="shared" si="2332"/>
        <v>1152.73</v>
      </c>
      <c r="OA116" s="65"/>
      <c r="OB116" s="63"/>
      <c r="OC116" s="64">
        <f t="shared" si="2333"/>
        <v>0</v>
      </c>
      <c r="OD116" s="65">
        <v>100</v>
      </c>
      <c r="OE116" s="63"/>
      <c r="OF116" s="64">
        <f t="shared" si="2334"/>
        <v>100</v>
      </c>
      <c r="OG116" s="66">
        <f t="shared" si="1603"/>
        <v>1252.73</v>
      </c>
      <c r="OH116" s="67">
        <f t="shared" si="2335"/>
        <v>0</v>
      </c>
      <c r="OI116" s="64">
        <f t="shared" si="2336"/>
        <v>1252.73</v>
      </c>
      <c r="OJ116" s="62"/>
      <c r="OK116" s="63"/>
      <c r="OL116" s="64">
        <f t="shared" si="2337"/>
        <v>0</v>
      </c>
      <c r="OM116" s="65"/>
      <c r="ON116" s="63"/>
      <c r="OO116" s="64">
        <f t="shared" si="2338"/>
        <v>0</v>
      </c>
      <c r="OP116" s="65"/>
      <c r="OQ116" s="63"/>
      <c r="OR116" s="64">
        <f t="shared" si="2339"/>
        <v>0</v>
      </c>
      <c r="OS116" s="65">
        <v>100</v>
      </c>
      <c r="OT116" s="63"/>
      <c r="OU116" s="64">
        <f t="shared" si="2340"/>
        <v>100</v>
      </c>
      <c r="OV116" s="66">
        <f t="shared" si="1610"/>
        <v>100</v>
      </c>
      <c r="OW116" s="67">
        <f t="shared" si="2341"/>
        <v>0</v>
      </c>
      <c r="OX116" s="64">
        <f t="shared" si="2342"/>
        <v>100</v>
      </c>
      <c r="OY116" s="62"/>
      <c r="OZ116" s="63"/>
      <c r="PA116" s="64">
        <f t="shared" si="2343"/>
        <v>0</v>
      </c>
      <c r="PB116" s="65"/>
      <c r="PC116" s="63"/>
      <c r="PD116" s="64">
        <f t="shared" si="2344"/>
        <v>0</v>
      </c>
      <c r="PE116" s="65"/>
      <c r="PF116" s="63"/>
      <c r="PG116" s="64">
        <f t="shared" si="2345"/>
        <v>0</v>
      </c>
      <c r="PH116" s="65">
        <v>100</v>
      </c>
      <c r="PI116" s="63"/>
      <c r="PJ116" s="64">
        <f t="shared" si="2346"/>
        <v>100</v>
      </c>
      <c r="PK116" s="66">
        <f t="shared" si="1617"/>
        <v>100</v>
      </c>
      <c r="PL116" s="67">
        <f t="shared" si="2347"/>
        <v>0</v>
      </c>
      <c r="PM116" s="64">
        <f t="shared" si="2348"/>
        <v>100</v>
      </c>
      <c r="PN116" s="62">
        <v>1550</v>
      </c>
      <c r="PO116" s="63"/>
      <c r="PP116" s="64">
        <f t="shared" si="2349"/>
        <v>1550</v>
      </c>
      <c r="PQ116" s="65"/>
      <c r="PR116" s="63"/>
      <c r="PS116" s="64">
        <f t="shared" si="2350"/>
        <v>0</v>
      </c>
      <c r="PT116" s="65"/>
      <c r="PU116" s="63"/>
      <c r="PV116" s="64">
        <f t="shared" si="2351"/>
        <v>0</v>
      </c>
      <c r="PW116" s="65">
        <v>100</v>
      </c>
      <c r="PX116" s="63"/>
      <c r="PY116" s="64">
        <f t="shared" si="2352"/>
        <v>100</v>
      </c>
      <c r="PZ116" s="66">
        <f t="shared" si="1624"/>
        <v>1650</v>
      </c>
      <c r="QA116" s="67">
        <f t="shared" si="2353"/>
        <v>0</v>
      </c>
      <c r="QB116" s="64">
        <f t="shared" si="2354"/>
        <v>1650</v>
      </c>
      <c r="QC116" s="62">
        <v>9000</v>
      </c>
      <c r="QD116" s="63"/>
      <c r="QE116" s="64">
        <f t="shared" si="2355"/>
        <v>9000</v>
      </c>
      <c r="QF116" s="65"/>
      <c r="QG116" s="63"/>
      <c r="QH116" s="64">
        <f t="shared" si="2356"/>
        <v>0</v>
      </c>
      <c r="QI116" s="65"/>
      <c r="QJ116" s="63"/>
      <c r="QK116" s="64">
        <f t="shared" si="2357"/>
        <v>0</v>
      </c>
      <c r="QL116" s="65">
        <v>100</v>
      </c>
      <c r="QM116" s="63"/>
      <c r="QN116" s="64">
        <f t="shared" si="2358"/>
        <v>100</v>
      </c>
      <c r="QO116" s="66">
        <f t="shared" si="1631"/>
        <v>9100</v>
      </c>
      <c r="QP116" s="67">
        <f t="shared" si="2359"/>
        <v>0</v>
      </c>
      <c r="QQ116" s="64">
        <f t="shared" si="2360"/>
        <v>9100</v>
      </c>
      <c r="QR116" s="74"/>
      <c r="QS116" s="74"/>
      <c r="QT116" s="72"/>
      <c r="QU116" s="73"/>
      <c r="QV116" s="74"/>
      <c r="QW116" s="75"/>
      <c r="QX116" s="73"/>
      <c r="QY116" s="74"/>
      <c r="QZ116" s="75"/>
      <c r="RA116" s="73"/>
      <c r="RB116" s="74"/>
      <c r="RC116" s="75"/>
      <c r="RD116" s="73"/>
      <c r="RE116" s="74"/>
      <c r="RF116" s="74"/>
      <c r="RG116" s="72"/>
      <c r="RH116" s="73"/>
      <c r="RI116" s="74"/>
      <c r="RJ116" s="75"/>
      <c r="RK116" s="73"/>
      <c r="RL116" s="74"/>
      <c r="RM116" s="75"/>
      <c r="RN116" s="73"/>
      <c r="RO116" s="74"/>
      <c r="RP116" s="75"/>
      <c r="RQ116" s="73"/>
      <c r="RR116" s="74"/>
      <c r="RS116" s="76"/>
      <c r="RT116" s="77"/>
      <c r="RU116" s="74"/>
      <c r="RV116" s="74"/>
      <c r="RW116" s="72"/>
      <c r="RX116" s="73"/>
      <c r="RY116" s="74"/>
      <c r="RZ116" s="75"/>
      <c r="SA116" s="73"/>
      <c r="SB116" s="74"/>
      <c r="SC116" s="75"/>
      <c r="SD116" s="73"/>
      <c r="SE116" s="74"/>
      <c r="SF116" s="75"/>
      <c r="SG116" s="73"/>
      <c r="SH116" s="74"/>
      <c r="SI116" s="76"/>
      <c r="SJ116" s="64">
        <f t="shared" si="2361"/>
        <v>0</v>
      </c>
      <c r="SK116" s="62">
        <v>17000</v>
      </c>
      <c r="SL116" s="63"/>
      <c r="SM116" s="64">
        <f t="shared" si="2362"/>
        <v>17000</v>
      </c>
      <c r="SN116" s="65"/>
      <c r="SO116" s="63"/>
      <c r="SP116" s="64">
        <f t="shared" si="2363"/>
        <v>0</v>
      </c>
      <c r="SQ116" s="65"/>
      <c r="SR116" s="63"/>
      <c r="SS116" s="64">
        <f t="shared" si="2364"/>
        <v>0</v>
      </c>
      <c r="ST116" s="65">
        <v>100</v>
      </c>
      <c r="SU116" s="63"/>
      <c r="SV116" s="64">
        <f t="shared" si="2365"/>
        <v>100</v>
      </c>
      <c r="SW116" s="66">
        <f t="shared" si="1639"/>
        <v>17100</v>
      </c>
      <c r="SX116" s="67">
        <f t="shared" si="2366"/>
        <v>0</v>
      </c>
      <c r="SY116" s="64">
        <f t="shared" si="2367"/>
        <v>17100</v>
      </c>
      <c r="SZ116" s="62">
        <v>985.33</v>
      </c>
      <c r="TA116" s="63"/>
      <c r="TB116" s="64">
        <f t="shared" si="2368"/>
        <v>985.33</v>
      </c>
      <c r="TC116" s="65">
        <v>700.9</v>
      </c>
      <c r="TD116" s="63"/>
      <c r="TE116" s="64">
        <f t="shared" si="2369"/>
        <v>700.9</v>
      </c>
      <c r="TF116" s="65"/>
      <c r="TG116" s="63"/>
      <c r="TH116" s="64">
        <f t="shared" si="2370"/>
        <v>0</v>
      </c>
      <c r="TI116" s="65">
        <v>100</v>
      </c>
      <c r="TJ116" s="63"/>
      <c r="TK116" s="64">
        <f t="shared" si="2371"/>
        <v>100</v>
      </c>
      <c r="TL116" s="66">
        <f t="shared" si="1646"/>
        <v>1786.23</v>
      </c>
      <c r="TM116" s="67">
        <f t="shared" si="2372"/>
        <v>0</v>
      </c>
      <c r="TN116" s="64">
        <f t="shared" si="2373"/>
        <v>1786.23</v>
      </c>
      <c r="TO116" s="62"/>
      <c r="TP116" s="63"/>
      <c r="TQ116" s="64">
        <f t="shared" si="2374"/>
        <v>0</v>
      </c>
      <c r="TR116" s="65"/>
      <c r="TS116" s="63"/>
      <c r="TT116" s="64">
        <f t="shared" si="2375"/>
        <v>0</v>
      </c>
      <c r="TU116" s="65"/>
      <c r="TV116" s="63"/>
      <c r="TW116" s="64">
        <f t="shared" si="2376"/>
        <v>0</v>
      </c>
      <c r="TX116" s="65">
        <v>100</v>
      </c>
      <c r="TY116" s="63"/>
      <c r="TZ116" s="64">
        <f t="shared" si="2377"/>
        <v>100</v>
      </c>
      <c r="UA116" s="66">
        <f t="shared" si="1653"/>
        <v>100</v>
      </c>
      <c r="UB116" s="67">
        <f t="shared" si="2378"/>
        <v>0</v>
      </c>
      <c r="UC116" s="64">
        <f t="shared" si="2379"/>
        <v>100</v>
      </c>
      <c r="UD116" s="62"/>
      <c r="UE116" s="63"/>
      <c r="UF116" s="64">
        <f t="shared" si="2380"/>
        <v>0</v>
      </c>
      <c r="UG116" s="65">
        <v>497.04</v>
      </c>
      <c r="UH116" s="63"/>
      <c r="UI116" s="64">
        <f t="shared" si="2381"/>
        <v>497.04</v>
      </c>
      <c r="UJ116" s="65"/>
      <c r="UK116" s="63"/>
      <c r="UL116" s="64">
        <f t="shared" si="2382"/>
        <v>0</v>
      </c>
      <c r="UM116" s="65">
        <v>100</v>
      </c>
      <c r="UN116" s="63"/>
      <c r="UO116" s="64">
        <f t="shared" si="2383"/>
        <v>100</v>
      </c>
      <c r="UP116" s="66">
        <f t="shared" si="1660"/>
        <v>597.04</v>
      </c>
      <c r="UQ116" s="67">
        <f t="shared" si="2384"/>
        <v>0</v>
      </c>
      <c r="UR116" s="64">
        <f t="shared" si="2385"/>
        <v>597.04</v>
      </c>
      <c r="US116" s="74"/>
      <c r="UT116" s="72"/>
      <c r="UU116" s="73"/>
      <c r="UV116" s="74"/>
      <c r="UW116" s="75"/>
      <c r="UX116" s="73"/>
      <c r="UY116" s="74"/>
      <c r="UZ116" s="75"/>
      <c r="VA116" s="73"/>
      <c r="VB116" s="74"/>
      <c r="VC116" s="75"/>
      <c r="VD116" s="73"/>
      <c r="VE116" s="74"/>
      <c r="VF116" s="76"/>
      <c r="VG116" s="77"/>
      <c r="VH116" s="62"/>
      <c r="VI116" s="63"/>
      <c r="VJ116" s="64">
        <f t="shared" si="2386"/>
        <v>0</v>
      </c>
      <c r="VK116" s="65"/>
      <c r="VL116" s="63"/>
      <c r="VM116" s="64">
        <f t="shared" si="2387"/>
        <v>0</v>
      </c>
      <c r="VN116" s="65"/>
      <c r="VO116" s="63"/>
      <c r="VP116" s="64">
        <f t="shared" si="2388"/>
        <v>0</v>
      </c>
      <c r="VQ116" s="65">
        <v>100</v>
      </c>
      <c r="VR116" s="63"/>
      <c r="VS116" s="64">
        <f t="shared" si="2389"/>
        <v>100</v>
      </c>
      <c r="VT116" s="66">
        <f t="shared" si="1667"/>
        <v>100</v>
      </c>
      <c r="VU116" s="67">
        <f t="shared" si="2390"/>
        <v>0</v>
      </c>
      <c r="VV116" s="64">
        <f t="shared" si="2391"/>
        <v>100</v>
      </c>
      <c r="VW116" s="74"/>
      <c r="VX116" s="72"/>
      <c r="VY116" s="73"/>
      <c r="VZ116" s="74"/>
      <c r="WA116" s="75"/>
      <c r="WB116" s="73"/>
      <c r="WC116" s="74"/>
      <c r="WD116" s="75"/>
      <c r="WE116" s="73"/>
      <c r="WF116" s="74"/>
      <c r="WG116" s="75"/>
      <c r="WH116" s="73"/>
      <c r="WI116" s="74"/>
      <c r="WJ116" s="76"/>
      <c r="WK116" s="77"/>
      <c r="WL116" s="74"/>
      <c r="WM116" s="72"/>
      <c r="WN116" s="73"/>
      <c r="WO116" s="74"/>
      <c r="WP116" s="75"/>
      <c r="WQ116" s="73"/>
      <c r="WR116" s="74"/>
      <c r="WS116" s="75"/>
      <c r="WT116" s="73"/>
      <c r="WU116" s="74"/>
      <c r="WV116" s="75"/>
      <c r="WW116" s="73"/>
      <c r="WX116" s="74"/>
      <c r="WY116" s="76"/>
      <c r="WZ116" s="77"/>
      <c r="XA116" s="74"/>
      <c r="XB116" s="72"/>
      <c r="XC116" s="73"/>
      <c r="XD116" s="74"/>
      <c r="XE116" s="75"/>
      <c r="XF116" s="73"/>
      <c r="XG116" s="74"/>
      <c r="XH116" s="75"/>
      <c r="XI116" s="73"/>
      <c r="XJ116" s="74"/>
      <c r="XK116" s="75"/>
      <c r="XL116" s="73"/>
      <c r="XM116" s="74"/>
      <c r="XN116" s="76"/>
      <c r="XO116" s="77"/>
      <c r="XP116" s="62"/>
      <c r="XQ116" s="63"/>
      <c r="XR116" s="64">
        <f t="shared" si="2392"/>
        <v>0</v>
      </c>
      <c r="XS116" s="65">
        <v>844.24</v>
      </c>
      <c r="XT116" s="63"/>
      <c r="XU116" s="64">
        <f t="shared" si="2393"/>
        <v>844.24</v>
      </c>
      <c r="XV116" s="65"/>
      <c r="XW116" s="63"/>
      <c r="XX116" s="64">
        <f t="shared" si="2394"/>
        <v>0</v>
      </c>
      <c r="XY116" s="65">
        <v>100</v>
      </c>
      <c r="XZ116" s="63"/>
      <c r="YA116" s="64">
        <f t="shared" si="2395"/>
        <v>100</v>
      </c>
      <c r="YB116" s="66">
        <f t="shared" si="1674"/>
        <v>944.24</v>
      </c>
      <c r="YC116" s="67">
        <f t="shared" si="2396"/>
        <v>0</v>
      </c>
      <c r="YD116" s="64">
        <f t="shared" si="2397"/>
        <v>944.24</v>
      </c>
      <c r="YE116" s="62"/>
      <c r="YF116" s="63"/>
      <c r="YG116" s="64">
        <f t="shared" si="2398"/>
        <v>0</v>
      </c>
      <c r="YH116" s="65">
        <v>847.85</v>
      </c>
      <c r="YI116" s="63"/>
      <c r="YJ116" s="64">
        <f t="shared" si="2399"/>
        <v>847.85</v>
      </c>
      <c r="YK116" s="65"/>
      <c r="YL116" s="63"/>
      <c r="YM116" s="64">
        <f t="shared" si="2400"/>
        <v>0</v>
      </c>
      <c r="YN116" s="65">
        <v>100</v>
      </c>
      <c r="YO116" s="63"/>
      <c r="YP116" s="64">
        <f t="shared" si="2401"/>
        <v>100</v>
      </c>
      <c r="YQ116" s="66">
        <f t="shared" si="1681"/>
        <v>947.85</v>
      </c>
      <c r="YR116" s="67">
        <f t="shared" si="2402"/>
        <v>0</v>
      </c>
      <c r="YS116" s="64">
        <f t="shared" si="2403"/>
        <v>947.85</v>
      </c>
      <c r="YT116" s="62"/>
      <c r="YU116" s="63"/>
      <c r="YV116" s="64">
        <f t="shared" si="2404"/>
        <v>0</v>
      </c>
      <c r="YW116" s="65">
        <v>695.73</v>
      </c>
      <c r="YX116" s="63"/>
      <c r="YY116" s="64">
        <f t="shared" si="2405"/>
        <v>695.73</v>
      </c>
      <c r="YZ116" s="65"/>
      <c r="ZA116" s="63"/>
      <c r="ZB116" s="64">
        <f t="shared" si="2406"/>
        <v>0</v>
      </c>
      <c r="ZC116" s="65">
        <v>100</v>
      </c>
      <c r="ZD116" s="63"/>
      <c r="ZE116" s="64">
        <f t="shared" si="2407"/>
        <v>100</v>
      </c>
      <c r="ZF116" s="66">
        <f t="shared" si="1688"/>
        <v>795.73</v>
      </c>
      <c r="ZG116" s="67">
        <f t="shared" si="2408"/>
        <v>0</v>
      </c>
      <c r="ZH116" s="74"/>
      <c r="ZI116" s="72"/>
      <c r="ZJ116" s="73"/>
      <c r="ZK116" s="74"/>
      <c r="ZL116" s="75"/>
      <c r="ZM116" s="73"/>
      <c r="ZN116" s="74"/>
      <c r="ZO116" s="75"/>
      <c r="ZP116" s="73"/>
      <c r="ZQ116" s="74"/>
      <c r="ZR116" s="75"/>
      <c r="ZS116" s="73"/>
      <c r="ZT116" s="74"/>
      <c r="ZU116" s="76"/>
      <c r="ZV116" s="77"/>
      <c r="ZW116" s="64">
        <f t="shared" si="2409"/>
        <v>0</v>
      </c>
      <c r="ZX116" s="62">
        <v>24.71</v>
      </c>
      <c r="ZY116" s="63"/>
      <c r="ZZ116" s="64">
        <f t="shared" si="2410"/>
        <v>24.71</v>
      </c>
      <c r="AAA116" s="66">
        <f t="shared" si="1692"/>
        <v>24.71</v>
      </c>
      <c r="AAB116" s="67">
        <f t="shared" si="1692"/>
        <v>0</v>
      </c>
      <c r="AAC116" s="64">
        <f t="shared" si="2411"/>
        <v>24.71</v>
      </c>
      <c r="AAD116" s="85">
        <f t="shared" si="1694"/>
        <v>332046.33499999996</v>
      </c>
      <c r="AAE116" s="86">
        <f t="shared" si="1694"/>
        <v>0</v>
      </c>
      <c r="AAF116" s="87">
        <f t="shared" si="1457"/>
        <v>0</v>
      </c>
      <c r="AAG116" s="88">
        <f t="shared" si="2412"/>
        <v>-332046.33499999996</v>
      </c>
      <c r="AAH116" s="89"/>
      <c r="AAI116" s="92"/>
      <c r="AAJ116" s="92"/>
      <c r="AAK116" s="60"/>
    </row>
    <row r="117" spans="1:713" s="83" customFormat="1" ht="20" customHeight="1" x14ac:dyDescent="0.2">
      <c r="A117" s="154"/>
      <c r="B117" s="94">
        <f>B115/B111</f>
        <v>0</v>
      </c>
      <c r="C117" s="95"/>
      <c r="D117" s="95"/>
      <c r="E117" s="60"/>
      <c r="F117" s="61">
        <v>47727</v>
      </c>
      <c r="G117" s="62"/>
      <c r="H117" s="63"/>
      <c r="I117" s="64">
        <f t="shared" si="2208"/>
        <v>0</v>
      </c>
      <c r="J117" s="65">
        <v>2154.35</v>
      </c>
      <c r="K117" s="63"/>
      <c r="L117" s="64">
        <f t="shared" si="2209"/>
        <v>2154.35</v>
      </c>
      <c r="M117" s="65">
        <v>2500</v>
      </c>
      <c r="N117" s="63"/>
      <c r="O117" s="64">
        <f t="shared" si="2210"/>
        <v>2500</v>
      </c>
      <c r="P117" s="65">
        <v>1500</v>
      </c>
      <c r="Q117" s="63"/>
      <c r="R117" s="64">
        <f t="shared" si="2211"/>
        <v>1500</v>
      </c>
      <c r="S117" s="65">
        <v>362</v>
      </c>
      <c r="T117" s="63"/>
      <c r="U117" s="64">
        <f t="shared" si="2212"/>
        <v>362</v>
      </c>
      <c r="V117" s="66">
        <f t="shared" si="2213"/>
        <v>6516.35</v>
      </c>
      <c r="W117" s="67">
        <f t="shared" si="2213"/>
        <v>0</v>
      </c>
      <c r="X117" s="64">
        <f t="shared" si="2214"/>
        <v>6516.35</v>
      </c>
      <c r="Y117" s="72"/>
      <c r="Z117" s="73"/>
      <c r="AA117" s="74"/>
      <c r="AB117" s="75"/>
      <c r="AC117" s="73"/>
      <c r="AD117" s="74"/>
      <c r="AE117" s="75"/>
      <c r="AF117" s="73"/>
      <c r="AG117" s="74"/>
      <c r="AH117" s="75"/>
      <c r="AI117" s="73"/>
      <c r="AJ117" s="74"/>
      <c r="AK117" s="76"/>
      <c r="AL117" s="77"/>
      <c r="AM117" s="64">
        <f t="shared" si="2215"/>
        <v>0</v>
      </c>
      <c r="AN117" s="62">
        <v>6250</v>
      </c>
      <c r="AO117" s="63"/>
      <c r="AP117" s="64">
        <f t="shared" si="2413"/>
        <v>6250</v>
      </c>
      <c r="AQ117" s="65"/>
      <c r="AR117" s="63"/>
      <c r="AS117" s="64">
        <f t="shared" si="2216"/>
        <v>0</v>
      </c>
      <c r="AT117" s="65"/>
      <c r="AU117" s="63"/>
      <c r="AV117" s="64">
        <f t="shared" si="2217"/>
        <v>0</v>
      </c>
      <c r="AW117" s="65"/>
      <c r="AX117" s="63"/>
      <c r="AY117" s="64">
        <f t="shared" si="2218"/>
        <v>0</v>
      </c>
      <c r="AZ117" s="66">
        <f t="shared" si="1469"/>
        <v>6250</v>
      </c>
      <c r="BA117" s="67">
        <f t="shared" si="2219"/>
        <v>0</v>
      </c>
      <c r="BB117" s="64">
        <f t="shared" si="2220"/>
        <v>6250</v>
      </c>
      <c r="BC117" s="62"/>
      <c r="BD117" s="63"/>
      <c r="BE117" s="64">
        <f t="shared" si="2221"/>
        <v>0</v>
      </c>
      <c r="BF117" s="65"/>
      <c r="BG117" s="63"/>
      <c r="BH117" s="64">
        <f t="shared" si="2222"/>
        <v>0</v>
      </c>
      <c r="BI117" s="65"/>
      <c r="BJ117" s="63"/>
      <c r="BK117" s="64">
        <f t="shared" si="2223"/>
        <v>0</v>
      </c>
      <c r="BL117" s="65">
        <v>100</v>
      </c>
      <c r="BM117" s="63"/>
      <c r="BN117" s="64">
        <f t="shared" si="2224"/>
        <v>100</v>
      </c>
      <c r="BO117" s="66">
        <f t="shared" si="1476"/>
        <v>100</v>
      </c>
      <c r="BP117" s="67">
        <f t="shared" si="2225"/>
        <v>0</v>
      </c>
      <c r="BQ117" s="64">
        <f t="shared" si="2226"/>
        <v>100</v>
      </c>
      <c r="BR117" s="72"/>
      <c r="BS117" s="73"/>
      <c r="BT117" s="74"/>
      <c r="BU117" s="75"/>
      <c r="BV117" s="73"/>
      <c r="BW117" s="74"/>
      <c r="BX117" s="75"/>
      <c r="BY117" s="73"/>
      <c r="BZ117" s="74"/>
      <c r="CA117" s="75"/>
      <c r="CB117" s="73"/>
      <c r="CC117" s="74"/>
      <c r="CD117" s="76"/>
      <c r="CE117" s="77"/>
      <c r="CF117" s="64">
        <f t="shared" si="2227"/>
        <v>0</v>
      </c>
      <c r="CG117" s="62">
        <v>5000</v>
      </c>
      <c r="CH117" s="63"/>
      <c r="CI117" s="64">
        <f t="shared" si="2228"/>
        <v>5000</v>
      </c>
      <c r="CJ117" s="65"/>
      <c r="CK117" s="63"/>
      <c r="CL117" s="64">
        <f t="shared" si="2229"/>
        <v>0</v>
      </c>
      <c r="CM117" s="65"/>
      <c r="CN117" s="63"/>
      <c r="CO117" s="64">
        <f t="shared" si="2230"/>
        <v>0</v>
      </c>
      <c r="CP117" s="65"/>
      <c r="CQ117" s="63"/>
      <c r="CR117" s="64">
        <f t="shared" si="2231"/>
        <v>0</v>
      </c>
      <c r="CS117" s="66">
        <f t="shared" si="1484"/>
        <v>5000</v>
      </c>
      <c r="CT117" s="67">
        <f t="shared" si="2232"/>
        <v>0</v>
      </c>
      <c r="CU117" s="64">
        <f t="shared" si="2233"/>
        <v>5000</v>
      </c>
      <c r="CV117" s="62">
        <v>2916.7</v>
      </c>
      <c r="CW117" s="63"/>
      <c r="CX117" s="64">
        <f t="shared" si="2234"/>
        <v>2916.7</v>
      </c>
      <c r="CY117" s="65">
        <v>429.15</v>
      </c>
      <c r="CZ117" s="63"/>
      <c r="DA117" s="64">
        <f t="shared" si="2235"/>
        <v>429.15</v>
      </c>
      <c r="DB117" s="65"/>
      <c r="DC117" s="63"/>
      <c r="DD117" s="64">
        <f t="shared" si="2236"/>
        <v>0</v>
      </c>
      <c r="DE117" s="65"/>
      <c r="DF117" s="63"/>
      <c r="DG117" s="64">
        <f t="shared" si="2237"/>
        <v>0</v>
      </c>
      <c r="DH117" s="66">
        <f t="shared" si="1491"/>
        <v>3345.85</v>
      </c>
      <c r="DI117" s="67">
        <f t="shared" si="2238"/>
        <v>0</v>
      </c>
      <c r="DJ117" s="64">
        <f t="shared" si="2239"/>
        <v>3345.85</v>
      </c>
      <c r="DK117" s="62">
        <v>2400</v>
      </c>
      <c r="DL117" s="63"/>
      <c r="DM117" s="64">
        <f t="shared" si="2240"/>
        <v>2400</v>
      </c>
      <c r="DN117" s="65">
        <v>913.08</v>
      </c>
      <c r="DO117" s="63"/>
      <c r="DP117" s="64">
        <f t="shared" si="2241"/>
        <v>913.08</v>
      </c>
      <c r="DQ117" s="65"/>
      <c r="DR117" s="63"/>
      <c r="DS117" s="64">
        <f t="shared" si="2242"/>
        <v>0</v>
      </c>
      <c r="DT117" s="65">
        <v>100</v>
      </c>
      <c r="DU117" s="63"/>
      <c r="DV117" s="64">
        <f t="shared" si="2243"/>
        <v>100</v>
      </c>
      <c r="DW117" s="66">
        <f t="shared" si="1498"/>
        <v>3413.08</v>
      </c>
      <c r="DX117" s="67">
        <f t="shared" si="2244"/>
        <v>0</v>
      </c>
      <c r="DY117" s="64">
        <f t="shared" si="2245"/>
        <v>3413.08</v>
      </c>
      <c r="DZ117" s="62"/>
      <c r="EA117" s="63"/>
      <c r="EB117" s="64">
        <f t="shared" si="2246"/>
        <v>0</v>
      </c>
      <c r="EC117" s="65"/>
      <c r="ED117" s="63"/>
      <c r="EE117" s="64">
        <f t="shared" si="2247"/>
        <v>0</v>
      </c>
      <c r="EF117" s="65"/>
      <c r="EG117" s="63"/>
      <c r="EH117" s="64">
        <f t="shared" si="2248"/>
        <v>0</v>
      </c>
      <c r="EI117" s="65">
        <v>100</v>
      </c>
      <c r="EJ117" s="63"/>
      <c r="EK117" s="64">
        <f t="shared" si="2249"/>
        <v>100</v>
      </c>
      <c r="EL117" s="66">
        <f t="shared" si="1505"/>
        <v>100</v>
      </c>
      <c r="EM117" s="67">
        <f t="shared" si="2250"/>
        <v>0</v>
      </c>
      <c r="EN117" s="64">
        <f t="shared" si="2251"/>
        <v>100</v>
      </c>
      <c r="EO117" s="62"/>
      <c r="EP117" s="63"/>
      <c r="EQ117" s="64">
        <f t="shared" si="2252"/>
        <v>0</v>
      </c>
      <c r="ER117" s="65"/>
      <c r="ES117" s="63"/>
      <c r="ET117" s="64">
        <f t="shared" si="2253"/>
        <v>0</v>
      </c>
      <c r="EU117" s="65"/>
      <c r="EV117" s="63"/>
      <c r="EW117" s="64">
        <f t="shared" si="2254"/>
        <v>0</v>
      </c>
      <c r="EX117" s="65">
        <v>100</v>
      </c>
      <c r="EY117" s="63"/>
      <c r="EZ117" s="64">
        <f t="shared" si="2255"/>
        <v>100</v>
      </c>
      <c r="FA117" s="66">
        <f t="shared" si="1512"/>
        <v>100</v>
      </c>
      <c r="FB117" s="67">
        <f t="shared" si="2256"/>
        <v>0</v>
      </c>
      <c r="FC117" s="64">
        <f t="shared" si="2257"/>
        <v>100</v>
      </c>
      <c r="FD117" s="62"/>
      <c r="FE117" s="63"/>
      <c r="FF117" s="64">
        <f t="shared" si="2258"/>
        <v>0</v>
      </c>
      <c r="FG117" s="65"/>
      <c r="FH117" s="63"/>
      <c r="FI117" s="64">
        <f t="shared" si="2259"/>
        <v>0</v>
      </c>
      <c r="FJ117" s="65"/>
      <c r="FK117" s="63"/>
      <c r="FL117" s="64">
        <f t="shared" si="2260"/>
        <v>0</v>
      </c>
      <c r="FM117" s="65">
        <v>100</v>
      </c>
      <c r="FN117" s="63"/>
      <c r="FO117" s="64">
        <f t="shared" si="2261"/>
        <v>100</v>
      </c>
      <c r="FP117" s="66">
        <f t="shared" si="1519"/>
        <v>100</v>
      </c>
      <c r="FQ117" s="67">
        <f t="shared" si="2262"/>
        <v>0</v>
      </c>
      <c r="FR117" s="64">
        <f t="shared" si="2263"/>
        <v>100</v>
      </c>
      <c r="FS117" s="62"/>
      <c r="FT117" s="63"/>
      <c r="FU117" s="64">
        <f t="shared" si="2264"/>
        <v>0</v>
      </c>
      <c r="FV117" s="65">
        <v>485.35</v>
      </c>
      <c r="FW117" s="63"/>
      <c r="FX117" s="64">
        <f t="shared" si="2265"/>
        <v>485.35</v>
      </c>
      <c r="FY117" s="65"/>
      <c r="FZ117" s="63"/>
      <c r="GA117" s="64">
        <f t="shared" si="2266"/>
        <v>0</v>
      </c>
      <c r="GB117" s="65"/>
      <c r="GC117" s="63"/>
      <c r="GD117" s="64">
        <f t="shared" si="2267"/>
        <v>0</v>
      </c>
      <c r="GE117" s="66">
        <f t="shared" si="1526"/>
        <v>485.35</v>
      </c>
      <c r="GF117" s="67">
        <f t="shared" si="2268"/>
        <v>0</v>
      </c>
      <c r="GG117" s="64">
        <f t="shared" si="2269"/>
        <v>485.35</v>
      </c>
      <c r="GH117" s="62"/>
      <c r="GI117" s="63"/>
      <c r="GJ117" s="64">
        <f t="shared" si="2270"/>
        <v>0</v>
      </c>
      <c r="GK117" s="65">
        <v>660.33</v>
      </c>
      <c r="GL117" s="63"/>
      <c r="GM117" s="64">
        <f t="shared" si="2271"/>
        <v>660.33</v>
      </c>
      <c r="GN117" s="65"/>
      <c r="GO117" s="63"/>
      <c r="GP117" s="64">
        <f t="shared" si="2272"/>
        <v>0</v>
      </c>
      <c r="GQ117" s="65"/>
      <c r="GR117" s="63"/>
      <c r="GS117" s="64">
        <f t="shared" si="2273"/>
        <v>0</v>
      </c>
      <c r="GT117" s="66">
        <f t="shared" si="1533"/>
        <v>660.33</v>
      </c>
      <c r="GU117" s="67">
        <f t="shared" si="2274"/>
        <v>0</v>
      </c>
      <c r="GV117" s="64">
        <f t="shared" si="2275"/>
        <v>660.33</v>
      </c>
      <c r="GW117" s="62"/>
      <c r="GX117" s="63"/>
      <c r="GY117" s="64">
        <f t="shared" si="2276"/>
        <v>0</v>
      </c>
      <c r="GZ117" s="65">
        <v>568.25</v>
      </c>
      <c r="HA117" s="63"/>
      <c r="HB117" s="64">
        <f t="shared" si="2277"/>
        <v>568.25</v>
      </c>
      <c r="HC117" s="65"/>
      <c r="HD117" s="63"/>
      <c r="HE117" s="64">
        <f t="shared" si="2278"/>
        <v>0</v>
      </c>
      <c r="HF117" s="65">
        <v>100</v>
      </c>
      <c r="HG117" s="63"/>
      <c r="HH117" s="64">
        <f t="shared" si="2279"/>
        <v>100</v>
      </c>
      <c r="HI117" s="66">
        <f t="shared" si="1540"/>
        <v>668.25</v>
      </c>
      <c r="HJ117" s="67">
        <f t="shared" si="2280"/>
        <v>0</v>
      </c>
      <c r="HK117" s="64">
        <f t="shared" si="2281"/>
        <v>668.25</v>
      </c>
      <c r="HL117" s="62"/>
      <c r="HM117" s="63"/>
      <c r="HN117" s="64">
        <f t="shared" si="2282"/>
        <v>0</v>
      </c>
      <c r="HO117" s="65"/>
      <c r="HP117" s="63"/>
      <c r="HQ117" s="64">
        <f t="shared" si="2283"/>
        <v>0</v>
      </c>
      <c r="HR117" s="65"/>
      <c r="HS117" s="63"/>
      <c r="HT117" s="64">
        <f t="shared" si="2284"/>
        <v>0</v>
      </c>
      <c r="HU117" s="65">
        <v>100</v>
      </c>
      <c r="HV117" s="63"/>
      <c r="HW117" s="64">
        <f t="shared" si="2285"/>
        <v>100</v>
      </c>
      <c r="HX117" s="66">
        <f t="shared" si="1547"/>
        <v>100</v>
      </c>
      <c r="HY117" s="67">
        <f t="shared" si="2286"/>
        <v>0</v>
      </c>
      <c r="HZ117" s="64">
        <f t="shared" si="2287"/>
        <v>100</v>
      </c>
      <c r="IA117" s="62"/>
      <c r="IB117" s="63"/>
      <c r="IC117" s="64">
        <f t="shared" si="2288"/>
        <v>0</v>
      </c>
      <c r="ID117" s="65"/>
      <c r="IE117" s="63"/>
      <c r="IF117" s="64">
        <f t="shared" si="2289"/>
        <v>0</v>
      </c>
      <c r="IG117" s="65"/>
      <c r="IH117" s="63"/>
      <c r="II117" s="64">
        <f t="shared" si="2290"/>
        <v>0</v>
      </c>
      <c r="IJ117" s="65">
        <v>100</v>
      </c>
      <c r="IK117" s="63"/>
      <c r="IL117" s="64">
        <f t="shared" si="2291"/>
        <v>100</v>
      </c>
      <c r="IM117" s="66">
        <f t="shared" si="1554"/>
        <v>100</v>
      </c>
      <c r="IN117" s="67">
        <f t="shared" si="2292"/>
        <v>0</v>
      </c>
      <c r="IO117" s="64">
        <f t="shared" si="2293"/>
        <v>100</v>
      </c>
      <c r="IP117" s="62">
        <v>5000</v>
      </c>
      <c r="IQ117" s="63"/>
      <c r="IR117" s="64">
        <f t="shared" si="2294"/>
        <v>5000</v>
      </c>
      <c r="IS117" s="65"/>
      <c r="IT117" s="63"/>
      <c r="IU117" s="64">
        <f t="shared" si="2295"/>
        <v>0</v>
      </c>
      <c r="IV117" s="65"/>
      <c r="IW117" s="63"/>
      <c r="IX117" s="64">
        <f t="shared" si="2296"/>
        <v>0</v>
      </c>
      <c r="IY117" s="65"/>
      <c r="IZ117" s="63"/>
      <c r="JA117" s="64">
        <f t="shared" si="2297"/>
        <v>0</v>
      </c>
      <c r="JB117" s="66">
        <f t="shared" si="1561"/>
        <v>5000</v>
      </c>
      <c r="JC117" s="67">
        <f t="shared" si="2298"/>
        <v>0</v>
      </c>
      <c r="JD117" s="64">
        <f t="shared" si="2299"/>
        <v>5000</v>
      </c>
      <c r="JE117" s="72"/>
      <c r="JF117" s="150"/>
      <c r="JG117" s="74"/>
      <c r="JH117" s="75"/>
      <c r="JI117" s="150"/>
      <c r="JJ117" s="74"/>
      <c r="JK117" s="75"/>
      <c r="JL117" s="150"/>
      <c r="JM117" s="74"/>
      <c r="JN117" s="75"/>
      <c r="JO117" s="150"/>
      <c r="JP117" s="74"/>
      <c r="JQ117" s="76"/>
      <c r="JR117" s="77"/>
      <c r="JS117" s="74"/>
      <c r="JT117" s="72"/>
      <c r="JU117" s="73"/>
      <c r="JV117" s="74"/>
      <c r="JW117" s="75"/>
      <c r="JX117" s="73"/>
      <c r="JY117" s="74"/>
      <c r="JZ117" s="75"/>
      <c r="KA117" s="73"/>
      <c r="KB117" s="74"/>
      <c r="KC117" s="75"/>
      <c r="KD117" s="73"/>
      <c r="KE117" s="74"/>
      <c r="KF117" s="76"/>
      <c r="KG117" s="77"/>
      <c r="KH117" s="64">
        <f t="shared" si="2300"/>
        <v>0</v>
      </c>
      <c r="KI117" s="62"/>
      <c r="KJ117" s="63"/>
      <c r="KK117" s="64">
        <f t="shared" si="2301"/>
        <v>0</v>
      </c>
      <c r="KL117" s="65"/>
      <c r="KM117" s="63"/>
      <c r="KN117" s="64">
        <f t="shared" si="2302"/>
        <v>0</v>
      </c>
      <c r="KO117" s="65"/>
      <c r="KP117" s="63"/>
      <c r="KQ117" s="64">
        <f t="shared" si="2303"/>
        <v>0</v>
      </c>
      <c r="KR117" s="65"/>
      <c r="KS117" s="63"/>
      <c r="KT117" s="64">
        <f t="shared" si="2304"/>
        <v>0</v>
      </c>
      <c r="KU117" s="66">
        <f t="shared" si="1439"/>
        <v>0</v>
      </c>
      <c r="KV117" s="67">
        <f t="shared" si="2305"/>
        <v>0</v>
      </c>
      <c r="KW117" s="64">
        <f t="shared" si="2306"/>
        <v>0</v>
      </c>
      <c r="KX117" s="72"/>
      <c r="KY117" s="73"/>
      <c r="KZ117" s="74"/>
      <c r="LA117" s="75"/>
      <c r="LB117" s="73"/>
      <c r="LC117" s="74"/>
      <c r="LD117" s="75"/>
      <c r="LE117" s="73"/>
      <c r="LF117" s="74"/>
      <c r="LG117" s="75"/>
      <c r="LH117" s="73"/>
      <c r="LI117" s="74"/>
      <c r="LJ117" s="76"/>
      <c r="LK117" s="77"/>
      <c r="LL117" s="74"/>
      <c r="LM117" s="62"/>
      <c r="LN117" s="63"/>
      <c r="LO117" s="64">
        <f t="shared" si="2307"/>
        <v>0</v>
      </c>
      <c r="LP117" s="65"/>
      <c r="LQ117" s="63"/>
      <c r="LR117" s="64">
        <f t="shared" si="2308"/>
        <v>0</v>
      </c>
      <c r="LS117" s="65"/>
      <c r="LT117" s="63"/>
      <c r="LU117" s="64">
        <f t="shared" si="2309"/>
        <v>0</v>
      </c>
      <c r="LV117" s="65">
        <v>100</v>
      </c>
      <c r="LW117" s="63"/>
      <c r="LX117" s="64">
        <f t="shared" si="2310"/>
        <v>100</v>
      </c>
      <c r="LY117" s="66">
        <f t="shared" si="1575"/>
        <v>100</v>
      </c>
      <c r="LZ117" s="67">
        <f t="shared" si="2311"/>
        <v>0</v>
      </c>
      <c r="MA117" s="64">
        <f t="shared" si="2312"/>
        <v>100</v>
      </c>
      <c r="MB117" s="62"/>
      <c r="MC117" s="63"/>
      <c r="MD117" s="64">
        <f t="shared" si="2313"/>
        <v>0</v>
      </c>
      <c r="ME117" s="65">
        <v>889.11</v>
      </c>
      <c r="MF117" s="63"/>
      <c r="MG117" s="64">
        <f t="shared" si="2314"/>
        <v>889.11</v>
      </c>
      <c r="MH117" s="65"/>
      <c r="MI117" s="63"/>
      <c r="MJ117" s="64">
        <f t="shared" si="2315"/>
        <v>0</v>
      </c>
      <c r="MK117" s="65">
        <v>100</v>
      </c>
      <c r="ML117" s="63"/>
      <c r="MM117" s="64">
        <f t="shared" si="2316"/>
        <v>100</v>
      </c>
      <c r="MN117" s="66">
        <f t="shared" si="1582"/>
        <v>989.11</v>
      </c>
      <c r="MO117" s="67">
        <f t="shared" si="2317"/>
        <v>0</v>
      </c>
      <c r="MP117" s="64">
        <f t="shared" si="2318"/>
        <v>989.11</v>
      </c>
      <c r="MQ117" s="62"/>
      <c r="MR117" s="63"/>
      <c r="MS117" s="64">
        <f t="shared" si="2319"/>
        <v>0</v>
      </c>
      <c r="MT117" s="65"/>
      <c r="MU117" s="63"/>
      <c r="MV117" s="64">
        <f t="shared" si="2320"/>
        <v>0</v>
      </c>
      <c r="MW117" s="65"/>
      <c r="MX117" s="63"/>
      <c r="MY117" s="64">
        <f t="shared" si="2321"/>
        <v>0</v>
      </c>
      <c r="MZ117" s="65"/>
      <c r="NA117" s="63"/>
      <c r="NB117" s="64">
        <f t="shared" si="2322"/>
        <v>0</v>
      </c>
      <c r="NC117" s="66">
        <f t="shared" si="1589"/>
        <v>0</v>
      </c>
      <c r="ND117" s="67">
        <f t="shared" si="2323"/>
        <v>0</v>
      </c>
      <c r="NE117" s="64">
        <f t="shared" si="2324"/>
        <v>0</v>
      </c>
      <c r="NF117" s="62"/>
      <c r="NG117" s="63"/>
      <c r="NH117" s="64">
        <f t="shared" si="2325"/>
        <v>0</v>
      </c>
      <c r="NI117" s="65">
        <v>1164.04</v>
      </c>
      <c r="NJ117" s="63"/>
      <c r="NK117" s="64">
        <f t="shared" si="2326"/>
        <v>1164.04</v>
      </c>
      <c r="NL117" s="65"/>
      <c r="NM117" s="63"/>
      <c r="NN117" s="64">
        <f t="shared" si="2327"/>
        <v>0</v>
      </c>
      <c r="NO117" s="65">
        <v>100</v>
      </c>
      <c r="NP117" s="63"/>
      <c r="NQ117" s="64">
        <f t="shared" si="2328"/>
        <v>100</v>
      </c>
      <c r="NR117" s="66">
        <f t="shared" si="1596"/>
        <v>1264.04</v>
      </c>
      <c r="NS117" s="67">
        <f t="shared" si="2329"/>
        <v>0</v>
      </c>
      <c r="NT117" s="64">
        <f t="shared" si="2330"/>
        <v>1264.04</v>
      </c>
      <c r="NU117" s="62"/>
      <c r="NV117" s="63"/>
      <c r="NW117" s="64">
        <f t="shared" si="2331"/>
        <v>0</v>
      </c>
      <c r="NX117" s="65">
        <v>1152.73</v>
      </c>
      <c r="NY117" s="63"/>
      <c r="NZ117" s="64">
        <f t="shared" si="2332"/>
        <v>1152.73</v>
      </c>
      <c r="OA117" s="65"/>
      <c r="OB117" s="63"/>
      <c r="OC117" s="64">
        <f t="shared" si="2333"/>
        <v>0</v>
      </c>
      <c r="OD117" s="65">
        <v>100</v>
      </c>
      <c r="OE117" s="63"/>
      <c r="OF117" s="64">
        <f t="shared" si="2334"/>
        <v>100</v>
      </c>
      <c r="OG117" s="66">
        <f t="shared" si="1603"/>
        <v>1252.73</v>
      </c>
      <c r="OH117" s="67">
        <f t="shared" si="2335"/>
        <v>0</v>
      </c>
      <c r="OI117" s="64">
        <f t="shared" si="2336"/>
        <v>1252.73</v>
      </c>
      <c r="OJ117" s="62"/>
      <c r="OK117" s="63"/>
      <c r="OL117" s="64">
        <f t="shared" si="2337"/>
        <v>0</v>
      </c>
      <c r="OM117" s="65"/>
      <c r="ON117" s="63"/>
      <c r="OO117" s="64">
        <f t="shared" si="2338"/>
        <v>0</v>
      </c>
      <c r="OP117" s="65"/>
      <c r="OQ117" s="63"/>
      <c r="OR117" s="64">
        <f t="shared" si="2339"/>
        <v>0</v>
      </c>
      <c r="OS117" s="65">
        <v>100</v>
      </c>
      <c r="OT117" s="63"/>
      <c r="OU117" s="64">
        <f t="shared" si="2340"/>
        <v>100</v>
      </c>
      <c r="OV117" s="66">
        <f t="shared" si="1610"/>
        <v>100</v>
      </c>
      <c r="OW117" s="67">
        <f t="shared" si="2341"/>
        <v>0</v>
      </c>
      <c r="OX117" s="64">
        <f t="shared" si="2342"/>
        <v>100</v>
      </c>
      <c r="OY117" s="62"/>
      <c r="OZ117" s="63"/>
      <c r="PA117" s="64">
        <f t="shared" si="2343"/>
        <v>0</v>
      </c>
      <c r="PB117" s="65"/>
      <c r="PC117" s="63"/>
      <c r="PD117" s="64">
        <f t="shared" si="2344"/>
        <v>0</v>
      </c>
      <c r="PE117" s="65"/>
      <c r="PF117" s="63"/>
      <c r="PG117" s="64">
        <f t="shared" si="2345"/>
        <v>0</v>
      </c>
      <c r="PH117" s="65">
        <v>100</v>
      </c>
      <c r="PI117" s="63"/>
      <c r="PJ117" s="64">
        <f t="shared" si="2346"/>
        <v>100</v>
      </c>
      <c r="PK117" s="66">
        <f t="shared" si="1617"/>
        <v>100</v>
      </c>
      <c r="PL117" s="67">
        <f t="shared" si="2347"/>
        <v>0</v>
      </c>
      <c r="PM117" s="64">
        <f t="shared" si="2348"/>
        <v>100</v>
      </c>
      <c r="PN117" s="62">
        <v>1550</v>
      </c>
      <c r="PO117" s="63"/>
      <c r="PP117" s="64">
        <f t="shared" si="2349"/>
        <v>1550</v>
      </c>
      <c r="PQ117" s="65"/>
      <c r="PR117" s="63"/>
      <c r="PS117" s="64">
        <f t="shared" si="2350"/>
        <v>0</v>
      </c>
      <c r="PT117" s="65"/>
      <c r="PU117" s="63"/>
      <c r="PV117" s="64">
        <f t="shared" si="2351"/>
        <v>0</v>
      </c>
      <c r="PW117" s="65">
        <v>100</v>
      </c>
      <c r="PX117" s="63"/>
      <c r="PY117" s="64">
        <f t="shared" si="2352"/>
        <v>100</v>
      </c>
      <c r="PZ117" s="66">
        <f t="shared" si="1624"/>
        <v>1650</v>
      </c>
      <c r="QA117" s="67">
        <f t="shared" si="2353"/>
        <v>0</v>
      </c>
      <c r="QB117" s="64">
        <f t="shared" si="2354"/>
        <v>1650</v>
      </c>
      <c r="QC117" s="62"/>
      <c r="QD117" s="63"/>
      <c r="QE117" s="64">
        <f t="shared" si="2355"/>
        <v>0</v>
      </c>
      <c r="QF117" s="65"/>
      <c r="QG117" s="63"/>
      <c r="QH117" s="64">
        <f t="shared" si="2356"/>
        <v>0</v>
      </c>
      <c r="QI117" s="65"/>
      <c r="QJ117" s="63"/>
      <c r="QK117" s="64">
        <f t="shared" si="2357"/>
        <v>0</v>
      </c>
      <c r="QL117" s="65">
        <v>100</v>
      </c>
      <c r="QM117" s="63"/>
      <c r="QN117" s="64">
        <f t="shared" si="2358"/>
        <v>100</v>
      </c>
      <c r="QO117" s="66">
        <f t="shared" si="1631"/>
        <v>100</v>
      </c>
      <c r="QP117" s="67">
        <f t="shared" si="2359"/>
        <v>0</v>
      </c>
      <c r="QQ117" s="64">
        <f t="shared" si="2360"/>
        <v>100</v>
      </c>
      <c r="QR117" s="74"/>
      <c r="QS117" s="74"/>
      <c r="QT117" s="72"/>
      <c r="QU117" s="73"/>
      <c r="QV117" s="74"/>
      <c r="QW117" s="75"/>
      <c r="QX117" s="73"/>
      <c r="QY117" s="74"/>
      <c r="QZ117" s="75"/>
      <c r="RA117" s="73"/>
      <c r="RB117" s="74"/>
      <c r="RC117" s="75"/>
      <c r="RD117" s="73"/>
      <c r="RE117" s="74"/>
      <c r="RF117" s="74"/>
      <c r="RG117" s="72"/>
      <c r="RH117" s="73"/>
      <c r="RI117" s="74"/>
      <c r="RJ117" s="75"/>
      <c r="RK117" s="73"/>
      <c r="RL117" s="74"/>
      <c r="RM117" s="75"/>
      <c r="RN117" s="73"/>
      <c r="RO117" s="74"/>
      <c r="RP117" s="75"/>
      <c r="RQ117" s="73"/>
      <c r="RR117" s="74"/>
      <c r="RS117" s="76"/>
      <c r="RT117" s="77"/>
      <c r="RU117" s="74"/>
      <c r="RV117" s="74"/>
      <c r="RW117" s="72"/>
      <c r="RX117" s="73"/>
      <c r="RY117" s="74"/>
      <c r="RZ117" s="75"/>
      <c r="SA117" s="73"/>
      <c r="SB117" s="74"/>
      <c r="SC117" s="75"/>
      <c r="SD117" s="73"/>
      <c r="SE117" s="74"/>
      <c r="SF117" s="75"/>
      <c r="SG117" s="73"/>
      <c r="SH117" s="74"/>
      <c r="SI117" s="76"/>
      <c r="SJ117" s="64">
        <f t="shared" si="2361"/>
        <v>0</v>
      </c>
      <c r="SK117" s="62"/>
      <c r="SL117" s="63"/>
      <c r="SM117" s="64">
        <f t="shared" si="2362"/>
        <v>0</v>
      </c>
      <c r="SN117" s="65"/>
      <c r="SO117" s="63"/>
      <c r="SP117" s="64">
        <f t="shared" si="2363"/>
        <v>0</v>
      </c>
      <c r="SQ117" s="65"/>
      <c r="SR117" s="63"/>
      <c r="SS117" s="64">
        <f t="shared" si="2364"/>
        <v>0</v>
      </c>
      <c r="ST117" s="65">
        <v>100</v>
      </c>
      <c r="SU117" s="63"/>
      <c r="SV117" s="64">
        <f t="shared" si="2365"/>
        <v>100</v>
      </c>
      <c r="SW117" s="66">
        <f t="shared" si="1639"/>
        <v>100</v>
      </c>
      <c r="SX117" s="67">
        <f t="shared" si="2366"/>
        <v>0</v>
      </c>
      <c r="SY117" s="64">
        <f t="shared" si="2367"/>
        <v>100</v>
      </c>
      <c r="SZ117" s="62">
        <v>985.33</v>
      </c>
      <c r="TA117" s="63"/>
      <c r="TB117" s="64">
        <f t="shared" si="2368"/>
        <v>985.33</v>
      </c>
      <c r="TC117" s="65">
        <v>700.9</v>
      </c>
      <c r="TD117" s="63"/>
      <c r="TE117" s="64">
        <f t="shared" si="2369"/>
        <v>700.9</v>
      </c>
      <c r="TF117" s="65"/>
      <c r="TG117" s="63"/>
      <c r="TH117" s="64">
        <f t="shared" si="2370"/>
        <v>0</v>
      </c>
      <c r="TI117" s="65">
        <v>100</v>
      </c>
      <c r="TJ117" s="63"/>
      <c r="TK117" s="64">
        <f t="shared" si="2371"/>
        <v>100</v>
      </c>
      <c r="TL117" s="66">
        <f t="shared" si="1646"/>
        <v>1786.23</v>
      </c>
      <c r="TM117" s="67">
        <f t="shared" si="2372"/>
        <v>0</v>
      </c>
      <c r="TN117" s="64">
        <f t="shared" si="2373"/>
        <v>1786.23</v>
      </c>
      <c r="TO117" s="62"/>
      <c r="TP117" s="63"/>
      <c r="TQ117" s="64">
        <f t="shared" si="2374"/>
        <v>0</v>
      </c>
      <c r="TR117" s="65"/>
      <c r="TS117" s="63"/>
      <c r="TT117" s="64">
        <f t="shared" si="2375"/>
        <v>0</v>
      </c>
      <c r="TU117" s="65"/>
      <c r="TV117" s="63"/>
      <c r="TW117" s="64">
        <f t="shared" si="2376"/>
        <v>0</v>
      </c>
      <c r="TX117" s="65">
        <v>100</v>
      </c>
      <c r="TY117" s="63"/>
      <c r="TZ117" s="64">
        <f t="shared" si="2377"/>
        <v>100</v>
      </c>
      <c r="UA117" s="66">
        <f t="shared" si="1653"/>
        <v>100</v>
      </c>
      <c r="UB117" s="67">
        <f t="shared" si="2378"/>
        <v>0</v>
      </c>
      <c r="UC117" s="64">
        <f t="shared" si="2379"/>
        <v>100</v>
      </c>
      <c r="UD117" s="62"/>
      <c r="UE117" s="63"/>
      <c r="UF117" s="64">
        <f t="shared" si="2380"/>
        <v>0</v>
      </c>
      <c r="UG117" s="65">
        <v>497.04</v>
      </c>
      <c r="UH117" s="63"/>
      <c r="UI117" s="64">
        <f t="shared" si="2381"/>
        <v>497.04</v>
      </c>
      <c r="UJ117" s="65"/>
      <c r="UK117" s="63"/>
      <c r="UL117" s="64">
        <f t="shared" si="2382"/>
        <v>0</v>
      </c>
      <c r="UM117" s="65">
        <v>100</v>
      </c>
      <c r="UN117" s="63"/>
      <c r="UO117" s="64">
        <f t="shared" si="2383"/>
        <v>100</v>
      </c>
      <c r="UP117" s="66">
        <f t="shared" si="1660"/>
        <v>597.04</v>
      </c>
      <c r="UQ117" s="67">
        <f t="shared" si="2384"/>
        <v>0</v>
      </c>
      <c r="UR117" s="64">
        <f t="shared" si="2385"/>
        <v>597.04</v>
      </c>
      <c r="US117" s="74"/>
      <c r="UT117" s="72"/>
      <c r="UU117" s="73"/>
      <c r="UV117" s="74"/>
      <c r="UW117" s="75"/>
      <c r="UX117" s="73"/>
      <c r="UY117" s="74"/>
      <c r="UZ117" s="75"/>
      <c r="VA117" s="73"/>
      <c r="VB117" s="74"/>
      <c r="VC117" s="75"/>
      <c r="VD117" s="73"/>
      <c r="VE117" s="74"/>
      <c r="VF117" s="76"/>
      <c r="VG117" s="77"/>
      <c r="VH117" s="62"/>
      <c r="VI117" s="63"/>
      <c r="VJ117" s="64">
        <f t="shared" si="2386"/>
        <v>0</v>
      </c>
      <c r="VK117" s="65"/>
      <c r="VL117" s="63"/>
      <c r="VM117" s="64">
        <f t="shared" si="2387"/>
        <v>0</v>
      </c>
      <c r="VN117" s="65"/>
      <c r="VO117" s="63"/>
      <c r="VP117" s="64">
        <f t="shared" si="2388"/>
        <v>0</v>
      </c>
      <c r="VQ117" s="65">
        <v>100</v>
      </c>
      <c r="VR117" s="63"/>
      <c r="VS117" s="64">
        <f t="shared" si="2389"/>
        <v>100</v>
      </c>
      <c r="VT117" s="66">
        <f t="shared" si="1667"/>
        <v>100</v>
      </c>
      <c r="VU117" s="67">
        <f t="shared" si="2390"/>
        <v>0</v>
      </c>
      <c r="VV117" s="64">
        <f t="shared" si="2391"/>
        <v>100</v>
      </c>
      <c r="VW117" s="74"/>
      <c r="VX117" s="72"/>
      <c r="VY117" s="73"/>
      <c r="VZ117" s="74"/>
      <c r="WA117" s="75"/>
      <c r="WB117" s="73"/>
      <c r="WC117" s="74"/>
      <c r="WD117" s="75"/>
      <c r="WE117" s="73"/>
      <c r="WF117" s="74"/>
      <c r="WG117" s="75"/>
      <c r="WH117" s="73"/>
      <c r="WI117" s="74"/>
      <c r="WJ117" s="76"/>
      <c r="WK117" s="77"/>
      <c r="WL117" s="74"/>
      <c r="WM117" s="72"/>
      <c r="WN117" s="73"/>
      <c r="WO117" s="74"/>
      <c r="WP117" s="75"/>
      <c r="WQ117" s="73"/>
      <c r="WR117" s="74"/>
      <c r="WS117" s="75"/>
      <c r="WT117" s="73"/>
      <c r="WU117" s="74"/>
      <c r="WV117" s="75"/>
      <c r="WW117" s="73"/>
      <c r="WX117" s="74"/>
      <c r="WY117" s="76"/>
      <c r="WZ117" s="77"/>
      <c r="XA117" s="74"/>
      <c r="XB117" s="72"/>
      <c r="XC117" s="73"/>
      <c r="XD117" s="74"/>
      <c r="XE117" s="75"/>
      <c r="XF117" s="73"/>
      <c r="XG117" s="74"/>
      <c r="XH117" s="75"/>
      <c r="XI117" s="73"/>
      <c r="XJ117" s="74"/>
      <c r="XK117" s="75"/>
      <c r="XL117" s="73"/>
      <c r="XM117" s="74"/>
      <c r="XN117" s="76"/>
      <c r="XO117" s="77"/>
      <c r="XP117" s="62"/>
      <c r="XQ117" s="63"/>
      <c r="XR117" s="64">
        <f t="shared" si="2392"/>
        <v>0</v>
      </c>
      <c r="XS117" s="65">
        <v>844.24</v>
      </c>
      <c r="XT117" s="63"/>
      <c r="XU117" s="64">
        <f t="shared" si="2393"/>
        <v>844.24</v>
      </c>
      <c r="XV117" s="65"/>
      <c r="XW117" s="63"/>
      <c r="XX117" s="64">
        <f t="shared" si="2394"/>
        <v>0</v>
      </c>
      <c r="XY117" s="65">
        <v>100</v>
      </c>
      <c r="XZ117" s="63"/>
      <c r="YA117" s="64">
        <f t="shared" si="2395"/>
        <v>100</v>
      </c>
      <c r="YB117" s="66">
        <f t="shared" si="1674"/>
        <v>944.24</v>
      </c>
      <c r="YC117" s="67">
        <f t="shared" si="2396"/>
        <v>0</v>
      </c>
      <c r="YD117" s="64">
        <f t="shared" si="2397"/>
        <v>944.24</v>
      </c>
      <c r="YE117" s="62"/>
      <c r="YF117" s="63"/>
      <c r="YG117" s="64">
        <f t="shared" si="2398"/>
        <v>0</v>
      </c>
      <c r="YH117" s="65">
        <v>847.85</v>
      </c>
      <c r="YI117" s="63"/>
      <c r="YJ117" s="64">
        <f t="shared" si="2399"/>
        <v>847.85</v>
      </c>
      <c r="YK117" s="65"/>
      <c r="YL117" s="63"/>
      <c r="YM117" s="64">
        <f t="shared" si="2400"/>
        <v>0</v>
      </c>
      <c r="YN117" s="65">
        <v>100</v>
      </c>
      <c r="YO117" s="63"/>
      <c r="YP117" s="64">
        <f t="shared" si="2401"/>
        <v>100</v>
      </c>
      <c r="YQ117" s="66">
        <f t="shared" si="1681"/>
        <v>947.85</v>
      </c>
      <c r="YR117" s="67">
        <f t="shared" si="2402"/>
        <v>0</v>
      </c>
      <c r="YS117" s="64">
        <f t="shared" si="2403"/>
        <v>947.85</v>
      </c>
      <c r="YT117" s="62"/>
      <c r="YU117" s="63"/>
      <c r="YV117" s="64">
        <f t="shared" si="2404"/>
        <v>0</v>
      </c>
      <c r="YW117" s="65">
        <v>695.73</v>
      </c>
      <c r="YX117" s="63"/>
      <c r="YY117" s="64">
        <f t="shared" si="2405"/>
        <v>695.73</v>
      </c>
      <c r="YZ117" s="65"/>
      <c r="ZA117" s="63"/>
      <c r="ZB117" s="64">
        <f t="shared" si="2406"/>
        <v>0</v>
      </c>
      <c r="ZC117" s="65">
        <v>100</v>
      </c>
      <c r="ZD117" s="63"/>
      <c r="ZE117" s="64">
        <f t="shared" si="2407"/>
        <v>100</v>
      </c>
      <c r="ZF117" s="66">
        <f t="shared" si="1688"/>
        <v>795.73</v>
      </c>
      <c r="ZG117" s="67">
        <f t="shared" si="2408"/>
        <v>0</v>
      </c>
      <c r="ZH117" s="74"/>
      <c r="ZI117" s="72"/>
      <c r="ZJ117" s="73"/>
      <c r="ZK117" s="74"/>
      <c r="ZL117" s="75"/>
      <c r="ZM117" s="73"/>
      <c r="ZN117" s="74"/>
      <c r="ZO117" s="75"/>
      <c r="ZP117" s="73"/>
      <c r="ZQ117" s="74"/>
      <c r="ZR117" s="75"/>
      <c r="ZS117" s="73"/>
      <c r="ZT117" s="74"/>
      <c r="ZU117" s="76"/>
      <c r="ZV117" s="77"/>
      <c r="ZW117" s="64">
        <f t="shared" si="2409"/>
        <v>0</v>
      </c>
      <c r="ZX117" s="62">
        <v>24.71</v>
      </c>
      <c r="ZY117" s="63"/>
      <c r="ZZ117" s="64">
        <f t="shared" si="2410"/>
        <v>24.71</v>
      </c>
      <c r="AAA117" s="66">
        <f t="shared" si="1692"/>
        <v>24.71</v>
      </c>
      <c r="AAB117" s="67">
        <f t="shared" si="1692"/>
        <v>0</v>
      </c>
      <c r="AAC117" s="64">
        <f t="shared" si="2411"/>
        <v>24.71</v>
      </c>
      <c r="AAD117" s="85">
        <f t="shared" si="1694"/>
        <v>42866.18</v>
      </c>
      <c r="AAE117" s="86">
        <f t="shared" si="1694"/>
        <v>0</v>
      </c>
      <c r="AAF117" s="87">
        <f t="shared" si="1457"/>
        <v>0</v>
      </c>
      <c r="AAG117" s="88">
        <f t="shared" si="2412"/>
        <v>-42866.18</v>
      </c>
      <c r="AAH117" s="94">
        <f>AAH115/AAH111</f>
        <v>0</v>
      </c>
      <c r="AAI117" s="95"/>
      <c r="AAJ117" s="95"/>
      <c r="AAK117" s="60"/>
    </row>
    <row r="118" spans="1:713" s="83" customFormat="1" ht="20" customHeight="1" x14ac:dyDescent="0.2">
      <c r="A118" s="154"/>
      <c r="B118" s="94"/>
      <c r="C118" s="95"/>
      <c r="D118" s="95"/>
      <c r="E118" s="60"/>
      <c r="F118" s="61">
        <v>47757</v>
      </c>
      <c r="G118" s="62"/>
      <c r="H118" s="63"/>
      <c r="I118" s="64">
        <f t="shared" si="2208"/>
        <v>0</v>
      </c>
      <c r="J118" s="65">
        <v>1991.8</v>
      </c>
      <c r="K118" s="63"/>
      <c r="L118" s="64">
        <f t="shared" si="2209"/>
        <v>1991.8</v>
      </c>
      <c r="M118" s="65">
        <v>2500</v>
      </c>
      <c r="N118" s="63"/>
      <c r="O118" s="64">
        <f t="shared" si="2210"/>
        <v>2500</v>
      </c>
      <c r="P118" s="65">
        <v>1000</v>
      </c>
      <c r="Q118" s="63"/>
      <c r="R118" s="64">
        <f t="shared" si="2211"/>
        <v>1000</v>
      </c>
      <c r="S118" s="65">
        <v>181</v>
      </c>
      <c r="T118" s="63"/>
      <c r="U118" s="64">
        <f t="shared" si="2212"/>
        <v>181</v>
      </c>
      <c r="V118" s="66">
        <f t="shared" si="2213"/>
        <v>5672.8</v>
      </c>
      <c r="W118" s="67">
        <f t="shared" si="2213"/>
        <v>0</v>
      </c>
      <c r="X118" s="64">
        <f t="shared" si="2214"/>
        <v>5672.8</v>
      </c>
      <c r="Y118" s="72"/>
      <c r="Z118" s="73"/>
      <c r="AA118" s="74"/>
      <c r="AB118" s="75"/>
      <c r="AC118" s="73"/>
      <c r="AD118" s="74"/>
      <c r="AE118" s="75"/>
      <c r="AF118" s="73"/>
      <c r="AG118" s="74"/>
      <c r="AH118" s="75"/>
      <c r="AI118" s="73"/>
      <c r="AJ118" s="74"/>
      <c r="AK118" s="76"/>
      <c r="AL118" s="77"/>
      <c r="AM118" s="64">
        <f t="shared" si="2215"/>
        <v>0</v>
      </c>
      <c r="AN118" s="62"/>
      <c r="AO118" s="63"/>
      <c r="AP118" s="64">
        <f t="shared" si="2413"/>
        <v>0</v>
      </c>
      <c r="AQ118" s="65"/>
      <c r="AR118" s="63"/>
      <c r="AS118" s="64">
        <f t="shared" si="2216"/>
        <v>0</v>
      </c>
      <c r="AT118" s="65"/>
      <c r="AU118" s="63"/>
      <c r="AV118" s="64">
        <f t="shared" si="2217"/>
        <v>0</v>
      </c>
      <c r="AW118" s="65"/>
      <c r="AX118" s="63"/>
      <c r="AY118" s="64">
        <f t="shared" si="2218"/>
        <v>0</v>
      </c>
      <c r="AZ118" s="66">
        <f t="shared" si="1469"/>
        <v>0</v>
      </c>
      <c r="BA118" s="67">
        <f t="shared" si="2219"/>
        <v>0</v>
      </c>
      <c r="BB118" s="64">
        <f t="shared" si="2220"/>
        <v>0</v>
      </c>
      <c r="BC118" s="62">
        <v>6150</v>
      </c>
      <c r="BD118" s="63"/>
      <c r="BE118" s="64">
        <f t="shared" si="2221"/>
        <v>6150</v>
      </c>
      <c r="BF118" s="65"/>
      <c r="BG118" s="63"/>
      <c r="BH118" s="64">
        <f t="shared" si="2222"/>
        <v>0</v>
      </c>
      <c r="BI118" s="65"/>
      <c r="BJ118" s="63"/>
      <c r="BK118" s="64">
        <f t="shared" si="2223"/>
        <v>0</v>
      </c>
      <c r="BL118" s="65">
        <v>100</v>
      </c>
      <c r="BM118" s="63"/>
      <c r="BN118" s="64">
        <f t="shared" si="2224"/>
        <v>100</v>
      </c>
      <c r="BO118" s="66">
        <f t="shared" si="1476"/>
        <v>6250</v>
      </c>
      <c r="BP118" s="67">
        <f t="shared" si="2225"/>
        <v>0</v>
      </c>
      <c r="BQ118" s="64">
        <f t="shared" si="2226"/>
        <v>6250</v>
      </c>
      <c r="BR118" s="72"/>
      <c r="BS118" s="73"/>
      <c r="BT118" s="74"/>
      <c r="BU118" s="75"/>
      <c r="BV118" s="73"/>
      <c r="BW118" s="74"/>
      <c r="BX118" s="75"/>
      <c r="BY118" s="73"/>
      <c r="BZ118" s="74"/>
      <c r="CA118" s="75"/>
      <c r="CB118" s="73"/>
      <c r="CC118" s="74"/>
      <c r="CD118" s="76"/>
      <c r="CE118" s="77"/>
      <c r="CF118" s="64">
        <f t="shared" si="2227"/>
        <v>0</v>
      </c>
      <c r="CG118" s="62"/>
      <c r="CH118" s="63"/>
      <c r="CI118" s="64">
        <f t="shared" si="2228"/>
        <v>0</v>
      </c>
      <c r="CJ118" s="65"/>
      <c r="CK118" s="63"/>
      <c r="CL118" s="64">
        <f t="shared" si="2229"/>
        <v>0</v>
      </c>
      <c r="CM118" s="65"/>
      <c r="CN118" s="63"/>
      <c r="CO118" s="64">
        <f t="shared" si="2230"/>
        <v>0</v>
      </c>
      <c r="CP118" s="65"/>
      <c r="CQ118" s="63"/>
      <c r="CR118" s="64">
        <f t="shared" si="2231"/>
        <v>0</v>
      </c>
      <c r="CS118" s="66">
        <f t="shared" si="1484"/>
        <v>0</v>
      </c>
      <c r="CT118" s="67">
        <f t="shared" si="2232"/>
        <v>0</v>
      </c>
      <c r="CU118" s="64">
        <f t="shared" si="2233"/>
        <v>0</v>
      </c>
      <c r="CV118" s="62">
        <v>2916.7</v>
      </c>
      <c r="CW118" s="63"/>
      <c r="CX118" s="64">
        <f t="shared" si="2234"/>
        <v>2916.7</v>
      </c>
      <c r="CY118" s="65">
        <v>429.15</v>
      </c>
      <c r="CZ118" s="63"/>
      <c r="DA118" s="64">
        <f t="shared" si="2235"/>
        <v>429.15</v>
      </c>
      <c r="DB118" s="65"/>
      <c r="DC118" s="63"/>
      <c r="DD118" s="64">
        <f t="shared" si="2236"/>
        <v>0</v>
      </c>
      <c r="DE118" s="65"/>
      <c r="DF118" s="63"/>
      <c r="DG118" s="64">
        <f t="shared" si="2237"/>
        <v>0</v>
      </c>
      <c r="DH118" s="66">
        <f t="shared" si="1491"/>
        <v>3345.85</v>
      </c>
      <c r="DI118" s="67">
        <f t="shared" si="2238"/>
        <v>0</v>
      </c>
      <c r="DJ118" s="64">
        <f t="shared" si="2239"/>
        <v>3345.85</v>
      </c>
      <c r="DK118" s="62">
        <v>2400</v>
      </c>
      <c r="DL118" s="63"/>
      <c r="DM118" s="64">
        <f t="shared" si="2240"/>
        <v>2400</v>
      </c>
      <c r="DN118" s="65">
        <v>913.08</v>
      </c>
      <c r="DO118" s="63"/>
      <c r="DP118" s="64">
        <f t="shared" si="2241"/>
        <v>913.08</v>
      </c>
      <c r="DQ118" s="65"/>
      <c r="DR118" s="63"/>
      <c r="DS118" s="64">
        <f t="shared" si="2242"/>
        <v>0</v>
      </c>
      <c r="DT118" s="65">
        <v>100</v>
      </c>
      <c r="DU118" s="63"/>
      <c r="DV118" s="64">
        <f t="shared" si="2243"/>
        <v>100</v>
      </c>
      <c r="DW118" s="66">
        <f t="shared" si="1498"/>
        <v>3413.08</v>
      </c>
      <c r="DX118" s="67">
        <f t="shared" si="2244"/>
        <v>0</v>
      </c>
      <c r="DY118" s="64">
        <f t="shared" si="2245"/>
        <v>3413.08</v>
      </c>
      <c r="DZ118" s="62"/>
      <c r="EA118" s="63"/>
      <c r="EB118" s="64">
        <f t="shared" si="2246"/>
        <v>0</v>
      </c>
      <c r="EC118" s="65"/>
      <c r="ED118" s="63"/>
      <c r="EE118" s="64">
        <f t="shared" si="2247"/>
        <v>0</v>
      </c>
      <c r="EF118" s="65"/>
      <c r="EG118" s="63"/>
      <c r="EH118" s="64">
        <f t="shared" si="2248"/>
        <v>0</v>
      </c>
      <c r="EI118" s="65">
        <v>100</v>
      </c>
      <c r="EJ118" s="63"/>
      <c r="EK118" s="64">
        <f t="shared" si="2249"/>
        <v>100</v>
      </c>
      <c r="EL118" s="66">
        <f t="shared" si="1505"/>
        <v>100</v>
      </c>
      <c r="EM118" s="67">
        <f t="shared" si="2250"/>
        <v>0</v>
      </c>
      <c r="EN118" s="64">
        <f t="shared" si="2251"/>
        <v>100</v>
      </c>
      <c r="EO118" s="62">
        <v>6150</v>
      </c>
      <c r="EP118" s="63"/>
      <c r="EQ118" s="64">
        <f t="shared" si="2252"/>
        <v>6150</v>
      </c>
      <c r="ER118" s="65"/>
      <c r="ES118" s="63"/>
      <c r="ET118" s="64">
        <f t="shared" si="2253"/>
        <v>0</v>
      </c>
      <c r="EU118" s="65"/>
      <c r="EV118" s="63"/>
      <c r="EW118" s="64">
        <f t="shared" si="2254"/>
        <v>0</v>
      </c>
      <c r="EX118" s="65">
        <v>100</v>
      </c>
      <c r="EY118" s="63"/>
      <c r="EZ118" s="64">
        <f t="shared" si="2255"/>
        <v>100</v>
      </c>
      <c r="FA118" s="66">
        <f t="shared" si="1512"/>
        <v>6250</v>
      </c>
      <c r="FB118" s="67">
        <f t="shared" si="2256"/>
        <v>0</v>
      </c>
      <c r="FC118" s="64">
        <f t="shared" si="2257"/>
        <v>6250</v>
      </c>
      <c r="FD118" s="62">
        <v>6150</v>
      </c>
      <c r="FE118" s="63"/>
      <c r="FF118" s="64">
        <f t="shared" si="2258"/>
        <v>6150</v>
      </c>
      <c r="FG118" s="65"/>
      <c r="FH118" s="63"/>
      <c r="FI118" s="64">
        <f t="shared" si="2259"/>
        <v>0</v>
      </c>
      <c r="FJ118" s="65"/>
      <c r="FK118" s="63"/>
      <c r="FL118" s="64">
        <f t="shared" si="2260"/>
        <v>0</v>
      </c>
      <c r="FM118" s="65">
        <v>100</v>
      </c>
      <c r="FN118" s="63"/>
      <c r="FO118" s="64">
        <f t="shared" si="2261"/>
        <v>100</v>
      </c>
      <c r="FP118" s="66">
        <f t="shared" si="1519"/>
        <v>6250</v>
      </c>
      <c r="FQ118" s="67">
        <f t="shared" si="2262"/>
        <v>0</v>
      </c>
      <c r="FR118" s="64">
        <f t="shared" si="2263"/>
        <v>6250</v>
      </c>
      <c r="FS118" s="62"/>
      <c r="FT118" s="63"/>
      <c r="FU118" s="64">
        <f t="shared" si="2264"/>
        <v>0</v>
      </c>
      <c r="FV118" s="65">
        <v>485.35</v>
      </c>
      <c r="FW118" s="63"/>
      <c r="FX118" s="64">
        <f t="shared" si="2265"/>
        <v>485.35</v>
      </c>
      <c r="FY118" s="65"/>
      <c r="FZ118" s="63"/>
      <c r="GA118" s="64">
        <f t="shared" si="2266"/>
        <v>0</v>
      </c>
      <c r="GB118" s="65"/>
      <c r="GC118" s="63"/>
      <c r="GD118" s="64">
        <f t="shared" si="2267"/>
        <v>0</v>
      </c>
      <c r="GE118" s="66">
        <f t="shared" si="1526"/>
        <v>485.35</v>
      </c>
      <c r="GF118" s="67">
        <f t="shared" si="2268"/>
        <v>0</v>
      </c>
      <c r="GG118" s="64">
        <f t="shared" si="2269"/>
        <v>485.35</v>
      </c>
      <c r="GH118" s="62"/>
      <c r="GI118" s="63"/>
      <c r="GJ118" s="64">
        <f t="shared" si="2270"/>
        <v>0</v>
      </c>
      <c r="GK118" s="65">
        <v>660.33</v>
      </c>
      <c r="GL118" s="63"/>
      <c r="GM118" s="64">
        <f t="shared" si="2271"/>
        <v>660.33</v>
      </c>
      <c r="GN118" s="65"/>
      <c r="GO118" s="63"/>
      <c r="GP118" s="64">
        <f t="shared" si="2272"/>
        <v>0</v>
      </c>
      <c r="GQ118" s="65"/>
      <c r="GR118" s="63"/>
      <c r="GS118" s="64">
        <f t="shared" si="2273"/>
        <v>0</v>
      </c>
      <c r="GT118" s="66">
        <f t="shared" si="1533"/>
        <v>660.33</v>
      </c>
      <c r="GU118" s="67">
        <f t="shared" si="2274"/>
        <v>0</v>
      </c>
      <c r="GV118" s="64">
        <f t="shared" si="2275"/>
        <v>660.33</v>
      </c>
      <c r="GW118" s="62"/>
      <c r="GX118" s="63"/>
      <c r="GY118" s="64">
        <f t="shared" si="2276"/>
        <v>0</v>
      </c>
      <c r="GZ118" s="65">
        <v>568.25</v>
      </c>
      <c r="HA118" s="63"/>
      <c r="HB118" s="64">
        <f t="shared" si="2277"/>
        <v>568.25</v>
      </c>
      <c r="HC118" s="65"/>
      <c r="HD118" s="63"/>
      <c r="HE118" s="64">
        <f t="shared" si="2278"/>
        <v>0</v>
      </c>
      <c r="HF118" s="65">
        <v>100</v>
      </c>
      <c r="HG118" s="63"/>
      <c r="HH118" s="64">
        <f t="shared" si="2279"/>
        <v>100</v>
      </c>
      <c r="HI118" s="66">
        <f t="shared" si="1540"/>
        <v>668.25</v>
      </c>
      <c r="HJ118" s="67">
        <f t="shared" si="2280"/>
        <v>0</v>
      </c>
      <c r="HK118" s="64">
        <f t="shared" si="2281"/>
        <v>668.25</v>
      </c>
      <c r="HL118" s="62">
        <v>6150</v>
      </c>
      <c r="HM118" s="63"/>
      <c r="HN118" s="64">
        <f t="shared" si="2282"/>
        <v>6150</v>
      </c>
      <c r="HO118" s="65"/>
      <c r="HP118" s="63"/>
      <c r="HQ118" s="64">
        <f t="shared" si="2283"/>
        <v>0</v>
      </c>
      <c r="HR118" s="65"/>
      <c r="HS118" s="63"/>
      <c r="HT118" s="64">
        <f t="shared" si="2284"/>
        <v>0</v>
      </c>
      <c r="HU118" s="65">
        <v>100</v>
      </c>
      <c r="HV118" s="63"/>
      <c r="HW118" s="64">
        <f t="shared" si="2285"/>
        <v>100</v>
      </c>
      <c r="HX118" s="66">
        <f t="shared" si="1547"/>
        <v>6250</v>
      </c>
      <c r="HY118" s="67">
        <f t="shared" si="2286"/>
        <v>0</v>
      </c>
      <c r="HZ118" s="64">
        <f t="shared" si="2287"/>
        <v>6250</v>
      </c>
      <c r="IA118" s="62"/>
      <c r="IB118" s="63"/>
      <c r="IC118" s="64">
        <f t="shared" si="2288"/>
        <v>0</v>
      </c>
      <c r="ID118" s="65"/>
      <c r="IE118" s="63"/>
      <c r="IF118" s="64">
        <f t="shared" si="2289"/>
        <v>0</v>
      </c>
      <c r="IG118" s="65"/>
      <c r="IH118" s="63"/>
      <c r="II118" s="64">
        <f t="shared" si="2290"/>
        <v>0</v>
      </c>
      <c r="IJ118" s="65">
        <v>100</v>
      </c>
      <c r="IK118" s="63"/>
      <c r="IL118" s="64">
        <f t="shared" si="2291"/>
        <v>100</v>
      </c>
      <c r="IM118" s="66">
        <f t="shared" si="1554"/>
        <v>100</v>
      </c>
      <c r="IN118" s="67">
        <f t="shared" si="2292"/>
        <v>0</v>
      </c>
      <c r="IO118" s="64">
        <f t="shared" si="2293"/>
        <v>100</v>
      </c>
      <c r="IP118" s="62"/>
      <c r="IQ118" s="63"/>
      <c r="IR118" s="64">
        <f t="shared" si="2294"/>
        <v>0</v>
      </c>
      <c r="IS118" s="65"/>
      <c r="IT118" s="63"/>
      <c r="IU118" s="64">
        <f t="shared" si="2295"/>
        <v>0</v>
      </c>
      <c r="IV118" s="65"/>
      <c r="IW118" s="63"/>
      <c r="IX118" s="64">
        <f t="shared" si="2296"/>
        <v>0</v>
      </c>
      <c r="IY118" s="65"/>
      <c r="IZ118" s="63"/>
      <c r="JA118" s="64">
        <f t="shared" si="2297"/>
        <v>0</v>
      </c>
      <c r="JB118" s="66">
        <f t="shared" si="1561"/>
        <v>0</v>
      </c>
      <c r="JC118" s="67">
        <f t="shared" si="2298"/>
        <v>0</v>
      </c>
      <c r="JD118" s="64">
        <f t="shared" si="2299"/>
        <v>0</v>
      </c>
      <c r="JE118" s="72"/>
      <c r="JF118" s="150"/>
      <c r="JG118" s="74"/>
      <c r="JH118" s="75"/>
      <c r="JI118" s="150"/>
      <c r="JJ118" s="74"/>
      <c r="JK118" s="75"/>
      <c r="JL118" s="150"/>
      <c r="JM118" s="74"/>
      <c r="JN118" s="75"/>
      <c r="JO118" s="150"/>
      <c r="JP118" s="74"/>
      <c r="JQ118" s="76"/>
      <c r="JR118" s="77"/>
      <c r="JS118" s="74"/>
      <c r="JT118" s="72"/>
      <c r="JU118" s="73"/>
      <c r="JV118" s="74"/>
      <c r="JW118" s="75"/>
      <c r="JX118" s="73"/>
      <c r="JY118" s="74"/>
      <c r="JZ118" s="75"/>
      <c r="KA118" s="73"/>
      <c r="KB118" s="74"/>
      <c r="KC118" s="75"/>
      <c r="KD118" s="73"/>
      <c r="KE118" s="74"/>
      <c r="KF118" s="76"/>
      <c r="KG118" s="77"/>
      <c r="KH118" s="64">
        <f t="shared" si="2300"/>
        <v>0</v>
      </c>
      <c r="KI118" s="62"/>
      <c r="KJ118" s="63"/>
      <c r="KK118" s="64">
        <f t="shared" si="2301"/>
        <v>0</v>
      </c>
      <c r="KL118" s="65"/>
      <c r="KM118" s="63"/>
      <c r="KN118" s="64">
        <f t="shared" si="2302"/>
        <v>0</v>
      </c>
      <c r="KO118" s="65"/>
      <c r="KP118" s="63"/>
      <c r="KQ118" s="64">
        <f t="shared" si="2303"/>
        <v>0</v>
      </c>
      <c r="KR118" s="65"/>
      <c r="KS118" s="63"/>
      <c r="KT118" s="64">
        <f t="shared" si="2304"/>
        <v>0</v>
      </c>
      <c r="KU118" s="66">
        <f t="shared" si="1439"/>
        <v>0</v>
      </c>
      <c r="KV118" s="67">
        <f t="shared" si="2305"/>
        <v>0</v>
      </c>
      <c r="KW118" s="64">
        <f t="shared" si="2306"/>
        <v>0</v>
      </c>
      <c r="KX118" s="72"/>
      <c r="KY118" s="73"/>
      <c r="KZ118" s="74"/>
      <c r="LA118" s="75"/>
      <c r="LB118" s="73"/>
      <c r="LC118" s="74"/>
      <c r="LD118" s="75"/>
      <c r="LE118" s="73"/>
      <c r="LF118" s="74"/>
      <c r="LG118" s="75"/>
      <c r="LH118" s="73"/>
      <c r="LI118" s="74"/>
      <c r="LJ118" s="76"/>
      <c r="LK118" s="77"/>
      <c r="LL118" s="74"/>
      <c r="LM118" s="62"/>
      <c r="LN118" s="63"/>
      <c r="LO118" s="64">
        <f t="shared" si="2307"/>
        <v>0</v>
      </c>
      <c r="LP118" s="65"/>
      <c r="LQ118" s="63"/>
      <c r="LR118" s="64">
        <f t="shared" si="2308"/>
        <v>0</v>
      </c>
      <c r="LS118" s="65"/>
      <c r="LT118" s="63"/>
      <c r="LU118" s="64">
        <f t="shared" si="2309"/>
        <v>0</v>
      </c>
      <c r="LV118" s="65">
        <v>100</v>
      </c>
      <c r="LW118" s="63"/>
      <c r="LX118" s="64">
        <f t="shared" si="2310"/>
        <v>100</v>
      </c>
      <c r="LY118" s="66">
        <f t="shared" si="1575"/>
        <v>100</v>
      </c>
      <c r="LZ118" s="67">
        <f t="shared" si="2311"/>
        <v>0</v>
      </c>
      <c r="MA118" s="64">
        <f t="shared" si="2312"/>
        <v>100</v>
      </c>
      <c r="MB118" s="62"/>
      <c r="MC118" s="63"/>
      <c r="MD118" s="64">
        <f t="shared" si="2313"/>
        <v>0</v>
      </c>
      <c r="ME118" s="65">
        <v>889.11</v>
      </c>
      <c r="MF118" s="63"/>
      <c r="MG118" s="64">
        <f t="shared" si="2314"/>
        <v>889.11</v>
      </c>
      <c r="MH118" s="65"/>
      <c r="MI118" s="63"/>
      <c r="MJ118" s="64">
        <f t="shared" si="2315"/>
        <v>0</v>
      </c>
      <c r="MK118" s="65">
        <v>100</v>
      </c>
      <c r="ML118" s="63"/>
      <c r="MM118" s="64">
        <f t="shared" si="2316"/>
        <v>100</v>
      </c>
      <c r="MN118" s="66">
        <f t="shared" si="1582"/>
        <v>989.11</v>
      </c>
      <c r="MO118" s="67">
        <f t="shared" si="2317"/>
        <v>0</v>
      </c>
      <c r="MP118" s="64">
        <f t="shared" si="2318"/>
        <v>989.11</v>
      </c>
      <c r="MQ118" s="62"/>
      <c r="MR118" s="63"/>
      <c r="MS118" s="64">
        <f t="shared" si="2319"/>
        <v>0</v>
      </c>
      <c r="MT118" s="65"/>
      <c r="MU118" s="63"/>
      <c r="MV118" s="64">
        <f t="shared" si="2320"/>
        <v>0</v>
      </c>
      <c r="MW118" s="65"/>
      <c r="MX118" s="63"/>
      <c r="MY118" s="64">
        <f t="shared" si="2321"/>
        <v>0</v>
      </c>
      <c r="MZ118" s="65"/>
      <c r="NA118" s="63"/>
      <c r="NB118" s="64">
        <f t="shared" si="2322"/>
        <v>0</v>
      </c>
      <c r="NC118" s="66">
        <f t="shared" si="1589"/>
        <v>0</v>
      </c>
      <c r="ND118" s="67">
        <f t="shared" si="2323"/>
        <v>0</v>
      </c>
      <c r="NE118" s="64">
        <f t="shared" si="2324"/>
        <v>0</v>
      </c>
      <c r="NF118" s="62"/>
      <c r="NG118" s="63"/>
      <c r="NH118" s="64">
        <f t="shared" si="2325"/>
        <v>0</v>
      </c>
      <c r="NI118" s="65">
        <v>1164.04</v>
      </c>
      <c r="NJ118" s="63"/>
      <c r="NK118" s="64">
        <f t="shared" si="2326"/>
        <v>1164.04</v>
      </c>
      <c r="NL118" s="65"/>
      <c r="NM118" s="63"/>
      <c r="NN118" s="64">
        <f t="shared" si="2327"/>
        <v>0</v>
      </c>
      <c r="NO118" s="65">
        <v>100</v>
      </c>
      <c r="NP118" s="63"/>
      <c r="NQ118" s="64">
        <f t="shared" si="2328"/>
        <v>100</v>
      </c>
      <c r="NR118" s="66">
        <f t="shared" si="1596"/>
        <v>1264.04</v>
      </c>
      <c r="NS118" s="67">
        <f t="shared" si="2329"/>
        <v>0</v>
      </c>
      <c r="NT118" s="64">
        <f t="shared" si="2330"/>
        <v>1264.04</v>
      </c>
      <c r="NU118" s="62"/>
      <c r="NV118" s="63"/>
      <c r="NW118" s="64">
        <f t="shared" si="2331"/>
        <v>0</v>
      </c>
      <c r="NX118" s="65">
        <v>1152.73</v>
      </c>
      <c r="NY118" s="63"/>
      <c r="NZ118" s="64">
        <f t="shared" si="2332"/>
        <v>1152.73</v>
      </c>
      <c r="OA118" s="65"/>
      <c r="OB118" s="63"/>
      <c r="OC118" s="64">
        <f t="shared" si="2333"/>
        <v>0</v>
      </c>
      <c r="OD118" s="65">
        <v>100</v>
      </c>
      <c r="OE118" s="63"/>
      <c r="OF118" s="64">
        <f t="shared" si="2334"/>
        <v>100</v>
      </c>
      <c r="OG118" s="66">
        <f t="shared" si="1603"/>
        <v>1252.73</v>
      </c>
      <c r="OH118" s="67">
        <f t="shared" si="2335"/>
        <v>0</v>
      </c>
      <c r="OI118" s="64">
        <f t="shared" si="2336"/>
        <v>1252.73</v>
      </c>
      <c r="OJ118" s="62"/>
      <c r="OK118" s="63"/>
      <c r="OL118" s="64">
        <f t="shared" si="2337"/>
        <v>0</v>
      </c>
      <c r="OM118" s="65"/>
      <c r="ON118" s="63"/>
      <c r="OO118" s="64">
        <f t="shared" si="2338"/>
        <v>0</v>
      </c>
      <c r="OP118" s="65"/>
      <c r="OQ118" s="63"/>
      <c r="OR118" s="64">
        <f t="shared" si="2339"/>
        <v>0</v>
      </c>
      <c r="OS118" s="65">
        <v>100</v>
      </c>
      <c r="OT118" s="63"/>
      <c r="OU118" s="64">
        <f t="shared" si="2340"/>
        <v>100</v>
      </c>
      <c r="OV118" s="66">
        <f t="shared" si="1610"/>
        <v>100</v>
      </c>
      <c r="OW118" s="67">
        <f t="shared" si="2341"/>
        <v>0</v>
      </c>
      <c r="OX118" s="64">
        <f t="shared" si="2342"/>
        <v>100</v>
      </c>
      <c r="OY118" s="62"/>
      <c r="OZ118" s="63"/>
      <c r="PA118" s="64">
        <f t="shared" si="2343"/>
        <v>0</v>
      </c>
      <c r="PB118" s="65"/>
      <c r="PC118" s="63"/>
      <c r="PD118" s="64">
        <f t="shared" si="2344"/>
        <v>0</v>
      </c>
      <c r="PE118" s="65"/>
      <c r="PF118" s="63"/>
      <c r="PG118" s="64">
        <f t="shared" si="2345"/>
        <v>0</v>
      </c>
      <c r="PH118" s="65">
        <v>100</v>
      </c>
      <c r="PI118" s="63"/>
      <c r="PJ118" s="64">
        <f t="shared" si="2346"/>
        <v>100</v>
      </c>
      <c r="PK118" s="66">
        <f t="shared" si="1617"/>
        <v>100</v>
      </c>
      <c r="PL118" s="67">
        <f t="shared" si="2347"/>
        <v>0</v>
      </c>
      <c r="PM118" s="64">
        <f t="shared" si="2348"/>
        <v>100</v>
      </c>
      <c r="PN118" s="62">
        <v>1550</v>
      </c>
      <c r="PO118" s="63"/>
      <c r="PP118" s="64">
        <f t="shared" si="2349"/>
        <v>1550</v>
      </c>
      <c r="PQ118" s="65"/>
      <c r="PR118" s="63"/>
      <c r="PS118" s="64">
        <f t="shared" si="2350"/>
        <v>0</v>
      </c>
      <c r="PT118" s="65"/>
      <c r="PU118" s="63"/>
      <c r="PV118" s="64">
        <f t="shared" si="2351"/>
        <v>0</v>
      </c>
      <c r="PW118" s="65">
        <v>100</v>
      </c>
      <c r="PX118" s="63"/>
      <c r="PY118" s="64">
        <f t="shared" si="2352"/>
        <v>100</v>
      </c>
      <c r="PZ118" s="66">
        <f t="shared" si="1624"/>
        <v>1650</v>
      </c>
      <c r="QA118" s="67">
        <f t="shared" si="2353"/>
        <v>0</v>
      </c>
      <c r="QB118" s="64">
        <f t="shared" si="2354"/>
        <v>1650</v>
      </c>
      <c r="QC118" s="62"/>
      <c r="QD118" s="63"/>
      <c r="QE118" s="64">
        <f t="shared" si="2355"/>
        <v>0</v>
      </c>
      <c r="QF118" s="65"/>
      <c r="QG118" s="63"/>
      <c r="QH118" s="64">
        <f t="shared" si="2356"/>
        <v>0</v>
      </c>
      <c r="QI118" s="65"/>
      <c r="QJ118" s="63"/>
      <c r="QK118" s="64">
        <f t="shared" si="2357"/>
        <v>0</v>
      </c>
      <c r="QL118" s="65">
        <v>100</v>
      </c>
      <c r="QM118" s="63"/>
      <c r="QN118" s="64">
        <f t="shared" si="2358"/>
        <v>100</v>
      </c>
      <c r="QO118" s="66">
        <f t="shared" si="1631"/>
        <v>100</v>
      </c>
      <c r="QP118" s="67">
        <f t="shared" si="2359"/>
        <v>0</v>
      </c>
      <c r="QQ118" s="64">
        <f t="shared" si="2360"/>
        <v>100</v>
      </c>
      <c r="QR118" s="74"/>
      <c r="QS118" s="74"/>
      <c r="QT118" s="72"/>
      <c r="QU118" s="73"/>
      <c r="QV118" s="74"/>
      <c r="QW118" s="75"/>
      <c r="QX118" s="73"/>
      <c r="QY118" s="74"/>
      <c r="QZ118" s="75"/>
      <c r="RA118" s="73"/>
      <c r="RB118" s="74"/>
      <c r="RC118" s="75"/>
      <c r="RD118" s="73"/>
      <c r="RE118" s="74"/>
      <c r="RF118" s="74"/>
      <c r="RG118" s="72"/>
      <c r="RH118" s="73"/>
      <c r="RI118" s="74"/>
      <c r="RJ118" s="75"/>
      <c r="RK118" s="73"/>
      <c r="RL118" s="74"/>
      <c r="RM118" s="75"/>
      <c r="RN118" s="73"/>
      <c r="RO118" s="74"/>
      <c r="RP118" s="75"/>
      <c r="RQ118" s="73"/>
      <c r="RR118" s="74"/>
      <c r="RS118" s="76"/>
      <c r="RT118" s="77"/>
      <c r="RU118" s="74"/>
      <c r="RV118" s="74"/>
      <c r="RW118" s="72"/>
      <c r="RX118" s="73"/>
      <c r="RY118" s="74"/>
      <c r="RZ118" s="75"/>
      <c r="SA118" s="73"/>
      <c r="SB118" s="74"/>
      <c r="SC118" s="75"/>
      <c r="SD118" s="73"/>
      <c r="SE118" s="74"/>
      <c r="SF118" s="75"/>
      <c r="SG118" s="73"/>
      <c r="SH118" s="74"/>
      <c r="SI118" s="76"/>
      <c r="SJ118" s="64">
        <f t="shared" si="2361"/>
        <v>0</v>
      </c>
      <c r="SK118" s="62"/>
      <c r="SL118" s="63"/>
      <c r="SM118" s="64">
        <f t="shared" si="2362"/>
        <v>0</v>
      </c>
      <c r="SN118" s="65"/>
      <c r="SO118" s="63"/>
      <c r="SP118" s="64">
        <f t="shared" si="2363"/>
        <v>0</v>
      </c>
      <c r="SQ118" s="65"/>
      <c r="SR118" s="63"/>
      <c r="SS118" s="64">
        <f t="shared" si="2364"/>
        <v>0</v>
      </c>
      <c r="ST118" s="65">
        <v>100</v>
      </c>
      <c r="SU118" s="63"/>
      <c r="SV118" s="64">
        <f t="shared" si="2365"/>
        <v>100</v>
      </c>
      <c r="SW118" s="66">
        <f t="shared" si="1639"/>
        <v>100</v>
      </c>
      <c r="SX118" s="67">
        <f t="shared" si="2366"/>
        <v>0</v>
      </c>
      <c r="SY118" s="64">
        <f t="shared" si="2367"/>
        <v>100</v>
      </c>
      <c r="SZ118" s="62">
        <v>985.33</v>
      </c>
      <c r="TA118" s="63"/>
      <c r="TB118" s="64">
        <f t="shared" si="2368"/>
        <v>985.33</v>
      </c>
      <c r="TC118" s="65">
        <v>700.9</v>
      </c>
      <c r="TD118" s="63"/>
      <c r="TE118" s="64">
        <f t="shared" si="2369"/>
        <v>700.9</v>
      </c>
      <c r="TF118" s="65"/>
      <c r="TG118" s="63"/>
      <c r="TH118" s="64">
        <f t="shared" si="2370"/>
        <v>0</v>
      </c>
      <c r="TI118" s="65">
        <v>100</v>
      </c>
      <c r="TJ118" s="63"/>
      <c r="TK118" s="64">
        <f t="shared" si="2371"/>
        <v>100</v>
      </c>
      <c r="TL118" s="66">
        <f t="shared" si="1646"/>
        <v>1786.23</v>
      </c>
      <c r="TM118" s="67">
        <f t="shared" si="2372"/>
        <v>0</v>
      </c>
      <c r="TN118" s="64">
        <f t="shared" si="2373"/>
        <v>1786.23</v>
      </c>
      <c r="TO118" s="62"/>
      <c r="TP118" s="63"/>
      <c r="TQ118" s="64">
        <f t="shared" si="2374"/>
        <v>0</v>
      </c>
      <c r="TR118" s="65"/>
      <c r="TS118" s="63"/>
      <c r="TT118" s="64">
        <f t="shared" si="2375"/>
        <v>0</v>
      </c>
      <c r="TU118" s="65"/>
      <c r="TV118" s="63"/>
      <c r="TW118" s="64">
        <f t="shared" si="2376"/>
        <v>0</v>
      </c>
      <c r="TX118" s="65">
        <v>100</v>
      </c>
      <c r="TY118" s="63"/>
      <c r="TZ118" s="64">
        <f t="shared" si="2377"/>
        <v>100</v>
      </c>
      <c r="UA118" s="66">
        <f t="shared" si="1653"/>
        <v>100</v>
      </c>
      <c r="UB118" s="67">
        <f t="shared" si="2378"/>
        <v>0</v>
      </c>
      <c r="UC118" s="64">
        <f t="shared" si="2379"/>
        <v>100</v>
      </c>
      <c r="UD118" s="62"/>
      <c r="UE118" s="63"/>
      <c r="UF118" s="64">
        <f t="shared" si="2380"/>
        <v>0</v>
      </c>
      <c r="UG118" s="65">
        <v>497.04</v>
      </c>
      <c r="UH118" s="63"/>
      <c r="UI118" s="64">
        <f t="shared" si="2381"/>
        <v>497.04</v>
      </c>
      <c r="UJ118" s="65"/>
      <c r="UK118" s="63"/>
      <c r="UL118" s="64">
        <f t="shared" si="2382"/>
        <v>0</v>
      </c>
      <c r="UM118" s="65">
        <v>100</v>
      </c>
      <c r="UN118" s="63"/>
      <c r="UO118" s="64">
        <f t="shared" si="2383"/>
        <v>100</v>
      </c>
      <c r="UP118" s="66">
        <f t="shared" si="1660"/>
        <v>597.04</v>
      </c>
      <c r="UQ118" s="67">
        <f t="shared" si="2384"/>
        <v>0</v>
      </c>
      <c r="UR118" s="64">
        <f t="shared" si="2385"/>
        <v>597.04</v>
      </c>
      <c r="US118" s="74"/>
      <c r="UT118" s="72"/>
      <c r="UU118" s="73"/>
      <c r="UV118" s="74"/>
      <c r="UW118" s="75"/>
      <c r="UX118" s="73"/>
      <c r="UY118" s="74"/>
      <c r="UZ118" s="75"/>
      <c r="VA118" s="73"/>
      <c r="VB118" s="74"/>
      <c r="VC118" s="75"/>
      <c r="VD118" s="73"/>
      <c r="VE118" s="74"/>
      <c r="VF118" s="76"/>
      <c r="VG118" s="77"/>
      <c r="VH118" s="62"/>
      <c r="VI118" s="63"/>
      <c r="VJ118" s="64">
        <f t="shared" si="2386"/>
        <v>0</v>
      </c>
      <c r="VK118" s="65"/>
      <c r="VL118" s="63"/>
      <c r="VM118" s="64">
        <f t="shared" si="2387"/>
        <v>0</v>
      </c>
      <c r="VN118" s="65"/>
      <c r="VO118" s="63"/>
      <c r="VP118" s="64">
        <f t="shared" si="2388"/>
        <v>0</v>
      </c>
      <c r="VQ118" s="65">
        <v>100</v>
      </c>
      <c r="VR118" s="63"/>
      <c r="VS118" s="64">
        <f t="shared" si="2389"/>
        <v>100</v>
      </c>
      <c r="VT118" s="66">
        <f t="shared" si="1667"/>
        <v>100</v>
      </c>
      <c r="VU118" s="67">
        <f t="shared" si="2390"/>
        <v>0</v>
      </c>
      <c r="VV118" s="64">
        <f t="shared" si="2391"/>
        <v>100</v>
      </c>
      <c r="VW118" s="74"/>
      <c r="VX118" s="72"/>
      <c r="VY118" s="73"/>
      <c r="VZ118" s="74"/>
      <c r="WA118" s="75"/>
      <c r="WB118" s="73"/>
      <c r="WC118" s="74"/>
      <c r="WD118" s="75"/>
      <c r="WE118" s="73"/>
      <c r="WF118" s="74"/>
      <c r="WG118" s="75"/>
      <c r="WH118" s="73"/>
      <c r="WI118" s="74"/>
      <c r="WJ118" s="76"/>
      <c r="WK118" s="77"/>
      <c r="WL118" s="74"/>
      <c r="WM118" s="72"/>
      <c r="WN118" s="73"/>
      <c r="WO118" s="74"/>
      <c r="WP118" s="75"/>
      <c r="WQ118" s="73"/>
      <c r="WR118" s="74"/>
      <c r="WS118" s="75"/>
      <c r="WT118" s="73"/>
      <c r="WU118" s="74"/>
      <c r="WV118" s="75"/>
      <c r="WW118" s="73"/>
      <c r="WX118" s="74"/>
      <c r="WY118" s="76"/>
      <c r="WZ118" s="77"/>
      <c r="XA118" s="74"/>
      <c r="XB118" s="72"/>
      <c r="XC118" s="73"/>
      <c r="XD118" s="74"/>
      <c r="XE118" s="75"/>
      <c r="XF118" s="73"/>
      <c r="XG118" s="74"/>
      <c r="XH118" s="75"/>
      <c r="XI118" s="73"/>
      <c r="XJ118" s="74"/>
      <c r="XK118" s="75"/>
      <c r="XL118" s="73"/>
      <c r="XM118" s="74"/>
      <c r="XN118" s="76"/>
      <c r="XO118" s="77"/>
      <c r="XP118" s="62"/>
      <c r="XQ118" s="63"/>
      <c r="XR118" s="64">
        <f t="shared" si="2392"/>
        <v>0</v>
      </c>
      <c r="XS118" s="65">
        <v>844.24</v>
      </c>
      <c r="XT118" s="63"/>
      <c r="XU118" s="64">
        <f t="shared" si="2393"/>
        <v>844.24</v>
      </c>
      <c r="XV118" s="65"/>
      <c r="XW118" s="63"/>
      <c r="XX118" s="64">
        <f t="shared" si="2394"/>
        <v>0</v>
      </c>
      <c r="XY118" s="65">
        <v>100</v>
      </c>
      <c r="XZ118" s="63"/>
      <c r="YA118" s="64">
        <f t="shared" si="2395"/>
        <v>100</v>
      </c>
      <c r="YB118" s="66">
        <f t="shared" si="1674"/>
        <v>944.24</v>
      </c>
      <c r="YC118" s="67">
        <f t="shared" si="2396"/>
        <v>0</v>
      </c>
      <c r="YD118" s="64">
        <f t="shared" si="2397"/>
        <v>944.24</v>
      </c>
      <c r="YE118" s="62"/>
      <c r="YF118" s="63"/>
      <c r="YG118" s="64">
        <f t="shared" si="2398"/>
        <v>0</v>
      </c>
      <c r="YH118" s="65">
        <v>847.85</v>
      </c>
      <c r="YI118" s="63"/>
      <c r="YJ118" s="64">
        <f t="shared" si="2399"/>
        <v>847.85</v>
      </c>
      <c r="YK118" s="65"/>
      <c r="YL118" s="63"/>
      <c r="YM118" s="64">
        <f t="shared" si="2400"/>
        <v>0</v>
      </c>
      <c r="YN118" s="65">
        <v>100</v>
      </c>
      <c r="YO118" s="63"/>
      <c r="YP118" s="64">
        <f t="shared" si="2401"/>
        <v>100</v>
      </c>
      <c r="YQ118" s="66">
        <f t="shared" si="1681"/>
        <v>947.85</v>
      </c>
      <c r="YR118" s="67">
        <f t="shared" si="2402"/>
        <v>0</v>
      </c>
      <c r="YS118" s="64">
        <f t="shared" si="2403"/>
        <v>947.85</v>
      </c>
      <c r="YT118" s="62"/>
      <c r="YU118" s="63"/>
      <c r="YV118" s="64">
        <f t="shared" si="2404"/>
        <v>0</v>
      </c>
      <c r="YW118" s="65">
        <v>695.73</v>
      </c>
      <c r="YX118" s="63"/>
      <c r="YY118" s="64">
        <f t="shared" si="2405"/>
        <v>695.73</v>
      </c>
      <c r="YZ118" s="65"/>
      <c r="ZA118" s="63"/>
      <c r="ZB118" s="64">
        <f t="shared" si="2406"/>
        <v>0</v>
      </c>
      <c r="ZC118" s="65">
        <v>100</v>
      </c>
      <c r="ZD118" s="63"/>
      <c r="ZE118" s="64">
        <f t="shared" si="2407"/>
        <v>100</v>
      </c>
      <c r="ZF118" s="66">
        <f t="shared" si="1688"/>
        <v>795.73</v>
      </c>
      <c r="ZG118" s="67">
        <f t="shared" si="2408"/>
        <v>0</v>
      </c>
      <c r="ZH118" s="74"/>
      <c r="ZI118" s="72"/>
      <c r="ZJ118" s="73"/>
      <c r="ZK118" s="74"/>
      <c r="ZL118" s="75"/>
      <c r="ZM118" s="73"/>
      <c r="ZN118" s="74"/>
      <c r="ZO118" s="75"/>
      <c r="ZP118" s="73"/>
      <c r="ZQ118" s="74"/>
      <c r="ZR118" s="75"/>
      <c r="ZS118" s="73"/>
      <c r="ZT118" s="74"/>
      <c r="ZU118" s="76"/>
      <c r="ZV118" s="77"/>
      <c r="ZW118" s="64">
        <f t="shared" si="2409"/>
        <v>0</v>
      </c>
      <c r="ZX118" s="62">
        <v>24.71</v>
      </c>
      <c r="ZY118" s="63"/>
      <c r="ZZ118" s="64">
        <f t="shared" si="2410"/>
        <v>24.71</v>
      </c>
      <c r="AAA118" s="66">
        <f t="shared" si="1692"/>
        <v>24.71</v>
      </c>
      <c r="AAB118" s="67">
        <f t="shared" si="1692"/>
        <v>0</v>
      </c>
      <c r="AAC118" s="64">
        <f t="shared" si="2411"/>
        <v>24.71</v>
      </c>
      <c r="AAD118" s="85">
        <f t="shared" si="1694"/>
        <v>50372.630000000005</v>
      </c>
      <c r="AAE118" s="86">
        <f t="shared" si="1694"/>
        <v>0</v>
      </c>
      <c r="AAF118" s="87">
        <f t="shared" si="1457"/>
        <v>0</v>
      </c>
      <c r="AAG118" s="88">
        <f t="shared" si="2412"/>
        <v>-50372.630000000005</v>
      </c>
      <c r="AAH118" s="94"/>
      <c r="AAI118" s="95"/>
      <c r="AAJ118" s="95"/>
      <c r="AAK118" s="60"/>
    </row>
    <row r="119" spans="1:713" s="83" customFormat="1" ht="20" customHeight="1" x14ac:dyDescent="0.2">
      <c r="A119" s="154"/>
      <c r="B119" s="96">
        <f>B115-B111</f>
        <v>-1388390.5599999998</v>
      </c>
      <c r="C119" s="97"/>
      <c r="D119" s="97"/>
      <c r="E119" s="60"/>
      <c r="F119" s="61">
        <v>47788</v>
      </c>
      <c r="G119" s="62"/>
      <c r="H119" s="63"/>
      <c r="I119" s="64">
        <f t="shared" si="2208"/>
        <v>0</v>
      </c>
      <c r="J119" s="65">
        <v>2613.14</v>
      </c>
      <c r="K119" s="63"/>
      <c r="L119" s="64">
        <f t="shared" si="2209"/>
        <v>2613.14</v>
      </c>
      <c r="M119" s="65">
        <v>2500</v>
      </c>
      <c r="N119" s="63"/>
      <c r="O119" s="64">
        <f t="shared" si="2210"/>
        <v>2500</v>
      </c>
      <c r="P119" s="65">
        <v>1000</v>
      </c>
      <c r="Q119" s="63"/>
      <c r="R119" s="64">
        <f t="shared" si="2211"/>
        <v>1000</v>
      </c>
      <c r="S119" s="65">
        <v>181</v>
      </c>
      <c r="T119" s="63"/>
      <c r="U119" s="64">
        <f t="shared" si="2212"/>
        <v>181</v>
      </c>
      <c r="V119" s="66">
        <f t="shared" si="2213"/>
        <v>6294.1399999999994</v>
      </c>
      <c r="W119" s="67">
        <f t="shared" si="2213"/>
        <v>0</v>
      </c>
      <c r="X119" s="64">
        <f t="shared" si="2214"/>
        <v>6294.1399999999994</v>
      </c>
      <c r="Y119" s="72"/>
      <c r="Z119" s="73"/>
      <c r="AA119" s="74"/>
      <c r="AB119" s="75"/>
      <c r="AC119" s="73"/>
      <c r="AD119" s="74"/>
      <c r="AE119" s="75"/>
      <c r="AF119" s="73"/>
      <c r="AG119" s="74"/>
      <c r="AH119" s="75"/>
      <c r="AI119" s="73"/>
      <c r="AJ119" s="74"/>
      <c r="AK119" s="76"/>
      <c r="AL119" s="77"/>
      <c r="AM119" s="64">
        <f t="shared" si="2215"/>
        <v>0</v>
      </c>
      <c r="AN119" s="62"/>
      <c r="AO119" s="63"/>
      <c r="AP119" s="64">
        <f t="shared" si="2413"/>
        <v>0</v>
      </c>
      <c r="AQ119" s="65"/>
      <c r="AR119" s="63"/>
      <c r="AS119" s="64">
        <f t="shared" si="2216"/>
        <v>0</v>
      </c>
      <c r="AT119" s="65"/>
      <c r="AU119" s="63"/>
      <c r="AV119" s="64">
        <f t="shared" si="2217"/>
        <v>0</v>
      </c>
      <c r="AW119" s="65"/>
      <c r="AX119" s="63"/>
      <c r="AY119" s="64">
        <f t="shared" si="2218"/>
        <v>0</v>
      </c>
      <c r="AZ119" s="66">
        <f t="shared" si="1469"/>
        <v>0</v>
      </c>
      <c r="BA119" s="67">
        <f t="shared" si="2219"/>
        <v>0</v>
      </c>
      <c r="BB119" s="64">
        <f t="shared" si="2220"/>
        <v>0</v>
      </c>
      <c r="BC119" s="62"/>
      <c r="BD119" s="63"/>
      <c r="BE119" s="64">
        <f t="shared" si="2221"/>
        <v>0</v>
      </c>
      <c r="BF119" s="65"/>
      <c r="BG119" s="63"/>
      <c r="BH119" s="64">
        <f t="shared" si="2222"/>
        <v>0</v>
      </c>
      <c r="BI119" s="65"/>
      <c r="BJ119" s="63"/>
      <c r="BK119" s="64">
        <f t="shared" si="2223"/>
        <v>0</v>
      </c>
      <c r="BL119" s="65">
        <v>100</v>
      </c>
      <c r="BM119" s="63"/>
      <c r="BN119" s="64">
        <f t="shared" si="2224"/>
        <v>100</v>
      </c>
      <c r="BO119" s="66">
        <f t="shared" si="1476"/>
        <v>100</v>
      </c>
      <c r="BP119" s="67">
        <f t="shared" si="2225"/>
        <v>0</v>
      </c>
      <c r="BQ119" s="64">
        <f t="shared" si="2226"/>
        <v>100</v>
      </c>
      <c r="BR119" s="72"/>
      <c r="BS119" s="73"/>
      <c r="BT119" s="74"/>
      <c r="BU119" s="75"/>
      <c r="BV119" s="73"/>
      <c r="BW119" s="74"/>
      <c r="BX119" s="75"/>
      <c r="BY119" s="73"/>
      <c r="BZ119" s="74"/>
      <c r="CA119" s="75"/>
      <c r="CB119" s="73"/>
      <c r="CC119" s="74"/>
      <c r="CD119" s="76"/>
      <c r="CE119" s="77"/>
      <c r="CF119" s="64">
        <f t="shared" si="2227"/>
        <v>0</v>
      </c>
      <c r="CG119" s="62"/>
      <c r="CH119" s="63"/>
      <c r="CI119" s="64">
        <f t="shared" si="2228"/>
        <v>0</v>
      </c>
      <c r="CJ119" s="65"/>
      <c r="CK119" s="63"/>
      <c r="CL119" s="64">
        <f t="shared" si="2229"/>
        <v>0</v>
      </c>
      <c r="CM119" s="65"/>
      <c r="CN119" s="63"/>
      <c r="CO119" s="64">
        <f t="shared" si="2230"/>
        <v>0</v>
      </c>
      <c r="CP119" s="65"/>
      <c r="CQ119" s="63"/>
      <c r="CR119" s="64">
        <f t="shared" si="2231"/>
        <v>0</v>
      </c>
      <c r="CS119" s="66">
        <f t="shared" si="1484"/>
        <v>0</v>
      </c>
      <c r="CT119" s="67">
        <f t="shared" si="2232"/>
        <v>0</v>
      </c>
      <c r="CU119" s="64">
        <f t="shared" si="2233"/>
        <v>0</v>
      </c>
      <c r="CV119" s="62">
        <v>2916.7</v>
      </c>
      <c r="CW119" s="63"/>
      <c r="CX119" s="64">
        <f t="shared" si="2234"/>
        <v>2916.7</v>
      </c>
      <c r="CY119" s="65">
        <v>429.15</v>
      </c>
      <c r="CZ119" s="63"/>
      <c r="DA119" s="64">
        <f t="shared" si="2235"/>
        <v>429.15</v>
      </c>
      <c r="DB119" s="65"/>
      <c r="DC119" s="63"/>
      <c r="DD119" s="64">
        <f t="shared" si="2236"/>
        <v>0</v>
      </c>
      <c r="DE119" s="65"/>
      <c r="DF119" s="63"/>
      <c r="DG119" s="64">
        <f t="shared" si="2237"/>
        <v>0</v>
      </c>
      <c r="DH119" s="66">
        <f t="shared" si="1491"/>
        <v>3345.85</v>
      </c>
      <c r="DI119" s="67">
        <f t="shared" si="2238"/>
        <v>0</v>
      </c>
      <c r="DJ119" s="64">
        <f t="shared" si="2239"/>
        <v>3345.85</v>
      </c>
      <c r="DK119" s="62">
        <v>2400</v>
      </c>
      <c r="DL119" s="63"/>
      <c r="DM119" s="64">
        <f t="shared" si="2240"/>
        <v>2400</v>
      </c>
      <c r="DN119" s="65">
        <v>913.08</v>
      </c>
      <c r="DO119" s="63"/>
      <c r="DP119" s="64">
        <f t="shared" si="2241"/>
        <v>913.08</v>
      </c>
      <c r="DQ119" s="65"/>
      <c r="DR119" s="63"/>
      <c r="DS119" s="64">
        <f t="shared" si="2242"/>
        <v>0</v>
      </c>
      <c r="DT119" s="65">
        <v>100</v>
      </c>
      <c r="DU119" s="63"/>
      <c r="DV119" s="64">
        <f t="shared" si="2243"/>
        <v>100</v>
      </c>
      <c r="DW119" s="66">
        <f t="shared" si="1498"/>
        <v>3413.08</v>
      </c>
      <c r="DX119" s="67">
        <f t="shared" si="2244"/>
        <v>0</v>
      </c>
      <c r="DY119" s="64">
        <f t="shared" si="2245"/>
        <v>3413.08</v>
      </c>
      <c r="DZ119" s="62"/>
      <c r="EA119" s="63"/>
      <c r="EB119" s="64">
        <f t="shared" si="2246"/>
        <v>0</v>
      </c>
      <c r="EC119" s="65"/>
      <c r="ED119" s="63"/>
      <c r="EE119" s="64">
        <f t="shared" si="2247"/>
        <v>0</v>
      </c>
      <c r="EF119" s="65"/>
      <c r="EG119" s="63"/>
      <c r="EH119" s="64">
        <f t="shared" si="2248"/>
        <v>0</v>
      </c>
      <c r="EI119" s="65">
        <v>100</v>
      </c>
      <c r="EJ119" s="63"/>
      <c r="EK119" s="64">
        <f t="shared" si="2249"/>
        <v>100</v>
      </c>
      <c r="EL119" s="66">
        <f t="shared" si="1505"/>
        <v>100</v>
      </c>
      <c r="EM119" s="67">
        <f t="shared" si="2250"/>
        <v>0</v>
      </c>
      <c r="EN119" s="64">
        <f t="shared" si="2251"/>
        <v>100</v>
      </c>
      <c r="EO119" s="62"/>
      <c r="EP119" s="63"/>
      <c r="EQ119" s="64">
        <f t="shared" si="2252"/>
        <v>0</v>
      </c>
      <c r="ER119" s="65"/>
      <c r="ES119" s="63"/>
      <c r="ET119" s="64">
        <f t="shared" si="2253"/>
        <v>0</v>
      </c>
      <c r="EU119" s="65"/>
      <c r="EV119" s="63"/>
      <c r="EW119" s="64">
        <f t="shared" si="2254"/>
        <v>0</v>
      </c>
      <c r="EX119" s="65">
        <v>100</v>
      </c>
      <c r="EY119" s="63"/>
      <c r="EZ119" s="64">
        <f t="shared" si="2255"/>
        <v>100</v>
      </c>
      <c r="FA119" s="66">
        <f t="shared" si="1512"/>
        <v>100</v>
      </c>
      <c r="FB119" s="67">
        <f t="shared" si="2256"/>
        <v>0</v>
      </c>
      <c r="FC119" s="64">
        <f t="shared" si="2257"/>
        <v>100</v>
      </c>
      <c r="FD119" s="62"/>
      <c r="FE119" s="63"/>
      <c r="FF119" s="64">
        <f t="shared" si="2258"/>
        <v>0</v>
      </c>
      <c r="FG119" s="65"/>
      <c r="FH119" s="63"/>
      <c r="FI119" s="64">
        <f t="shared" si="2259"/>
        <v>0</v>
      </c>
      <c r="FJ119" s="65"/>
      <c r="FK119" s="63"/>
      <c r="FL119" s="64">
        <f t="shared" si="2260"/>
        <v>0</v>
      </c>
      <c r="FM119" s="65">
        <v>100</v>
      </c>
      <c r="FN119" s="63"/>
      <c r="FO119" s="64">
        <f t="shared" si="2261"/>
        <v>100</v>
      </c>
      <c r="FP119" s="66">
        <f t="shared" si="1519"/>
        <v>100</v>
      </c>
      <c r="FQ119" s="67">
        <f t="shared" si="2262"/>
        <v>0</v>
      </c>
      <c r="FR119" s="64">
        <f t="shared" si="2263"/>
        <v>100</v>
      </c>
      <c r="FS119" s="62"/>
      <c r="FT119" s="63"/>
      <c r="FU119" s="64">
        <f t="shared" si="2264"/>
        <v>0</v>
      </c>
      <c r="FV119" s="65">
        <v>485.35</v>
      </c>
      <c r="FW119" s="63"/>
      <c r="FX119" s="64">
        <f t="shared" si="2265"/>
        <v>485.35</v>
      </c>
      <c r="FY119" s="65"/>
      <c r="FZ119" s="63"/>
      <c r="GA119" s="64">
        <f t="shared" si="2266"/>
        <v>0</v>
      </c>
      <c r="GB119" s="65"/>
      <c r="GC119" s="63"/>
      <c r="GD119" s="64">
        <f t="shared" si="2267"/>
        <v>0</v>
      </c>
      <c r="GE119" s="66">
        <f t="shared" si="1526"/>
        <v>485.35</v>
      </c>
      <c r="GF119" s="67">
        <f t="shared" si="2268"/>
        <v>0</v>
      </c>
      <c r="GG119" s="64">
        <f t="shared" si="2269"/>
        <v>485.35</v>
      </c>
      <c r="GH119" s="62"/>
      <c r="GI119" s="63"/>
      <c r="GJ119" s="64">
        <f t="shared" si="2270"/>
        <v>0</v>
      </c>
      <c r="GK119" s="65">
        <v>660.33</v>
      </c>
      <c r="GL119" s="63"/>
      <c r="GM119" s="64">
        <f t="shared" si="2271"/>
        <v>660.33</v>
      </c>
      <c r="GN119" s="65"/>
      <c r="GO119" s="63"/>
      <c r="GP119" s="64">
        <f t="shared" si="2272"/>
        <v>0</v>
      </c>
      <c r="GQ119" s="65"/>
      <c r="GR119" s="63"/>
      <c r="GS119" s="64">
        <f t="shared" si="2273"/>
        <v>0</v>
      </c>
      <c r="GT119" s="66">
        <f t="shared" si="1533"/>
        <v>660.33</v>
      </c>
      <c r="GU119" s="67">
        <f t="shared" si="2274"/>
        <v>0</v>
      </c>
      <c r="GV119" s="64">
        <f t="shared" si="2275"/>
        <v>660.33</v>
      </c>
      <c r="GW119" s="62"/>
      <c r="GX119" s="63"/>
      <c r="GY119" s="64">
        <f t="shared" si="2276"/>
        <v>0</v>
      </c>
      <c r="GZ119" s="65">
        <v>568.25</v>
      </c>
      <c r="HA119" s="63"/>
      <c r="HB119" s="64">
        <f t="shared" si="2277"/>
        <v>568.25</v>
      </c>
      <c r="HC119" s="65"/>
      <c r="HD119" s="63"/>
      <c r="HE119" s="64">
        <f t="shared" si="2278"/>
        <v>0</v>
      </c>
      <c r="HF119" s="65">
        <v>100</v>
      </c>
      <c r="HG119" s="63"/>
      <c r="HH119" s="64">
        <f t="shared" si="2279"/>
        <v>100</v>
      </c>
      <c r="HI119" s="66">
        <f t="shared" si="1540"/>
        <v>668.25</v>
      </c>
      <c r="HJ119" s="67">
        <f t="shared" si="2280"/>
        <v>0</v>
      </c>
      <c r="HK119" s="64">
        <f t="shared" si="2281"/>
        <v>668.25</v>
      </c>
      <c r="HL119" s="62"/>
      <c r="HM119" s="63"/>
      <c r="HN119" s="64">
        <f t="shared" si="2282"/>
        <v>0</v>
      </c>
      <c r="HO119" s="65"/>
      <c r="HP119" s="63"/>
      <c r="HQ119" s="64">
        <f t="shared" si="2283"/>
        <v>0</v>
      </c>
      <c r="HR119" s="65"/>
      <c r="HS119" s="63"/>
      <c r="HT119" s="64">
        <f t="shared" si="2284"/>
        <v>0</v>
      </c>
      <c r="HU119" s="65">
        <v>100</v>
      </c>
      <c r="HV119" s="63"/>
      <c r="HW119" s="64">
        <f t="shared" si="2285"/>
        <v>100</v>
      </c>
      <c r="HX119" s="66">
        <f t="shared" si="1547"/>
        <v>100</v>
      </c>
      <c r="HY119" s="67">
        <f t="shared" si="2286"/>
        <v>0</v>
      </c>
      <c r="HZ119" s="64">
        <f t="shared" si="2287"/>
        <v>100</v>
      </c>
      <c r="IA119" s="62"/>
      <c r="IB119" s="63"/>
      <c r="IC119" s="64">
        <f t="shared" si="2288"/>
        <v>0</v>
      </c>
      <c r="ID119" s="65"/>
      <c r="IE119" s="63"/>
      <c r="IF119" s="64">
        <f t="shared" si="2289"/>
        <v>0</v>
      </c>
      <c r="IG119" s="65"/>
      <c r="IH119" s="63"/>
      <c r="II119" s="64">
        <f t="shared" si="2290"/>
        <v>0</v>
      </c>
      <c r="IJ119" s="65">
        <v>100</v>
      </c>
      <c r="IK119" s="63"/>
      <c r="IL119" s="64">
        <f t="shared" si="2291"/>
        <v>100</v>
      </c>
      <c r="IM119" s="66">
        <f t="shared" si="1554"/>
        <v>100</v>
      </c>
      <c r="IN119" s="67">
        <f t="shared" si="2292"/>
        <v>0</v>
      </c>
      <c r="IO119" s="64">
        <f t="shared" si="2293"/>
        <v>100</v>
      </c>
      <c r="IP119" s="62"/>
      <c r="IQ119" s="63"/>
      <c r="IR119" s="64">
        <f t="shared" si="2294"/>
        <v>0</v>
      </c>
      <c r="IS119" s="65"/>
      <c r="IT119" s="63"/>
      <c r="IU119" s="64">
        <f t="shared" si="2295"/>
        <v>0</v>
      </c>
      <c r="IV119" s="65"/>
      <c r="IW119" s="63"/>
      <c r="IX119" s="64">
        <f t="shared" si="2296"/>
        <v>0</v>
      </c>
      <c r="IY119" s="65"/>
      <c r="IZ119" s="63"/>
      <c r="JA119" s="64">
        <f t="shared" si="2297"/>
        <v>0</v>
      </c>
      <c r="JB119" s="66">
        <f t="shared" si="1561"/>
        <v>0</v>
      </c>
      <c r="JC119" s="67">
        <f t="shared" si="2298"/>
        <v>0</v>
      </c>
      <c r="JD119" s="64">
        <f t="shared" si="2299"/>
        <v>0</v>
      </c>
      <c r="JE119" s="72"/>
      <c r="JF119" s="150"/>
      <c r="JG119" s="74"/>
      <c r="JH119" s="75"/>
      <c r="JI119" s="150"/>
      <c r="JJ119" s="74"/>
      <c r="JK119" s="75"/>
      <c r="JL119" s="150"/>
      <c r="JM119" s="74"/>
      <c r="JN119" s="75"/>
      <c r="JO119" s="150"/>
      <c r="JP119" s="74"/>
      <c r="JQ119" s="76"/>
      <c r="JR119" s="77"/>
      <c r="JS119" s="74"/>
      <c r="JT119" s="72"/>
      <c r="JU119" s="73"/>
      <c r="JV119" s="74"/>
      <c r="JW119" s="75"/>
      <c r="JX119" s="73"/>
      <c r="JY119" s="74"/>
      <c r="JZ119" s="75"/>
      <c r="KA119" s="73"/>
      <c r="KB119" s="74"/>
      <c r="KC119" s="75"/>
      <c r="KD119" s="73"/>
      <c r="KE119" s="74"/>
      <c r="KF119" s="76"/>
      <c r="KG119" s="77"/>
      <c r="KH119" s="64">
        <f t="shared" si="2300"/>
        <v>0</v>
      </c>
      <c r="KI119" s="62"/>
      <c r="KJ119" s="63"/>
      <c r="KK119" s="64">
        <f t="shared" si="2301"/>
        <v>0</v>
      </c>
      <c r="KL119" s="65"/>
      <c r="KM119" s="63"/>
      <c r="KN119" s="64">
        <f t="shared" si="2302"/>
        <v>0</v>
      </c>
      <c r="KO119" s="65"/>
      <c r="KP119" s="63"/>
      <c r="KQ119" s="64">
        <f t="shared" si="2303"/>
        <v>0</v>
      </c>
      <c r="KR119" s="65"/>
      <c r="KS119" s="63"/>
      <c r="KT119" s="64">
        <f t="shared" si="2304"/>
        <v>0</v>
      </c>
      <c r="KU119" s="66">
        <f t="shared" si="1439"/>
        <v>0</v>
      </c>
      <c r="KV119" s="67">
        <f t="shared" si="2305"/>
        <v>0</v>
      </c>
      <c r="KW119" s="64">
        <f t="shared" si="2306"/>
        <v>0</v>
      </c>
      <c r="KX119" s="72"/>
      <c r="KY119" s="73"/>
      <c r="KZ119" s="74"/>
      <c r="LA119" s="75"/>
      <c r="LB119" s="73"/>
      <c r="LC119" s="74"/>
      <c r="LD119" s="75"/>
      <c r="LE119" s="73"/>
      <c r="LF119" s="74"/>
      <c r="LG119" s="75"/>
      <c r="LH119" s="73"/>
      <c r="LI119" s="74"/>
      <c r="LJ119" s="76"/>
      <c r="LK119" s="77"/>
      <c r="LL119" s="74"/>
      <c r="LM119" s="62"/>
      <c r="LN119" s="63"/>
      <c r="LO119" s="64">
        <f t="shared" si="2307"/>
        <v>0</v>
      </c>
      <c r="LP119" s="65"/>
      <c r="LQ119" s="63"/>
      <c r="LR119" s="64">
        <f t="shared" si="2308"/>
        <v>0</v>
      </c>
      <c r="LS119" s="65"/>
      <c r="LT119" s="63"/>
      <c r="LU119" s="64">
        <f t="shared" si="2309"/>
        <v>0</v>
      </c>
      <c r="LV119" s="65">
        <v>100</v>
      </c>
      <c r="LW119" s="63"/>
      <c r="LX119" s="64">
        <f t="shared" si="2310"/>
        <v>100</v>
      </c>
      <c r="LY119" s="66">
        <f t="shared" si="1575"/>
        <v>100</v>
      </c>
      <c r="LZ119" s="67">
        <f t="shared" si="2311"/>
        <v>0</v>
      </c>
      <c r="MA119" s="64">
        <f t="shared" si="2312"/>
        <v>100</v>
      </c>
      <c r="MB119" s="62"/>
      <c r="MC119" s="63"/>
      <c r="MD119" s="64">
        <f t="shared" si="2313"/>
        <v>0</v>
      </c>
      <c r="ME119" s="65">
        <v>889.11</v>
      </c>
      <c r="MF119" s="63"/>
      <c r="MG119" s="64">
        <f t="shared" si="2314"/>
        <v>889.11</v>
      </c>
      <c r="MH119" s="65"/>
      <c r="MI119" s="63"/>
      <c r="MJ119" s="64">
        <f t="shared" si="2315"/>
        <v>0</v>
      </c>
      <c r="MK119" s="65">
        <v>100</v>
      </c>
      <c r="ML119" s="63"/>
      <c r="MM119" s="64">
        <f t="shared" si="2316"/>
        <v>100</v>
      </c>
      <c r="MN119" s="66">
        <f t="shared" si="1582"/>
        <v>989.11</v>
      </c>
      <c r="MO119" s="67">
        <f t="shared" si="2317"/>
        <v>0</v>
      </c>
      <c r="MP119" s="64">
        <f t="shared" si="2318"/>
        <v>989.11</v>
      </c>
      <c r="MQ119" s="62"/>
      <c r="MR119" s="63"/>
      <c r="MS119" s="64">
        <f t="shared" si="2319"/>
        <v>0</v>
      </c>
      <c r="MT119" s="65"/>
      <c r="MU119" s="63"/>
      <c r="MV119" s="64">
        <f t="shared" si="2320"/>
        <v>0</v>
      </c>
      <c r="MW119" s="65"/>
      <c r="MX119" s="63"/>
      <c r="MY119" s="64">
        <f t="shared" si="2321"/>
        <v>0</v>
      </c>
      <c r="MZ119" s="65"/>
      <c r="NA119" s="63"/>
      <c r="NB119" s="64">
        <f t="shared" si="2322"/>
        <v>0</v>
      </c>
      <c r="NC119" s="66">
        <f t="shared" si="1589"/>
        <v>0</v>
      </c>
      <c r="ND119" s="67">
        <f t="shared" si="2323"/>
        <v>0</v>
      </c>
      <c r="NE119" s="64">
        <f t="shared" si="2324"/>
        <v>0</v>
      </c>
      <c r="NF119" s="62"/>
      <c r="NG119" s="63"/>
      <c r="NH119" s="64">
        <f t="shared" si="2325"/>
        <v>0</v>
      </c>
      <c r="NI119" s="65">
        <v>1164.04</v>
      </c>
      <c r="NJ119" s="63"/>
      <c r="NK119" s="64">
        <f t="shared" si="2326"/>
        <v>1164.04</v>
      </c>
      <c r="NL119" s="65"/>
      <c r="NM119" s="63"/>
      <c r="NN119" s="64">
        <f t="shared" si="2327"/>
        <v>0</v>
      </c>
      <c r="NO119" s="65">
        <v>100</v>
      </c>
      <c r="NP119" s="63"/>
      <c r="NQ119" s="64">
        <f t="shared" si="2328"/>
        <v>100</v>
      </c>
      <c r="NR119" s="66">
        <f t="shared" si="1596"/>
        <v>1264.04</v>
      </c>
      <c r="NS119" s="67">
        <f t="shared" si="2329"/>
        <v>0</v>
      </c>
      <c r="NT119" s="64">
        <f t="shared" si="2330"/>
        <v>1264.04</v>
      </c>
      <c r="NU119" s="62"/>
      <c r="NV119" s="63"/>
      <c r="NW119" s="64">
        <f t="shared" si="2331"/>
        <v>0</v>
      </c>
      <c r="NX119" s="65">
        <v>1152.73</v>
      </c>
      <c r="NY119" s="63"/>
      <c r="NZ119" s="64">
        <f t="shared" si="2332"/>
        <v>1152.73</v>
      </c>
      <c r="OA119" s="65"/>
      <c r="OB119" s="63"/>
      <c r="OC119" s="64">
        <f t="shared" si="2333"/>
        <v>0</v>
      </c>
      <c r="OD119" s="65">
        <v>100</v>
      </c>
      <c r="OE119" s="63"/>
      <c r="OF119" s="64">
        <f t="shared" si="2334"/>
        <v>100</v>
      </c>
      <c r="OG119" s="66">
        <f t="shared" si="1603"/>
        <v>1252.73</v>
      </c>
      <c r="OH119" s="67">
        <f t="shared" si="2335"/>
        <v>0</v>
      </c>
      <c r="OI119" s="64">
        <f t="shared" si="2336"/>
        <v>1252.73</v>
      </c>
      <c r="OJ119" s="62">
        <v>17500</v>
      </c>
      <c r="OK119" s="63"/>
      <c r="OL119" s="64">
        <f t="shared" si="2337"/>
        <v>17500</v>
      </c>
      <c r="OM119" s="65"/>
      <c r="ON119" s="63"/>
      <c r="OO119" s="64">
        <f t="shared" si="2338"/>
        <v>0</v>
      </c>
      <c r="OP119" s="65">
        <v>1200</v>
      </c>
      <c r="OQ119" s="63"/>
      <c r="OR119" s="64">
        <f t="shared" si="2339"/>
        <v>1200</v>
      </c>
      <c r="OS119" s="65">
        <v>100</v>
      </c>
      <c r="OT119" s="63"/>
      <c r="OU119" s="64">
        <f t="shared" si="2340"/>
        <v>100</v>
      </c>
      <c r="OV119" s="66">
        <f t="shared" si="1610"/>
        <v>18800</v>
      </c>
      <c r="OW119" s="67">
        <f t="shared" si="2341"/>
        <v>0</v>
      </c>
      <c r="OX119" s="64">
        <f t="shared" si="2342"/>
        <v>18800</v>
      </c>
      <c r="OY119" s="62"/>
      <c r="OZ119" s="63"/>
      <c r="PA119" s="64">
        <f t="shared" si="2343"/>
        <v>0</v>
      </c>
      <c r="PB119" s="65"/>
      <c r="PC119" s="63"/>
      <c r="PD119" s="64">
        <f t="shared" si="2344"/>
        <v>0</v>
      </c>
      <c r="PE119" s="65"/>
      <c r="PF119" s="63"/>
      <c r="PG119" s="64">
        <f t="shared" si="2345"/>
        <v>0</v>
      </c>
      <c r="PH119" s="65">
        <v>100</v>
      </c>
      <c r="PI119" s="63"/>
      <c r="PJ119" s="64">
        <f t="shared" si="2346"/>
        <v>100</v>
      </c>
      <c r="PK119" s="66">
        <f t="shared" si="1617"/>
        <v>100</v>
      </c>
      <c r="PL119" s="67">
        <f t="shared" si="2347"/>
        <v>0</v>
      </c>
      <c r="PM119" s="64">
        <f t="shared" si="2348"/>
        <v>100</v>
      </c>
      <c r="PN119" s="62">
        <v>1550</v>
      </c>
      <c r="PO119" s="63"/>
      <c r="PP119" s="64">
        <f t="shared" si="2349"/>
        <v>1550</v>
      </c>
      <c r="PQ119" s="65"/>
      <c r="PR119" s="63"/>
      <c r="PS119" s="64">
        <f t="shared" si="2350"/>
        <v>0</v>
      </c>
      <c r="PT119" s="65"/>
      <c r="PU119" s="63"/>
      <c r="PV119" s="64">
        <f t="shared" si="2351"/>
        <v>0</v>
      </c>
      <c r="PW119" s="65">
        <v>100</v>
      </c>
      <c r="PX119" s="63"/>
      <c r="PY119" s="64">
        <f t="shared" si="2352"/>
        <v>100</v>
      </c>
      <c r="PZ119" s="66">
        <f t="shared" si="1624"/>
        <v>1650</v>
      </c>
      <c r="QA119" s="67">
        <f t="shared" si="2353"/>
        <v>0</v>
      </c>
      <c r="QB119" s="64">
        <f t="shared" si="2354"/>
        <v>1650</v>
      </c>
      <c r="QC119" s="62"/>
      <c r="QD119" s="63"/>
      <c r="QE119" s="64">
        <f t="shared" si="2355"/>
        <v>0</v>
      </c>
      <c r="QF119" s="65"/>
      <c r="QG119" s="63"/>
      <c r="QH119" s="64">
        <f t="shared" si="2356"/>
        <v>0</v>
      </c>
      <c r="QI119" s="65"/>
      <c r="QJ119" s="63"/>
      <c r="QK119" s="64">
        <f t="shared" si="2357"/>
        <v>0</v>
      </c>
      <c r="QL119" s="65">
        <v>100</v>
      </c>
      <c r="QM119" s="63"/>
      <c r="QN119" s="64">
        <f t="shared" si="2358"/>
        <v>100</v>
      </c>
      <c r="QO119" s="66">
        <f t="shared" si="1631"/>
        <v>100</v>
      </c>
      <c r="QP119" s="67">
        <f t="shared" si="2359"/>
        <v>0</v>
      </c>
      <c r="QQ119" s="64">
        <f t="shared" si="2360"/>
        <v>100</v>
      </c>
      <c r="QR119" s="74"/>
      <c r="QS119" s="74"/>
      <c r="QT119" s="72"/>
      <c r="QU119" s="73"/>
      <c r="QV119" s="74"/>
      <c r="QW119" s="75"/>
      <c r="QX119" s="73"/>
      <c r="QY119" s="74"/>
      <c r="QZ119" s="75"/>
      <c r="RA119" s="73"/>
      <c r="RB119" s="74"/>
      <c r="RC119" s="75"/>
      <c r="RD119" s="73"/>
      <c r="RE119" s="74"/>
      <c r="RF119" s="74"/>
      <c r="RG119" s="72"/>
      <c r="RH119" s="73"/>
      <c r="RI119" s="74"/>
      <c r="RJ119" s="75"/>
      <c r="RK119" s="73"/>
      <c r="RL119" s="74"/>
      <c r="RM119" s="75"/>
      <c r="RN119" s="73"/>
      <c r="RO119" s="74"/>
      <c r="RP119" s="75"/>
      <c r="RQ119" s="73"/>
      <c r="RR119" s="74"/>
      <c r="RS119" s="76"/>
      <c r="RT119" s="77"/>
      <c r="RU119" s="74"/>
      <c r="RV119" s="74"/>
      <c r="RW119" s="72"/>
      <c r="RX119" s="73"/>
      <c r="RY119" s="74"/>
      <c r="RZ119" s="75"/>
      <c r="SA119" s="73"/>
      <c r="SB119" s="74"/>
      <c r="SC119" s="75"/>
      <c r="SD119" s="73"/>
      <c r="SE119" s="74"/>
      <c r="SF119" s="75"/>
      <c r="SG119" s="73"/>
      <c r="SH119" s="74"/>
      <c r="SI119" s="76"/>
      <c r="SJ119" s="64">
        <f t="shared" si="2361"/>
        <v>0</v>
      </c>
      <c r="SK119" s="62"/>
      <c r="SL119" s="63"/>
      <c r="SM119" s="64">
        <f t="shared" si="2362"/>
        <v>0</v>
      </c>
      <c r="SN119" s="65"/>
      <c r="SO119" s="63"/>
      <c r="SP119" s="64">
        <f t="shared" si="2363"/>
        <v>0</v>
      </c>
      <c r="SQ119" s="65"/>
      <c r="SR119" s="63"/>
      <c r="SS119" s="64">
        <f t="shared" si="2364"/>
        <v>0</v>
      </c>
      <c r="ST119" s="65">
        <v>100</v>
      </c>
      <c r="SU119" s="63"/>
      <c r="SV119" s="64">
        <f t="shared" si="2365"/>
        <v>100</v>
      </c>
      <c r="SW119" s="66">
        <f t="shared" si="1639"/>
        <v>100</v>
      </c>
      <c r="SX119" s="67">
        <f t="shared" si="2366"/>
        <v>0</v>
      </c>
      <c r="SY119" s="64">
        <f t="shared" si="2367"/>
        <v>100</v>
      </c>
      <c r="SZ119" s="62">
        <v>985.33</v>
      </c>
      <c r="TA119" s="63"/>
      <c r="TB119" s="64">
        <f t="shared" si="2368"/>
        <v>985.33</v>
      </c>
      <c r="TC119" s="65">
        <v>700.9</v>
      </c>
      <c r="TD119" s="63"/>
      <c r="TE119" s="64">
        <f t="shared" si="2369"/>
        <v>700.9</v>
      </c>
      <c r="TF119" s="65"/>
      <c r="TG119" s="63"/>
      <c r="TH119" s="64">
        <f t="shared" si="2370"/>
        <v>0</v>
      </c>
      <c r="TI119" s="65">
        <v>100</v>
      </c>
      <c r="TJ119" s="63"/>
      <c r="TK119" s="64">
        <f t="shared" si="2371"/>
        <v>100</v>
      </c>
      <c r="TL119" s="66">
        <f t="shared" si="1646"/>
        <v>1786.23</v>
      </c>
      <c r="TM119" s="67">
        <f t="shared" si="2372"/>
        <v>0</v>
      </c>
      <c r="TN119" s="64">
        <f t="shared" si="2373"/>
        <v>1786.23</v>
      </c>
      <c r="TO119" s="62"/>
      <c r="TP119" s="63"/>
      <c r="TQ119" s="64">
        <f t="shared" si="2374"/>
        <v>0</v>
      </c>
      <c r="TR119" s="65"/>
      <c r="TS119" s="63"/>
      <c r="TT119" s="64">
        <f t="shared" si="2375"/>
        <v>0</v>
      </c>
      <c r="TU119" s="65"/>
      <c r="TV119" s="63"/>
      <c r="TW119" s="64">
        <f t="shared" si="2376"/>
        <v>0</v>
      </c>
      <c r="TX119" s="65">
        <v>100</v>
      </c>
      <c r="TY119" s="63"/>
      <c r="TZ119" s="64">
        <f t="shared" si="2377"/>
        <v>100</v>
      </c>
      <c r="UA119" s="66">
        <f t="shared" si="1653"/>
        <v>100</v>
      </c>
      <c r="UB119" s="67">
        <f t="shared" si="2378"/>
        <v>0</v>
      </c>
      <c r="UC119" s="64">
        <f t="shared" si="2379"/>
        <v>100</v>
      </c>
      <c r="UD119" s="62"/>
      <c r="UE119" s="63"/>
      <c r="UF119" s="64">
        <f t="shared" si="2380"/>
        <v>0</v>
      </c>
      <c r="UG119" s="65">
        <v>497.04</v>
      </c>
      <c r="UH119" s="63"/>
      <c r="UI119" s="64">
        <f t="shared" si="2381"/>
        <v>497.04</v>
      </c>
      <c r="UJ119" s="65"/>
      <c r="UK119" s="63"/>
      <c r="UL119" s="64">
        <f t="shared" si="2382"/>
        <v>0</v>
      </c>
      <c r="UM119" s="65">
        <v>100</v>
      </c>
      <c r="UN119" s="63"/>
      <c r="UO119" s="64">
        <f t="shared" si="2383"/>
        <v>100</v>
      </c>
      <c r="UP119" s="66">
        <f t="shared" si="1660"/>
        <v>597.04</v>
      </c>
      <c r="UQ119" s="67">
        <f t="shared" si="2384"/>
        <v>0</v>
      </c>
      <c r="UR119" s="64">
        <f t="shared" si="2385"/>
        <v>597.04</v>
      </c>
      <c r="US119" s="74"/>
      <c r="UT119" s="72"/>
      <c r="UU119" s="73"/>
      <c r="UV119" s="74"/>
      <c r="UW119" s="75"/>
      <c r="UX119" s="73"/>
      <c r="UY119" s="74"/>
      <c r="UZ119" s="75"/>
      <c r="VA119" s="73"/>
      <c r="VB119" s="74"/>
      <c r="VC119" s="75"/>
      <c r="VD119" s="73"/>
      <c r="VE119" s="74"/>
      <c r="VF119" s="76"/>
      <c r="VG119" s="77"/>
      <c r="VH119" s="62"/>
      <c r="VI119" s="63"/>
      <c r="VJ119" s="64">
        <f t="shared" si="2386"/>
        <v>0</v>
      </c>
      <c r="VK119" s="65"/>
      <c r="VL119" s="63"/>
      <c r="VM119" s="64">
        <f t="shared" si="2387"/>
        <v>0</v>
      </c>
      <c r="VN119" s="65"/>
      <c r="VO119" s="63"/>
      <c r="VP119" s="64">
        <f t="shared" si="2388"/>
        <v>0</v>
      </c>
      <c r="VQ119" s="65">
        <v>100</v>
      </c>
      <c r="VR119" s="63"/>
      <c r="VS119" s="64">
        <f t="shared" si="2389"/>
        <v>100</v>
      </c>
      <c r="VT119" s="66">
        <f t="shared" si="1667"/>
        <v>100</v>
      </c>
      <c r="VU119" s="67">
        <f t="shared" si="2390"/>
        <v>0</v>
      </c>
      <c r="VV119" s="64">
        <f t="shared" si="2391"/>
        <v>100</v>
      </c>
      <c r="VW119" s="74"/>
      <c r="VX119" s="72"/>
      <c r="VY119" s="73"/>
      <c r="VZ119" s="74"/>
      <c r="WA119" s="75"/>
      <c r="WB119" s="73"/>
      <c r="WC119" s="74"/>
      <c r="WD119" s="75"/>
      <c r="WE119" s="73"/>
      <c r="WF119" s="74"/>
      <c r="WG119" s="75"/>
      <c r="WH119" s="73"/>
      <c r="WI119" s="74"/>
      <c r="WJ119" s="76"/>
      <c r="WK119" s="77"/>
      <c r="WL119" s="74"/>
      <c r="WM119" s="72"/>
      <c r="WN119" s="73"/>
      <c r="WO119" s="74"/>
      <c r="WP119" s="75"/>
      <c r="WQ119" s="73"/>
      <c r="WR119" s="74"/>
      <c r="WS119" s="75"/>
      <c r="WT119" s="73"/>
      <c r="WU119" s="74"/>
      <c r="WV119" s="75"/>
      <c r="WW119" s="73"/>
      <c r="WX119" s="74"/>
      <c r="WY119" s="76"/>
      <c r="WZ119" s="77"/>
      <c r="XA119" s="74"/>
      <c r="XB119" s="72"/>
      <c r="XC119" s="73"/>
      <c r="XD119" s="74"/>
      <c r="XE119" s="75"/>
      <c r="XF119" s="73"/>
      <c r="XG119" s="74"/>
      <c r="XH119" s="75"/>
      <c r="XI119" s="73"/>
      <c r="XJ119" s="74"/>
      <c r="XK119" s="75"/>
      <c r="XL119" s="73"/>
      <c r="XM119" s="74"/>
      <c r="XN119" s="76"/>
      <c r="XO119" s="77"/>
      <c r="XP119" s="62"/>
      <c r="XQ119" s="63"/>
      <c r="XR119" s="64">
        <f t="shared" si="2392"/>
        <v>0</v>
      </c>
      <c r="XS119" s="65">
        <v>844.24</v>
      </c>
      <c r="XT119" s="63"/>
      <c r="XU119" s="64">
        <f t="shared" si="2393"/>
        <v>844.24</v>
      </c>
      <c r="XV119" s="65"/>
      <c r="XW119" s="63"/>
      <c r="XX119" s="64">
        <f t="shared" si="2394"/>
        <v>0</v>
      </c>
      <c r="XY119" s="65">
        <v>100</v>
      </c>
      <c r="XZ119" s="63"/>
      <c r="YA119" s="64">
        <f t="shared" si="2395"/>
        <v>100</v>
      </c>
      <c r="YB119" s="66">
        <f t="shared" si="1674"/>
        <v>944.24</v>
      </c>
      <c r="YC119" s="67">
        <f t="shared" si="2396"/>
        <v>0</v>
      </c>
      <c r="YD119" s="64">
        <f t="shared" si="2397"/>
        <v>944.24</v>
      </c>
      <c r="YE119" s="62"/>
      <c r="YF119" s="63"/>
      <c r="YG119" s="64">
        <f t="shared" si="2398"/>
        <v>0</v>
      </c>
      <c r="YH119" s="65">
        <v>847.85</v>
      </c>
      <c r="YI119" s="63"/>
      <c r="YJ119" s="64">
        <f t="shared" si="2399"/>
        <v>847.85</v>
      </c>
      <c r="YK119" s="65"/>
      <c r="YL119" s="63"/>
      <c r="YM119" s="64">
        <f t="shared" si="2400"/>
        <v>0</v>
      </c>
      <c r="YN119" s="65">
        <v>100</v>
      </c>
      <c r="YO119" s="63"/>
      <c r="YP119" s="64">
        <f t="shared" si="2401"/>
        <v>100</v>
      </c>
      <c r="YQ119" s="66">
        <f t="shared" si="1681"/>
        <v>947.85</v>
      </c>
      <c r="YR119" s="67">
        <f t="shared" si="2402"/>
        <v>0</v>
      </c>
      <c r="YS119" s="64">
        <f t="shared" si="2403"/>
        <v>947.85</v>
      </c>
      <c r="YT119" s="62"/>
      <c r="YU119" s="63"/>
      <c r="YV119" s="64">
        <f t="shared" si="2404"/>
        <v>0</v>
      </c>
      <c r="YW119" s="65">
        <v>695.73</v>
      </c>
      <c r="YX119" s="63"/>
      <c r="YY119" s="64">
        <f t="shared" si="2405"/>
        <v>695.73</v>
      </c>
      <c r="YZ119" s="65"/>
      <c r="ZA119" s="63"/>
      <c r="ZB119" s="64">
        <f t="shared" si="2406"/>
        <v>0</v>
      </c>
      <c r="ZC119" s="65">
        <v>100</v>
      </c>
      <c r="ZD119" s="63"/>
      <c r="ZE119" s="64">
        <f t="shared" si="2407"/>
        <v>100</v>
      </c>
      <c r="ZF119" s="66">
        <f t="shared" si="1688"/>
        <v>795.73</v>
      </c>
      <c r="ZG119" s="67">
        <f t="shared" si="2408"/>
        <v>0</v>
      </c>
      <c r="ZH119" s="74"/>
      <c r="ZI119" s="72"/>
      <c r="ZJ119" s="73"/>
      <c r="ZK119" s="74"/>
      <c r="ZL119" s="75"/>
      <c r="ZM119" s="73"/>
      <c r="ZN119" s="74"/>
      <c r="ZO119" s="75"/>
      <c r="ZP119" s="73"/>
      <c r="ZQ119" s="74"/>
      <c r="ZR119" s="75"/>
      <c r="ZS119" s="73"/>
      <c r="ZT119" s="74"/>
      <c r="ZU119" s="76"/>
      <c r="ZV119" s="77"/>
      <c r="ZW119" s="64">
        <f t="shared" si="2409"/>
        <v>0</v>
      </c>
      <c r="ZX119" s="62">
        <v>24.71</v>
      </c>
      <c r="ZY119" s="63"/>
      <c r="ZZ119" s="64">
        <f t="shared" si="2410"/>
        <v>24.71</v>
      </c>
      <c r="AAA119" s="66">
        <f t="shared" si="1692"/>
        <v>24.71</v>
      </c>
      <c r="AAB119" s="67">
        <f t="shared" si="1692"/>
        <v>0</v>
      </c>
      <c r="AAC119" s="64">
        <f t="shared" si="2411"/>
        <v>24.71</v>
      </c>
      <c r="AAD119" s="85">
        <f t="shared" si="1694"/>
        <v>45093.97</v>
      </c>
      <c r="AAE119" s="86">
        <f t="shared" si="1694"/>
        <v>0</v>
      </c>
      <c r="AAF119" s="87">
        <f t="shared" si="1457"/>
        <v>0</v>
      </c>
      <c r="AAG119" s="88">
        <f t="shared" si="2412"/>
        <v>-45093.97</v>
      </c>
      <c r="AAH119" s="96">
        <f>AAH115-AAH111</f>
        <v>-1388390.5599999998</v>
      </c>
      <c r="AAI119" s="97"/>
      <c r="AAJ119" s="97"/>
      <c r="AAK119" s="60"/>
    </row>
    <row r="120" spans="1:713" s="83" customFormat="1" ht="20" customHeight="1" thickBot="1" x14ac:dyDescent="0.25">
      <c r="A120" s="1"/>
      <c r="B120" s="96"/>
      <c r="C120" s="97"/>
      <c r="D120" s="97"/>
      <c r="E120" s="60"/>
      <c r="F120" s="155">
        <v>47818</v>
      </c>
      <c r="G120" s="62"/>
      <c r="H120" s="63"/>
      <c r="I120" s="64">
        <f t="shared" si="2208"/>
        <v>0</v>
      </c>
      <c r="J120" s="65">
        <v>3486.88</v>
      </c>
      <c r="K120" s="63"/>
      <c r="L120" s="64">
        <f t="shared" si="2209"/>
        <v>3486.88</v>
      </c>
      <c r="M120" s="65">
        <v>2500</v>
      </c>
      <c r="N120" s="63"/>
      <c r="O120" s="64">
        <f t="shared" si="2210"/>
        <v>2500</v>
      </c>
      <c r="P120" s="65">
        <v>1000</v>
      </c>
      <c r="Q120" s="63"/>
      <c r="R120" s="64">
        <f t="shared" si="2211"/>
        <v>1000</v>
      </c>
      <c r="S120" s="65">
        <v>181</v>
      </c>
      <c r="T120" s="63"/>
      <c r="U120" s="64">
        <f t="shared" si="2212"/>
        <v>181</v>
      </c>
      <c r="V120" s="66">
        <f t="shared" si="2213"/>
        <v>7167.88</v>
      </c>
      <c r="W120" s="67">
        <f t="shared" si="2213"/>
        <v>0</v>
      </c>
      <c r="X120" s="64">
        <f t="shared" si="2214"/>
        <v>7167.88</v>
      </c>
      <c r="Y120" s="72"/>
      <c r="Z120" s="73"/>
      <c r="AA120" s="74"/>
      <c r="AB120" s="75"/>
      <c r="AC120" s="73"/>
      <c r="AD120" s="74"/>
      <c r="AE120" s="75"/>
      <c r="AF120" s="73"/>
      <c r="AG120" s="74"/>
      <c r="AH120" s="75"/>
      <c r="AI120" s="73"/>
      <c r="AJ120" s="74"/>
      <c r="AK120" s="76"/>
      <c r="AL120" s="77"/>
      <c r="AM120" s="64">
        <f t="shared" si="2215"/>
        <v>0</v>
      </c>
      <c r="AN120" s="62"/>
      <c r="AO120" s="63"/>
      <c r="AP120" s="64">
        <f t="shared" si="2413"/>
        <v>0</v>
      </c>
      <c r="AQ120" s="65"/>
      <c r="AR120" s="63"/>
      <c r="AS120" s="64">
        <f t="shared" si="2216"/>
        <v>0</v>
      </c>
      <c r="AT120" s="65"/>
      <c r="AU120" s="63"/>
      <c r="AV120" s="64">
        <f t="shared" si="2217"/>
        <v>0</v>
      </c>
      <c r="AW120" s="65"/>
      <c r="AX120" s="63"/>
      <c r="AY120" s="64">
        <f t="shared" si="2218"/>
        <v>0</v>
      </c>
      <c r="AZ120" s="66">
        <f t="shared" si="1469"/>
        <v>0</v>
      </c>
      <c r="BA120" s="67">
        <f t="shared" si="2219"/>
        <v>0</v>
      </c>
      <c r="BB120" s="64">
        <f t="shared" si="2220"/>
        <v>0</v>
      </c>
      <c r="BC120" s="62">
        <v>6150</v>
      </c>
      <c r="BD120" s="63"/>
      <c r="BE120" s="64">
        <f t="shared" si="2221"/>
        <v>6150</v>
      </c>
      <c r="BF120" s="65"/>
      <c r="BG120" s="63"/>
      <c r="BH120" s="64">
        <f t="shared" si="2222"/>
        <v>0</v>
      </c>
      <c r="BI120" s="65"/>
      <c r="BJ120" s="63"/>
      <c r="BK120" s="64">
        <f t="shared" si="2223"/>
        <v>0</v>
      </c>
      <c r="BL120" s="65">
        <v>100</v>
      </c>
      <c r="BM120" s="63"/>
      <c r="BN120" s="64">
        <f t="shared" si="2224"/>
        <v>100</v>
      </c>
      <c r="BO120" s="66">
        <f t="shared" si="1476"/>
        <v>6250</v>
      </c>
      <c r="BP120" s="67">
        <f t="shared" si="2225"/>
        <v>0</v>
      </c>
      <c r="BQ120" s="64">
        <f t="shared" si="2226"/>
        <v>6250</v>
      </c>
      <c r="BR120" s="72"/>
      <c r="BS120" s="73"/>
      <c r="BT120" s="74"/>
      <c r="BU120" s="75"/>
      <c r="BV120" s="73"/>
      <c r="BW120" s="74"/>
      <c r="BX120" s="75"/>
      <c r="BY120" s="73"/>
      <c r="BZ120" s="74"/>
      <c r="CA120" s="75"/>
      <c r="CB120" s="73"/>
      <c r="CC120" s="74"/>
      <c r="CD120" s="76"/>
      <c r="CE120" s="77"/>
      <c r="CF120" s="64">
        <f t="shared" si="2227"/>
        <v>0</v>
      </c>
      <c r="CG120" s="62"/>
      <c r="CH120" s="63"/>
      <c r="CI120" s="64">
        <f t="shared" si="2228"/>
        <v>0</v>
      </c>
      <c r="CJ120" s="65"/>
      <c r="CK120" s="63"/>
      <c r="CL120" s="64">
        <f t="shared" si="2229"/>
        <v>0</v>
      </c>
      <c r="CM120" s="65"/>
      <c r="CN120" s="63"/>
      <c r="CO120" s="64">
        <f t="shared" si="2230"/>
        <v>0</v>
      </c>
      <c r="CP120" s="65"/>
      <c r="CQ120" s="63"/>
      <c r="CR120" s="64">
        <f t="shared" si="2231"/>
        <v>0</v>
      </c>
      <c r="CS120" s="66">
        <f t="shared" si="1484"/>
        <v>0</v>
      </c>
      <c r="CT120" s="67">
        <f t="shared" si="2232"/>
        <v>0</v>
      </c>
      <c r="CU120" s="64">
        <f t="shared" si="2233"/>
        <v>0</v>
      </c>
      <c r="CV120" s="62">
        <v>2916.7</v>
      </c>
      <c r="CW120" s="63"/>
      <c r="CX120" s="64">
        <f t="shared" si="2234"/>
        <v>2916.7</v>
      </c>
      <c r="CY120" s="65">
        <v>429.15</v>
      </c>
      <c r="CZ120" s="63"/>
      <c r="DA120" s="64">
        <f t="shared" si="2235"/>
        <v>429.15</v>
      </c>
      <c r="DB120" s="65"/>
      <c r="DC120" s="63"/>
      <c r="DD120" s="64">
        <f t="shared" si="2236"/>
        <v>0</v>
      </c>
      <c r="DE120" s="65"/>
      <c r="DF120" s="63"/>
      <c r="DG120" s="64">
        <f t="shared" si="2237"/>
        <v>0</v>
      </c>
      <c r="DH120" s="66">
        <f t="shared" si="1491"/>
        <v>3345.85</v>
      </c>
      <c r="DI120" s="67">
        <f t="shared" si="2238"/>
        <v>0</v>
      </c>
      <c r="DJ120" s="64">
        <f t="shared" si="2239"/>
        <v>3345.85</v>
      </c>
      <c r="DK120" s="62">
        <v>2400</v>
      </c>
      <c r="DL120" s="63"/>
      <c r="DM120" s="64">
        <f t="shared" si="2240"/>
        <v>2400</v>
      </c>
      <c r="DN120" s="65">
        <v>913.08</v>
      </c>
      <c r="DO120" s="63"/>
      <c r="DP120" s="64">
        <f t="shared" si="2241"/>
        <v>913.08</v>
      </c>
      <c r="DQ120" s="65"/>
      <c r="DR120" s="63"/>
      <c r="DS120" s="64">
        <f t="shared" si="2242"/>
        <v>0</v>
      </c>
      <c r="DT120" s="65">
        <v>100</v>
      </c>
      <c r="DU120" s="63"/>
      <c r="DV120" s="64">
        <f t="shared" si="2243"/>
        <v>100</v>
      </c>
      <c r="DW120" s="66">
        <f t="shared" si="1498"/>
        <v>3413.08</v>
      </c>
      <c r="DX120" s="67">
        <f t="shared" si="2244"/>
        <v>0</v>
      </c>
      <c r="DY120" s="64">
        <f t="shared" si="2245"/>
        <v>3413.08</v>
      </c>
      <c r="DZ120" s="62"/>
      <c r="EA120" s="63"/>
      <c r="EB120" s="64">
        <f t="shared" si="2246"/>
        <v>0</v>
      </c>
      <c r="EC120" s="65"/>
      <c r="ED120" s="63"/>
      <c r="EE120" s="64">
        <f t="shared" si="2247"/>
        <v>0</v>
      </c>
      <c r="EF120" s="65"/>
      <c r="EG120" s="63"/>
      <c r="EH120" s="64">
        <f t="shared" si="2248"/>
        <v>0</v>
      </c>
      <c r="EI120" s="65">
        <v>100</v>
      </c>
      <c r="EJ120" s="63"/>
      <c r="EK120" s="64">
        <f t="shared" si="2249"/>
        <v>100</v>
      </c>
      <c r="EL120" s="66">
        <f t="shared" si="1505"/>
        <v>100</v>
      </c>
      <c r="EM120" s="67">
        <f t="shared" si="2250"/>
        <v>0</v>
      </c>
      <c r="EN120" s="64">
        <f t="shared" si="2251"/>
        <v>100</v>
      </c>
      <c r="EO120" s="62">
        <v>6150</v>
      </c>
      <c r="EP120" s="63"/>
      <c r="EQ120" s="64">
        <f t="shared" si="2252"/>
        <v>6150</v>
      </c>
      <c r="ER120" s="65"/>
      <c r="ES120" s="63"/>
      <c r="ET120" s="64">
        <f t="shared" si="2253"/>
        <v>0</v>
      </c>
      <c r="EU120" s="65"/>
      <c r="EV120" s="63"/>
      <c r="EW120" s="64">
        <f t="shared" si="2254"/>
        <v>0</v>
      </c>
      <c r="EX120" s="65">
        <v>100</v>
      </c>
      <c r="EY120" s="63"/>
      <c r="EZ120" s="64">
        <f t="shared" si="2255"/>
        <v>100</v>
      </c>
      <c r="FA120" s="66">
        <f t="shared" si="1512"/>
        <v>6250</v>
      </c>
      <c r="FB120" s="67">
        <f t="shared" si="2256"/>
        <v>0</v>
      </c>
      <c r="FC120" s="64">
        <f t="shared" si="2257"/>
        <v>6250</v>
      </c>
      <c r="FD120" s="62">
        <v>6150</v>
      </c>
      <c r="FE120" s="63"/>
      <c r="FF120" s="64">
        <f t="shared" si="2258"/>
        <v>6150</v>
      </c>
      <c r="FG120" s="65"/>
      <c r="FH120" s="63"/>
      <c r="FI120" s="64">
        <f t="shared" si="2259"/>
        <v>0</v>
      </c>
      <c r="FJ120" s="65"/>
      <c r="FK120" s="63"/>
      <c r="FL120" s="64">
        <f t="shared" si="2260"/>
        <v>0</v>
      </c>
      <c r="FM120" s="65">
        <v>100</v>
      </c>
      <c r="FN120" s="63"/>
      <c r="FO120" s="64">
        <f t="shared" si="2261"/>
        <v>100</v>
      </c>
      <c r="FP120" s="66">
        <f t="shared" si="1519"/>
        <v>6250</v>
      </c>
      <c r="FQ120" s="67">
        <f t="shared" si="2262"/>
        <v>0</v>
      </c>
      <c r="FR120" s="64">
        <f t="shared" si="2263"/>
        <v>6250</v>
      </c>
      <c r="FS120" s="62"/>
      <c r="FT120" s="63"/>
      <c r="FU120" s="64">
        <f t="shared" si="2264"/>
        <v>0</v>
      </c>
      <c r="FV120" s="65">
        <v>485.35</v>
      </c>
      <c r="FW120" s="63"/>
      <c r="FX120" s="64">
        <f t="shared" si="2265"/>
        <v>485.35</v>
      </c>
      <c r="FY120" s="65"/>
      <c r="FZ120" s="63"/>
      <c r="GA120" s="64">
        <f t="shared" si="2266"/>
        <v>0</v>
      </c>
      <c r="GB120" s="65"/>
      <c r="GC120" s="63"/>
      <c r="GD120" s="64">
        <f t="shared" si="2267"/>
        <v>0</v>
      </c>
      <c r="GE120" s="66">
        <f t="shared" si="1526"/>
        <v>485.35</v>
      </c>
      <c r="GF120" s="67">
        <f t="shared" si="2268"/>
        <v>0</v>
      </c>
      <c r="GG120" s="64">
        <f t="shared" si="2269"/>
        <v>485.35</v>
      </c>
      <c r="GH120" s="62"/>
      <c r="GI120" s="63"/>
      <c r="GJ120" s="64">
        <f t="shared" si="2270"/>
        <v>0</v>
      </c>
      <c r="GK120" s="65">
        <v>660.33</v>
      </c>
      <c r="GL120" s="63"/>
      <c r="GM120" s="64">
        <f t="shared" si="2271"/>
        <v>660.33</v>
      </c>
      <c r="GN120" s="65"/>
      <c r="GO120" s="63"/>
      <c r="GP120" s="64">
        <f t="shared" si="2272"/>
        <v>0</v>
      </c>
      <c r="GQ120" s="65"/>
      <c r="GR120" s="63"/>
      <c r="GS120" s="64">
        <f t="shared" si="2273"/>
        <v>0</v>
      </c>
      <c r="GT120" s="66">
        <f t="shared" si="1533"/>
        <v>660.33</v>
      </c>
      <c r="GU120" s="67">
        <f t="shared" si="2274"/>
        <v>0</v>
      </c>
      <c r="GV120" s="64">
        <f t="shared" si="2275"/>
        <v>660.33</v>
      </c>
      <c r="GW120" s="62"/>
      <c r="GX120" s="63"/>
      <c r="GY120" s="64">
        <f t="shared" si="2276"/>
        <v>0</v>
      </c>
      <c r="GZ120" s="65">
        <v>568.25</v>
      </c>
      <c r="HA120" s="63"/>
      <c r="HB120" s="64">
        <f t="shared" si="2277"/>
        <v>568.25</v>
      </c>
      <c r="HC120" s="65"/>
      <c r="HD120" s="63"/>
      <c r="HE120" s="64">
        <f t="shared" si="2278"/>
        <v>0</v>
      </c>
      <c r="HF120" s="65">
        <v>100</v>
      </c>
      <c r="HG120" s="63"/>
      <c r="HH120" s="64">
        <f t="shared" si="2279"/>
        <v>100</v>
      </c>
      <c r="HI120" s="66">
        <f t="shared" si="1540"/>
        <v>668.25</v>
      </c>
      <c r="HJ120" s="67">
        <f t="shared" si="2280"/>
        <v>0</v>
      </c>
      <c r="HK120" s="64">
        <f t="shared" si="2281"/>
        <v>668.25</v>
      </c>
      <c r="HL120" s="62">
        <v>6150</v>
      </c>
      <c r="HM120" s="63"/>
      <c r="HN120" s="64">
        <f t="shared" si="2282"/>
        <v>6150</v>
      </c>
      <c r="HO120" s="65"/>
      <c r="HP120" s="63"/>
      <c r="HQ120" s="64">
        <f t="shared" si="2283"/>
        <v>0</v>
      </c>
      <c r="HR120" s="65"/>
      <c r="HS120" s="63"/>
      <c r="HT120" s="64">
        <f t="shared" si="2284"/>
        <v>0</v>
      </c>
      <c r="HU120" s="65">
        <v>100</v>
      </c>
      <c r="HV120" s="63"/>
      <c r="HW120" s="64">
        <f t="shared" si="2285"/>
        <v>100</v>
      </c>
      <c r="HX120" s="66">
        <f t="shared" si="1547"/>
        <v>6250</v>
      </c>
      <c r="HY120" s="67">
        <f t="shared" si="2286"/>
        <v>0</v>
      </c>
      <c r="HZ120" s="64">
        <f t="shared" si="2287"/>
        <v>6250</v>
      </c>
      <c r="IA120" s="62"/>
      <c r="IB120" s="63"/>
      <c r="IC120" s="64">
        <f t="shared" si="2288"/>
        <v>0</v>
      </c>
      <c r="ID120" s="65"/>
      <c r="IE120" s="63"/>
      <c r="IF120" s="64">
        <f t="shared" si="2289"/>
        <v>0</v>
      </c>
      <c r="IG120" s="65"/>
      <c r="IH120" s="63"/>
      <c r="II120" s="64">
        <f t="shared" si="2290"/>
        <v>0</v>
      </c>
      <c r="IJ120" s="65">
        <v>100</v>
      </c>
      <c r="IK120" s="63"/>
      <c r="IL120" s="64">
        <f t="shared" si="2291"/>
        <v>100</v>
      </c>
      <c r="IM120" s="66">
        <f t="shared" si="1554"/>
        <v>100</v>
      </c>
      <c r="IN120" s="67">
        <f t="shared" si="2292"/>
        <v>0</v>
      </c>
      <c r="IO120" s="64">
        <f t="shared" si="2293"/>
        <v>100</v>
      </c>
      <c r="IP120" s="62"/>
      <c r="IQ120" s="63"/>
      <c r="IR120" s="64">
        <f t="shared" si="2294"/>
        <v>0</v>
      </c>
      <c r="IS120" s="65"/>
      <c r="IT120" s="63"/>
      <c r="IU120" s="64">
        <f t="shared" si="2295"/>
        <v>0</v>
      </c>
      <c r="IV120" s="65"/>
      <c r="IW120" s="63"/>
      <c r="IX120" s="64">
        <f t="shared" si="2296"/>
        <v>0</v>
      </c>
      <c r="IY120" s="65"/>
      <c r="IZ120" s="63"/>
      <c r="JA120" s="64">
        <f t="shared" si="2297"/>
        <v>0</v>
      </c>
      <c r="JB120" s="66">
        <f t="shared" si="1561"/>
        <v>0</v>
      </c>
      <c r="JC120" s="67">
        <f t="shared" si="2298"/>
        <v>0</v>
      </c>
      <c r="JD120" s="64">
        <f t="shared" si="2299"/>
        <v>0</v>
      </c>
      <c r="JE120" s="72"/>
      <c r="JF120" s="150"/>
      <c r="JG120" s="74"/>
      <c r="JH120" s="75"/>
      <c r="JI120" s="150"/>
      <c r="JJ120" s="74"/>
      <c r="JK120" s="75"/>
      <c r="JL120" s="150"/>
      <c r="JM120" s="74"/>
      <c r="JN120" s="75"/>
      <c r="JO120" s="150"/>
      <c r="JP120" s="74"/>
      <c r="JQ120" s="76"/>
      <c r="JR120" s="77"/>
      <c r="JS120" s="74"/>
      <c r="JT120" s="72"/>
      <c r="JU120" s="73"/>
      <c r="JV120" s="74"/>
      <c r="JW120" s="75"/>
      <c r="JX120" s="73"/>
      <c r="JY120" s="74"/>
      <c r="JZ120" s="75"/>
      <c r="KA120" s="73"/>
      <c r="KB120" s="74"/>
      <c r="KC120" s="75"/>
      <c r="KD120" s="73"/>
      <c r="KE120" s="74"/>
      <c r="KF120" s="76"/>
      <c r="KG120" s="77"/>
      <c r="KH120" s="64">
        <f t="shared" si="2300"/>
        <v>0</v>
      </c>
      <c r="KI120" s="62"/>
      <c r="KJ120" s="63"/>
      <c r="KK120" s="64">
        <f t="shared" si="2301"/>
        <v>0</v>
      </c>
      <c r="KL120" s="65"/>
      <c r="KM120" s="63"/>
      <c r="KN120" s="64">
        <f t="shared" si="2302"/>
        <v>0</v>
      </c>
      <c r="KO120" s="65"/>
      <c r="KP120" s="63"/>
      <c r="KQ120" s="64">
        <f t="shared" si="2303"/>
        <v>0</v>
      </c>
      <c r="KR120" s="65"/>
      <c r="KS120" s="63"/>
      <c r="KT120" s="64">
        <f t="shared" si="2304"/>
        <v>0</v>
      </c>
      <c r="KU120" s="66">
        <f t="shared" si="1439"/>
        <v>0</v>
      </c>
      <c r="KV120" s="67">
        <f t="shared" si="2305"/>
        <v>0</v>
      </c>
      <c r="KW120" s="64">
        <f t="shared" si="2306"/>
        <v>0</v>
      </c>
      <c r="KX120" s="72"/>
      <c r="KY120" s="73"/>
      <c r="KZ120" s="74"/>
      <c r="LA120" s="75"/>
      <c r="LB120" s="73"/>
      <c r="LC120" s="74"/>
      <c r="LD120" s="75"/>
      <c r="LE120" s="73"/>
      <c r="LF120" s="74"/>
      <c r="LG120" s="75"/>
      <c r="LH120" s="73"/>
      <c r="LI120" s="74"/>
      <c r="LJ120" s="76"/>
      <c r="LK120" s="77"/>
      <c r="LL120" s="74"/>
      <c r="LM120" s="62"/>
      <c r="LN120" s="63"/>
      <c r="LO120" s="64">
        <f t="shared" si="2307"/>
        <v>0</v>
      </c>
      <c r="LP120" s="65"/>
      <c r="LQ120" s="63"/>
      <c r="LR120" s="64">
        <f t="shared" si="2308"/>
        <v>0</v>
      </c>
      <c r="LS120" s="65"/>
      <c r="LT120" s="63"/>
      <c r="LU120" s="64">
        <f t="shared" si="2309"/>
        <v>0</v>
      </c>
      <c r="LV120" s="65">
        <v>100</v>
      </c>
      <c r="LW120" s="63"/>
      <c r="LX120" s="64">
        <f t="shared" si="2310"/>
        <v>100</v>
      </c>
      <c r="LY120" s="66">
        <f t="shared" si="1575"/>
        <v>100</v>
      </c>
      <c r="LZ120" s="67">
        <f t="shared" si="2311"/>
        <v>0</v>
      </c>
      <c r="MA120" s="64">
        <f t="shared" si="2312"/>
        <v>100</v>
      </c>
      <c r="MB120" s="62"/>
      <c r="MC120" s="63"/>
      <c r="MD120" s="64">
        <f t="shared" si="2313"/>
        <v>0</v>
      </c>
      <c r="ME120" s="65">
        <v>889.11</v>
      </c>
      <c r="MF120" s="63"/>
      <c r="MG120" s="64">
        <f t="shared" si="2314"/>
        <v>889.11</v>
      </c>
      <c r="MH120" s="65"/>
      <c r="MI120" s="63"/>
      <c r="MJ120" s="64">
        <f t="shared" si="2315"/>
        <v>0</v>
      </c>
      <c r="MK120" s="65">
        <v>100</v>
      </c>
      <c r="ML120" s="63"/>
      <c r="MM120" s="64">
        <f t="shared" si="2316"/>
        <v>100</v>
      </c>
      <c r="MN120" s="66">
        <f t="shared" si="1582"/>
        <v>989.11</v>
      </c>
      <c r="MO120" s="67">
        <f t="shared" si="2317"/>
        <v>0</v>
      </c>
      <c r="MP120" s="64">
        <f t="shared" si="2318"/>
        <v>989.11</v>
      </c>
      <c r="MQ120" s="62"/>
      <c r="MR120" s="63"/>
      <c r="MS120" s="64">
        <f t="shared" si="2319"/>
        <v>0</v>
      </c>
      <c r="MT120" s="65"/>
      <c r="MU120" s="63"/>
      <c r="MV120" s="64">
        <f t="shared" si="2320"/>
        <v>0</v>
      </c>
      <c r="MW120" s="65"/>
      <c r="MX120" s="63"/>
      <c r="MY120" s="64">
        <f t="shared" si="2321"/>
        <v>0</v>
      </c>
      <c r="MZ120" s="65"/>
      <c r="NA120" s="63"/>
      <c r="NB120" s="64">
        <f t="shared" si="2322"/>
        <v>0</v>
      </c>
      <c r="NC120" s="66">
        <f t="shared" si="1589"/>
        <v>0</v>
      </c>
      <c r="ND120" s="67">
        <f t="shared" si="2323"/>
        <v>0</v>
      </c>
      <c r="NE120" s="64">
        <f t="shared" si="2324"/>
        <v>0</v>
      </c>
      <c r="NF120" s="62"/>
      <c r="NG120" s="63"/>
      <c r="NH120" s="64">
        <f t="shared" si="2325"/>
        <v>0</v>
      </c>
      <c r="NI120" s="65">
        <v>1164.04</v>
      </c>
      <c r="NJ120" s="63"/>
      <c r="NK120" s="64">
        <f t="shared" si="2326"/>
        <v>1164.04</v>
      </c>
      <c r="NL120" s="65"/>
      <c r="NM120" s="63"/>
      <c r="NN120" s="64">
        <f t="shared" si="2327"/>
        <v>0</v>
      </c>
      <c r="NO120" s="65">
        <v>100</v>
      </c>
      <c r="NP120" s="63"/>
      <c r="NQ120" s="64">
        <f t="shared" si="2328"/>
        <v>100</v>
      </c>
      <c r="NR120" s="66">
        <f t="shared" si="1596"/>
        <v>1264.04</v>
      </c>
      <c r="NS120" s="67">
        <f t="shared" si="2329"/>
        <v>0</v>
      </c>
      <c r="NT120" s="64">
        <f t="shared" si="2330"/>
        <v>1264.04</v>
      </c>
      <c r="NU120" s="62"/>
      <c r="NV120" s="63"/>
      <c r="NW120" s="64">
        <f t="shared" si="2331"/>
        <v>0</v>
      </c>
      <c r="NX120" s="65">
        <v>1152.73</v>
      </c>
      <c r="NY120" s="63"/>
      <c r="NZ120" s="64">
        <f t="shared" si="2332"/>
        <v>1152.73</v>
      </c>
      <c r="OA120" s="65"/>
      <c r="OB120" s="63"/>
      <c r="OC120" s="64">
        <f t="shared" si="2333"/>
        <v>0</v>
      </c>
      <c r="OD120" s="65">
        <v>100</v>
      </c>
      <c r="OE120" s="63"/>
      <c r="OF120" s="64">
        <f t="shared" si="2334"/>
        <v>100</v>
      </c>
      <c r="OG120" s="66">
        <f t="shared" si="1603"/>
        <v>1252.73</v>
      </c>
      <c r="OH120" s="67">
        <f t="shared" si="2335"/>
        <v>0</v>
      </c>
      <c r="OI120" s="64">
        <f t="shared" si="2336"/>
        <v>1252.73</v>
      </c>
      <c r="OJ120" s="62"/>
      <c r="OK120" s="63"/>
      <c r="OL120" s="64">
        <f t="shared" si="2337"/>
        <v>0</v>
      </c>
      <c r="OM120" s="65"/>
      <c r="ON120" s="63"/>
      <c r="OO120" s="64">
        <f t="shared" si="2338"/>
        <v>0</v>
      </c>
      <c r="OP120" s="65"/>
      <c r="OQ120" s="63"/>
      <c r="OR120" s="64">
        <f t="shared" si="2339"/>
        <v>0</v>
      </c>
      <c r="OS120" s="65">
        <v>100</v>
      </c>
      <c r="OT120" s="63"/>
      <c r="OU120" s="64">
        <f t="shared" si="2340"/>
        <v>100</v>
      </c>
      <c r="OV120" s="66">
        <f t="shared" si="1610"/>
        <v>100</v>
      </c>
      <c r="OW120" s="67">
        <f t="shared" si="2341"/>
        <v>0</v>
      </c>
      <c r="OX120" s="64">
        <f t="shared" si="2342"/>
        <v>100</v>
      </c>
      <c r="OY120" s="62"/>
      <c r="OZ120" s="63"/>
      <c r="PA120" s="64">
        <f t="shared" si="2343"/>
        <v>0</v>
      </c>
      <c r="PB120" s="65"/>
      <c r="PC120" s="63"/>
      <c r="PD120" s="64">
        <f t="shared" si="2344"/>
        <v>0</v>
      </c>
      <c r="PE120" s="65"/>
      <c r="PF120" s="63"/>
      <c r="PG120" s="64">
        <f t="shared" si="2345"/>
        <v>0</v>
      </c>
      <c r="PH120" s="65">
        <v>100</v>
      </c>
      <c r="PI120" s="63"/>
      <c r="PJ120" s="64">
        <f t="shared" si="2346"/>
        <v>100</v>
      </c>
      <c r="PK120" s="66">
        <f t="shared" si="1617"/>
        <v>100</v>
      </c>
      <c r="PL120" s="67">
        <f t="shared" si="2347"/>
        <v>0</v>
      </c>
      <c r="PM120" s="64">
        <f t="shared" si="2348"/>
        <v>100</v>
      </c>
      <c r="PN120" s="62">
        <v>1550</v>
      </c>
      <c r="PO120" s="63"/>
      <c r="PP120" s="64">
        <f t="shared" si="2349"/>
        <v>1550</v>
      </c>
      <c r="PQ120" s="65"/>
      <c r="PR120" s="63"/>
      <c r="PS120" s="64">
        <f t="shared" si="2350"/>
        <v>0</v>
      </c>
      <c r="PT120" s="65"/>
      <c r="PU120" s="63"/>
      <c r="PV120" s="64">
        <f t="shared" si="2351"/>
        <v>0</v>
      </c>
      <c r="PW120" s="65">
        <v>100</v>
      </c>
      <c r="PX120" s="63"/>
      <c r="PY120" s="64">
        <f t="shared" si="2352"/>
        <v>100</v>
      </c>
      <c r="PZ120" s="66">
        <f t="shared" si="1624"/>
        <v>1650</v>
      </c>
      <c r="QA120" s="67">
        <f t="shared" si="2353"/>
        <v>0</v>
      </c>
      <c r="QB120" s="64">
        <f t="shared" si="2354"/>
        <v>1650</v>
      </c>
      <c r="QC120" s="62"/>
      <c r="QD120" s="63"/>
      <c r="QE120" s="64">
        <f t="shared" si="2355"/>
        <v>0</v>
      </c>
      <c r="QF120" s="65"/>
      <c r="QG120" s="63"/>
      <c r="QH120" s="64">
        <f t="shared" si="2356"/>
        <v>0</v>
      </c>
      <c r="QI120" s="65"/>
      <c r="QJ120" s="63"/>
      <c r="QK120" s="64">
        <f t="shared" si="2357"/>
        <v>0</v>
      </c>
      <c r="QL120" s="65">
        <v>100</v>
      </c>
      <c r="QM120" s="63"/>
      <c r="QN120" s="64">
        <f t="shared" si="2358"/>
        <v>100</v>
      </c>
      <c r="QO120" s="66">
        <f t="shared" si="1631"/>
        <v>100</v>
      </c>
      <c r="QP120" s="67">
        <f t="shared" si="2359"/>
        <v>0</v>
      </c>
      <c r="QQ120" s="64">
        <f t="shared" si="2360"/>
        <v>100</v>
      </c>
      <c r="QR120" s="74"/>
      <c r="QS120" s="74"/>
      <c r="QT120" s="72"/>
      <c r="QU120" s="73"/>
      <c r="QV120" s="74"/>
      <c r="QW120" s="75"/>
      <c r="QX120" s="73"/>
      <c r="QY120" s="74"/>
      <c r="QZ120" s="75"/>
      <c r="RA120" s="73"/>
      <c r="RB120" s="74"/>
      <c r="RC120" s="75"/>
      <c r="RD120" s="73"/>
      <c r="RE120" s="74"/>
      <c r="RF120" s="74"/>
      <c r="RG120" s="72"/>
      <c r="RH120" s="73"/>
      <c r="RI120" s="74"/>
      <c r="RJ120" s="75"/>
      <c r="RK120" s="73"/>
      <c r="RL120" s="74"/>
      <c r="RM120" s="75"/>
      <c r="RN120" s="73"/>
      <c r="RO120" s="74"/>
      <c r="RP120" s="75"/>
      <c r="RQ120" s="73"/>
      <c r="RR120" s="74"/>
      <c r="RS120" s="76"/>
      <c r="RT120" s="77"/>
      <c r="RU120" s="74"/>
      <c r="RV120" s="74"/>
      <c r="RW120" s="72"/>
      <c r="RX120" s="73"/>
      <c r="RY120" s="74"/>
      <c r="RZ120" s="75"/>
      <c r="SA120" s="73"/>
      <c r="SB120" s="74"/>
      <c r="SC120" s="75"/>
      <c r="SD120" s="73"/>
      <c r="SE120" s="74"/>
      <c r="SF120" s="75"/>
      <c r="SG120" s="73"/>
      <c r="SH120" s="74"/>
      <c r="SI120" s="76"/>
      <c r="SJ120" s="64">
        <f t="shared" si="2361"/>
        <v>0</v>
      </c>
      <c r="SK120" s="62"/>
      <c r="SL120" s="63"/>
      <c r="SM120" s="64">
        <f t="shared" si="2362"/>
        <v>0</v>
      </c>
      <c r="SN120" s="65"/>
      <c r="SO120" s="63"/>
      <c r="SP120" s="64">
        <f t="shared" si="2363"/>
        <v>0</v>
      </c>
      <c r="SQ120" s="65"/>
      <c r="SR120" s="63"/>
      <c r="SS120" s="64">
        <f t="shared" si="2364"/>
        <v>0</v>
      </c>
      <c r="ST120" s="65">
        <v>100</v>
      </c>
      <c r="SU120" s="63"/>
      <c r="SV120" s="64">
        <f t="shared" si="2365"/>
        <v>100</v>
      </c>
      <c r="SW120" s="66">
        <f t="shared" si="1639"/>
        <v>100</v>
      </c>
      <c r="SX120" s="67">
        <f t="shared" si="2366"/>
        <v>0</v>
      </c>
      <c r="SY120" s="64">
        <f t="shared" si="2367"/>
        <v>100</v>
      </c>
      <c r="SZ120" s="62">
        <v>985.33</v>
      </c>
      <c r="TA120" s="63"/>
      <c r="TB120" s="64">
        <f t="shared" si="2368"/>
        <v>985.33</v>
      </c>
      <c r="TC120" s="65">
        <v>700.9</v>
      </c>
      <c r="TD120" s="63"/>
      <c r="TE120" s="64">
        <f t="shared" si="2369"/>
        <v>700.9</v>
      </c>
      <c r="TF120" s="65"/>
      <c r="TG120" s="63"/>
      <c r="TH120" s="64">
        <f t="shared" si="2370"/>
        <v>0</v>
      </c>
      <c r="TI120" s="65">
        <v>100</v>
      </c>
      <c r="TJ120" s="63"/>
      <c r="TK120" s="64">
        <f t="shared" si="2371"/>
        <v>100</v>
      </c>
      <c r="TL120" s="66">
        <f t="shared" si="1646"/>
        <v>1786.23</v>
      </c>
      <c r="TM120" s="67">
        <f t="shared" si="2372"/>
        <v>0</v>
      </c>
      <c r="TN120" s="64">
        <f t="shared" si="2373"/>
        <v>1786.23</v>
      </c>
      <c r="TO120" s="62"/>
      <c r="TP120" s="63"/>
      <c r="TQ120" s="64">
        <f t="shared" si="2374"/>
        <v>0</v>
      </c>
      <c r="TR120" s="65"/>
      <c r="TS120" s="63"/>
      <c r="TT120" s="64">
        <f t="shared" si="2375"/>
        <v>0</v>
      </c>
      <c r="TU120" s="65"/>
      <c r="TV120" s="63"/>
      <c r="TW120" s="64">
        <f t="shared" si="2376"/>
        <v>0</v>
      </c>
      <c r="TX120" s="65">
        <v>100</v>
      </c>
      <c r="TY120" s="63"/>
      <c r="TZ120" s="64">
        <f t="shared" si="2377"/>
        <v>100</v>
      </c>
      <c r="UA120" s="66">
        <f t="shared" si="1653"/>
        <v>100</v>
      </c>
      <c r="UB120" s="67">
        <f t="shared" si="2378"/>
        <v>0</v>
      </c>
      <c r="UC120" s="64">
        <f t="shared" si="2379"/>
        <v>100</v>
      </c>
      <c r="UD120" s="62"/>
      <c r="UE120" s="63"/>
      <c r="UF120" s="64">
        <f t="shared" si="2380"/>
        <v>0</v>
      </c>
      <c r="UG120" s="65">
        <v>497.04</v>
      </c>
      <c r="UH120" s="63"/>
      <c r="UI120" s="64">
        <f t="shared" si="2381"/>
        <v>497.04</v>
      </c>
      <c r="UJ120" s="65"/>
      <c r="UK120" s="63"/>
      <c r="UL120" s="64">
        <f t="shared" si="2382"/>
        <v>0</v>
      </c>
      <c r="UM120" s="65">
        <v>100</v>
      </c>
      <c r="UN120" s="63"/>
      <c r="UO120" s="64">
        <f t="shared" si="2383"/>
        <v>100</v>
      </c>
      <c r="UP120" s="66">
        <f t="shared" si="1660"/>
        <v>597.04</v>
      </c>
      <c r="UQ120" s="67">
        <f t="shared" si="2384"/>
        <v>0</v>
      </c>
      <c r="UR120" s="64">
        <f t="shared" si="2385"/>
        <v>597.04</v>
      </c>
      <c r="US120" s="74"/>
      <c r="UT120" s="72"/>
      <c r="UU120" s="73"/>
      <c r="UV120" s="74"/>
      <c r="UW120" s="75"/>
      <c r="UX120" s="73"/>
      <c r="UY120" s="74"/>
      <c r="UZ120" s="75"/>
      <c r="VA120" s="73"/>
      <c r="VB120" s="74"/>
      <c r="VC120" s="75"/>
      <c r="VD120" s="73"/>
      <c r="VE120" s="74"/>
      <c r="VF120" s="76"/>
      <c r="VG120" s="77"/>
      <c r="VH120" s="62"/>
      <c r="VI120" s="63"/>
      <c r="VJ120" s="64">
        <f t="shared" si="2386"/>
        <v>0</v>
      </c>
      <c r="VK120" s="65"/>
      <c r="VL120" s="63"/>
      <c r="VM120" s="64">
        <f t="shared" si="2387"/>
        <v>0</v>
      </c>
      <c r="VN120" s="65"/>
      <c r="VO120" s="63"/>
      <c r="VP120" s="64">
        <f t="shared" si="2388"/>
        <v>0</v>
      </c>
      <c r="VQ120" s="65">
        <v>100</v>
      </c>
      <c r="VR120" s="63"/>
      <c r="VS120" s="64">
        <f t="shared" si="2389"/>
        <v>100</v>
      </c>
      <c r="VT120" s="66">
        <f t="shared" si="1667"/>
        <v>100</v>
      </c>
      <c r="VU120" s="67">
        <f t="shared" si="2390"/>
        <v>0</v>
      </c>
      <c r="VV120" s="64">
        <f t="shared" si="2391"/>
        <v>100</v>
      </c>
      <c r="VW120" s="74"/>
      <c r="VX120" s="72"/>
      <c r="VY120" s="73"/>
      <c r="VZ120" s="74"/>
      <c r="WA120" s="75"/>
      <c r="WB120" s="73"/>
      <c r="WC120" s="74"/>
      <c r="WD120" s="75"/>
      <c r="WE120" s="73"/>
      <c r="WF120" s="74"/>
      <c r="WG120" s="75"/>
      <c r="WH120" s="73"/>
      <c r="WI120" s="74"/>
      <c r="WJ120" s="76"/>
      <c r="WK120" s="77"/>
      <c r="WL120" s="74"/>
      <c r="WM120" s="72"/>
      <c r="WN120" s="73"/>
      <c r="WO120" s="74"/>
      <c r="WP120" s="75"/>
      <c r="WQ120" s="73"/>
      <c r="WR120" s="74"/>
      <c r="WS120" s="75"/>
      <c r="WT120" s="73"/>
      <c r="WU120" s="74"/>
      <c r="WV120" s="75"/>
      <c r="WW120" s="73"/>
      <c r="WX120" s="74"/>
      <c r="WY120" s="76"/>
      <c r="WZ120" s="77"/>
      <c r="XA120" s="74"/>
      <c r="XB120" s="72"/>
      <c r="XC120" s="73"/>
      <c r="XD120" s="74"/>
      <c r="XE120" s="75"/>
      <c r="XF120" s="73"/>
      <c r="XG120" s="74"/>
      <c r="XH120" s="75"/>
      <c r="XI120" s="73"/>
      <c r="XJ120" s="74"/>
      <c r="XK120" s="75"/>
      <c r="XL120" s="73"/>
      <c r="XM120" s="74"/>
      <c r="XN120" s="76"/>
      <c r="XO120" s="77"/>
      <c r="XP120" s="62"/>
      <c r="XQ120" s="63"/>
      <c r="XR120" s="64">
        <f t="shared" si="2392"/>
        <v>0</v>
      </c>
      <c r="XS120" s="65">
        <v>844.24</v>
      </c>
      <c r="XT120" s="63"/>
      <c r="XU120" s="64">
        <f t="shared" si="2393"/>
        <v>844.24</v>
      </c>
      <c r="XV120" s="65"/>
      <c r="XW120" s="63"/>
      <c r="XX120" s="64">
        <f t="shared" si="2394"/>
        <v>0</v>
      </c>
      <c r="XY120" s="65">
        <v>100</v>
      </c>
      <c r="XZ120" s="63"/>
      <c r="YA120" s="64">
        <f t="shared" si="2395"/>
        <v>100</v>
      </c>
      <c r="YB120" s="66">
        <f t="shared" si="1674"/>
        <v>944.24</v>
      </c>
      <c r="YC120" s="67">
        <f t="shared" si="2396"/>
        <v>0</v>
      </c>
      <c r="YD120" s="64">
        <f t="shared" si="2397"/>
        <v>944.24</v>
      </c>
      <c r="YE120" s="62"/>
      <c r="YF120" s="63"/>
      <c r="YG120" s="64">
        <f t="shared" si="2398"/>
        <v>0</v>
      </c>
      <c r="YH120" s="65">
        <v>847.85</v>
      </c>
      <c r="YI120" s="63"/>
      <c r="YJ120" s="64">
        <f t="shared" si="2399"/>
        <v>847.85</v>
      </c>
      <c r="YK120" s="65"/>
      <c r="YL120" s="63"/>
      <c r="YM120" s="64">
        <f t="shared" si="2400"/>
        <v>0</v>
      </c>
      <c r="YN120" s="65">
        <v>100</v>
      </c>
      <c r="YO120" s="63"/>
      <c r="YP120" s="64">
        <f t="shared" si="2401"/>
        <v>100</v>
      </c>
      <c r="YQ120" s="66">
        <f t="shared" si="1681"/>
        <v>947.85</v>
      </c>
      <c r="YR120" s="67">
        <f t="shared" si="2402"/>
        <v>0</v>
      </c>
      <c r="YS120" s="64">
        <f t="shared" si="2403"/>
        <v>947.85</v>
      </c>
      <c r="YT120" s="62"/>
      <c r="YU120" s="63"/>
      <c r="YV120" s="64">
        <f t="shared" si="2404"/>
        <v>0</v>
      </c>
      <c r="YW120" s="65">
        <v>695.73</v>
      </c>
      <c r="YX120" s="63"/>
      <c r="YY120" s="64">
        <f t="shared" si="2405"/>
        <v>695.73</v>
      </c>
      <c r="YZ120" s="65"/>
      <c r="ZA120" s="63"/>
      <c r="ZB120" s="64">
        <f t="shared" si="2406"/>
        <v>0</v>
      </c>
      <c r="ZC120" s="65">
        <v>100</v>
      </c>
      <c r="ZD120" s="63"/>
      <c r="ZE120" s="64">
        <f t="shared" si="2407"/>
        <v>100</v>
      </c>
      <c r="ZF120" s="66">
        <f t="shared" si="1688"/>
        <v>795.73</v>
      </c>
      <c r="ZG120" s="67">
        <f t="shared" si="2408"/>
        <v>0</v>
      </c>
      <c r="ZH120" s="74"/>
      <c r="ZI120" s="72"/>
      <c r="ZJ120" s="73"/>
      <c r="ZK120" s="74"/>
      <c r="ZL120" s="75"/>
      <c r="ZM120" s="73"/>
      <c r="ZN120" s="74"/>
      <c r="ZO120" s="75"/>
      <c r="ZP120" s="73"/>
      <c r="ZQ120" s="74"/>
      <c r="ZR120" s="75"/>
      <c r="ZS120" s="73"/>
      <c r="ZT120" s="74"/>
      <c r="ZU120" s="76"/>
      <c r="ZV120" s="77"/>
      <c r="ZW120" s="64">
        <f t="shared" si="2409"/>
        <v>0</v>
      </c>
      <c r="ZX120" s="62">
        <v>24.71</v>
      </c>
      <c r="ZY120" s="63"/>
      <c r="ZZ120" s="64">
        <f t="shared" si="2410"/>
        <v>24.71</v>
      </c>
      <c r="AAA120" s="66">
        <f t="shared" si="1692"/>
        <v>24.71</v>
      </c>
      <c r="AAB120" s="67">
        <f t="shared" si="1692"/>
        <v>0</v>
      </c>
      <c r="AAC120" s="64">
        <f t="shared" si="2411"/>
        <v>24.71</v>
      </c>
      <c r="AAD120" s="85">
        <f t="shared" si="1694"/>
        <v>51867.71</v>
      </c>
      <c r="AAE120" s="98">
        <f t="shared" si="1694"/>
        <v>0</v>
      </c>
      <c r="AAF120" s="99">
        <f t="shared" si="1457"/>
        <v>0</v>
      </c>
      <c r="AAG120" s="100">
        <f t="shared" si="2412"/>
        <v>-51867.71</v>
      </c>
      <c r="AAH120" s="96"/>
      <c r="AAI120" s="97"/>
      <c r="AAJ120" s="97"/>
      <c r="AAK120" s="60"/>
    </row>
    <row r="121" spans="1:713" s="83" customFormat="1" ht="20" customHeight="1" thickBot="1" x14ac:dyDescent="0.25">
      <c r="A121" s="1"/>
      <c r="F121" s="101" t="s">
        <v>169</v>
      </c>
      <c r="G121" s="102">
        <f t="shared" ref="G121:X121" si="2414">SUM(G109:G120)</f>
        <v>371675.99</v>
      </c>
      <c r="H121" s="103">
        <f t="shared" si="2414"/>
        <v>0</v>
      </c>
      <c r="I121" s="104">
        <f t="shared" si="2414"/>
        <v>371675.99</v>
      </c>
      <c r="J121" s="103">
        <f t="shared" si="2414"/>
        <v>37095.769999999997</v>
      </c>
      <c r="K121" s="105">
        <f t="shared" si="2414"/>
        <v>0</v>
      </c>
      <c r="L121" s="104">
        <f t="shared" si="2414"/>
        <v>37095.769999999997</v>
      </c>
      <c r="M121" s="103">
        <f t="shared" si="2414"/>
        <v>30000</v>
      </c>
      <c r="N121" s="105">
        <f t="shared" si="2414"/>
        <v>0</v>
      </c>
      <c r="O121" s="104">
        <f t="shared" si="2414"/>
        <v>30000</v>
      </c>
      <c r="P121" s="103">
        <f t="shared" si="2414"/>
        <v>11000</v>
      </c>
      <c r="Q121" s="105">
        <f t="shared" si="2414"/>
        <v>0</v>
      </c>
      <c r="R121" s="104">
        <f t="shared" si="2414"/>
        <v>11000</v>
      </c>
      <c r="S121" s="103">
        <f t="shared" si="2414"/>
        <v>2896</v>
      </c>
      <c r="T121" s="105">
        <f t="shared" si="2414"/>
        <v>0</v>
      </c>
      <c r="U121" s="104">
        <f t="shared" si="2414"/>
        <v>2896</v>
      </c>
      <c r="V121" s="103">
        <f t="shared" si="2414"/>
        <v>452667.75999999995</v>
      </c>
      <c r="W121" s="106">
        <f t="shared" si="2414"/>
        <v>0</v>
      </c>
      <c r="X121" s="104">
        <f t="shared" si="2414"/>
        <v>452667.75999999995</v>
      </c>
      <c r="Y121" s="107"/>
      <c r="Z121" s="108"/>
      <c r="AA121" s="109"/>
      <c r="AB121" s="108"/>
      <c r="AC121" s="110"/>
      <c r="AD121" s="109"/>
      <c r="AE121" s="108"/>
      <c r="AF121" s="110"/>
      <c r="AG121" s="109"/>
      <c r="AH121" s="108"/>
      <c r="AI121" s="110"/>
      <c r="AJ121" s="109"/>
      <c r="AK121" s="108"/>
      <c r="AL121" s="111"/>
      <c r="AM121" s="104">
        <f t="shared" ref="AM121:AY121" si="2415">SUM(AM109:AM120)</f>
        <v>0</v>
      </c>
      <c r="AN121" s="102">
        <f t="shared" si="2415"/>
        <v>25000</v>
      </c>
      <c r="AO121" s="103">
        <f t="shared" si="2415"/>
        <v>0</v>
      </c>
      <c r="AP121" s="104">
        <f t="shared" si="2415"/>
        <v>25000</v>
      </c>
      <c r="AQ121" s="103">
        <f t="shared" si="2415"/>
        <v>0</v>
      </c>
      <c r="AR121" s="105">
        <f t="shared" si="2415"/>
        <v>0</v>
      </c>
      <c r="AS121" s="104">
        <f t="shared" si="2415"/>
        <v>0</v>
      </c>
      <c r="AT121" s="103">
        <f t="shared" si="2415"/>
        <v>2745.49</v>
      </c>
      <c r="AU121" s="105">
        <f t="shared" si="2415"/>
        <v>0</v>
      </c>
      <c r="AV121" s="104">
        <f t="shared" si="2415"/>
        <v>2745.49</v>
      </c>
      <c r="AW121" s="103">
        <f t="shared" si="2415"/>
        <v>0</v>
      </c>
      <c r="AX121" s="105">
        <f t="shared" si="2415"/>
        <v>0</v>
      </c>
      <c r="AY121" s="104">
        <f t="shared" si="2415"/>
        <v>0</v>
      </c>
      <c r="AZ121" s="103">
        <f t="shared" si="1469"/>
        <v>27745.489999999998</v>
      </c>
      <c r="BA121" s="106">
        <f t="shared" ref="BA121:BN121" si="2416">SUM(BA109:BA120)</f>
        <v>0</v>
      </c>
      <c r="BB121" s="104">
        <f t="shared" si="2416"/>
        <v>27745.489999999998</v>
      </c>
      <c r="BC121" s="102">
        <f t="shared" si="2416"/>
        <v>36900</v>
      </c>
      <c r="BD121" s="103">
        <f t="shared" si="2416"/>
        <v>0</v>
      </c>
      <c r="BE121" s="104">
        <f t="shared" si="2416"/>
        <v>36900</v>
      </c>
      <c r="BF121" s="103">
        <f t="shared" si="2416"/>
        <v>0</v>
      </c>
      <c r="BG121" s="105">
        <f t="shared" si="2416"/>
        <v>0</v>
      </c>
      <c r="BH121" s="104">
        <f t="shared" si="2416"/>
        <v>0</v>
      </c>
      <c r="BI121" s="103">
        <f t="shared" si="2416"/>
        <v>8000</v>
      </c>
      <c r="BJ121" s="105">
        <f t="shared" si="2416"/>
        <v>0</v>
      </c>
      <c r="BK121" s="104">
        <f t="shared" si="2416"/>
        <v>8000</v>
      </c>
      <c r="BL121" s="103">
        <f t="shared" si="2416"/>
        <v>1200</v>
      </c>
      <c r="BM121" s="105">
        <f t="shared" si="2416"/>
        <v>0</v>
      </c>
      <c r="BN121" s="104">
        <f t="shared" si="2416"/>
        <v>1200</v>
      </c>
      <c r="BO121" s="103">
        <f t="shared" si="1476"/>
        <v>46100</v>
      </c>
      <c r="BP121" s="106">
        <f>SUM(BP109:BP120)</f>
        <v>0</v>
      </c>
      <c r="BQ121" s="104">
        <f>SUM(BQ109:BQ120)</f>
        <v>46100</v>
      </c>
      <c r="BR121" s="107"/>
      <c r="BS121" s="108"/>
      <c r="BT121" s="109"/>
      <c r="BU121" s="108"/>
      <c r="BV121" s="110"/>
      <c r="BW121" s="109"/>
      <c r="BX121" s="108"/>
      <c r="BY121" s="110"/>
      <c r="BZ121" s="109"/>
      <c r="CA121" s="108"/>
      <c r="CB121" s="110"/>
      <c r="CC121" s="109"/>
      <c r="CD121" s="108"/>
      <c r="CE121" s="111"/>
      <c r="CF121" s="104">
        <f t="shared" ref="CF121:CR121" si="2417">SUM(CF109:CF120)</f>
        <v>0</v>
      </c>
      <c r="CG121" s="102">
        <f t="shared" si="2417"/>
        <v>20000</v>
      </c>
      <c r="CH121" s="103">
        <f t="shared" si="2417"/>
        <v>0</v>
      </c>
      <c r="CI121" s="104">
        <f t="shared" si="2417"/>
        <v>20000</v>
      </c>
      <c r="CJ121" s="103">
        <f t="shared" si="2417"/>
        <v>0</v>
      </c>
      <c r="CK121" s="105">
        <f t="shared" si="2417"/>
        <v>0</v>
      </c>
      <c r="CL121" s="104">
        <f t="shared" si="2417"/>
        <v>0</v>
      </c>
      <c r="CM121" s="103">
        <f t="shared" si="2417"/>
        <v>2739.5</v>
      </c>
      <c r="CN121" s="105">
        <f t="shared" si="2417"/>
        <v>0</v>
      </c>
      <c r="CO121" s="104">
        <f t="shared" si="2417"/>
        <v>2739.5</v>
      </c>
      <c r="CP121" s="103">
        <f t="shared" si="2417"/>
        <v>0</v>
      </c>
      <c r="CQ121" s="105">
        <f t="shared" si="2417"/>
        <v>0</v>
      </c>
      <c r="CR121" s="104">
        <f t="shared" si="2417"/>
        <v>0</v>
      </c>
      <c r="CS121" s="103">
        <f t="shared" si="1484"/>
        <v>22739.5</v>
      </c>
      <c r="CT121" s="106">
        <f t="shared" ref="CT121:DG121" si="2418">SUM(CT109:CT120)</f>
        <v>0</v>
      </c>
      <c r="CU121" s="104">
        <f t="shared" si="2418"/>
        <v>22739.5</v>
      </c>
      <c r="CV121" s="102">
        <f t="shared" si="2418"/>
        <v>35000.400000000001</v>
      </c>
      <c r="CW121" s="103">
        <f t="shared" si="2418"/>
        <v>0</v>
      </c>
      <c r="CX121" s="104">
        <f t="shared" si="2418"/>
        <v>35000.400000000001</v>
      </c>
      <c r="CY121" s="103">
        <f t="shared" si="2418"/>
        <v>5149.7999999999993</v>
      </c>
      <c r="CZ121" s="105">
        <f t="shared" si="2418"/>
        <v>0</v>
      </c>
      <c r="DA121" s="104">
        <f t="shared" si="2418"/>
        <v>5149.7999999999993</v>
      </c>
      <c r="DB121" s="103">
        <f t="shared" si="2418"/>
        <v>3000</v>
      </c>
      <c r="DC121" s="105">
        <f t="shared" si="2418"/>
        <v>0</v>
      </c>
      <c r="DD121" s="104">
        <f t="shared" si="2418"/>
        <v>3000</v>
      </c>
      <c r="DE121" s="103">
        <f t="shared" si="2418"/>
        <v>0</v>
      </c>
      <c r="DF121" s="105">
        <f t="shared" si="2418"/>
        <v>0</v>
      </c>
      <c r="DG121" s="104">
        <f t="shared" si="2418"/>
        <v>0</v>
      </c>
      <c r="DH121" s="103">
        <f t="shared" si="1491"/>
        <v>43150.2</v>
      </c>
      <c r="DI121" s="106">
        <f t="shared" ref="DI121:DV121" si="2419">SUM(DI109:DI120)</f>
        <v>0</v>
      </c>
      <c r="DJ121" s="104">
        <f t="shared" si="2419"/>
        <v>43150.19999999999</v>
      </c>
      <c r="DK121" s="102">
        <f t="shared" si="2419"/>
        <v>28800</v>
      </c>
      <c r="DL121" s="103">
        <f t="shared" si="2419"/>
        <v>0</v>
      </c>
      <c r="DM121" s="104">
        <f t="shared" si="2419"/>
        <v>28800</v>
      </c>
      <c r="DN121" s="103">
        <f t="shared" si="2419"/>
        <v>10956.960000000001</v>
      </c>
      <c r="DO121" s="105">
        <f t="shared" si="2419"/>
        <v>0</v>
      </c>
      <c r="DP121" s="104">
        <f t="shared" si="2419"/>
        <v>10956.960000000001</v>
      </c>
      <c r="DQ121" s="103">
        <f t="shared" si="2419"/>
        <v>0</v>
      </c>
      <c r="DR121" s="105">
        <f t="shared" si="2419"/>
        <v>0</v>
      </c>
      <c r="DS121" s="104">
        <f t="shared" si="2419"/>
        <v>0</v>
      </c>
      <c r="DT121" s="103">
        <f t="shared" si="2419"/>
        <v>1200</v>
      </c>
      <c r="DU121" s="105">
        <f t="shared" si="2419"/>
        <v>0</v>
      </c>
      <c r="DV121" s="104">
        <f t="shared" si="2419"/>
        <v>1200</v>
      </c>
      <c r="DW121" s="103">
        <f t="shared" si="1498"/>
        <v>40956.959999999999</v>
      </c>
      <c r="DX121" s="106">
        <f t="shared" ref="DX121:EK121" si="2420">SUM(DX109:DX120)</f>
        <v>0</v>
      </c>
      <c r="DY121" s="104">
        <f t="shared" si="2420"/>
        <v>40956.960000000014</v>
      </c>
      <c r="DZ121" s="102">
        <f t="shared" si="2420"/>
        <v>24000</v>
      </c>
      <c r="EA121" s="103">
        <f t="shared" si="2420"/>
        <v>0</v>
      </c>
      <c r="EB121" s="104">
        <f t="shared" si="2420"/>
        <v>24000</v>
      </c>
      <c r="EC121" s="103">
        <f t="shared" si="2420"/>
        <v>0</v>
      </c>
      <c r="ED121" s="105">
        <f t="shared" si="2420"/>
        <v>0</v>
      </c>
      <c r="EE121" s="104">
        <f t="shared" si="2420"/>
        <v>0</v>
      </c>
      <c r="EF121" s="103">
        <f t="shared" si="2420"/>
        <v>0</v>
      </c>
      <c r="EG121" s="105">
        <f t="shared" si="2420"/>
        <v>0</v>
      </c>
      <c r="EH121" s="104">
        <f t="shared" si="2420"/>
        <v>0</v>
      </c>
      <c r="EI121" s="103">
        <f t="shared" si="2420"/>
        <v>1200</v>
      </c>
      <c r="EJ121" s="105">
        <f t="shared" si="2420"/>
        <v>0</v>
      </c>
      <c r="EK121" s="104">
        <f t="shared" si="2420"/>
        <v>1200</v>
      </c>
      <c r="EL121" s="103">
        <f t="shared" si="1505"/>
        <v>25200</v>
      </c>
      <c r="EM121" s="106">
        <f t="shared" ref="EM121:EZ121" si="2421">SUM(EM109:EM120)</f>
        <v>0</v>
      </c>
      <c r="EN121" s="104">
        <f t="shared" si="2421"/>
        <v>25200</v>
      </c>
      <c r="EO121" s="102">
        <f t="shared" si="2421"/>
        <v>36900</v>
      </c>
      <c r="EP121" s="103">
        <f t="shared" si="2421"/>
        <v>0</v>
      </c>
      <c r="EQ121" s="104">
        <f t="shared" si="2421"/>
        <v>36900</v>
      </c>
      <c r="ER121" s="103">
        <f t="shared" si="2421"/>
        <v>3600</v>
      </c>
      <c r="ES121" s="105">
        <f t="shared" si="2421"/>
        <v>0</v>
      </c>
      <c r="ET121" s="104">
        <f t="shared" si="2421"/>
        <v>3600</v>
      </c>
      <c r="EU121" s="103">
        <f t="shared" si="2421"/>
        <v>4500</v>
      </c>
      <c r="EV121" s="105">
        <f t="shared" si="2421"/>
        <v>0</v>
      </c>
      <c r="EW121" s="104">
        <f t="shared" si="2421"/>
        <v>4500</v>
      </c>
      <c r="EX121" s="103">
        <f t="shared" si="2421"/>
        <v>1200</v>
      </c>
      <c r="EY121" s="105">
        <f t="shared" si="2421"/>
        <v>0</v>
      </c>
      <c r="EZ121" s="104">
        <f t="shared" si="2421"/>
        <v>1200</v>
      </c>
      <c r="FA121" s="103">
        <f t="shared" si="1512"/>
        <v>46200</v>
      </c>
      <c r="FB121" s="106">
        <f t="shared" ref="FB121:FO121" si="2422">SUM(FB109:FB120)</f>
        <v>0</v>
      </c>
      <c r="FC121" s="104">
        <f t="shared" si="2422"/>
        <v>46200</v>
      </c>
      <c r="FD121" s="102">
        <f t="shared" si="2422"/>
        <v>36900</v>
      </c>
      <c r="FE121" s="103">
        <f t="shared" si="2422"/>
        <v>0</v>
      </c>
      <c r="FF121" s="104">
        <f t="shared" si="2422"/>
        <v>36900</v>
      </c>
      <c r="FG121" s="103">
        <f t="shared" si="2422"/>
        <v>3600</v>
      </c>
      <c r="FH121" s="105">
        <f t="shared" si="2422"/>
        <v>0</v>
      </c>
      <c r="FI121" s="104">
        <f t="shared" si="2422"/>
        <v>3600</v>
      </c>
      <c r="FJ121" s="103">
        <f t="shared" si="2422"/>
        <v>4500</v>
      </c>
      <c r="FK121" s="105">
        <f t="shared" si="2422"/>
        <v>0</v>
      </c>
      <c r="FL121" s="104">
        <f t="shared" si="2422"/>
        <v>4500</v>
      </c>
      <c r="FM121" s="103">
        <f t="shared" si="2422"/>
        <v>1200</v>
      </c>
      <c r="FN121" s="105">
        <f t="shared" si="2422"/>
        <v>0</v>
      </c>
      <c r="FO121" s="104">
        <f t="shared" si="2422"/>
        <v>1200</v>
      </c>
      <c r="FP121" s="103">
        <f t="shared" si="1519"/>
        <v>46200</v>
      </c>
      <c r="FQ121" s="106">
        <f t="shared" ref="FQ121:GD121" si="2423">SUM(FQ109:FQ120)</f>
        <v>0</v>
      </c>
      <c r="FR121" s="104">
        <f t="shared" si="2423"/>
        <v>46200</v>
      </c>
      <c r="FS121" s="102">
        <f t="shared" si="2423"/>
        <v>18000</v>
      </c>
      <c r="FT121" s="103">
        <f t="shared" si="2423"/>
        <v>0</v>
      </c>
      <c r="FU121" s="104">
        <f t="shared" si="2423"/>
        <v>18000</v>
      </c>
      <c r="FV121" s="103">
        <f t="shared" si="2423"/>
        <v>5824.2000000000007</v>
      </c>
      <c r="FW121" s="105">
        <f t="shared" si="2423"/>
        <v>0</v>
      </c>
      <c r="FX121" s="104">
        <f t="shared" si="2423"/>
        <v>5824.2000000000007</v>
      </c>
      <c r="FY121" s="103">
        <f t="shared" si="2423"/>
        <v>3650</v>
      </c>
      <c r="FZ121" s="105">
        <f t="shared" si="2423"/>
        <v>0</v>
      </c>
      <c r="GA121" s="104">
        <f t="shared" si="2423"/>
        <v>3650</v>
      </c>
      <c r="GB121" s="103">
        <f t="shared" si="2423"/>
        <v>0</v>
      </c>
      <c r="GC121" s="105">
        <f t="shared" si="2423"/>
        <v>0</v>
      </c>
      <c r="GD121" s="104">
        <f t="shared" si="2423"/>
        <v>0</v>
      </c>
      <c r="GE121" s="103">
        <f t="shared" si="1526"/>
        <v>27474.2</v>
      </c>
      <c r="GF121" s="106">
        <f t="shared" ref="GF121:GS121" si="2424">SUM(GF109:GF120)</f>
        <v>0</v>
      </c>
      <c r="GG121" s="104">
        <f t="shared" si="2424"/>
        <v>27474.199999999993</v>
      </c>
      <c r="GH121" s="102">
        <f t="shared" si="2424"/>
        <v>18000</v>
      </c>
      <c r="GI121" s="103">
        <f t="shared" si="2424"/>
        <v>0</v>
      </c>
      <c r="GJ121" s="104">
        <f t="shared" si="2424"/>
        <v>18000</v>
      </c>
      <c r="GK121" s="103">
        <f t="shared" si="2424"/>
        <v>7923.96</v>
      </c>
      <c r="GL121" s="105">
        <f t="shared" si="2424"/>
        <v>0</v>
      </c>
      <c r="GM121" s="104">
        <f t="shared" si="2424"/>
        <v>7923.96</v>
      </c>
      <c r="GN121" s="103">
        <f t="shared" si="2424"/>
        <v>3650</v>
      </c>
      <c r="GO121" s="105">
        <f t="shared" si="2424"/>
        <v>0</v>
      </c>
      <c r="GP121" s="104">
        <f t="shared" si="2424"/>
        <v>3650</v>
      </c>
      <c r="GQ121" s="103">
        <f t="shared" si="2424"/>
        <v>0</v>
      </c>
      <c r="GR121" s="105">
        <f t="shared" si="2424"/>
        <v>0</v>
      </c>
      <c r="GS121" s="104">
        <f t="shared" si="2424"/>
        <v>0</v>
      </c>
      <c r="GT121" s="103">
        <f t="shared" si="1533"/>
        <v>29573.96</v>
      </c>
      <c r="GU121" s="106">
        <f t="shared" ref="GU121:HH121" si="2425">SUM(GU109:GU120)</f>
        <v>0</v>
      </c>
      <c r="GV121" s="104">
        <f t="shared" si="2425"/>
        <v>29573.96000000001</v>
      </c>
      <c r="GW121" s="102">
        <f t="shared" si="2425"/>
        <v>26700</v>
      </c>
      <c r="GX121" s="103">
        <f t="shared" si="2425"/>
        <v>0</v>
      </c>
      <c r="GY121" s="104">
        <f t="shared" si="2425"/>
        <v>26700</v>
      </c>
      <c r="GZ121" s="103">
        <f t="shared" si="2425"/>
        <v>6819</v>
      </c>
      <c r="HA121" s="105">
        <f t="shared" si="2425"/>
        <v>0</v>
      </c>
      <c r="HB121" s="104">
        <f t="shared" si="2425"/>
        <v>6819</v>
      </c>
      <c r="HC121" s="103">
        <f t="shared" si="2425"/>
        <v>0</v>
      </c>
      <c r="HD121" s="105">
        <f t="shared" si="2425"/>
        <v>0</v>
      </c>
      <c r="HE121" s="104">
        <f t="shared" si="2425"/>
        <v>0</v>
      </c>
      <c r="HF121" s="103">
        <f t="shared" si="2425"/>
        <v>1200</v>
      </c>
      <c r="HG121" s="105">
        <f t="shared" si="2425"/>
        <v>0</v>
      </c>
      <c r="HH121" s="104">
        <f t="shared" si="2425"/>
        <v>1200</v>
      </c>
      <c r="HI121" s="103">
        <f t="shared" si="1540"/>
        <v>34719</v>
      </c>
      <c r="HJ121" s="106">
        <f t="shared" ref="HJ121:HW121" si="2426">SUM(HJ109:HJ120)</f>
        <v>0</v>
      </c>
      <c r="HK121" s="104">
        <f t="shared" si="2426"/>
        <v>34719</v>
      </c>
      <c r="HL121" s="102">
        <f t="shared" si="2426"/>
        <v>36900</v>
      </c>
      <c r="HM121" s="103">
        <f t="shared" si="2426"/>
        <v>0</v>
      </c>
      <c r="HN121" s="104">
        <f t="shared" si="2426"/>
        <v>36900</v>
      </c>
      <c r="HO121" s="103">
        <f t="shared" si="2426"/>
        <v>4400</v>
      </c>
      <c r="HP121" s="105">
        <f t="shared" si="2426"/>
        <v>0</v>
      </c>
      <c r="HQ121" s="104">
        <f t="shared" si="2426"/>
        <v>4400</v>
      </c>
      <c r="HR121" s="103">
        <f t="shared" si="2426"/>
        <v>4800</v>
      </c>
      <c r="HS121" s="105">
        <f t="shared" si="2426"/>
        <v>0</v>
      </c>
      <c r="HT121" s="104">
        <f t="shared" si="2426"/>
        <v>4800</v>
      </c>
      <c r="HU121" s="103">
        <f t="shared" si="2426"/>
        <v>1200</v>
      </c>
      <c r="HV121" s="105">
        <f t="shared" si="2426"/>
        <v>0</v>
      </c>
      <c r="HW121" s="104">
        <f t="shared" si="2426"/>
        <v>1200</v>
      </c>
      <c r="HX121" s="103">
        <f t="shared" si="1547"/>
        <v>47300</v>
      </c>
      <c r="HY121" s="106">
        <f t="shared" ref="HY121:IL121" si="2427">SUM(HY109:HY120)</f>
        <v>0</v>
      </c>
      <c r="HZ121" s="104">
        <f t="shared" si="2427"/>
        <v>47300</v>
      </c>
      <c r="IA121" s="102">
        <f t="shared" si="2427"/>
        <v>19729</v>
      </c>
      <c r="IB121" s="103">
        <f t="shared" si="2427"/>
        <v>0</v>
      </c>
      <c r="IC121" s="104">
        <f t="shared" si="2427"/>
        <v>19729</v>
      </c>
      <c r="ID121" s="103">
        <f t="shared" si="2427"/>
        <v>0</v>
      </c>
      <c r="IE121" s="105">
        <f t="shared" si="2427"/>
        <v>0</v>
      </c>
      <c r="IF121" s="104">
        <f t="shared" si="2427"/>
        <v>0</v>
      </c>
      <c r="IG121" s="103">
        <f t="shared" si="2427"/>
        <v>9701.0400000000009</v>
      </c>
      <c r="IH121" s="105">
        <f t="shared" si="2427"/>
        <v>0</v>
      </c>
      <c r="II121" s="104">
        <f t="shared" si="2427"/>
        <v>9701.0400000000009</v>
      </c>
      <c r="IJ121" s="103">
        <f t="shared" si="2427"/>
        <v>1200</v>
      </c>
      <c r="IK121" s="105">
        <f t="shared" si="2427"/>
        <v>0</v>
      </c>
      <c r="IL121" s="104">
        <f t="shared" si="2427"/>
        <v>1200</v>
      </c>
      <c r="IM121" s="103">
        <f t="shared" si="1554"/>
        <v>30630.04</v>
      </c>
      <c r="IN121" s="106">
        <f t="shared" ref="IN121:JA121" si="2428">SUM(IN109:IN120)</f>
        <v>0</v>
      </c>
      <c r="IO121" s="104">
        <f t="shared" si="2428"/>
        <v>30630.04</v>
      </c>
      <c r="IP121" s="102">
        <f t="shared" si="2428"/>
        <v>20000</v>
      </c>
      <c r="IQ121" s="103">
        <f t="shared" si="2428"/>
        <v>0</v>
      </c>
      <c r="IR121" s="104">
        <f t="shared" si="2428"/>
        <v>20000</v>
      </c>
      <c r="IS121" s="103">
        <f t="shared" si="2428"/>
        <v>0</v>
      </c>
      <c r="IT121" s="105">
        <f t="shared" si="2428"/>
        <v>0</v>
      </c>
      <c r="IU121" s="104">
        <f t="shared" si="2428"/>
        <v>0</v>
      </c>
      <c r="IV121" s="103">
        <f t="shared" si="2428"/>
        <v>2739.5</v>
      </c>
      <c r="IW121" s="105">
        <f t="shared" si="2428"/>
        <v>0</v>
      </c>
      <c r="IX121" s="104">
        <f t="shared" si="2428"/>
        <v>2739.5</v>
      </c>
      <c r="IY121" s="103">
        <f t="shared" si="2428"/>
        <v>0</v>
      </c>
      <c r="IZ121" s="105">
        <f t="shared" si="2428"/>
        <v>0</v>
      </c>
      <c r="JA121" s="104">
        <f t="shared" si="2428"/>
        <v>0</v>
      </c>
      <c r="JB121" s="103">
        <f t="shared" si="1561"/>
        <v>22739.5</v>
      </c>
      <c r="JC121" s="106">
        <f>SUM(JC109:JC120)</f>
        <v>0</v>
      </c>
      <c r="JD121" s="104">
        <f>SUM(JD109:JD120)</f>
        <v>22739.5</v>
      </c>
      <c r="JE121" s="107"/>
      <c r="JF121" s="108"/>
      <c r="JG121" s="109"/>
      <c r="JH121" s="108"/>
      <c r="JI121" s="110"/>
      <c r="JJ121" s="109"/>
      <c r="JK121" s="108"/>
      <c r="JL121" s="110"/>
      <c r="JM121" s="109"/>
      <c r="JN121" s="108"/>
      <c r="JO121" s="110"/>
      <c r="JP121" s="109"/>
      <c r="JQ121" s="108"/>
      <c r="JR121" s="111"/>
      <c r="JS121" s="109"/>
      <c r="JT121" s="107"/>
      <c r="JU121" s="108"/>
      <c r="JV121" s="109"/>
      <c r="JW121" s="108"/>
      <c r="JX121" s="110"/>
      <c r="JY121" s="109"/>
      <c r="JZ121" s="108"/>
      <c r="KA121" s="110"/>
      <c r="KB121" s="109"/>
      <c r="KC121" s="108"/>
      <c r="KD121" s="110"/>
      <c r="KE121" s="109"/>
      <c r="KF121" s="108"/>
      <c r="KG121" s="111"/>
      <c r="KH121" s="104">
        <f t="shared" ref="KH121:KT121" si="2429">SUM(KH109:KH120)</f>
        <v>0</v>
      </c>
      <c r="KI121" s="102">
        <f t="shared" si="2429"/>
        <v>100000</v>
      </c>
      <c r="KJ121" s="103">
        <f t="shared" si="2429"/>
        <v>0</v>
      </c>
      <c r="KK121" s="104">
        <f t="shared" si="2429"/>
        <v>100000</v>
      </c>
      <c r="KL121" s="103">
        <f t="shared" si="2429"/>
        <v>0</v>
      </c>
      <c r="KM121" s="105">
        <f t="shared" si="2429"/>
        <v>0</v>
      </c>
      <c r="KN121" s="104">
        <f t="shared" si="2429"/>
        <v>0</v>
      </c>
      <c r="KO121" s="103">
        <f t="shared" si="2429"/>
        <v>0</v>
      </c>
      <c r="KP121" s="105">
        <f t="shared" si="2429"/>
        <v>0</v>
      </c>
      <c r="KQ121" s="104">
        <f t="shared" si="2429"/>
        <v>0</v>
      </c>
      <c r="KR121" s="103">
        <f t="shared" si="2429"/>
        <v>0</v>
      </c>
      <c r="KS121" s="105">
        <f t="shared" si="2429"/>
        <v>0</v>
      </c>
      <c r="KT121" s="104">
        <f t="shared" si="2429"/>
        <v>0</v>
      </c>
      <c r="KU121" s="103">
        <f t="shared" si="1439"/>
        <v>100000</v>
      </c>
      <c r="KV121" s="106">
        <f>SUM(KV109:KV120)</f>
        <v>0</v>
      </c>
      <c r="KW121" s="104">
        <f>SUM(KW109:KW120)</f>
        <v>100000</v>
      </c>
      <c r="KX121" s="122"/>
      <c r="KY121" s="123"/>
      <c r="KZ121" s="124"/>
      <c r="LA121" s="123"/>
      <c r="LB121" s="125"/>
      <c r="LC121" s="124"/>
      <c r="LD121" s="123"/>
      <c r="LE121" s="125"/>
      <c r="LF121" s="124"/>
      <c r="LG121" s="123"/>
      <c r="LH121" s="125"/>
      <c r="LI121" s="109"/>
      <c r="LJ121" s="108"/>
      <c r="LK121" s="111"/>
      <c r="LL121" s="109"/>
      <c r="LM121" s="102">
        <f t="shared" ref="LM121:LX121" si="2430">SUM(LM109:LM120)</f>
        <v>18600</v>
      </c>
      <c r="LN121" s="103">
        <f t="shared" si="2430"/>
        <v>0</v>
      </c>
      <c r="LO121" s="104">
        <f t="shared" si="2430"/>
        <v>18600</v>
      </c>
      <c r="LP121" s="103">
        <f t="shared" si="2430"/>
        <v>0</v>
      </c>
      <c r="LQ121" s="105">
        <f t="shared" si="2430"/>
        <v>0</v>
      </c>
      <c r="LR121" s="104">
        <f t="shared" si="2430"/>
        <v>0</v>
      </c>
      <c r="LS121" s="103">
        <f t="shared" si="2430"/>
        <v>0</v>
      </c>
      <c r="LT121" s="105">
        <f t="shared" si="2430"/>
        <v>0</v>
      </c>
      <c r="LU121" s="104">
        <f t="shared" si="2430"/>
        <v>0</v>
      </c>
      <c r="LV121" s="103">
        <f t="shared" si="2430"/>
        <v>1200</v>
      </c>
      <c r="LW121" s="105">
        <f t="shared" si="2430"/>
        <v>0</v>
      </c>
      <c r="LX121" s="104">
        <f t="shared" si="2430"/>
        <v>1200</v>
      </c>
      <c r="LY121" s="103">
        <f t="shared" si="1575"/>
        <v>19800</v>
      </c>
      <c r="LZ121" s="106">
        <f t="shared" ref="LZ121:MM121" si="2431">SUM(LZ109:LZ120)</f>
        <v>0</v>
      </c>
      <c r="MA121" s="104">
        <f t="shared" si="2431"/>
        <v>19800</v>
      </c>
      <c r="MB121" s="102">
        <f t="shared" si="2431"/>
        <v>7800</v>
      </c>
      <c r="MC121" s="103">
        <f t="shared" si="2431"/>
        <v>0</v>
      </c>
      <c r="MD121" s="104">
        <f t="shared" si="2431"/>
        <v>7800</v>
      </c>
      <c r="ME121" s="103">
        <f t="shared" si="2431"/>
        <v>10669.32</v>
      </c>
      <c r="MF121" s="105">
        <f t="shared" si="2431"/>
        <v>0</v>
      </c>
      <c r="MG121" s="104">
        <f t="shared" si="2431"/>
        <v>10669.32</v>
      </c>
      <c r="MH121" s="103">
        <f t="shared" si="2431"/>
        <v>0</v>
      </c>
      <c r="MI121" s="105">
        <f t="shared" si="2431"/>
        <v>0</v>
      </c>
      <c r="MJ121" s="104">
        <f t="shared" si="2431"/>
        <v>0</v>
      </c>
      <c r="MK121" s="103">
        <f t="shared" si="2431"/>
        <v>1200</v>
      </c>
      <c r="ML121" s="105">
        <f t="shared" si="2431"/>
        <v>0</v>
      </c>
      <c r="MM121" s="104">
        <f t="shared" si="2431"/>
        <v>1200</v>
      </c>
      <c r="MN121" s="103">
        <f t="shared" si="1582"/>
        <v>19669.32</v>
      </c>
      <c r="MO121" s="106">
        <f t="shared" ref="MO121:NB121" si="2432">SUM(MO109:MO120)</f>
        <v>0</v>
      </c>
      <c r="MP121" s="104">
        <f t="shared" si="2432"/>
        <v>19669.320000000003</v>
      </c>
      <c r="MQ121" s="102">
        <f t="shared" si="2432"/>
        <v>18200</v>
      </c>
      <c r="MR121" s="103">
        <f t="shared" si="2432"/>
        <v>0</v>
      </c>
      <c r="MS121" s="104">
        <f t="shared" si="2432"/>
        <v>18200</v>
      </c>
      <c r="MT121" s="103">
        <f t="shared" si="2432"/>
        <v>0</v>
      </c>
      <c r="MU121" s="105">
        <f t="shared" si="2432"/>
        <v>0</v>
      </c>
      <c r="MV121" s="104">
        <f t="shared" si="2432"/>
        <v>0</v>
      </c>
      <c r="MW121" s="103">
        <f t="shared" si="2432"/>
        <v>0</v>
      </c>
      <c r="MX121" s="105">
        <f t="shared" si="2432"/>
        <v>0</v>
      </c>
      <c r="MY121" s="104">
        <f t="shared" si="2432"/>
        <v>0</v>
      </c>
      <c r="MZ121" s="103">
        <f t="shared" si="2432"/>
        <v>0</v>
      </c>
      <c r="NA121" s="105">
        <f t="shared" si="2432"/>
        <v>0</v>
      </c>
      <c r="NB121" s="104">
        <f t="shared" si="2432"/>
        <v>0</v>
      </c>
      <c r="NC121" s="103">
        <f t="shared" si="1589"/>
        <v>18200</v>
      </c>
      <c r="ND121" s="106">
        <f t="shared" ref="ND121:NQ121" si="2433">SUM(ND109:ND120)</f>
        <v>0</v>
      </c>
      <c r="NE121" s="104">
        <f t="shared" si="2433"/>
        <v>18200</v>
      </c>
      <c r="NF121" s="102">
        <f t="shared" si="2433"/>
        <v>12000</v>
      </c>
      <c r="NG121" s="103">
        <f t="shared" si="2433"/>
        <v>0</v>
      </c>
      <c r="NH121" s="104">
        <f t="shared" si="2433"/>
        <v>12000</v>
      </c>
      <c r="NI121" s="103">
        <f t="shared" si="2433"/>
        <v>13968.480000000003</v>
      </c>
      <c r="NJ121" s="105">
        <f t="shared" si="2433"/>
        <v>0</v>
      </c>
      <c r="NK121" s="104">
        <f t="shared" si="2433"/>
        <v>13968.480000000003</v>
      </c>
      <c r="NL121" s="103">
        <f t="shared" si="2433"/>
        <v>0</v>
      </c>
      <c r="NM121" s="105">
        <f t="shared" si="2433"/>
        <v>0</v>
      </c>
      <c r="NN121" s="104">
        <f t="shared" si="2433"/>
        <v>0</v>
      </c>
      <c r="NO121" s="103">
        <f t="shared" si="2433"/>
        <v>1200</v>
      </c>
      <c r="NP121" s="105">
        <f t="shared" si="2433"/>
        <v>0</v>
      </c>
      <c r="NQ121" s="104">
        <f t="shared" si="2433"/>
        <v>1200</v>
      </c>
      <c r="NR121" s="103">
        <f t="shared" si="1596"/>
        <v>27168.480000000003</v>
      </c>
      <c r="NS121" s="106">
        <f t="shared" ref="NS121:OF121" si="2434">SUM(NS109:NS120)</f>
        <v>0</v>
      </c>
      <c r="NT121" s="104">
        <f t="shared" si="2434"/>
        <v>27168.480000000003</v>
      </c>
      <c r="NU121" s="102">
        <f t="shared" si="2434"/>
        <v>10368</v>
      </c>
      <c r="NV121" s="103">
        <f t="shared" si="2434"/>
        <v>0</v>
      </c>
      <c r="NW121" s="104">
        <f t="shared" si="2434"/>
        <v>10368</v>
      </c>
      <c r="NX121" s="103">
        <f t="shared" si="2434"/>
        <v>13832.759999999997</v>
      </c>
      <c r="NY121" s="105">
        <f t="shared" si="2434"/>
        <v>0</v>
      </c>
      <c r="NZ121" s="104">
        <f t="shared" si="2434"/>
        <v>13832.759999999997</v>
      </c>
      <c r="OA121" s="103">
        <f t="shared" si="2434"/>
        <v>884.31</v>
      </c>
      <c r="OB121" s="105">
        <f t="shared" si="2434"/>
        <v>0</v>
      </c>
      <c r="OC121" s="104">
        <f t="shared" si="2434"/>
        <v>884.31</v>
      </c>
      <c r="OD121" s="103">
        <f t="shared" si="2434"/>
        <v>1200</v>
      </c>
      <c r="OE121" s="105">
        <f t="shared" si="2434"/>
        <v>0</v>
      </c>
      <c r="OF121" s="104">
        <f t="shared" si="2434"/>
        <v>1200</v>
      </c>
      <c r="OG121" s="103">
        <f t="shared" si="1603"/>
        <v>26285.069999999996</v>
      </c>
      <c r="OH121" s="106">
        <f t="shared" ref="OH121:OU121" si="2435">SUM(OH109:OH120)</f>
        <v>0</v>
      </c>
      <c r="OI121" s="104">
        <f t="shared" si="2435"/>
        <v>26285.069999999996</v>
      </c>
      <c r="OJ121" s="102">
        <f t="shared" si="2435"/>
        <v>17500</v>
      </c>
      <c r="OK121" s="103">
        <f t="shared" si="2435"/>
        <v>0</v>
      </c>
      <c r="OL121" s="104">
        <f t="shared" si="2435"/>
        <v>17500</v>
      </c>
      <c r="OM121" s="103">
        <f t="shared" si="2435"/>
        <v>0</v>
      </c>
      <c r="ON121" s="105">
        <f t="shared" si="2435"/>
        <v>0</v>
      </c>
      <c r="OO121" s="104">
        <f t="shared" si="2435"/>
        <v>0</v>
      </c>
      <c r="OP121" s="103">
        <f t="shared" si="2435"/>
        <v>1200</v>
      </c>
      <c r="OQ121" s="105">
        <f t="shared" si="2435"/>
        <v>0</v>
      </c>
      <c r="OR121" s="104">
        <f t="shared" si="2435"/>
        <v>1200</v>
      </c>
      <c r="OS121" s="103">
        <f t="shared" si="2435"/>
        <v>1200</v>
      </c>
      <c r="OT121" s="105">
        <f t="shared" si="2435"/>
        <v>0</v>
      </c>
      <c r="OU121" s="104">
        <f t="shared" si="2435"/>
        <v>1200</v>
      </c>
      <c r="OV121" s="103">
        <f t="shared" si="1610"/>
        <v>19900</v>
      </c>
      <c r="OW121" s="106">
        <f t="shared" ref="OW121:PJ121" si="2436">SUM(OW109:OW120)</f>
        <v>0</v>
      </c>
      <c r="OX121" s="104">
        <f t="shared" si="2436"/>
        <v>19900</v>
      </c>
      <c r="OY121" s="102">
        <f t="shared" si="2436"/>
        <v>15800</v>
      </c>
      <c r="OZ121" s="103">
        <f t="shared" si="2436"/>
        <v>0</v>
      </c>
      <c r="PA121" s="104">
        <f t="shared" si="2436"/>
        <v>15800</v>
      </c>
      <c r="PB121" s="103">
        <f t="shared" si="2436"/>
        <v>600</v>
      </c>
      <c r="PC121" s="105">
        <f t="shared" si="2436"/>
        <v>0</v>
      </c>
      <c r="PD121" s="104">
        <f t="shared" si="2436"/>
        <v>600</v>
      </c>
      <c r="PE121" s="103">
        <f t="shared" si="2436"/>
        <v>0</v>
      </c>
      <c r="PF121" s="105">
        <f t="shared" si="2436"/>
        <v>0</v>
      </c>
      <c r="PG121" s="104">
        <f t="shared" si="2436"/>
        <v>0</v>
      </c>
      <c r="PH121" s="103">
        <f t="shared" si="2436"/>
        <v>1200</v>
      </c>
      <c r="PI121" s="105">
        <f t="shared" si="2436"/>
        <v>0</v>
      </c>
      <c r="PJ121" s="104">
        <f t="shared" si="2436"/>
        <v>1200</v>
      </c>
      <c r="PK121" s="103">
        <f t="shared" si="1617"/>
        <v>17600</v>
      </c>
      <c r="PL121" s="106">
        <f t="shared" ref="PL121:PY121" si="2437">SUM(PL109:PL120)</f>
        <v>0</v>
      </c>
      <c r="PM121" s="104">
        <f t="shared" si="2437"/>
        <v>17600</v>
      </c>
      <c r="PN121" s="102">
        <f t="shared" si="2437"/>
        <v>18600</v>
      </c>
      <c r="PO121" s="103">
        <f t="shared" si="2437"/>
        <v>0</v>
      </c>
      <c r="PP121" s="104">
        <f t="shared" si="2437"/>
        <v>18600</v>
      </c>
      <c r="PQ121" s="103">
        <f t="shared" si="2437"/>
        <v>0</v>
      </c>
      <c r="PR121" s="105">
        <f t="shared" si="2437"/>
        <v>0</v>
      </c>
      <c r="PS121" s="104">
        <f t="shared" si="2437"/>
        <v>0</v>
      </c>
      <c r="PT121" s="103">
        <f t="shared" si="2437"/>
        <v>0</v>
      </c>
      <c r="PU121" s="105">
        <f t="shared" si="2437"/>
        <v>0</v>
      </c>
      <c r="PV121" s="104">
        <f t="shared" si="2437"/>
        <v>0</v>
      </c>
      <c r="PW121" s="103">
        <f t="shared" si="2437"/>
        <v>1200</v>
      </c>
      <c r="PX121" s="105">
        <f t="shared" si="2437"/>
        <v>0</v>
      </c>
      <c r="PY121" s="104">
        <f t="shared" si="2437"/>
        <v>1200</v>
      </c>
      <c r="PZ121" s="103">
        <f t="shared" si="1624"/>
        <v>19800</v>
      </c>
      <c r="QA121" s="106">
        <f t="shared" ref="QA121:QN121" si="2438">SUM(QA109:QA120)</f>
        <v>0</v>
      </c>
      <c r="QB121" s="104">
        <f t="shared" si="2438"/>
        <v>19800</v>
      </c>
      <c r="QC121" s="102">
        <f t="shared" si="2438"/>
        <v>18000</v>
      </c>
      <c r="QD121" s="103">
        <f t="shared" si="2438"/>
        <v>0</v>
      </c>
      <c r="QE121" s="104">
        <f t="shared" si="2438"/>
        <v>18000</v>
      </c>
      <c r="QF121" s="103">
        <f t="shared" si="2438"/>
        <v>0</v>
      </c>
      <c r="QG121" s="105">
        <f t="shared" si="2438"/>
        <v>0</v>
      </c>
      <c r="QH121" s="104">
        <f t="shared" si="2438"/>
        <v>0</v>
      </c>
      <c r="QI121" s="103">
        <f t="shared" si="2438"/>
        <v>0</v>
      </c>
      <c r="QJ121" s="105">
        <f t="shared" si="2438"/>
        <v>0</v>
      </c>
      <c r="QK121" s="104">
        <f t="shared" si="2438"/>
        <v>0</v>
      </c>
      <c r="QL121" s="103">
        <f t="shared" si="2438"/>
        <v>1200</v>
      </c>
      <c r="QM121" s="105">
        <f t="shared" si="2438"/>
        <v>0</v>
      </c>
      <c r="QN121" s="104">
        <f t="shared" si="2438"/>
        <v>1200</v>
      </c>
      <c r="QO121" s="103">
        <f t="shared" si="1631"/>
        <v>19200</v>
      </c>
      <c r="QP121" s="106">
        <f>SUM(QP109:QP120)</f>
        <v>0</v>
      </c>
      <c r="QQ121" s="104">
        <f>SUM(QQ109:QQ120)</f>
        <v>19200</v>
      </c>
      <c r="QR121" s="109"/>
      <c r="QS121" s="109"/>
      <c r="QT121" s="107"/>
      <c r="QU121" s="108"/>
      <c r="QV121" s="109"/>
      <c r="QW121" s="108"/>
      <c r="QX121" s="110"/>
      <c r="QY121" s="109"/>
      <c r="QZ121" s="108"/>
      <c r="RA121" s="110"/>
      <c r="RB121" s="109"/>
      <c r="RC121" s="108"/>
      <c r="RD121" s="110"/>
      <c r="RE121" s="109"/>
      <c r="RF121" s="109"/>
      <c r="RG121" s="107"/>
      <c r="RH121" s="108"/>
      <c r="RI121" s="109"/>
      <c r="RJ121" s="108"/>
      <c r="RK121" s="110"/>
      <c r="RL121" s="109"/>
      <c r="RM121" s="108"/>
      <c r="RN121" s="110"/>
      <c r="RO121" s="109"/>
      <c r="RP121" s="108"/>
      <c r="RQ121" s="110"/>
      <c r="RR121" s="109"/>
      <c r="RS121" s="108"/>
      <c r="RT121" s="111"/>
      <c r="RU121" s="109"/>
      <c r="RV121" s="109"/>
      <c r="RW121" s="107"/>
      <c r="RX121" s="108"/>
      <c r="RY121" s="109"/>
      <c r="RZ121" s="108"/>
      <c r="SA121" s="110"/>
      <c r="SB121" s="109"/>
      <c r="SC121" s="108"/>
      <c r="SD121" s="110"/>
      <c r="SE121" s="109"/>
      <c r="SF121" s="108"/>
      <c r="SG121" s="110"/>
      <c r="SH121" s="109"/>
      <c r="SI121" s="108"/>
      <c r="SJ121" s="104">
        <f t="shared" ref="SJ121:SV121" si="2439">SUM(SJ109:SJ120)</f>
        <v>0</v>
      </c>
      <c r="SK121" s="102">
        <f t="shared" si="2439"/>
        <v>17000</v>
      </c>
      <c r="SL121" s="103">
        <f t="shared" si="2439"/>
        <v>0</v>
      </c>
      <c r="SM121" s="104">
        <f t="shared" si="2439"/>
        <v>17000</v>
      </c>
      <c r="SN121" s="103">
        <f t="shared" si="2439"/>
        <v>0</v>
      </c>
      <c r="SO121" s="105">
        <f t="shared" si="2439"/>
        <v>0</v>
      </c>
      <c r="SP121" s="104">
        <f t="shared" si="2439"/>
        <v>0</v>
      </c>
      <c r="SQ121" s="103">
        <f t="shared" si="2439"/>
        <v>0</v>
      </c>
      <c r="SR121" s="105">
        <f t="shared" si="2439"/>
        <v>0</v>
      </c>
      <c r="SS121" s="104">
        <f t="shared" si="2439"/>
        <v>0</v>
      </c>
      <c r="ST121" s="103">
        <f t="shared" si="2439"/>
        <v>1200</v>
      </c>
      <c r="SU121" s="105">
        <f t="shared" si="2439"/>
        <v>0</v>
      </c>
      <c r="SV121" s="104">
        <f t="shared" si="2439"/>
        <v>1200</v>
      </c>
      <c r="SW121" s="103">
        <f t="shared" si="1639"/>
        <v>18200</v>
      </c>
      <c r="SX121" s="106">
        <f t="shared" ref="SX121:TK121" si="2440">SUM(SX109:SX120)</f>
        <v>0</v>
      </c>
      <c r="SY121" s="104">
        <f t="shared" si="2440"/>
        <v>18200</v>
      </c>
      <c r="SZ121" s="102">
        <f t="shared" si="2440"/>
        <v>11823.960000000001</v>
      </c>
      <c r="TA121" s="103">
        <f t="shared" si="2440"/>
        <v>0</v>
      </c>
      <c r="TB121" s="104">
        <f t="shared" si="2440"/>
        <v>11823.960000000001</v>
      </c>
      <c r="TC121" s="103">
        <f t="shared" si="2440"/>
        <v>8410.7999999999975</v>
      </c>
      <c r="TD121" s="105">
        <f t="shared" si="2440"/>
        <v>0</v>
      </c>
      <c r="TE121" s="104">
        <f t="shared" si="2440"/>
        <v>8410.7999999999975</v>
      </c>
      <c r="TF121" s="103">
        <f t="shared" si="2440"/>
        <v>1800</v>
      </c>
      <c r="TG121" s="105">
        <f t="shared" si="2440"/>
        <v>0</v>
      </c>
      <c r="TH121" s="104">
        <f t="shared" si="2440"/>
        <v>1800</v>
      </c>
      <c r="TI121" s="103">
        <f t="shared" si="2440"/>
        <v>1200</v>
      </c>
      <c r="TJ121" s="105">
        <f t="shared" si="2440"/>
        <v>0</v>
      </c>
      <c r="TK121" s="104">
        <f t="shared" si="2440"/>
        <v>1200</v>
      </c>
      <c r="TL121" s="103">
        <f t="shared" si="1646"/>
        <v>23234.76</v>
      </c>
      <c r="TM121" s="106">
        <f t="shared" ref="TM121:TZ121" si="2441">SUM(TM109:TM120)</f>
        <v>0</v>
      </c>
      <c r="TN121" s="104">
        <f t="shared" si="2441"/>
        <v>23234.76</v>
      </c>
      <c r="TO121" s="102">
        <f t="shared" si="2441"/>
        <v>7750</v>
      </c>
      <c r="TP121" s="103">
        <f t="shared" si="2441"/>
        <v>0</v>
      </c>
      <c r="TQ121" s="104">
        <f t="shared" si="2441"/>
        <v>7750</v>
      </c>
      <c r="TR121" s="103">
        <f t="shared" si="2441"/>
        <v>0</v>
      </c>
      <c r="TS121" s="105">
        <f t="shared" si="2441"/>
        <v>0</v>
      </c>
      <c r="TT121" s="104">
        <f t="shared" si="2441"/>
        <v>0</v>
      </c>
      <c r="TU121" s="103">
        <f t="shared" si="2441"/>
        <v>0</v>
      </c>
      <c r="TV121" s="105">
        <f t="shared" si="2441"/>
        <v>0</v>
      </c>
      <c r="TW121" s="104">
        <f t="shared" si="2441"/>
        <v>0</v>
      </c>
      <c r="TX121" s="103">
        <f t="shared" si="2441"/>
        <v>1200</v>
      </c>
      <c r="TY121" s="105">
        <f t="shared" si="2441"/>
        <v>0</v>
      </c>
      <c r="TZ121" s="104">
        <f t="shared" si="2441"/>
        <v>1200</v>
      </c>
      <c r="UA121" s="103">
        <f t="shared" si="1653"/>
        <v>8950</v>
      </c>
      <c r="UB121" s="106">
        <f t="shared" ref="UB121:UO121" si="2442">SUM(UB109:UB120)</f>
        <v>0</v>
      </c>
      <c r="UC121" s="104">
        <f t="shared" si="2442"/>
        <v>8950</v>
      </c>
      <c r="UD121" s="102">
        <f t="shared" si="2442"/>
        <v>13500</v>
      </c>
      <c r="UE121" s="103">
        <f t="shared" si="2442"/>
        <v>0</v>
      </c>
      <c r="UF121" s="104">
        <f t="shared" si="2442"/>
        <v>13500</v>
      </c>
      <c r="UG121" s="103">
        <f t="shared" si="2442"/>
        <v>5964.4800000000005</v>
      </c>
      <c r="UH121" s="105">
        <f t="shared" si="2442"/>
        <v>0</v>
      </c>
      <c r="UI121" s="104">
        <f t="shared" si="2442"/>
        <v>5964.4800000000005</v>
      </c>
      <c r="UJ121" s="103">
        <f t="shared" si="2442"/>
        <v>0</v>
      </c>
      <c r="UK121" s="105">
        <f t="shared" si="2442"/>
        <v>0</v>
      </c>
      <c r="UL121" s="104">
        <f t="shared" si="2442"/>
        <v>0</v>
      </c>
      <c r="UM121" s="103">
        <f t="shared" si="2442"/>
        <v>1200</v>
      </c>
      <c r="UN121" s="105">
        <f t="shared" si="2442"/>
        <v>0</v>
      </c>
      <c r="UO121" s="104">
        <f t="shared" si="2442"/>
        <v>1200</v>
      </c>
      <c r="UP121" s="103">
        <f t="shared" si="1660"/>
        <v>20664.48</v>
      </c>
      <c r="UQ121" s="106">
        <f>SUM(UQ109:UQ120)</f>
        <v>0</v>
      </c>
      <c r="UR121" s="104">
        <f>SUM(UR109:UR120)</f>
        <v>20664.480000000007</v>
      </c>
      <c r="US121" s="109"/>
      <c r="UT121" s="107"/>
      <c r="UU121" s="108"/>
      <c r="UV121" s="109"/>
      <c r="UW121" s="108"/>
      <c r="UX121" s="110"/>
      <c r="UY121" s="109"/>
      <c r="UZ121" s="108"/>
      <c r="VA121" s="110"/>
      <c r="VB121" s="109"/>
      <c r="VC121" s="108"/>
      <c r="VD121" s="110"/>
      <c r="VE121" s="109"/>
      <c r="VF121" s="108"/>
      <c r="VG121" s="111"/>
      <c r="VH121" s="102">
        <f t="shared" ref="VH121:VS121" si="2443">SUM(VH109:VH120)</f>
        <v>18600</v>
      </c>
      <c r="VI121" s="103">
        <f t="shared" si="2443"/>
        <v>0</v>
      </c>
      <c r="VJ121" s="104">
        <f t="shared" si="2443"/>
        <v>18600</v>
      </c>
      <c r="VK121" s="103">
        <f t="shared" si="2443"/>
        <v>0</v>
      </c>
      <c r="VL121" s="105">
        <f t="shared" si="2443"/>
        <v>0</v>
      </c>
      <c r="VM121" s="104">
        <f t="shared" si="2443"/>
        <v>0</v>
      </c>
      <c r="VN121" s="103">
        <f t="shared" si="2443"/>
        <v>0</v>
      </c>
      <c r="VO121" s="105">
        <f t="shared" si="2443"/>
        <v>0</v>
      </c>
      <c r="VP121" s="104">
        <f t="shared" si="2443"/>
        <v>0</v>
      </c>
      <c r="VQ121" s="103">
        <f t="shared" si="2443"/>
        <v>1200</v>
      </c>
      <c r="VR121" s="105">
        <f t="shared" si="2443"/>
        <v>0</v>
      </c>
      <c r="VS121" s="104">
        <f t="shared" si="2443"/>
        <v>1200</v>
      </c>
      <c r="VT121" s="103">
        <f t="shared" si="1667"/>
        <v>19800</v>
      </c>
      <c r="VU121" s="106">
        <f>SUM(VU109:VU120)</f>
        <v>0</v>
      </c>
      <c r="VV121" s="104">
        <f>SUM(VV109:VV120)</f>
        <v>19800</v>
      </c>
      <c r="VW121" s="109"/>
      <c r="VX121" s="107"/>
      <c r="VY121" s="108"/>
      <c r="VZ121" s="109"/>
      <c r="WA121" s="108"/>
      <c r="WB121" s="110"/>
      <c r="WC121" s="109"/>
      <c r="WD121" s="108"/>
      <c r="WE121" s="110"/>
      <c r="WF121" s="109"/>
      <c r="WG121" s="108"/>
      <c r="WH121" s="110"/>
      <c r="WI121" s="109"/>
      <c r="WJ121" s="108"/>
      <c r="WK121" s="111"/>
      <c r="WL121" s="109"/>
      <c r="WM121" s="107"/>
      <c r="WN121" s="108"/>
      <c r="WO121" s="109"/>
      <c r="WP121" s="108"/>
      <c r="WQ121" s="110"/>
      <c r="WR121" s="109"/>
      <c r="WS121" s="108"/>
      <c r="WT121" s="110"/>
      <c r="WU121" s="109"/>
      <c r="WV121" s="108"/>
      <c r="WW121" s="110"/>
      <c r="WX121" s="109"/>
      <c r="WY121" s="108"/>
      <c r="WZ121" s="111"/>
      <c r="XA121" s="109"/>
      <c r="XB121" s="107"/>
      <c r="XC121" s="108"/>
      <c r="XD121" s="109"/>
      <c r="XE121" s="108"/>
      <c r="XF121" s="110"/>
      <c r="XG121" s="109"/>
      <c r="XH121" s="108"/>
      <c r="XI121" s="110"/>
      <c r="XJ121" s="109"/>
      <c r="XK121" s="108"/>
      <c r="XL121" s="110"/>
      <c r="XM121" s="109"/>
      <c r="XN121" s="108"/>
      <c r="XO121" s="111"/>
      <c r="XP121" s="102">
        <f t="shared" ref="XP121:YA121" si="2444">SUM(XP109:XP120)</f>
        <v>10404</v>
      </c>
      <c r="XQ121" s="103">
        <f t="shared" si="2444"/>
        <v>0</v>
      </c>
      <c r="XR121" s="104">
        <f t="shared" si="2444"/>
        <v>10404</v>
      </c>
      <c r="XS121" s="103">
        <f t="shared" si="2444"/>
        <v>10130.879999999999</v>
      </c>
      <c r="XT121" s="105">
        <f t="shared" si="2444"/>
        <v>0</v>
      </c>
      <c r="XU121" s="104">
        <f t="shared" si="2444"/>
        <v>10130.879999999999</v>
      </c>
      <c r="XV121" s="103">
        <f t="shared" si="2444"/>
        <v>0</v>
      </c>
      <c r="XW121" s="105">
        <f t="shared" si="2444"/>
        <v>0</v>
      </c>
      <c r="XX121" s="104">
        <f t="shared" si="2444"/>
        <v>0</v>
      </c>
      <c r="XY121" s="103">
        <f t="shared" si="2444"/>
        <v>1200</v>
      </c>
      <c r="XZ121" s="105">
        <f t="shared" si="2444"/>
        <v>0</v>
      </c>
      <c r="YA121" s="104">
        <f t="shared" si="2444"/>
        <v>1200</v>
      </c>
      <c r="YB121" s="103">
        <f t="shared" si="1674"/>
        <v>21734.879999999997</v>
      </c>
      <c r="YC121" s="106">
        <f t="shared" ref="YC121:YP121" si="2445">SUM(YC109:YC120)</f>
        <v>0</v>
      </c>
      <c r="YD121" s="104">
        <f t="shared" si="2445"/>
        <v>21734.880000000008</v>
      </c>
      <c r="YE121" s="102">
        <f t="shared" si="2445"/>
        <v>10680</v>
      </c>
      <c r="YF121" s="103">
        <f t="shared" si="2445"/>
        <v>0</v>
      </c>
      <c r="YG121" s="104">
        <f t="shared" si="2445"/>
        <v>10680</v>
      </c>
      <c r="YH121" s="103">
        <f t="shared" si="2445"/>
        <v>10174.200000000003</v>
      </c>
      <c r="YI121" s="105">
        <f t="shared" si="2445"/>
        <v>0</v>
      </c>
      <c r="YJ121" s="104">
        <f t="shared" si="2445"/>
        <v>10174.200000000003</v>
      </c>
      <c r="YK121" s="103">
        <f t="shared" si="2445"/>
        <v>1000</v>
      </c>
      <c r="YL121" s="105">
        <f t="shared" si="2445"/>
        <v>0</v>
      </c>
      <c r="YM121" s="104">
        <f t="shared" si="2445"/>
        <v>1000</v>
      </c>
      <c r="YN121" s="103">
        <f t="shared" si="2445"/>
        <v>1200</v>
      </c>
      <c r="YO121" s="105">
        <f t="shared" si="2445"/>
        <v>0</v>
      </c>
      <c r="YP121" s="104">
        <f t="shared" si="2445"/>
        <v>1200</v>
      </c>
      <c r="YQ121" s="103">
        <f t="shared" si="1681"/>
        <v>23054.200000000004</v>
      </c>
      <c r="YR121" s="106">
        <f t="shared" ref="YR121:ZE121" si="2446">SUM(YR109:YR120)</f>
        <v>0</v>
      </c>
      <c r="YS121" s="104">
        <f t="shared" si="2446"/>
        <v>23054.199999999997</v>
      </c>
      <c r="YT121" s="102">
        <f t="shared" si="2446"/>
        <v>11184</v>
      </c>
      <c r="YU121" s="103">
        <f t="shared" si="2446"/>
        <v>0</v>
      </c>
      <c r="YV121" s="104">
        <f t="shared" si="2446"/>
        <v>11184</v>
      </c>
      <c r="YW121" s="103">
        <f t="shared" si="2446"/>
        <v>8348.7599999999984</v>
      </c>
      <c r="YX121" s="105">
        <f t="shared" si="2446"/>
        <v>0</v>
      </c>
      <c r="YY121" s="104">
        <f t="shared" si="2446"/>
        <v>8348.7599999999984</v>
      </c>
      <c r="YZ121" s="103">
        <f t="shared" si="2446"/>
        <v>1000</v>
      </c>
      <c r="ZA121" s="105">
        <f t="shared" si="2446"/>
        <v>0</v>
      </c>
      <c r="ZB121" s="104">
        <f t="shared" si="2446"/>
        <v>1000</v>
      </c>
      <c r="ZC121" s="103">
        <f t="shared" si="2446"/>
        <v>1200</v>
      </c>
      <c r="ZD121" s="105">
        <f t="shared" si="2446"/>
        <v>0</v>
      </c>
      <c r="ZE121" s="104">
        <f t="shared" si="2446"/>
        <v>1200</v>
      </c>
      <c r="ZF121" s="103">
        <f t="shared" si="1688"/>
        <v>21732.76</v>
      </c>
      <c r="ZG121" s="106">
        <f>SUM(ZG109:ZG120)</f>
        <v>0</v>
      </c>
      <c r="ZH121" s="109"/>
      <c r="ZI121" s="107"/>
      <c r="ZJ121" s="108"/>
      <c r="ZK121" s="109"/>
      <c r="ZL121" s="108"/>
      <c r="ZM121" s="110"/>
      <c r="ZN121" s="109"/>
      <c r="ZO121" s="108"/>
      <c r="ZP121" s="110"/>
      <c r="ZQ121" s="109"/>
      <c r="ZR121" s="108"/>
      <c r="ZS121" s="110"/>
      <c r="ZT121" s="109"/>
      <c r="ZU121" s="108"/>
      <c r="ZV121" s="111"/>
      <c r="ZW121" s="104">
        <f>SUM(ZW109:ZW120)</f>
        <v>0</v>
      </c>
      <c r="ZX121" s="102">
        <f>SUM(ZX109:ZX120)</f>
        <v>296.52000000000004</v>
      </c>
      <c r="ZY121" s="103">
        <f>SUM(ZY109:ZY120)</f>
        <v>0</v>
      </c>
      <c r="ZZ121" s="104">
        <f>SUM(ZZ109:ZZ120)</f>
        <v>296.52000000000004</v>
      </c>
      <c r="AAA121" s="103">
        <f t="shared" si="1692"/>
        <v>296.52000000000004</v>
      </c>
      <c r="AAB121" s="106">
        <f t="shared" si="1692"/>
        <v>0</v>
      </c>
      <c r="AAC121" s="104">
        <f>SUM(AAC109:AAC120)</f>
        <v>296.52000000000004</v>
      </c>
      <c r="AAD121" s="112">
        <f>SUM(AAD109:AAD120)</f>
        <v>1388390.5599999998</v>
      </c>
      <c r="AAE121" s="113">
        <f>SUM(AAE109:AAE120)</f>
        <v>0</v>
      </c>
      <c r="AAF121" s="114">
        <f t="shared" si="1457"/>
        <v>0</v>
      </c>
      <c r="AAG121" s="113">
        <f>SUM(AAG109:AAG120)</f>
        <v>-1388390.5599999998</v>
      </c>
    </row>
  </sheetData>
  <mergeCells count="547">
    <mergeCell ref="B117:D118"/>
    <mergeCell ref="AAH117:AAJ118"/>
    <mergeCell ref="B119:D120"/>
    <mergeCell ref="AAH119:AAJ120"/>
    <mergeCell ref="B109:D110"/>
    <mergeCell ref="E109:E120"/>
    <mergeCell ref="AAH109:AAJ110"/>
    <mergeCell ref="AAK109:AAK120"/>
    <mergeCell ref="B111:D112"/>
    <mergeCell ref="AAH111:AAJ112"/>
    <mergeCell ref="B113:D114"/>
    <mergeCell ref="AAH113:AAJ114"/>
    <mergeCell ref="B115:D116"/>
    <mergeCell ref="AAH115:AAJ116"/>
    <mergeCell ref="AAK96:AAK107"/>
    <mergeCell ref="B98:D99"/>
    <mergeCell ref="AAH98:AAJ99"/>
    <mergeCell ref="B100:D101"/>
    <mergeCell ref="AAH100:AAJ101"/>
    <mergeCell ref="B102:D103"/>
    <mergeCell ref="AAH102:AAJ103"/>
    <mergeCell ref="B104:D105"/>
    <mergeCell ref="AAH104:AAJ105"/>
    <mergeCell ref="B106:D107"/>
    <mergeCell ref="B91:D92"/>
    <mergeCell ref="AAH91:AAJ92"/>
    <mergeCell ref="B93:D94"/>
    <mergeCell ref="AAH93:AAJ94"/>
    <mergeCell ref="B96:D97"/>
    <mergeCell ref="E96:E107"/>
    <mergeCell ref="AAH96:AAJ97"/>
    <mergeCell ref="AAH106:AAJ107"/>
    <mergeCell ref="B83:D84"/>
    <mergeCell ref="E83:E94"/>
    <mergeCell ref="AAH83:AAJ84"/>
    <mergeCell ref="AAK83:AAK94"/>
    <mergeCell ref="B85:D86"/>
    <mergeCell ref="AAH85:AAJ86"/>
    <mergeCell ref="B87:D88"/>
    <mergeCell ref="AAH87:AAJ88"/>
    <mergeCell ref="B89:D90"/>
    <mergeCell ref="AAH89:AAJ90"/>
    <mergeCell ref="AAK70:AAK81"/>
    <mergeCell ref="B72:D73"/>
    <mergeCell ref="AAH72:AAJ73"/>
    <mergeCell ref="B74:D75"/>
    <mergeCell ref="AAH74:AAJ75"/>
    <mergeCell ref="B76:D77"/>
    <mergeCell ref="AAH76:AAJ77"/>
    <mergeCell ref="B78:D79"/>
    <mergeCell ref="AAH78:AAJ79"/>
    <mergeCell ref="B80:D81"/>
    <mergeCell ref="B65:D66"/>
    <mergeCell ref="AAH65:AAJ66"/>
    <mergeCell ref="B67:D68"/>
    <mergeCell ref="AAH67:AAJ68"/>
    <mergeCell ref="B70:D71"/>
    <mergeCell ref="E70:E81"/>
    <mergeCell ref="AAH70:AAJ71"/>
    <mergeCell ref="AAH80:AAJ81"/>
    <mergeCell ref="B57:D58"/>
    <mergeCell ref="E57:E68"/>
    <mergeCell ref="AAH57:AAJ58"/>
    <mergeCell ref="AAK57:AAK68"/>
    <mergeCell ref="B59:D60"/>
    <mergeCell ref="AAH59:AAJ60"/>
    <mergeCell ref="B61:D62"/>
    <mergeCell ref="AAH61:AAJ62"/>
    <mergeCell ref="B63:D64"/>
    <mergeCell ref="AAH63:AAJ64"/>
    <mergeCell ref="AAK44:AAK55"/>
    <mergeCell ref="B46:D47"/>
    <mergeCell ref="AAH46:AAJ47"/>
    <mergeCell ref="B48:D49"/>
    <mergeCell ref="AAH48:AAJ49"/>
    <mergeCell ref="B50:D51"/>
    <mergeCell ref="AAH50:AAJ51"/>
    <mergeCell ref="B52:D53"/>
    <mergeCell ref="AAH52:AAJ53"/>
    <mergeCell ref="B54:D55"/>
    <mergeCell ref="B39:D40"/>
    <mergeCell ref="AAH39:AAJ40"/>
    <mergeCell ref="B41:D42"/>
    <mergeCell ref="AAH41:AAJ42"/>
    <mergeCell ref="B44:D45"/>
    <mergeCell ref="E44:E55"/>
    <mergeCell ref="AAH44:AAJ45"/>
    <mergeCell ref="AAH54:AAJ55"/>
    <mergeCell ref="B31:D32"/>
    <mergeCell ref="E31:E42"/>
    <mergeCell ref="AAH31:AAJ32"/>
    <mergeCell ref="AAK31:AAK42"/>
    <mergeCell ref="B33:D34"/>
    <mergeCell ref="AAH33:AAJ34"/>
    <mergeCell ref="B35:D36"/>
    <mergeCell ref="AAH35:AAJ36"/>
    <mergeCell ref="B37:D38"/>
    <mergeCell ref="AAH37:AAJ38"/>
    <mergeCell ref="AAK18:AAK29"/>
    <mergeCell ref="B20:D21"/>
    <mergeCell ref="AAH20:AAJ21"/>
    <mergeCell ref="B22:D23"/>
    <mergeCell ref="AAH22:AAJ23"/>
    <mergeCell ref="B24:D25"/>
    <mergeCell ref="AAH24:AAJ25"/>
    <mergeCell ref="B26:D27"/>
    <mergeCell ref="AAH26:AAJ27"/>
    <mergeCell ref="B28:D29"/>
    <mergeCell ref="AAH13:AAJ14"/>
    <mergeCell ref="B15:D16"/>
    <mergeCell ref="AAH15:AAJ16"/>
    <mergeCell ref="B18:D19"/>
    <mergeCell ref="E18:E29"/>
    <mergeCell ref="AAH18:AAJ19"/>
    <mergeCell ref="AAH28:AAJ29"/>
    <mergeCell ref="B5:D6"/>
    <mergeCell ref="E5:E16"/>
    <mergeCell ref="AAH5:AAJ6"/>
    <mergeCell ref="B7:D8"/>
    <mergeCell ref="AAH7:AAJ8"/>
    <mergeCell ref="B9:D10"/>
    <mergeCell ref="AAH9:AAJ10"/>
    <mergeCell ref="B11:D12"/>
    <mergeCell ref="AAH11:AAJ12"/>
    <mergeCell ref="B13:D14"/>
    <mergeCell ref="ZC3:ZE3"/>
    <mergeCell ref="ZI3:ZK3"/>
    <mergeCell ref="ZL3:ZN3"/>
    <mergeCell ref="ZO3:ZQ3"/>
    <mergeCell ref="ZR3:ZT3"/>
    <mergeCell ref="ZX3:ZZ3"/>
    <mergeCell ref="YH3:YJ3"/>
    <mergeCell ref="YK3:YM3"/>
    <mergeCell ref="YN3:YP3"/>
    <mergeCell ref="YT3:YV3"/>
    <mergeCell ref="YW3:YY3"/>
    <mergeCell ref="YZ3:ZB3"/>
    <mergeCell ref="XJ3:XL3"/>
    <mergeCell ref="XP3:XR3"/>
    <mergeCell ref="XS3:XU3"/>
    <mergeCell ref="XV3:XX3"/>
    <mergeCell ref="XY3:YA3"/>
    <mergeCell ref="YE3:YG3"/>
    <mergeCell ref="WO3:WQ3"/>
    <mergeCell ref="WR3:WT3"/>
    <mergeCell ref="WU3:WW3"/>
    <mergeCell ref="XA3:XC3"/>
    <mergeCell ref="XD3:XF3"/>
    <mergeCell ref="XG3:XI3"/>
    <mergeCell ref="VQ3:VS3"/>
    <mergeCell ref="VW3:VY3"/>
    <mergeCell ref="VZ3:WB3"/>
    <mergeCell ref="WC3:WE3"/>
    <mergeCell ref="WF3:WH3"/>
    <mergeCell ref="WL3:WN3"/>
    <mergeCell ref="UV3:UX3"/>
    <mergeCell ref="UY3:VA3"/>
    <mergeCell ref="VB3:VD3"/>
    <mergeCell ref="VH3:VJ3"/>
    <mergeCell ref="VK3:VM3"/>
    <mergeCell ref="VN3:VP3"/>
    <mergeCell ref="TX3:TZ3"/>
    <mergeCell ref="UD3:UF3"/>
    <mergeCell ref="UG3:UI3"/>
    <mergeCell ref="UJ3:UL3"/>
    <mergeCell ref="UM3:UO3"/>
    <mergeCell ref="US3:UU3"/>
    <mergeCell ref="TC3:TE3"/>
    <mergeCell ref="TF3:TH3"/>
    <mergeCell ref="TI3:TK3"/>
    <mergeCell ref="TO3:TQ3"/>
    <mergeCell ref="TR3:TT3"/>
    <mergeCell ref="TU3:TW3"/>
    <mergeCell ref="SE3:SG3"/>
    <mergeCell ref="SK3:SM3"/>
    <mergeCell ref="SN3:SP3"/>
    <mergeCell ref="SQ3:SS3"/>
    <mergeCell ref="ST3:SV3"/>
    <mergeCell ref="SZ3:TB3"/>
    <mergeCell ref="RJ3:RL3"/>
    <mergeCell ref="RM3:RO3"/>
    <mergeCell ref="RP3:RR3"/>
    <mergeCell ref="RV3:RX3"/>
    <mergeCell ref="RY3:SA3"/>
    <mergeCell ref="SB3:SD3"/>
    <mergeCell ref="QL3:QN3"/>
    <mergeCell ref="QR3:QT3"/>
    <mergeCell ref="QU3:QW3"/>
    <mergeCell ref="QX3:QZ3"/>
    <mergeCell ref="RA3:RC3"/>
    <mergeCell ref="RG3:RI3"/>
    <mergeCell ref="PQ3:PS3"/>
    <mergeCell ref="PT3:PV3"/>
    <mergeCell ref="PW3:PY3"/>
    <mergeCell ref="QC3:QE3"/>
    <mergeCell ref="QF3:QH3"/>
    <mergeCell ref="QI3:QK3"/>
    <mergeCell ref="OS3:OU3"/>
    <mergeCell ref="OY3:PA3"/>
    <mergeCell ref="PB3:PD3"/>
    <mergeCell ref="PE3:PG3"/>
    <mergeCell ref="PH3:PJ3"/>
    <mergeCell ref="PN3:PP3"/>
    <mergeCell ref="NX3:NZ3"/>
    <mergeCell ref="OA3:OC3"/>
    <mergeCell ref="OD3:OF3"/>
    <mergeCell ref="OJ3:OL3"/>
    <mergeCell ref="OM3:OO3"/>
    <mergeCell ref="OP3:OR3"/>
    <mergeCell ref="MZ3:NB3"/>
    <mergeCell ref="NF3:NH3"/>
    <mergeCell ref="NI3:NK3"/>
    <mergeCell ref="NL3:NN3"/>
    <mergeCell ref="NO3:NQ3"/>
    <mergeCell ref="NU3:NW3"/>
    <mergeCell ref="ME3:MG3"/>
    <mergeCell ref="MH3:MJ3"/>
    <mergeCell ref="MK3:MM3"/>
    <mergeCell ref="MQ3:MS3"/>
    <mergeCell ref="MT3:MV3"/>
    <mergeCell ref="MW3:MY3"/>
    <mergeCell ref="LG3:LI3"/>
    <mergeCell ref="LM3:LO3"/>
    <mergeCell ref="LP3:LR3"/>
    <mergeCell ref="LS3:LU3"/>
    <mergeCell ref="LV3:LX3"/>
    <mergeCell ref="MB3:MD3"/>
    <mergeCell ref="KL3:KN3"/>
    <mergeCell ref="KO3:KQ3"/>
    <mergeCell ref="KR3:KT3"/>
    <mergeCell ref="KX3:KZ3"/>
    <mergeCell ref="LA3:LC3"/>
    <mergeCell ref="LD3:LF3"/>
    <mergeCell ref="JN3:JP3"/>
    <mergeCell ref="JT3:JV3"/>
    <mergeCell ref="JW3:JY3"/>
    <mergeCell ref="JZ3:KB3"/>
    <mergeCell ref="KC3:KE3"/>
    <mergeCell ref="KI3:KK3"/>
    <mergeCell ref="IS3:IU3"/>
    <mergeCell ref="IV3:IX3"/>
    <mergeCell ref="IY3:JA3"/>
    <mergeCell ref="JE3:JG3"/>
    <mergeCell ref="JH3:JJ3"/>
    <mergeCell ref="JK3:JM3"/>
    <mergeCell ref="HU3:HW3"/>
    <mergeCell ref="IA3:IC3"/>
    <mergeCell ref="ID3:IF3"/>
    <mergeCell ref="IG3:II3"/>
    <mergeCell ref="IJ3:IL3"/>
    <mergeCell ref="IP3:IR3"/>
    <mergeCell ref="GZ3:HB3"/>
    <mergeCell ref="HC3:HE3"/>
    <mergeCell ref="HF3:HH3"/>
    <mergeCell ref="HL3:HN3"/>
    <mergeCell ref="HO3:HQ3"/>
    <mergeCell ref="HR3:HT3"/>
    <mergeCell ref="GB3:GD3"/>
    <mergeCell ref="GH3:GJ3"/>
    <mergeCell ref="GK3:GM3"/>
    <mergeCell ref="GN3:GP3"/>
    <mergeCell ref="GQ3:GS3"/>
    <mergeCell ref="GW3:GY3"/>
    <mergeCell ref="FG3:FI3"/>
    <mergeCell ref="FJ3:FL3"/>
    <mergeCell ref="FM3:FO3"/>
    <mergeCell ref="FS3:FU3"/>
    <mergeCell ref="FV3:FX3"/>
    <mergeCell ref="FY3:GA3"/>
    <mergeCell ref="EI3:EK3"/>
    <mergeCell ref="EO3:EQ3"/>
    <mergeCell ref="ER3:ET3"/>
    <mergeCell ref="EU3:EW3"/>
    <mergeCell ref="EX3:EZ3"/>
    <mergeCell ref="FD3:FF3"/>
    <mergeCell ref="DN3:DP3"/>
    <mergeCell ref="DQ3:DS3"/>
    <mergeCell ref="DT3:DV3"/>
    <mergeCell ref="DZ3:EB3"/>
    <mergeCell ref="EC3:EE3"/>
    <mergeCell ref="EF3:EH3"/>
    <mergeCell ref="CP3:CR3"/>
    <mergeCell ref="CV3:CX3"/>
    <mergeCell ref="CY3:DA3"/>
    <mergeCell ref="DB3:DD3"/>
    <mergeCell ref="DE3:DG3"/>
    <mergeCell ref="DK3:DM3"/>
    <mergeCell ref="BU3:BW3"/>
    <mergeCell ref="BX3:BZ3"/>
    <mergeCell ref="CA3:CC3"/>
    <mergeCell ref="CG3:CI3"/>
    <mergeCell ref="CJ3:CL3"/>
    <mergeCell ref="CM3:CO3"/>
    <mergeCell ref="AW3:AY3"/>
    <mergeCell ref="BC3:BE3"/>
    <mergeCell ref="BF3:BH3"/>
    <mergeCell ref="BI3:BK3"/>
    <mergeCell ref="BL3:BN3"/>
    <mergeCell ref="BR3:BT3"/>
    <mergeCell ref="AB3:AD3"/>
    <mergeCell ref="AE3:AG3"/>
    <mergeCell ref="AH3:AJ3"/>
    <mergeCell ref="AN3:AP3"/>
    <mergeCell ref="AQ3:AS3"/>
    <mergeCell ref="AT3:AV3"/>
    <mergeCell ref="G3:I3"/>
    <mergeCell ref="J3:L3"/>
    <mergeCell ref="M3:O3"/>
    <mergeCell ref="P3:R3"/>
    <mergeCell ref="S3:U3"/>
    <mergeCell ref="Y3:AA3"/>
    <mergeCell ref="YN2:YP2"/>
    <mergeCell ref="YT2:YV2"/>
    <mergeCell ref="YW2:ZA2"/>
    <mergeCell ref="ZC2:ZE2"/>
    <mergeCell ref="ZI2:ZK2"/>
    <mergeCell ref="ZL2:ZP2"/>
    <mergeCell ref="WO2:WS2"/>
    <mergeCell ref="WU2:WW2"/>
    <mergeCell ref="XA2:XC2"/>
    <mergeCell ref="XD2:XH2"/>
    <mergeCell ref="XJ2:XL2"/>
    <mergeCell ref="XP2:XR2"/>
    <mergeCell ref="TX2:TZ2"/>
    <mergeCell ref="UD2:UF2"/>
    <mergeCell ref="UG2:UK2"/>
    <mergeCell ref="UM2:UO2"/>
    <mergeCell ref="US2:UU2"/>
    <mergeCell ref="UV2:UZ2"/>
    <mergeCell ref="RY2:SC2"/>
    <mergeCell ref="SE2:SG2"/>
    <mergeCell ref="SK2:SM2"/>
    <mergeCell ref="SN2:SR2"/>
    <mergeCell ref="ST2:SV2"/>
    <mergeCell ref="SZ2:TB2"/>
    <mergeCell ref="QC2:QE2"/>
    <mergeCell ref="QF2:QJ2"/>
    <mergeCell ref="QL2:QN2"/>
    <mergeCell ref="QR2:QT2"/>
    <mergeCell ref="QU2:QY2"/>
    <mergeCell ref="RA2:RC2"/>
    <mergeCell ref="OD2:OF2"/>
    <mergeCell ref="OJ2:OL2"/>
    <mergeCell ref="OM2:OQ2"/>
    <mergeCell ref="OS2:OU2"/>
    <mergeCell ref="OY2:PA2"/>
    <mergeCell ref="PB2:PF2"/>
    <mergeCell ref="ME2:MI2"/>
    <mergeCell ref="MK2:MM2"/>
    <mergeCell ref="MQ2:MS2"/>
    <mergeCell ref="MT2:MX2"/>
    <mergeCell ref="MZ2:NB2"/>
    <mergeCell ref="NF2:NH2"/>
    <mergeCell ref="JN2:JP2"/>
    <mergeCell ref="JT2:JV2"/>
    <mergeCell ref="JW2:KA2"/>
    <mergeCell ref="KC2:KE2"/>
    <mergeCell ref="KI2:KK2"/>
    <mergeCell ref="KL2:KP2"/>
    <mergeCell ref="HO2:HS2"/>
    <mergeCell ref="HU2:HW2"/>
    <mergeCell ref="IA2:IC2"/>
    <mergeCell ref="ID2:IH2"/>
    <mergeCell ref="IJ2:IL2"/>
    <mergeCell ref="IP2:IR2"/>
    <mergeCell ref="FS2:FU2"/>
    <mergeCell ref="FV2:FZ2"/>
    <mergeCell ref="GB2:GD2"/>
    <mergeCell ref="GH2:GJ2"/>
    <mergeCell ref="GK2:GO2"/>
    <mergeCell ref="GQ2:GS2"/>
    <mergeCell ref="DT2:DV2"/>
    <mergeCell ref="DZ2:EB2"/>
    <mergeCell ref="EC2:EG2"/>
    <mergeCell ref="EI2:EK2"/>
    <mergeCell ref="EO2:EQ2"/>
    <mergeCell ref="ER2:EV2"/>
    <mergeCell ref="BU2:BY2"/>
    <mergeCell ref="CA2:CC2"/>
    <mergeCell ref="CG2:CI2"/>
    <mergeCell ref="CJ2:CN2"/>
    <mergeCell ref="CP2:CR2"/>
    <mergeCell ref="CV2:CX2"/>
    <mergeCell ref="Y2:AA2"/>
    <mergeCell ref="AB2:AF2"/>
    <mergeCell ref="AH2:AJ2"/>
    <mergeCell ref="AN2:AP2"/>
    <mergeCell ref="AQ2:AU2"/>
    <mergeCell ref="AW2:AY2"/>
    <mergeCell ref="ZF1:ZH3"/>
    <mergeCell ref="ZI1:ZT1"/>
    <mergeCell ref="ZU1:ZW3"/>
    <mergeCell ref="ZX1:ZZ1"/>
    <mergeCell ref="AAA1:AAC3"/>
    <mergeCell ref="AAD1:AAG3"/>
    <mergeCell ref="ZR2:ZT2"/>
    <mergeCell ref="ZX2:ZZ2"/>
    <mergeCell ref="XM1:XO3"/>
    <mergeCell ref="XP1:YA1"/>
    <mergeCell ref="YB1:YD3"/>
    <mergeCell ref="YE1:YP1"/>
    <mergeCell ref="YQ1:YS3"/>
    <mergeCell ref="YT1:ZE1"/>
    <mergeCell ref="XS2:XW2"/>
    <mergeCell ref="XY2:YA2"/>
    <mergeCell ref="YE2:YG2"/>
    <mergeCell ref="YH2:YL2"/>
    <mergeCell ref="VT1:VV3"/>
    <mergeCell ref="VW1:WH1"/>
    <mergeCell ref="WI1:WK3"/>
    <mergeCell ref="WL1:WW1"/>
    <mergeCell ref="WX1:WZ3"/>
    <mergeCell ref="XA1:XL1"/>
    <mergeCell ref="VW2:VY2"/>
    <mergeCell ref="VZ2:WD2"/>
    <mergeCell ref="WF2:WH2"/>
    <mergeCell ref="WL2:WN2"/>
    <mergeCell ref="UA1:UC3"/>
    <mergeCell ref="UD1:UO1"/>
    <mergeCell ref="UP1:UR3"/>
    <mergeCell ref="US1:VD1"/>
    <mergeCell ref="VE1:VG3"/>
    <mergeCell ref="VH1:VS1"/>
    <mergeCell ref="VB2:VD2"/>
    <mergeCell ref="VH2:VJ2"/>
    <mergeCell ref="VK2:VO2"/>
    <mergeCell ref="VQ2:VS2"/>
    <mergeCell ref="SH1:SJ3"/>
    <mergeCell ref="SK1:SV1"/>
    <mergeCell ref="SW1:SY3"/>
    <mergeCell ref="SZ1:TK1"/>
    <mergeCell ref="TL1:TN3"/>
    <mergeCell ref="TO1:TZ1"/>
    <mergeCell ref="TC2:TG2"/>
    <mergeCell ref="TI2:TK2"/>
    <mergeCell ref="TO2:TQ2"/>
    <mergeCell ref="TR2:TV2"/>
    <mergeCell ref="QO1:QQ3"/>
    <mergeCell ref="QR1:RC1"/>
    <mergeCell ref="RD1:RF3"/>
    <mergeCell ref="RG1:RR1"/>
    <mergeCell ref="RS1:RU3"/>
    <mergeCell ref="RV1:SG1"/>
    <mergeCell ref="RG2:RI2"/>
    <mergeCell ref="RJ2:RN2"/>
    <mergeCell ref="RP2:RR2"/>
    <mergeCell ref="RV2:RX2"/>
    <mergeCell ref="OV1:OX3"/>
    <mergeCell ref="OY1:PJ1"/>
    <mergeCell ref="PK1:PM3"/>
    <mergeCell ref="PN1:PY1"/>
    <mergeCell ref="PZ1:QB3"/>
    <mergeCell ref="QC1:QN1"/>
    <mergeCell ref="PH2:PJ2"/>
    <mergeCell ref="PN2:PP2"/>
    <mergeCell ref="PQ2:PU2"/>
    <mergeCell ref="PW2:PY2"/>
    <mergeCell ref="NC1:NE3"/>
    <mergeCell ref="NF1:NQ1"/>
    <mergeCell ref="NR1:NT3"/>
    <mergeCell ref="NU1:OF1"/>
    <mergeCell ref="OG1:OI3"/>
    <mergeCell ref="OJ1:OU1"/>
    <mergeCell ref="NI2:NM2"/>
    <mergeCell ref="NO2:NQ2"/>
    <mergeCell ref="NU2:NW2"/>
    <mergeCell ref="NX2:OB2"/>
    <mergeCell ref="LJ1:LL3"/>
    <mergeCell ref="LM1:LX1"/>
    <mergeCell ref="LY1:MA3"/>
    <mergeCell ref="MB1:MM1"/>
    <mergeCell ref="MN1:MP3"/>
    <mergeCell ref="MQ1:NB1"/>
    <mergeCell ref="LM2:LO2"/>
    <mergeCell ref="LP2:LT2"/>
    <mergeCell ref="LV2:LX2"/>
    <mergeCell ref="MB2:MD2"/>
    <mergeCell ref="JQ1:JS3"/>
    <mergeCell ref="JT1:KE1"/>
    <mergeCell ref="KF1:KH3"/>
    <mergeCell ref="KI1:KT1"/>
    <mergeCell ref="KU1:KW3"/>
    <mergeCell ref="KX1:LI1"/>
    <mergeCell ref="KR2:KT2"/>
    <mergeCell ref="KX2:KZ2"/>
    <mergeCell ref="LA2:LE2"/>
    <mergeCell ref="LG2:LI2"/>
    <mergeCell ref="HX1:HZ3"/>
    <mergeCell ref="IA1:IL1"/>
    <mergeCell ref="IM1:IO3"/>
    <mergeCell ref="IP1:JA1"/>
    <mergeCell ref="JB1:JD3"/>
    <mergeCell ref="JE1:JP1"/>
    <mergeCell ref="IS2:IW2"/>
    <mergeCell ref="IY2:JA2"/>
    <mergeCell ref="JE2:JG2"/>
    <mergeCell ref="JH2:JL2"/>
    <mergeCell ref="GE1:GG3"/>
    <mergeCell ref="GH1:GS1"/>
    <mergeCell ref="GT1:GV3"/>
    <mergeCell ref="GW1:HH1"/>
    <mergeCell ref="HI1:HK3"/>
    <mergeCell ref="HL1:HW1"/>
    <mergeCell ref="GW2:GY2"/>
    <mergeCell ref="GZ2:HD2"/>
    <mergeCell ref="HF2:HH2"/>
    <mergeCell ref="HL2:HN2"/>
    <mergeCell ref="EL1:EN3"/>
    <mergeCell ref="EO1:EZ1"/>
    <mergeCell ref="FA1:FC3"/>
    <mergeCell ref="FD1:FO1"/>
    <mergeCell ref="FP1:FR3"/>
    <mergeCell ref="FS1:GD1"/>
    <mergeCell ref="EX2:EZ2"/>
    <mergeCell ref="FD2:FF2"/>
    <mergeCell ref="FG2:FK2"/>
    <mergeCell ref="FM2:FO2"/>
    <mergeCell ref="CS1:CU3"/>
    <mergeCell ref="CV1:DG1"/>
    <mergeCell ref="DH1:DJ3"/>
    <mergeCell ref="DK1:DV1"/>
    <mergeCell ref="DW1:DY3"/>
    <mergeCell ref="DZ1:EK1"/>
    <mergeCell ref="CY2:DC2"/>
    <mergeCell ref="DE2:DG2"/>
    <mergeCell ref="DK2:DM2"/>
    <mergeCell ref="DN2:DR2"/>
    <mergeCell ref="AZ1:BB3"/>
    <mergeCell ref="BC1:BN1"/>
    <mergeCell ref="BO1:BQ3"/>
    <mergeCell ref="BR1:CC1"/>
    <mergeCell ref="CD1:CF3"/>
    <mergeCell ref="CG1:CR1"/>
    <mergeCell ref="BC2:BE2"/>
    <mergeCell ref="BF2:BJ2"/>
    <mergeCell ref="BL2:BN2"/>
    <mergeCell ref="BR2:BT2"/>
    <mergeCell ref="B1:F4"/>
    <mergeCell ref="G1:U1"/>
    <mergeCell ref="V1:X3"/>
    <mergeCell ref="Y1:AJ1"/>
    <mergeCell ref="AK1:AM3"/>
    <mergeCell ref="AN1:AY1"/>
    <mergeCell ref="G2:I2"/>
    <mergeCell ref="J2:N2"/>
    <mergeCell ref="O2:P2"/>
    <mergeCell ref="Q2:U2"/>
  </mergeCells>
  <conditionalFormatting sqref="I5:I16 I18:I29 I44:I55 I57:I68 I70:I81 I83:I94 I96:I107 I109:I120 I31:I42">
    <cfRule type="cellIs" dxfId="1033" priority="1033" operator="lessThan">
      <formula>0</formula>
    </cfRule>
    <cfRule type="cellIs" dxfId="1032" priority="1034" operator="greaterThan">
      <formula>0</formula>
    </cfRule>
  </conditionalFormatting>
  <conditionalFormatting sqref="L5:L16 L18:L29 L44:L55 L57:L68 L70:L81 L83:L94 L96:L107 L109:L120 L31:L42">
    <cfRule type="cellIs" dxfId="1031" priority="1031" operator="lessThan">
      <formula>0</formula>
    </cfRule>
    <cfRule type="cellIs" dxfId="1030" priority="1032" operator="greaterThan">
      <formula>0</formula>
    </cfRule>
  </conditionalFormatting>
  <conditionalFormatting sqref="AAH13">
    <cfRule type="cellIs" dxfId="1029" priority="1029" stopIfTrue="1" operator="greaterThan">
      <formula>1</formula>
    </cfRule>
    <cfRule type="cellIs" dxfId="1028" priority="1030" stopIfTrue="1" operator="lessThan">
      <formula>1</formula>
    </cfRule>
  </conditionalFormatting>
  <conditionalFormatting sqref="AAH15">
    <cfRule type="cellIs" dxfId="1027" priority="1027" operator="greaterThan">
      <formula>0</formula>
    </cfRule>
    <cfRule type="cellIs" dxfId="1026" priority="1028" stopIfTrue="1" operator="lessThan">
      <formula>0</formula>
    </cfRule>
  </conditionalFormatting>
  <conditionalFormatting sqref="O5:O16 O18:O29 O44:O55 O57:O68 O70:O81 O83:O94 O96:O107 O109:O120 O31:O42">
    <cfRule type="cellIs" dxfId="1025" priority="1025" operator="lessThan">
      <formula>0</formula>
    </cfRule>
    <cfRule type="cellIs" dxfId="1024" priority="1026" operator="greaterThan">
      <formula>0</formula>
    </cfRule>
  </conditionalFormatting>
  <conditionalFormatting sqref="R5:R16 R18:R29 R44:R55 R57:R68 R70:R81 R83:R94 R96:R107 R109:R120 R31:R42">
    <cfRule type="cellIs" dxfId="1023" priority="1023" operator="lessThan">
      <formula>0</formula>
    </cfRule>
    <cfRule type="cellIs" dxfId="1022" priority="1024" operator="greaterThan">
      <formula>0</formula>
    </cfRule>
  </conditionalFormatting>
  <conditionalFormatting sqref="U5:U16 U18:U29 U44:U55 U57:U68 U70:U81 U83:U94 U96:U107 U109:U120 U31:U42">
    <cfRule type="cellIs" dxfId="1021" priority="1021" operator="lessThan">
      <formula>0</formula>
    </cfRule>
    <cfRule type="cellIs" dxfId="1020" priority="1022" operator="greaterThan">
      <formula>0</formula>
    </cfRule>
  </conditionalFormatting>
  <conditionalFormatting sqref="X5:X16 X18:X29 X44:X55 X57:X68 X70:X81 X83:X94 X96:X107 X109:X120 AM5:AM16 AM18:AM29 AM44:AM55 AM57:AM68 AM70:AM81 AM83:AM94 AM96:AM107 AM109:AM120 BB5:BB16 BB18:BB29 BB44:BB55 BB57:BB68 BB70:BB81 BB83:BB94 BB96:BB107 BB109:BB120 BQ5:BQ16 BQ18:BQ29 BQ44:BQ55 BQ57:BQ68 BQ70:BQ81 BQ83:BQ94 BQ96:BQ107 BQ109:BQ120 CF5:CF16 CF18:CF29 CF44:CF55 CF57:CF68 CF70:CF81 CF83:CF94 CF96:CF107 CF109:CF120 CU5:CU16 CU18:CU29 CU44:CU55 CU57:CU68 CU70:CU81 CU83:CU94 CU96:CU107 CU109:CU120 DJ5:DJ16 DJ18:DJ29 DJ44:DJ55 DJ57:DJ68 DJ70:DJ81 DJ83:DJ94 DJ96:DJ107 DJ109:DJ120 DY5:DY16 DY18:DY29 DY44:DY55 DY57:DY68 DY70:DY81 DY83:DY94 DY96:DY107 DY109:DY120 EN5:EN16 EN18:EN29 EN44:EN55 EN57:EN68 EN70:EN81 EN83:EN94 EN96:EN107 EN109:EN120 FC5:FC16 FC18:FC29 FR5:FR16 FR18:FR29 FR44:FR55 FR57:FR68 FR70:FR81 FR83:FR94 FR96:FR107 FR109:FR120 GG5:GG16 GG18:GG29 GV5:GV16 GV18:GV29 GV44:GV55 GV57:GV68 GV70:GV81 GV83:GV94 GV96:GV107 GV109:GV120 HK5:HK16 HK18:HK29 HK44:HK55 HK57:HK68 HK70:HK81 HK83:HK94 HK96:HK107 HK109:HK120 HZ5:HZ16 HZ18:HZ29 HZ44:HZ55 HZ57:HZ68 HZ70:HZ81 HZ83:HZ94 HZ96:HZ107 HZ109:HZ120 IO5:IO16 IO18:IO29 IO44:IO55 IO57:IO68 IO70:IO81 IO83:IO94 IO96:IO107 IO109:IO120 JD5:JD16 JD18:JD29 JD44:JD55 JD57:JD68 JD70:JD81 JD83:JD94 JD96:JD107 JD109:JD120 FC44:FC55 FC57:FC68 FC70:FC81 FC83:FC94 FC96:FC107 FC109:FC120 GG44:GG55 GG57:GG68 GG70:GG81 GG83:GG94 GG96:GG107 GG109:GG120 JS5:JS16 JS18:JS29 JS44:JS55 JS57:JS68 JS70:JS81 JS83:JS94 JS96:JS107 JS109:JS120 KH5:KH16 KH18:KH29 KH44:KH55 KH57:KH68 KH70:KH81 KH83:KH94 KH96:KH107 KH109:KH120 KW5:KW16 KW18:KW29 KW44:KW55 KW57:KW68 KW70:KW81 KW83:KW94 KW96:KW107 KW109:KW120 MA5:MA16 MA18:MA29 MA44:MA55 MA57:MA68 MA70:MA81 MA83:MA94 MA96:MA107 MA109:MA120 MP5:MP16 MP18:MP29 MP44:MP55 MP57:MP68 MP70:MP81 MP83:MP94 MP96:MP107 MP109:MP120 NE5:NE16 NE18:NE29 NE44:NE55 NE57:NE68 NE70:NE81 NE83:NE94 NE96:NE107 NE109:NE120 NT5:NT16 NT18:NT29 NT44:NT55 NT57:NT68 NT70:NT81 NT83:NT94 NT96:NT107 NT109:NT120 OI5:OI16 OI18:OI29 OI44:OI55 OI57:OI68 OI70:OI81 OI83:OI94 OI96:OI107 OI109:OI120 OX5:OX16 OX18:OX29 OX44:OX55 OX57:OX68 OX70:OX81 OX83:OX94 OX96:OX107 OX109:OX120 PM5:PM16 PM18:PM29 PM44:PM55 PM57:PM68 PM70:PM81 PM83:PM94 PM96:PM107 PM109:PM120 QB5:QB16 QB18:QB29 QB44:QB55 QB57:QB68 QB70:QB81 QB83:QB94 QB96:QB107 QB109:QB120 QQ5:QQ16 QQ18:QQ29 QQ44:QQ55 QQ57:QQ68 QQ70:QQ81 QQ83:QQ94 QQ96:QQ107 QQ109:QQ120 RF5:RF16 RF18:RF29 RF44:RF55 RF57:RF68 RF70:RF81 RF83:RF94 RF96:RF107 RF109:RF120 RU5:RU16 RU18:RU29 SJ5:SJ16 SJ18:SJ29 SJ44:SJ55 SJ57:SJ68 SJ70:SJ81 SJ83:SJ94 SJ96:SJ107 SJ109:SJ120 SY5:SY16 SY18:SY29 SY44:SY55 SY57:SY68 SY70:SY81 SY83:SY94 SY96:SY107 SY109:SY120 TN5:TN16 TN18:TN29 TN44:TN55 TN57:TN68 TN70:TN81 TN83:TN94 TN96:TN107 TN109:TN120 UC5:UC16 UC18:UC29 UC44:UC55 UC57:UC68 UC70:UC81 UC83:UC94 UC96:UC107 UC109:UC120 UR5:UR16 UR18:UR29 UR44:UR55 UR57:UR68 UR70:UR81 UR83:UR94 UR96:UR107 UR109:UR120 VG5:VG16 VG18:VG29 VV5:VV16 VV18:VV29 VV44:VV55 VV57:VV68 VV70:VV81 VV83:VV94 VV96:VV107 VV109:VV120 WK5:WK16 WK18:WK29 WZ5:WZ16 WZ18:WZ29 WZ44:WZ55 XO5:XO16 XO18:XO29 XO44:XO51 YD5:YD16 YD18:YD29 YD44:YD55 YD57:YD68 YD70:YD81 YD83:YD94 YD96:YD107 YD109:YD120 YS5:YS16 YS18:YS29 YS44:YS55 YS57:YS68 YS70:YS81 YS83:YS94 YS96:YS107 YS109:YS120 ZH5:ZH16 ZH18:ZH29 ZW5:ZW16 ZW18:ZW29 ZW44:ZW55 ZW57:ZW68 ZW70:ZW81 ZW83:ZW94 ZW96:ZW107 ZW109:ZW120 AAC5:AAC16 AAC18:AAC29 AAC44:AAC55 AAC57:AAC68 AAC70:AAC81 AAC83:AAC94 AAC96:AAC107 AAC109:AAC120 LL5:LL16 LL18:LL29 LL44:LL55 LL57:LL68 LL70:LL81 LL83:LL94 LL96:LL107 LL109:LL120 X31:X42 AM31:AM42 BB31:BB42 BQ31:BQ42 CF31:CF42 CU31:CU42 DJ31:DJ42 DY31:DY42 EN31:EN42 FC31:FC42 FR31:FR42 GG31:GG42 GV31:GV42 HK31:HK42 HZ31:HZ42 IO31:IO42 JD31:JD42 JS31:JS42 KH31:KH42 KW31:KW42 MA31:MA42 MP31:MP42 NE31:NE42 NT31:NT42 OI31:OI42 OX31:OX42 PM31:PM42 QB31:QB42 QQ31:QQ42 RF31:RF42 RU31:RU42 SJ31:SJ42 SY31:SY42 TN31:TN42 UC31:UC42 UR31:UR42 VG31:VG42 VV31:VV42 WZ31:WZ42 XO31:XO42 YD31:YD42 YS31:YS42 ZH31:ZH42 ZW31:ZW42 AAC31:AAC42 LL31:LL42 ZH44:ZH55 ZH57:ZH68 ZH70:ZH81 ZH83:ZH94 ZH96:ZH107 ZH109:ZH120 RU44:RU55 RU57:RU68 RU70:RU81 RU83:RU94 RU96:RU107 RU109:RU120">
    <cfRule type="cellIs" dxfId="1019" priority="1019" operator="lessThan">
      <formula>0</formula>
    </cfRule>
    <cfRule type="cellIs" dxfId="1018" priority="1020" operator="greaterThan">
      <formula>0</formula>
    </cfRule>
  </conditionalFormatting>
  <conditionalFormatting sqref="AA5:AA16 AA18:AA29 AA44:AA55 AA57:AA68 AA70:AA81 AA83:AA94 AA96:AA107 AA109:AA120 AA31:AA42">
    <cfRule type="cellIs" dxfId="1017" priority="1017" operator="lessThan">
      <formula>0</formula>
    </cfRule>
    <cfRule type="cellIs" dxfId="1016" priority="1018" operator="greaterThan">
      <formula>0</formula>
    </cfRule>
  </conditionalFormatting>
  <conditionalFormatting sqref="AD5:AD16 AD18:AD29 AD44:AD55 AD57:AD68 AD70:AD81 AD83:AD94 AD96:AD107 AD109:AD120 AD31:AD42">
    <cfRule type="cellIs" dxfId="1015" priority="1015" operator="lessThan">
      <formula>0</formula>
    </cfRule>
    <cfRule type="cellIs" dxfId="1014" priority="1016" operator="greaterThan">
      <formula>0</formula>
    </cfRule>
  </conditionalFormatting>
  <conditionalFormatting sqref="AG5:AG16 AG18:AG29 AG44:AG55 AG57:AG68 AG70:AG81 AG83:AG94 AG96:AG107 AG109:AG120 AG31:AG42">
    <cfRule type="cellIs" dxfId="1013" priority="1013" operator="lessThan">
      <formula>0</formula>
    </cfRule>
    <cfRule type="cellIs" dxfId="1012" priority="1014" operator="greaterThan">
      <formula>0</formula>
    </cfRule>
  </conditionalFormatting>
  <conditionalFormatting sqref="AJ5:AJ16 AJ18:AJ29 AJ44:AJ55 AJ57:AJ68 AJ70:AJ81 AJ83:AJ94 AJ96:AJ107 AJ109:AJ120 AJ31:AJ42">
    <cfRule type="cellIs" dxfId="1011" priority="1011" operator="lessThan">
      <formula>0</formula>
    </cfRule>
    <cfRule type="cellIs" dxfId="1010" priority="1012" operator="greaterThan">
      <formula>0</formula>
    </cfRule>
  </conditionalFormatting>
  <conditionalFormatting sqref="AP5:AP16 AP18:AP29 AP44:AP55 AP57:AP68 AP70:AP81 AP83:AP94 AP96:AP107 AP109:AP120 AP31:AP42">
    <cfRule type="cellIs" dxfId="1009" priority="1009" operator="lessThan">
      <formula>0</formula>
    </cfRule>
    <cfRule type="cellIs" dxfId="1008" priority="1010" operator="greaterThan">
      <formula>0</formula>
    </cfRule>
  </conditionalFormatting>
  <conditionalFormatting sqref="AS5:AS16 AS18:AS29 AS57:AS68 AS83:AS94 AS109:AS120 AS44:AS55 AS70:AS81 AS96:AS107 AS31:AS42">
    <cfRule type="cellIs" dxfId="1007" priority="1007" operator="lessThan">
      <formula>0</formula>
    </cfRule>
    <cfRule type="cellIs" dxfId="1006" priority="1008" operator="greaterThan">
      <formula>0</formula>
    </cfRule>
  </conditionalFormatting>
  <conditionalFormatting sqref="AV5:AV16 AV18:AV29 AV57:AV68 AV83:AV94 AV109:AV120 AV44:AV55 AV70:AV81 AV96:AV107 AV31:AV42">
    <cfRule type="cellIs" dxfId="1005" priority="1005" operator="lessThan">
      <formula>0</formula>
    </cfRule>
    <cfRule type="cellIs" dxfId="1004" priority="1006" operator="greaterThan">
      <formula>0</formula>
    </cfRule>
  </conditionalFormatting>
  <conditionalFormatting sqref="AY5:AY16 AY18:AY29 AY44:AY55 AY57:AY68 AY70:AY81 AY83:AY94 AY96:AY107 AY109:AY120 AY31:AY42">
    <cfRule type="cellIs" dxfId="1003" priority="1003" operator="lessThan">
      <formula>0</formula>
    </cfRule>
    <cfRule type="cellIs" dxfId="1002" priority="1004" operator="greaterThan">
      <formula>0</formula>
    </cfRule>
  </conditionalFormatting>
  <conditionalFormatting sqref="BE5:BE16 BE18:BE29 BE44:BE55 BE57:BE68 BE70:BE81 BE83:BE94 BE96:BE107 BE109:BE120 BE31:BE42">
    <cfRule type="cellIs" dxfId="1001" priority="1001" operator="lessThan">
      <formula>0</formula>
    </cfRule>
    <cfRule type="cellIs" dxfId="1000" priority="1002" operator="greaterThan">
      <formula>0</formula>
    </cfRule>
  </conditionalFormatting>
  <conditionalFormatting sqref="BH5:BH16 BH18:BH29 BH44:BH55 BH57:BH68 BH70:BH81 BH83:BH94 BH96:BH107 BH109:BH120 BH31:BH42">
    <cfRule type="cellIs" dxfId="999" priority="999" operator="lessThan">
      <formula>0</formula>
    </cfRule>
    <cfRule type="cellIs" dxfId="998" priority="1000" operator="greaterThan">
      <formula>0</formula>
    </cfRule>
  </conditionalFormatting>
  <conditionalFormatting sqref="BK5:BK16 BK18:BK29 BK44:BK55 BK57:BK68 BK70:BK81 BK83:BK94 BK96:BK107 BK109:BK120 BK31:BK42">
    <cfRule type="cellIs" dxfId="997" priority="997" operator="lessThan">
      <formula>0</formula>
    </cfRule>
    <cfRule type="cellIs" dxfId="996" priority="998" operator="greaterThan">
      <formula>0</formula>
    </cfRule>
  </conditionalFormatting>
  <conditionalFormatting sqref="BN5:BN16 BN18:BN29 BN44:BN55 BN57:BN68 BN70:BN81 BN83:BN94 BN96:BN107 BN109:BN120 BN31:BN42">
    <cfRule type="cellIs" dxfId="995" priority="995" operator="lessThan">
      <formula>0</formula>
    </cfRule>
    <cfRule type="cellIs" dxfId="994" priority="996" operator="greaterThan">
      <formula>0</formula>
    </cfRule>
  </conditionalFormatting>
  <conditionalFormatting sqref="BT5:BT16 BT18:BT29 BT57:BT68 BT70:BT81 BT83:BT94 BT96:BT107 BT109:BT120 BT44:BT55">
    <cfRule type="cellIs" dxfId="993" priority="993" operator="lessThan">
      <formula>0</formula>
    </cfRule>
    <cfRule type="cellIs" dxfId="992" priority="994" operator="greaterThan">
      <formula>0</formula>
    </cfRule>
  </conditionalFormatting>
  <conditionalFormatting sqref="BW5:BW16 BW18:BW29 BW57:BW68 BW70:BW81 BW83:BW94 BW96:BW107 BW109:BW120 BW44:BW55">
    <cfRule type="cellIs" dxfId="991" priority="991" operator="lessThan">
      <formula>0</formula>
    </cfRule>
    <cfRule type="cellIs" dxfId="990" priority="992" operator="greaterThan">
      <formula>0</formula>
    </cfRule>
  </conditionalFormatting>
  <conditionalFormatting sqref="BZ5:BZ16 BZ18:BZ29 BZ57:BZ68 BZ70:BZ81 BZ83:BZ94 BZ96:BZ107 BZ109:BZ120 BZ44:BZ55">
    <cfRule type="cellIs" dxfId="989" priority="989" operator="lessThan">
      <formula>0</formula>
    </cfRule>
    <cfRule type="cellIs" dxfId="988" priority="990" operator="greaterThan">
      <formula>0</formula>
    </cfRule>
  </conditionalFormatting>
  <conditionalFormatting sqref="CC5:CC16 CC18:CC29 CC57:CC68 CC70:CC81 CC83:CC94 CC96:CC107 CC109:CC120 CC44:CC55 CC31:CC42">
    <cfRule type="cellIs" dxfId="987" priority="987" operator="lessThan">
      <formula>0</formula>
    </cfRule>
    <cfRule type="cellIs" dxfId="986" priority="988" operator="greaterThan">
      <formula>0</formula>
    </cfRule>
  </conditionalFormatting>
  <conditionalFormatting sqref="CI5:CI16 CI18:CI29 CI44:CI55 CI57:CI68 CI70:CI81 CI83:CI94 CI96:CI107 CI109:CI120 CI31:CI42">
    <cfRule type="cellIs" dxfId="985" priority="985" operator="lessThan">
      <formula>0</formula>
    </cfRule>
    <cfRule type="cellIs" dxfId="984" priority="986" operator="greaterThan">
      <formula>0</formula>
    </cfRule>
  </conditionalFormatting>
  <conditionalFormatting sqref="CL5:CL16 CL18:CL29 CL44:CL55 CL57:CL68 CL70:CL81 CL83:CL94 CL96:CL107 CL109:CL120 CL31:CL42">
    <cfRule type="cellIs" dxfId="983" priority="983" operator="lessThan">
      <formula>0</formula>
    </cfRule>
    <cfRule type="cellIs" dxfId="982" priority="984" operator="greaterThan">
      <formula>0</formula>
    </cfRule>
  </conditionalFormatting>
  <conditionalFormatting sqref="CO5:CO16 CO18:CO29 CO44:CO55 CO57:CO68 CO70:CO81 CO83:CO94 CO96:CO107 CO109:CO120 CO31:CO42">
    <cfRule type="cellIs" dxfId="981" priority="981" operator="lessThan">
      <formula>0</formula>
    </cfRule>
    <cfRule type="cellIs" dxfId="980" priority="982" operator="greaterThan">
      <formula>0</formula>
    </cfRule>
  </conditionalFormatting>
  <conditionalFormatting sqref="CR5:CR16 CR18:CR29 CR44:CR55 CR57:CR68 CR70:CR81 CR83:CR94 CR96:CR107 CR109:CR120 CR31:CR42">
    <cfRule type="cellIs" dxfId="979" priority="979" operator="lessThan">
      <formula>0</formula>
    </cfRule>
    <cfRule type="cellIs" dxfId="978" priority="980" operator="greaterThan">
      <formula>0</formula>
    </cfRule>
  </conditionalFormatting>
  <conditionalFormatting sqref="CX26:CX29 CX44:CX55 CX57:CX68 CX70:CX81 CX83:CX94 CX96:CX107 CX109:CX120 CX31:CX42">
    <cfRule type="cellIs" dxfId="977" priority="977" operator="lessThan">
      <formula>0</formula>
    </cfRule>
    <cfRule type="cellIs" dxfId="976" priority="978" operator="greaterThan">
      <formula>0</formula>
    </cfRule>
  </conditionalFormatting>
  <conditionalFormatting sqref="DA26:DA29 DA44:DA55 DA57:DA68 DA70:DA81 DA83:DA94 DA96:DA107 DA109:DA120 DA31:DA42">
    <cfRule type="cellIs" dxfId="975" priority="975" operator="lessThan">
      <formula>0</formula>
    </cfRule>
    <cfRule type="cellIs" dxfId="974" priority="976" operator="greaterThan">
      <formula>0</formula>
    </cfRule>
  </conditionalFormatting>
  <conditionalFormatting sqref="DD26:DD29 DD44:DD55 DD57:DD68 DD70:DD81 DD83:DD94 DD96:DD107 DD109:DD120 DD31:DD42">
    <cfRule type="cellIs" dxfId="973" priority="973" operator="lessThan">
      <formula>0</formula>
    </cfRule>
    <cfRule type="cellIs" dxfId="972" priority="974" operator="greaterThan">
      <formula>0</formula>
    </cfRule>
  </conditionalFormatting>
  <conditionalFormatting sqref="DG26:DG29 DG44:DG55 DG57:DG68 DG70:DG81 DG83:DG94 DG96:DG107 DG109:DG120 DG31:DG42">
    <cfRule type="cellIs" dxfId="971" priority="971" operator="lessThan">
      <formula>0</formula>
    </cfRule>
    <cfRule type="cellIs" dxfId="970" priority="972" operator="greaterThan">
      <formula>0</formula>
    </cfRule>
  </conditionalFormatting>
  <conditionalFormatting sqref="DM26:DM29 DM57:DM68 DM70:DM81 DM83:DM94 DM96:DM107 DM109:DM120 DM31:DM42 DM44:DM55">
    <cfRule type="cellIs" dxfId="969" priority="969" operator="lessThan">
      <formula>0</formula>
    </cfRule>
    <cfRule type="cellIs" dxfId="968" priority="970" operator="greaterThan">
      <formula>0</formula>
    </cfRule>
  </conditionalFormatting>
  <conditionalFormatting sqref="DP26:DP29 DP44:DP55 DP57:DP68 DP70:DP81 DP83:DP94 DP96:DP107 DP109:DP120 DP31:DP42">
    <cfRule type="cellIs" dxfId="967" priority="967" operator="lessThan">
      <formula>0</formula>
    </cfRule>
    <cfRule type="cellIs" dxfId="966" priority="968" operator="greaterThan">
      <formula>0</formula>
    </cfRule>
  </conditionalFormatting>
  <conditionalFormatting sqref="DS26:DS29 DS44:DS55 DS57:DS68 DS70:DS81 DS83:DS94 DS96:DS107 DS109:DS120 DS31:DS42">
    <cfRule type="cellIs" dxfId="965" priority="965" operator="lessThan">
      <formula>0</formula>
    </cfRule>
    <cfRule type="cellIs" dxfId="964" priority="966" operator="greaterThan">
      <formula>0</formula>
    </cfRule>
  </conditionalFormatting>
  <conditionalFormatting sqref="DV26:DV29 DV44:DV55 DV57:DV68 DV70:DV81 DV83:DV94 DV96:DV107 DV109:DV120 DV31:DV42">
    <cfRule type="cellIs" dxfId="963" priority="963" operator="lessThan">
      <formula>0</formula>
    </cfRule>
    <cfRule type="cellIs" dxfId="962" priority="964" operator="greaterThan">
      <formula>0</formula>
    </cfRule>
  </conditionalFormatting>
  <conditionalFormatting sqref="EB5:EB16 EB18:EB29 EB44:EB55 EB57:EB68 EB70:EB81 EB83:EB94 EB96:EB107 EB109:EB120 EB31:EB42">
    <cfRule type="cellIs" dxfId="961" priority="961" operator="lessThan">
      <formula>0</formula>
    </cfRule>
    <cfRule type="cellIs" dxfId="960" priority="962" operator="greaterThan">
      <formula>0</formula>
    </cfRule>
  </conditionalFormatting>
  <conditionalFormatting sqref="EE5:EE16 EE18:EE29 EE44:EE55 EE57:EE68 EE70:EE81 EE83:EE94 EE96:EE107 EE109:EE120 EE31:EE42">
    <cfRule type="cellIs" dxfId="959" priority="959" operator="lessThan">
      <formula>0</formula>
    </cfRule>
    <cfRule type="cellIs" dxfId="958" priority="960" operator="greaterThan">
      <formula>0</formula>
    </cfRule>
  </conditionalFormatting>
  <conditionalFormatting sqref="EH5:EH16 EH18:EH29 EH44:EH55 EH57:EH68 EH70:EH81 EH83:EH94 EH96:EH107 EH109:EH120 EH31:EH42">
    <cfRule type="cellIs" dxfId="957" priority="957" operator="lessThan">
      <formula>0</formula>
    </cfRule>
    <cfRule type="cellIs" dxfId="956" priority="958" operator="greaterThan">
      <formula>0</formula>
    </cfRule>
  </conditionalFormatting>
  <conditionalFormatting sqref="EK5:EK16 EK18:EK29 EK44:EK55 EK57:EK68 EK70:EK81 EK83:EK94 EK96:EK107 EK109:EK120 EK31:EK42">
    <cfRule type="cellIs" dxfId="955" priority="955" operator="lessThan">
      <formula>0</formula>
    </cfRule>
    <cfRule type="cellIs" dxfId="954" priority="956" operator="greaterThan">
      <formula>0</formula>
    </cfRule>
  </conditionalFormatting>
  <conditionalFormatting sqref="EQ5:EQ16 EQ18:EQ29 EQ44 EQ57:EQ68 EQ70:EQ81 EQ83:EQ94 EQ96:EQ107 EQ109:EQ120 EQ31:EQ38 EQ46:EQ55">
    <cfRule type="cellIs" dxfId="953" priority="953" operator="lessThan">
      <formula>0</formula>
    </cfRule>
    <cfRule type="cellIs" dxfId="952" priority="954" operator="greaterThan">
      <formula>0</formula>
    </cfRule>
  </conditionalFormatting>
  <conditionalFormatting sqref="ET5:ET16 ET18:ET29 ET44 ET57:ET68 ET70:ET81 ET83:ET94 ET96:ET107 ET109:ET120 ET31:ET38 ET46:ET55">
    <cfRule type="cellIs" dxfId="951" priority="951" operator="lessThan">
      <formula>0</formula>
    </cfRule>
    <cfRule type="cellIs" dxfId="950" priority="952" operator="greaterThan">
      <formula>0</formula>
    </cfRule>
  </conditionalFormatting>
  <conditionalFormatting sqref="EW5:EW16 EW18:EW29 EW44:EW55 EW57:EW68 EW70:EW81 EW83:EW94 EW96:EW107 EW109:EW120 EW31:EW42">
    <cfRule type="cellIs" dxfId="949" priority="949" operator="lessThan">
      <formula>0</formula>
    </cfRule>
    <cfRule type="cellIs" dxfId="948" priority="950" operator="greaterThan">
      <formula>0</formula>
    </cfRule>
  </conditionalFormatting>
  <conditionalFormatting sqref="EZ5:EZ16 EZ18:EZ29 EZ44:EZ55 EZ57:EZ68 EZ70:EZ81 EZ83:EZ94 EZ96:EZ107 EZ109:EZ120 EZ31:EZ42">
    <cfRule type="cellIs" dxfId="947" priority="947" operator="lessThan">
      <formula>0</formula>
    </cfRule>
    <cfRule type="cellIs" dxfId="946" priority="948" operator="greaterThan">
      <formula>0</formula>
    </cfRule>
  </conditionalFormatting>
  <conditionalFormatting sqref="FF5:FF16 FF18:FF29 FF44 FF57:FF68 FF70:FF81 FF83:FF94 FF96:FF107 FF109:FF120 FF31:FF38 FF46:FF55">
    <cfRule type="cellIs" dxfId="945" priority="945" operator="lessThan">
      <formula>0</formula>
    </cfRule>
    <cfRule type="cellIs" dxfId="944" priority="946" operator="greaterThan">
      <formula>0</formula>
    </cfRule>
  </conditionalFormatting>
  <conditionalFormatting sqref="FI5:FI16 FI18:FI29">
    <cfRule type="cellIs" dxfId="943" priority="943" operator="lessThan">
      <formula>0</formula>
    </cfRule>
    <cfRule type="cellIs" dxfId="942" priority="944" operator="greaterThan">
      <formula>0</formula>
    </cfRule>
  </conditionalFormatting>
  <conditionalFormatting sqref="FL5:FL16 FL18:FL29">
    <cfRule type="cellIs" dxfId="941" priority="941" operator="lessThan">
      <formula>0</formula>
    </cfRule>
    <cfRule type="cellIs" dxfId="940" priority="942" operator="greaterThan">
      <formula>0</formula>
    </cfRule>
  </conditionalFormatting>
  <conditionalFormatting sqref="FO5:FO16 FO18:FO29 FO44:FO55 FO57:FO68 FO70:FO81 FO83:FO94 FO96:FO107 FO109:FO120 FO31:FO42">
    <cfRule type="cellIs" dxfId="939" priority="939" operator="lessThan">
      <formula>0</formula>
    </cfRule>
    <cfRule type="cellIs" dxfId="938" priority="940" operator="greaterThan">
      <formula>0</formula>
    </cfRule>
  </conditionalFormatting>
  <conditionalFormatting sqref="FU5:FU16 FU18:FU29 FU44:FU55 FU57:FU68 FU70:FU81 FU83:FU94 FU96:FU107 FU109:FU120 FU31:FU42">
    <cfRule type="cellIs" dxfId="937" priority="937" operator="lessThan">
      <formula>0</formula>
    </cfRule>
    <cfRule type="cellIs" dxfId="936" priority="938" operator="greaterThan">
      <formula>0</formula>
    </cfRule>
  </conditionalFormatting>
  <conditionalFormatting sqref="FX5:FX16 FX18:FX29 FX44:FX55 FX57:FX68 FX70:FX81 FX83:FX94 FX96:FX107 FX109:FX120 FX31:FX42">
    <cfRule type="cellIs" dxfId="935" priority="935" operator="lessThan">
      <formula>0</formula>
    </cfRule>
    <cfRule type="cellIs" dxfId="934" priority="936" operator="greaterThan">
      <formula>0</formula>
    </cfRule>
  </conditionalFormatting>
  <conditionalFormatting sqref="GA5:GA16 GA18:GA29 GA44:GA55 GA57:GA68 GA70:GA81 GA83:GA94 GA96:GA107 GA109:GA120 GA31:GA42">
    <cfRule type="cellIs" dxfId="933" priority="933" operator="lessThan">
      <formula>0</formula>
    </cfRule>
    <cfRule type="cellIs" dxfId="932" priority="934" operator="greaterThan">
      <formula>0</formula>
    </cfRule>
  </conditionalFormatting>
  <conditionalFormatting sqref="GD5:GD16 GD18:GD29 GD44:GD55 GD57:GD68 GD70:GD81 GD83:GD94 GD96:GD107 GD109:GD120 GD31:GD42">
    <cfRule type="cellIs" dxfId="931" priority="931" operator="lessThan">
      <formula>0</formula>
    </cfRule>
    <cfRule type="cellIs" dxfId="930" priority="932" operator="greaterThan">
      <formula>0</formula>
    </cfRule>
  </conditionalFormatting>
  <conditionalFormatting sqref="GJ5:GJ16 GJ18:GJ29">
    <cfRule type="cellIs" dxfId="929" priority="929" operator="lessThan">
      <formula>0</formula>
    </cfRule>
    <cfRule type="cellIs" dxfId="928" priority="930" operator="greaterThan">
      <formula>0</formula>
    </cfRule>
  </conditionalFormatting>
  <conditionalFormatting sqref="GM5:GM16 GM18:GM29">
    <cfRule type="cellIs" dxfId="927" priority="927" operator="lessThan">
      <formula>0</formula>
    </cfRule>
    <cfRule type="cellIs" dxfId="926" priority="928" operator="greaterThan">
      <formula>0</formula>
    </cfRule>
  </conditionalFormatting>
  <conditionalFormatting sqref="GP5:GP16 GP18:GP29">
    <cfRule type="cellIs" dxfId="925" priority="925" operator="lessThan">
      <formula>0</formula>
    </cfRule>
    <cfRule type="cellIs" dxfId="924" priority="926" operator="greaterThan">
      <formula>0</formula>
    </cfRule>
  </conditionalFormatting>
  <conditionalFormatting sqref="GS5:GS16 GS18:GS29 GS44:GS55 GS57:GS68 GS70:GS81 GS83:GS94 GS96:GS107 GS109:GS120 GS31:GS42">
    <cfRule type="cellIs" dxfId="923" priority="923" operator="lessThan">
      <formula>0</formula>
    </cfRule>
    <cfRule type="cellIs" dxfId="922" priority="924" operator="greaterThan">
      <formula>0</formula>
    </cfRule>
  </conditionalFormatting>
  <conditionalFormatting sqref="GY24:GY29 GY44:GY55 GY57:GY68 GY70:GY81 GY83:GY94 GY96:GY107 GY109:GY120 GY31:GY42">
    <cfRule type="cellIs" dxfId="921" priority="921" operator="lessThan">
      <formula>0</formula>
    </cfRule>
    <cfRule type="cellIs" dxfId="920" priority="922" operator="greaterThan">
      <formula>0</formula>
    </cfRule>
  </conditionalFormatting>
  <conditionalFormatting sqref="HB24:HB29 HB44:HB55 HB57:HB68 HB70:HB81 HB83:HB94 HB96:HB107 HB109:HB120 HB31:HB42">
    <cfRule type="cellIs" dxfId="919" priority="919" operator="lessThan">
      <formula>0</formula>
    </cfRule>
    <cfRule type="cellIs" dxfId="918" priority="920" operator="greaterThan">
      <formula>0</formula>
    </cfRule>
  </conditionalFormatting>
  <conditionalFormatting sqref="HE24:HE29 HE44:HE55 HE57:HE68 HE70:HE81 HE83:HE94 HE96:HE107 HE109:HE120 HE31:HE42">
    <cfRule type="cellIs" dxfId="917" priority="917" operator="lessThan">
      <formula>0</formula>
    </cfRule>
    <cfRule type="cellIs" dxfId="916" priority="918" operator="greaterThan">
      <formula>0</formula>
    </cfRule>
  </conditionalFormatting>
  <conditionalFormatting sqref="HH24:HH29 HH44:HH55 HH57:HH68 HH70:HH81 HH83:HH94 HH96:HH107 HH109:HH120 HH31:HH42">
    <cfRule type="cellIs" dxfId="915" priority="915" operator="lessThan">
      <formula>0</formula>
    </cfRule>
    <cfRule type="cellIs" dxfId="914" priority="916" operator="greaterThan">
      <formula>0</formula>
    </cfRule>
  </conditionalFormatting>
  <conditionalFormatting sqref="HN5:HN16 HN18:HN29 HN44 HN57:HN68 HN70:HN81 HN83:HN94 HN96:HN107 HN109:HN120 HN31:HN42 HN46 HN48:HN55">
    <cfRule type="cellIs" dxfId="913" priority="913" operator="lessThan">
      <formula>0</formula>
    </cfRule>
    <cfRule type="cellIs" dxfId="912" priority="914" operator="greaterThan">
      <formula>0</formula>
    </cfRule>
  </conditionalFormatting>
  <conditionalFormatting sqref="HQ5:HQ16 HQ18:HQ29 HQ44 HQ57:HQ68 HQ70:HQ81 HQ83:HQ94 HQ96:HQ107 HQ109:HQ120 HQ31:HQ42 HQ46 HQ48:HQ55">
    <cfRule type="cellIs" dxfId="911" priority="911" operator="lessThan">
      <formula>0</formula>
    </cfRule>
    <cfRule type="cellIs" dxfId="910" priority="912" operator="greaterThan">
      <formula>0</formula>
    </cfRule>
  </conditionalFormatting>
  <conditionalFormatting sqref="HT5:HT16 HT18:HT29 HT44:HT55 HT57:HT68 HT70:HT81 HT83:HT94 HT96:HT107 HT109:HT120 HT31:HT42">
    <cfRule type="cellIs" dxfId="909" priority="909" operator="lessThan">
      <formula>0</formula>
    </cfRule>
    <cfRule type="cellIs" dxfId="908" priority="910" operator="greaterThan">
      <formula>0</formula>
    </cfRule>
  </conditionalFormatting>
  <conditionalFormatting sqref="HW5:HW16 HW18:HW29 HW44:HW55 HW57:HW68 HW70:HW81 HW83:HW94 HW96:HW107 HW109:HW120 HW31:HW42">
    <cfRule type="cellIs" dxfId="907" priority="907" operator="lessThan">
      <formula>0</formula>
    </cfRule>
    <cfRule type="cellIs" dxfId="906" priority="908" operator="greaterThan">
      <formula>0</formula>
    </cfRule>
  </conditionalFormatting>
  <conditionalFormatting sqref="IC5:IC16 IC18:IC29 IC44:IC55 IC57:IC68 IC109:IC120 IC96:IC107 IC70:IC81 IC83:IC94 IC31:IC42">
    <cfRule type="cellIs" dxfId="905" priority="905" operator="lessThan">
      <formula>0</formula>
    </cfRule>
    <cfRule type="cellIs" dxfId="904" priority="906" operator="greaterThan">
      <formula>0</formula>
    </cfRule>
  </conditionalFormatting>
  <conditionalFormatting sqref="IF5:IF16 IF18:IF29 IF44:IF55 IF57:IF68 IF109:IF120 IF96:IF107 IF70:IF81 IF83:IF94 IF31:IF42">
    <cfRule type="cellIs" dxfId="903" priority="903" operator="lessThan">
      <formula>0</formula>
    </cfRule>
    <cfRule type="cellIs" dxfId="902" priority="904" operator="greaterThan">
      <formula>0</formula>
    </cfRule>
  </conditionalFormatting>
  <conditionalFormatting sqref="II5:II16 II18:II29 II44:II55 II57:II68 II109:II120 II96:II107 II70:II81 II83:II94 II31:II42">
    <cfRule type="cellIs" dxfId="901" priority="901" operator="lessThan">
      <formula>0</formula>
    </cfRule>
    <cfRule type="cellIs" dxfId="900" priority="902" operator="greaterThan">
      <formula>0</formula>
    </cfRule>
  </conditionalFormatting>
  <conditionalFormatting sqref="IL5:IL16 IL18:IL29 IL44:IL55 IL57:IL68 IL70:IL81 IL83:IL94 IL96:IL107 IL109:IL120 IL31:IL42">
    <cfRule type="cellIs" dxfId="899" priority="899" operator="lessThan">
      <formula>0</formula>
    </cfRule>
    <cfRule type="cellIs" dxfId="898" priority="900" operator="greaterThan">
      <formula>0</formula>
    </cfRule>
  </conditionalFormatting>
  <conditionalFormatting sqref="IR5:IR16 IR18:IR29 IR44:IR55 IR57:IR68 IR70:IR81 IR83:IR94 IR96:IR107 IR109:IR120 IR31:IR42">
    <cfRule type="cellIs" dxfId="897" priority="897" operator="lessThan">
      <formula>0</formula>
    </cfRule>
    <cfRule type="cellIs" dxfId="896" priority="898" operator="greaterThan">
      <formula>0</formula>
    </cfRule>
  </conditionalFormatting>
  <conditionalFormatting sqref="IU5:IU16 IU18:IU29 IU44:IU55 IU57:IU68 IU70:IU81 IU83:IU94 IU96:IU107 IU109:IU120 IU31:IU42">
    <cfRule type="cellIs" dxfId="895" priority="895" operator="lessThan">
      <formula>0</formula>
    </cfRule>
    <cfRule type="cellIs" dxfId="894" priority="896" operator="greaterThan">
      <formula>0</formula>
    </cfRule>
  </conditionalFormatting>
  <conditionalFormatting sqref="IX5:IX16 IX18:IX29 IX44:IX55 IX57:IX68 IX70:IX81 IX83:IX94 IX96:IX107 IX109:IX120 IX31:IX42">
    <cfRule type="cellIs" dxfId="893" priority="893" operator="lessThan">
      <formula>0</formula>
    </cfRule>
    <cfRule type="cellIs" dxfId="892" priority="894" operator="greaterThan">
      <formula>0</formula>
    </cfRule>
  </conditionalFormatting>
  <conditionalFormatting sqref="JA5:JA16 JA18:JA29 JA44:JA55 JA57:JA68 JA70:JA81 JA83:JA94 JA96:JA107 JA109:JA120 JA31:JA42">
    <cfRule type="cellIs" dxfId="891" priority="891" operator="lessThan">
      <formula>0</formula>
    </cfRule>
    <cfRule type="cellIs" dxfId="890" priority="892" operator="greaterThan">
      <formula>0</formula>
    </cfRule>
  </conditionalFormatting>
  <conditionalFormatting sqref="CX5:CX7">
    <cfRule type="cellIs" dxfId="889" priority="889" operator="lessThan">
      <formula>0</formula>
    </cfRule>
    <cfRule type="cellIs" dxfId="888" priority="890" operator="greaterThan">
      <formula>0</formula>
    </cfRule>
  </conditionalFormatting>
  <conditionalFormatting sqref="DA5:DA7">
    <cfRule type="cellIs" dxfId="887" priority="887" operator="lessThan">
      <formula>0</formula>
    </cfRule>
    <cfRule type="cellIs" dxfId="886" priority="888" operator="greaterThan">
      <formula>0</formula>
    </cfRule>
  </conditionalFormatting>
  <conditionalFormatting sqref="DD5:DD7">
    <cfRule type="cellIs" dxfId="885" priority="885" operator="lessThan">
      <formula>0</formula>
    </cfRule>
    <cfRule type="cellIs" dxfId="884" priority="886" operator="greaterThan">
      <formula>0</formula>
    </cfRule>
  </conditionalFormatting>
  <conditionalFormatting sqref="DG5:DG7">
    <cfRule type="cellIs" dxfId="883" priority="883" operator="lessThan">
      <formula>0</formula>
    </cfRule>
    <cfRule type="cellIs" dxfId="882" priority="884" operator="greaterThan">
      <formula>0</formula>
    </cfRule>
  </conditionalFormatting>
  <conditionalFormatting sqref="CX8:CX16">
    <cfRule type="cellIs" dxfId="881" priority="881" operator="lessThan">
      <formula>0</formula>
    </cfRule>
    <cfRule type="cellIs" dxfId="880" priority="882" operator="greaterThan">
      <formula>0</formula>
    </cfRule>
  </conditionalFormatting>
  <conditionalFormatting sqref="DA8:DA16">
    <cfRule type="cellIs" dxfId="879" priority="879" operator="lessThan">
      <formula>0</formula>
    </cfRule>
    <cfRule type="cellIs" dxfId="878" priority="880" operator="greaterThan">
      <formula>0</formula>
    </cfRule>
  </conditionalFormatting>
  <conditionalFormatting sqref="DD8:DD16">
    <cfRule type="cellIs" dxfId="877" priority="877" operator="lessThan">
      <formula>0</formula>
    </cfRule>
    <cfRule type="cellIs" dxfId="876" priority="878" operator="greaterThan">
      <formula>0</formula>
    </cfRule>
  </conditionalFormatting>
  <conditionalFormatting sqref="DG8:DG16">
    <cfRule type="cellIs" dxfId="875" priority="875" operator="lessThan">
      <formula>0</formula>
    </cfRule>
    <cfRule type="cellIs" dxfId="874" priority="876" operator="greaterThan">
      <formula>0</formula>
    </cfRule>
  </conditionalFormatting>
  <conditionalFormatting sqref="CX18:CX20">
    <cfRule type="cellIs" dxfId="873" priority="873" operator="lessThan">
      <formula>0</formula>
    </cfRule>
    <cfRule type="cellIs" dxfId="872" priority="874" operator="greaterThan">
      <formula>0</formula>
    </cfRule>
  </conditionalFormatting>
  <conditionalFormatting sqref="DA18:DA20">
    <cfRule type="cellIs" dxfId="871" priority="871" operator="lessThan">
      <formula>0</formula>
    </cfRule>
    <cfRule type="cellIs" dxfId="870" priority="872" operator="greaterThan">
      <formula>0</formula>
    </cfRule>
  </conditionalFormatting>
  <conditionalFormatting sqref="DD18:DD20">
    <cfRule type="cellIs" dxfId="869" priority="869" operator="lessThan">
      <formula>0</formula>
    </cfRule>
    <cfRule type="cellIs" dxfId="868" priority="870" operator="greaterThan">
      <formula>0</formula>
    </cfRule>
  </conditionalFormatting>
  <conditionalFormatting sqref="DG18:DG20">
    <cfRule type="cellIs" dxfId="867" priority="867" operator="lessThan">
      <formula>0</formula>
    </cfRule>
    <cfRule type="cellIs" dxfId="866" priority="868" operator="greaterThan">
      <formula>0</formula>
    </cfRule>
  </conditionalFormatting>
  <conditionalFormatting sqref="CX21:CX25">
    <cfRule type="cellIs" dxfId="865" priority="865" operator="lessThan">
      <formula>0</formula>
    </cfRule>
    <cfRule type="cellIs" dxfId="864" priority="866" operator="greaterThan">
      <formula>0</formula>
    </cfRule>
  </conditionalFormatting>
  <conditionalFormatting sqref="DA21:DA25">
    <cfRule type="cellIs" dxfId="863" priority="863" operator="lessThan">
      <formula>0</formula>
    </cfRule>
    <cfRule type="cellIs" dxfId="862" priority="864" operator="greaterThan">
      <formula>0</formula>
    </cfRule>
  </conditionalFormatting>
  <conditionalFormatting sqref="DD21:DD25">
    <cfRule type="cellIs" dxfId="861" priority="861" operator="lessThan">
      <formula>0</formula>
    </cfRule>
    <cfRule type="cellIs" dxfId="860" priority="862" operator="greaterThan">
      <formula>0</formula>
    </cfRule>
  </conditionalFormatting>
  <conditionalFormatting sqref="DG21:DG25">
    <cfRule type="cellIs" dxfId="859" priority="859" operator="lessThan">
      <formula>0</formula>
    </cfRule>
    <cfRule type="cellIs" dxfId="858" priority="860" operator="greaterThan">
      <formula>0</formula>
    </cfRule>
  </conditionalFormatting>
  <conditionalFormatting sqref="DM5:DM7">
    <cfRule type="cellIs" dxfId="857" priority="857" operator="lessThan">
      <formula>0</formula>
    </cfRule>
    <cfRule type="cellIs" dxfId="856" priority="858" operator="greaterThan">
      <formula>0</formula>
    </cfRule>
  </conditionalFormatting>
  <conditionalFormatting sqref="DP5:DP7">
    <cfRule type="cellIs" dxfId="855" priority="855" operator="lessThan">
      <formula>0</formula>
    </cfRule>
    <cfRule type="cellIs" dxfId="854" priority="856" operator="greaterThan">
      <formula>0</formula>
    </cfRule>
  </conditionalFormatting>
  <conditionalFormatting sqref="DS5:DS7">
    <cfRule type="cellIs" dxfId="853" priority="853" operator="lessThan">
      <formula>0</formula>
    </cfRule>
    <cfRule type="cellIs" dxfId="852" priority="854" operator="greaterThan">
      <formula>0</formula>
    </cfRule>
  </conditionalFormatting>
  <conditionalFormatting sqref="DV5:DV7">
    <cfRule type="cellIs" dxfId="851" priority="851" operator="lessThan">
      <formula>0</formula>
    </cfRule>
    <cfRule type="cellIs" dxfId="850" priority="852" operator="greaterThan">
      <formula>0</formula>
    </cfRule>
  </conditionalFormatting>
  <conditionalFormatting sqref="DM8:DM16">
    <cfRule type="cellIs" dxfId="849" priority="849" operator="lessThan">
      <formula>0</formula>
    </cfRule>
    <cfRule type="cellIs" dxfId="848" priority="850" operator="greaterThan">
      <formula>0</formula>
    </cfRule>
  </conditionalFormatting>
  <conditionalFormatting sqref="DP8:DP16">
    <cfRule type="cellIs" dxfId="847" priority="847" operator="lessThan">
      <formula>0</formula>
    </cfRule>
    <cfRule type="cellIs" dxfId="846" priority="848" operator="greaterThan">
      <formula>0</formula>
    </cfRule>
  </conditionalFormatting>
  <conditionalFormatting sqref="DS8:DS16">
    <cfRule type="cellIs" dxfId="845" priority="845" operator="lessThan">
      <formula>0</formula>
    </cfRule>
    <cfRule type="cellIs" dxfId="844" priority="846" operator="greaterThan">
      <formula>0</formula>
    </cfRule>
  </conditionalFormatting>
  <conditionalFormatting sqref="DV8:DV16">
    <cfRule type="cellIs" dxfId="843" priority="843" operator="lessThan">
      <formula>0</formula>
    </cfRule>
    <cfRule type="cellIs" dxfId="842" priority="844" operator="greaterThan">
      <formula>0</formula>
    </cfRule>
  </conditionalFormatting>
  <conditionalFormatting sqref="DM18:DM20">
    <cfRule type="cellIs" dxfId="841" priority="841" operator="lessThan">
      <formula>0</formula>
    </cfRule>
    <cfRule type="cellIs" dxfId="840" priority="842" operator="greaterThan">
      <formula>0</formula>
    </cfRule>
  </conditionalFormatting>
  <conditionalFormatting sqref="DP18:DP20">
    <cfRule type="cellIs" dxfId="839" priority="839" operator="lessThan">
      <formula>0</formula>
    </cfRule>
    <cfRule type="cellIs" dxfId="838" priority="840" operator="greaterThan">
      <formula>0</formula>
    </cfRule>
  </conditionalFormatting>
  <conditionalFormatting sqref="DS18:DS20">
    <cfRule type="cellIs" dxfId="837" priority="837" operator="lessThan">
      <formula>0</formula>
    </cfRule>
    <cfRule type="cellIs" dxfId="836" priority="838" operator="greaterThan">
      <formula>0</formula>
    </cfRule>
  </conditionalFormatting>
  <conditionalFormatting sqref="DV18:DV20">
    <cfRule type="cellIs" dxfId="835" priority="835" operator="lessThan">
      <formula>0</formula>
    </cfRule>
    <cfRule type="cellIs" dxfId="834" priority="836" operator="greaterThan">
      <formula>0</formula>
    </cfRule>
  </conditionalFormatting>
  <conditionalFormatting sqref="DM21:DM25">
    <cfRule type="cellIs" dxfId="833" priority="833" operator="lessThan">
      <formula>0</formula>
    </cfRule>
    <cfRule type="cellIs" dxfId="832" priority="834" operator="greaterThan">
      <formula>0</formula>
    </cfRule>
  </conditionalFormatting>
  <conditionalFormatting sqref="DP21:DP25">
    <cfRule type="cellIs" dxfId="831" priority="831" operator="lessThan">
      <formula>0</formula>
    </cfRule>
    <cfRule type="cellIs" dxfId="830" priority="832" operator="greaterThan">
      <formula>0</formula>
    </cfRule>
  </conditionalFormatting>
  <conditionalFormatting sqref="DS21:DS25">
    <cfRule type="cellIs" dxfId="829" priority="829" operator="lessThan">
      <formula>0</formula>
    </cfRule>
    <cfRule type="cellIs" dxfId="828" priority="830" operator="greaterThan">
      <formula>0</formula>
    </cfRule>
  </conditionalFormatting>
  <conditionalFormatting sqref="DV21:DV25">
    <cfRule type="cellIs" dxfId="827" priority="827" operator="lessThan">
      <formula>0</formula>
    </cfRule>
    <cfRule type="cellIs" dxfId="826" priority="828" operator="greaterThan">
      <formula>0</formula>
    </cfRule>
  </conditionalFormatting>
  <conditionalFormatting sqref="FI31:FI38">
    <cfRule type="cellIs" dxfId="825" priority="825" operator="lessThan">
      <formula>0</formula>
    </cfRule>
    <cfRule type="cellIs" dxfId="824" priority="826" operator="greaterThan">
      <formula>0</formula>
    </cfRule>
  </conditionalFormatting>
  <conditionalFormatting sqref="FL31:FL42">
    <cfRule type="cellIs" dxfId="823" priority="823" operator="lessThan">
      <formula>0</formula>
    </cfRule>
    <cfRule type="cellIs" dxfId="822" priority="824" operator="greaterThan">
      <formula>0</formula>
    </cfRule>
  </conditionalFormatting>
  <conditionalFormatting sqref="FI44 FI46:FI55">
    <cfRule type="cellIs" dxfId="821" priority="821" operator="lessThan">
      <formula>0</formula>
    </cfRule>
    <cfRule type="cellIs" dxfId="820" priority="822" operator="greaterThan">
      <formula>0</formula>
    </cfRule>
  </conditionalFormatting>
  <conditionalFormatting sqref="FL44:FL55">
    <cfRule type="cellIs" dxfId="819" priority="819" operator="lessThan">
      <formula>0</formula>
    </cfRule>
    <cfRule type="cellIs" dxfId="818" priority="820" operator="greaterThan">
      <formula>0</formula>
    </cfRule>
  </conditionalFormatting>
  <conditionalFormatting sqref="FI57:FI68">
    <cfRule type="cellIs" dxfId="817" priority="817" operator="lessThan">
      <formula>0</formula>
    </cfRule>
    <cfRule type="cellIs" dxfId="816" priority="818" operator="greaterThan">
      <formula>0</formula>
    </cfRule>
  </conditionalFormatting>
  <conditionalFormatting sqref="FL57:FL68">
    <cfRule type="cellIs" dxfId="815" priority="815" operator="lessThan">
      <formula>0</formula>
    </cfRule>
    <cfRule type="cellIs" dxfId="814" priority="816" operator="greaterThan">
      <formula>0</formula>
    </cfRule>
  </conditionalFormatting>
  <conditionalFormatting sqref="FI70:FI81">
    <cfRule type="cellIs" dxfId="813" priority="813" operator="lessThan">
      <formula>0</formula>
    </cfRule>
    <cfRule type="cellIs" dxfId="812" priority="814" operator="greaterThan">
      <formula>0</formula>
    </cfRule>
  </conditionalFormatting>
  <conditionalFormatting sqref="FL70:FL81">
    <cfRule type="cellIs" dxfId="811" priority="811" operator="lessThan">
      <formula>0</formula>
    </cfRule>
    <cfRule type="cellIs" dxfId="810" priority="812" operator="greaterThan">
      <formula>0</formula>
    </cfRule>
  </conditionalFormatting>
  <conditionalFormatting sqref="FI83:FI94">
    <cfRule type="cellIs" dxfId="809" priority="809" operator="lessThan">
      <formula>0</formula>
    </cfRule>
    <cfRule type="cellIs" dxfId="808" priority="810" operator="greaterThan">
      <formula>0</formula>
    </cfRule>
  </conditionalFormatting>
  <conditionalFormatting sqref="FL83:FL94">
    <cfRule type="cellIs" dxfId="807" priority="807" operator="lessThan">
      <formula>0</formula>
    </cfRule>
    <cfRule type="cellIs" dxfId="806" priority="808" operator="greaterThan">
      <formula>0</formula>
    </cfRule>
  </conditionalFormatting>
  <conditionalFormatting sqref="FI96:FI107">
    <cfRule type="cellIs" dxfId="805" priority="805" operator="lessThan">
      <formula>0</formula>
    </cfRule>
    <cfRule type="cellIs" dxfId="804" priority="806" operator="greaterThan">
      <formula>0</formula>
    </cfRule>
  </conditionalFormatting>
  <conditionalFormatting sqref="FL96:FL107">
    <cfRule type="cellIs" dxfId="803" priority="803" operator="lessThan">
      <formula>0</formula>
    </cfRule>
    <cfRule type="cellIs" dxfId="802" priority="804" operator="greaterThan">
      <formula>0</formula>
    </cfRule>
  </conditionalFormatting>
  <conditionalFormatting sqref="FI109:FI120">
    <cfRule type="cellIs" dxfId="801" priority="801" operator="lessThan">
      <formula>0</formula>
    </cfRule>
    <cfRule type="cellIs" dxfId="800" priority="802" operator="greaterThan">
      <formula>0</formula>
    </cfRule>
  </conditionalFormatting>
  <conditionalFormatting sqref="FL109:FL120">
    <cfRule type="cellIs" dxfId="799" priority="799" operator="lessThan">
      <formula>0</formula>
    </cfRule>
    <cfRule type="cellIs" dxfId="798" priority="800" operator="greaterThan">
      <formula>0</formula>
    </cfRule>
  </conditionalFormatting>
  <conditionalFormatting sqref="GJ31:GJ42">
    <cfRule type="cellIs" dxfId="797" priority="797" operator="lessThan">
      <formula>0</formula>
    </cfRule>
    <cfRule type="cellIs" dxfId="796" priority="798" operator="greaterThan">
      <formula>0</formula>
    </cfRule>
  </conditionalFormatting>
  <conditionalFormatting sqref="GM31:GM42">
    <cfRule type="cellIs" dxfId="795" priority="795" operator="lessThan">
      <formula>0</formula>
    </cfRule>
    <cfRule type="cellIs" dxfId="794" priority="796" operator="greaterThan">
      <formula>0</formula>
    </cfRule>
  </conditionalFormatting>
  <conditionalFormatting sqref="GP31:GP42">
    <cfRule type="cellIs" dxfId="793" priority="793" operator="lessThan">
      <formula>0</formula>
    </cfRule>
    <cfRule type="cellIs" dxfId="792" priority="794" operator="greaterThan">
      <formula>0</formula>
    </cfRule>
  </conditionalFormatting>
  <conditionalFormatting sqref="GJ44:GJ55">
    <cfRule type="cellIs" dxfId="791" priority="791" operator="lessThan">
      <formula>0</formula>
    </cfRule>
    <cfRule type="cellIs" dxfId="790" priority="792" operator="greaterThan">
      <formula>0</formula>
    </cfRule>
  </conditionalFormatting>
  <conditionalFormatting sqref="GM44:GM55">
    <cfRule type="cellIs" dxfId="789" priority="789" operator="lessThan">
      <formula>0</formula>
    </cfRule>
    <cfRule type="cellIs" dxfId="788" priority="790" operator="greaterThan">
      <formula>0</formula>
    </cfRule>
  </conditionalFormatting>
  <conditionalFormatting sqref="GP44:GP55">
    <cfRule type="cellIs" dxfId="787" priority="787" operator="lessThan">
      <formula>0</formula>
    </cfRule>
    <cfRule type="cellIs" dxfId="786" priority="788" operator="greaterThan">
      <formula>0</formula>
    </cfRule>
  </conditionalFormatting>
  <conditionalFormatting sqref="GJ57:GJ68">
    <cfRule type="cellIs" dxfId="785" priority="785" operator="lessThan">
      <formula>0</formula>
    </cfRule>
    <cfRule type="cellIs" dxfId="784" priority="786" operator="greaterThan">
      <formula>0</formula>
    </cfRule>
  </conditionalFormatting>
  <conditionalFormatting sqref="GM57:GM68">
    <cfRule type="cellIs" dxfId="783" priority="783" operator="lessThan">
      <formula>0</formula>
    </cfRule>
    <cfRule type="cellIs" dxfId="782" priority="784" operator="greaterThan">
      <formula>0</formula>
    </cfRule>
  </conditionalFormatting>
  <conditionalFormatting sqref="GP57:GP68">
    <cfRule type="cellIs" dxfId="781" priority="781" operator="lessThan">
      <formula>0</formula>
    </cfRule>
    <cfRule type="cellIs" dxfId="780" priority="782" operator="greaterThan">
      <formula>0</formula>
    </cfRule>
  </conditionalFormatting>
  <conditionalFormatting sqref="GJ70:GJ81">
    <cfRule type="cellIs" dxfId="779" priority="779" operator="lessThan">
      <formula>0</formula>
    </cfRule>
    <cfRule type="cellIs" dxfId="778" priority="780" operator="greaterThan">
      <formula>0</formula>
    </cfRule>
  </conditionalFormatting>
  <conditionalFormatting sqref="GM70:GM81">
    <cfRule type="cellIs" dxfId="777" priority="777" operator="lessThan">
      <formula>0</formula>
    </cfRule>
    <cfRule type="cellIs" dxfId="776" priority="778" operator="greaterThan">
      <formula>0</formula>
    </cfRule>
  </conditionalFormatting>
  <conditionalFormatting sqref="GP70:GP81">
    <cfRule type="cellIs" dxfId="775" priority="775" operator="lessThan">
      <formula>0</formula>
    </cfRule>
    <cfRule type="cellIs" dxfId="774" priority="776" operator="greaterThan">
      <formula>0</formula>
    </cfRule>
  </conditionalFormatting>
  <conditionalFormatting sqref="GJ83:GJ94">
    <cfRule type="cellIs" dxfId="773" priority="773" operator="lessThan">
      <formula>0</formula>
    </cfRule>
    <cfRule type="cellIs" dxfId="772" priority="774" operator="greaterThan">
      <formula>0</formula>
    </cfRule>
  </conditionalFormatting>
  <conditionalFormatting sqref="GM83:GM94">
    <cfRule type="cellIs" dxfId="771" priority="771" operator="lessThan">
      <formula>0</formula>
    </cfRule>
    <cfRule type="cellIs" dxfId="770" priority="772" operator="greaterThan">
      <formula>0</formula>
    </cfRule>
  </conditionalFormatting>
  <conditionalFormatting sqref="GP83:GP94">
    <cfRule type="cellIs" dxfId="769" priority="769" operator="lessThan">
      <formula>0</formula>
    </cfRule>
    <cfRule type="cellIs" dxfId="768" priority="770" operator="greaterThan">
      <formula>0</formula>
    </cfRule>
  </conditionalFormatting>
  <conditionalFormatting sqref="GJ96:GJ107">
    <cfRule type="cellIs" dxfId="767" priority="767" operator="lessThan">
      <formula>0</formula>
    </cfRule>
    <cfRule type="cellIs" dxfId="766" priority="768" operator="greaterThan">
      <formula>0</formula>
    </cfRule>
  </conditionalFormatting>
  <conditionalFormatting sqref="GM96:GM107">
    <cfRule type="cellIs" dxfId="765" priority="765" operator="lessThan">
      <formula>0</formula>
    </cfRule>
    <cfRule type="cellIs" dxfId="764" priority="766" operator="greaterThan">
      <formula>0</formula>
    </cfRule>
  </conditionalFormatting>
  <conditionalFormatting sqref="GP96:GP107">
    <cfRule type="cellIs" dxfId="763" priority="763" operator="lessThan">
      <formula>0</formula>
    </cfRule>
    <cfRule type="cellIs" dxfId="762" priority="764" operator="greaterThan">
      <formula>0</formula>
    </cfRule>
  </conditionalFormatting>
  <conditionalFormatting sqref="GJ109:GJ120">
    <cfRule type="cellIs" dxfId="761" priority="761" operator="lessThan">
      <formula>0</formula>
    </cfRule>
    <cfRule type="cellIs" dxfId="760" priority="762" operator="greaterThan">
      <formula>0</formula>
    </cfRule>
  </conditionalFormatting>
  <conditionalFormatting sqref="GM109:GM120">
    <cfRule type="cellIs" dxfId="759" priority="759" operator="lessThan">
      <formula>0</formula>
    </cfRule>
    <cfRule type="cellIs" dxfId="758" priority="760" operator="greaterThan">
      <formula>0</formula>
    </cfRule>
  </conditionalFormatting>
  <conditionalFormatting sqref="GP109:GP120">
    <cfRule type="cellIs" dxfId="757" priority="757" operator="lessThan">
      <formula>0</formula>
    </cfRule>
    <cfRule type="cellIs" dxfId="756" priority="758" operator="greaterThan">
      <formula>0</formula>
    </cfRule>
  </conditionalFormatting>
  <conditionalFormatting sqref="GY5:GY7">
    <cfRule type="cellIs" dxfId="755" priority="755" operator="lessThan">
      <formula>0</formula>
    </cfRule>
    <cfRule type="cellIs" dxfId="754" priority="756" operator="greaterThan">
      <formula>0</formula>
    </cfRule>
  </conditionalFormatting>
  <conditionalFormatting sqref="HB5:HB7">
    <cfRule type="cellIs" dxfId="753" priority="753" operator="lessThan">
      <formula>0</formula>
    </cfRule>
    <cfRule type="cellIs" dxfId="752" priority="754" operator="greaterThan">
      <formula>0</formula>
    </cfRule>
  </conditionalFormatting>
  <conditionalFormatting sqref="HE5:HE7">
    <cfRule type="cellIs" dxfId="751" priority="751" operator="lessThan">
      <formula>0</formula>
    </cfRule>
    <cfRule type="cellIs" dxfId="750" priority="752" operator="greaterThan">
      <formula>0</formula>
    </cfRule>
  </conditionalFormatting>
  <conditionalFormatting sqref="HH5:HH7">
    <cfRule type="cellIs" dxfId="749" priority="749" operator="lessThan">
      <formula>0</formula>
    </cfRule>
    <cfRule type="cellIs" dxfId="748" priority="750" operator="greaterThan">
      <formula>0</formula>
    </cfRule>
  </conditionalFormatting>
  <conditionalFormatting sqref="GY8:GY10">
    <cfRule type="cellIs" dxfId="747" priority="747" operator="lessThan">
      <formula>0</formula>
    </cfRule>
    <cfRule type="cellIs" dxfId="746" priority="748" operator="greaterThan">
      <formula>0</formula>
    </cfRule>
  </conditionalFormatting>
  <conditionalFormatting sqref="HB8:HB10">
    <cfRule type="cellIs" dxfId="745" priority="745" operator="lessThan">
      <formula>0</formula>
    </cfRule>
    <cfRule type="cellIs" dxfId="744" priority="746" operator="greaterThan">
      <formula>0</formula>
    </cfRule>
  </conditionalFormatting>
  <conditionalFormatting sqref="HE8:HE10">
    <cfRule type="cellIs" dxfId="743" priority="743" operator="lessThan">
      <formula>0</formula>
    </cfRule>
    <cfRule type="cellIs" dxfId="742" priority="744" operator="greaterThan">
      <formula>0</formula>
    </cfRule>
  </conditionalFormatting>
  <conditionalFormatting sqref="HH8:HH10">
    <cfRule type="cellIs" dxfId="741" priority="741" operator="lessThan">
      <formula>0</formula>
    </cfRule>
    <cfRule type="cellIs" dxfId="740" priority="742" operator="greaterThan">
      <formula>0</formula>
    </cfRule>
  </conditionalFormatting>
  <conditionalFormatting sqref="GY11:GY13">
    <cfRule type="cellIs" dxfId="739" priority="739" operator="lessThan">
      <formula>0</formula>
    </cfRule>
    <cfRule type="cellIs" dxfId="738" priority="740" operator="greaterThan">
      <formula>0</formula>
    </cfRule>
  </conditionalFormatting>
  <conditionalFormatting sqref="HB11:HB13">
    <cfRule type="cellIs" dxfId="737" priority="737" operator="lessThan">
      <formula>0</formula>
    </cfRule>
    <cfRule type="cellIs" dxfId="736" priority="738" operator="greaterThan">
      <formula>0</formula>
    </cfRule>
  </conditionalFormatting>
  <conditionalFormatting sqref="HE11:HE13">
    <cfRule type="cellIs" dxfId="735" priority="735" operator="lessThan">
      <formula>0</formula>
    </cfRule>
    <cfRule type="cellIs" dxfId="734" priority="736" operator="greaterThan">
      <formula>0</formula>
    </cfRule>
  </conditionalFormatting>
  <conditionalFormatting sqref="HH11:HH13">
    <cfRule type="cellIs" dxfId="733" priority="733" operator="lessThan">
      <formula>0</formula>
    </cfRule>
    <cfRule type="cellIs" dxfId="732" priority="734" operator="greaterThan">
      <formula>0</formula>
    </cfRule>
  </conditionalFormatting>
  <conditionalFormatting sqref="GY14:GY16">
    <cfRule type="cellIs" dxfId="731" priority="731" operator="lessThan">
      <formula>0</formula>
    </cfRule>
    <cfRule type="cellIs" dxfId="730" priority="732" operator="greaterThan">
      <formula>0</formula>
    </cfRule>
  </conditionalFormatting>
  <conditionalFormatting sqref="HB14:HB16">
    <cfRule type="cellIs" dxfId="729" priority="729" operator="lessThan">
      <formula>0</formula>
    </cfRule>
    <cfRule type="cellIs" dxfId="728" priority="730" operator="greaterThan">
      <formula>0</formula>
    </cfRule>
  </conditionalFormatting>
  <conditionalFormatting sqref="HE14:HE16">
    <cfRule type="cellIs" dxfId="727" priority="727" operator="lessThan">
      <formula>0</formula>
    </cfRule>
    <cfRule type="cellIs" dxfId="726" priority="728" operator="greaterThan">
      <formula>0</formula>
    </cfRule>
  </conditionalFormatting>
  <conditionalFormatting sqref="HH14:HH16">
    <cfRule type="cellIs" dxfId="725" priority="725" operator="lessThan">
      <formula>0</formula>
    </cfRule>
    <cfRule type="cellIs" dxfId="724" priority="726" operator="greaterThan">
      <formula>0</formula>
    </cfRule>
  </conditionalFormatting>
  <conditionalFormatting sqref="GY18:GY20">
    <cfRule type="cellIs" dxfId="723" priority="723" operator="lessThan">
      <formula>0</formula>
    </cfRule>
    <cfRule type="cellIs" dxfId="722" priority="724" operator="greaterThan">
      <formula>0</formula>
    </cfRule>
  </conditionalFormatting>
  <conditionalFormatting sqref="HB18:HB20">
    <cfRule type="cellIs" dxfId="721" priority="721" operator="lessThan">
      <formula>0</formula>
    </cfRule>
    <cfRule type="cellIs" dxfId="720" priority="722" operator="greaterThan">
      <formula>0</formula>
    </cfRule>
  </conditionalFormatting>
  <conditionalFormatting sqref="HE18:HE20">
    <cfRule type="cellIs" dxfId="719" priority="719" operator="lessThan">
      <formula>0</formula>
    </cfRule>
    <cfRule type="cellIs" dxfId="718" priority="720" operator="greaterThan">
      <formula>0</formula>
    </cfRule>
  </conditionalFormatting>
  <conditionalFormatting sqref="HH18:HH20">
    <cfRule type="cellIs" dxfId="717" priority="717" operator="lessThan">
      <formula>0</formula>
    </cfRule>
    <cfRule type="cellIs" dxfId="716" priority="718" operator="greaterThan">
      <formula>0</formula>
    </cfRule>
  </conditionalFormatting>
  <conditionalFormatting sqref="GY21:GY23">
    <cfRule type="cellIs" dxfId="715" priority="715" operator="lessThan">
      <formula>0</formula>
    </cfRule>
    <cfRule type="cellIs" dxfId="714" priority="716" operator="greaterThan">
      <formula>0</formula>
    </cfRule>
  </conditionalFormatting>
  <conditionalFormatting sqref="HB21:HB23">
    <cfRule type="cellIs" dxfId="713" priority="713" operator="lessThan">
      <formula>0</formula>
    </cfRule>
    <cfRule type="cellIs" dxfId="712" priority="714" operator="greaterThan">
      <formula>0</formula>
    </cfRule>
  </conditionalFormatting>
  <conditionalFormatting sqref="HE21:HE23">
    <cfRule type="cellIs" dxfId="711" priority="711" operator="lessThan">
      <formula>0</formula>
    </cfRule>
    <cfRule type="cellIs" dxfId="710" priority="712" operator="greaterThan">
      <formula>0</formula>
    </cfRule>
  </conditionalFormatting>
  <conditionalFormatting sqref="HH21:HH23">
    <cfRule type="cellIs" dxfId="709" priority="709" operator="lessThan">
      <formula>0</formula>
    </cfRule>
    <cfRule type="cellIs" dxfId="708" priority="710" operator="greaterThan">
      <formula>0</formula>
    </cfRule>
  </conditionalFormatting>
  <conditionalFormatting sqref="JG5:JG16 JG18:JG29 JG31:JG39">
    <cfRule type="cellIs" dxfId="707" priority="707" operator="lessThan">
      <formula>0</formula>
    </cfRule>
    <cfRule type="cellIs" dxfId="706" priority="708" operator="greaterThan">
      <formula>0</formula>
    </cfRule>
  </conditionalFormatting>
  <conditionalFormatting sqref="JJ5:JJ16 JJ18:JJ29 JJ31:JJ39">
    <cfRule type="cellIs" dxfId="705" priority="705" operator="lessThan">
      <formula>0</formula>
    </cfRule>
    <cfRule type="cellIs" dxfId="704" priority="706" operator="greaterThan">
      <formula>0</formula>
    </cfRule>
  </conditionalFormatting>
  <conditionalFormatting sqref="JM5:JM16 JM18:JM29 JM31:JM39">
    <cfRule type="cellIs" dxfId="703" priority="703" operator="lessThan">
      <formula>0</formula>
    </cfRule>
    <cfRule type="cellIs" dxfId="702" priority="704" operator="greaterThan">
      <formula>0</formula>
    </cfRule>
  </conditionalFormatting>
  <conditionalFormatting sqref="JP5:JP16 JP18:JP29 JP44:JP55 JP57:JP68 JP70:JP81 JP83:JP94 JP96:JP107 JP109:JP120 JP31:JP42">
    <cfRule type="cellIs" dxfId="701" priority="701" operator="lessThan">
      <formula>0</formula>
    </cfRule>
    <cfRule type="cellIs" dxfId="700" priority="702" operator="greaterThan">
      <formula>0</formula>
    </cfRule>
  </conditionalFormatting>
  <conditionalFormatting sqref="JV5:JV16 JV18:JV29 JV109:JV120 JV96:JV107 JV83:JV94 JV70:JV81 JV57:JV68 JV44:JV55 JV31:JV42">
    <cfRule type="cellIs" dxfId="699" priority="699" operator="lessThan">
      <formula>0</formula>
    </cfRule>
    <cfRule type="cellIs" dxfId="698" priority="700" operator="greaterThan">
      <formula>0</formula>
    </cfRule>
  </conditionalFormatting>
  <conditionalFormatting sqref="JY5:JY16 JY18:JY29 JY109:JY120 JY96:JY107 JY83:JY94 JY70:JY81 JY57:JY68 JY44:JY55 JY31:JY42">
    <cfRule type="cellIs" dxfId="697" priority="697" operator="lessThan">
      <formula>0</formula>
    </cfRule>
    <cfRule type="cellIs" dxfId="696" priority="698" operator="greaterThan">
      <formula>0</formula>
    </cfRule>
  </conditionalFormatting>
  <conditionalFormatting sqref="KB5:KB16 KB18:KB29 KB109:KB120 KB96:KB107 KB83:KB94 KB70:KB81 KB57:KB68 KB44:KB55 KB31:KB42">
    <cfRule type="cellIs" dxfId="695" priority="695" operator="lessThan">
      <formula>0</formula>
    </cfRule>
    <cfRule type="cellIs" dxfId="694" priority="696" operator="greaterThan">
      <formula>0</formula>
    </cfRule>
  </conditionalFormatting>
  <conditionalFormatting sqref="KE5:KE16 KE18:KE29 KE44:KE55 KE57:KE68 KE70:KE81 KE83:KE94 KE96:KE107 KE109:KE120 KE31:KE42">
    <cfRule type="cellIs" dxfId="693" priority="693" operator="lessThan">
      <formula>0</formula>
    </cfRule>
    <cfRule type="cellIs" dxfId="692" priority="694" operator="greaterThan">
      <formula>0</formula>
    </cfRule>
  </conditionalFormatting>
  <conditionalFormatting sqref="KK24:KK29 KK44:KK55 KK57:KK68 KK70:KK81 KK83:KK94 KK96:KK107 KK109:KK120 KK31:KK42">
    <cfRule type="cellIs" dxfId="691" priority="691" operator="lessThan">
      <formula>0</formula>
    </cfRule>
    <cfRule type="cellIs" dxfId="690" priority="692" operator="greaterThan">
      <formula>0</formula>
    </cfRule>
  </conditionalFormatting>
  <conditionalFormatting sqref="KN24:KN29 KN44:KN55 KN57:KN68 KN70:KN81 KN83:KN94 KN96:KN107 KN109:KN120 KN31:KN42">
    <cfRule type="cellIs" dxfId="689" priority="689" operator="lessThan">
      <formula>0</formula>
    </cfRule>
    <cfRule type="cellIs" dxfId="688" priority="690" operator="greaterThan">
      <formula>0</formula>
    </cfRule>
  </conditionalFormatting>
  <conditionalFormatting sqref="KQ24:KQ29 KQ44:KQ55 KQ57:KQ68 KQ70:KQ81 KQ83:KQ94 KQ96:KQ107 KQ109:KQ120 KQ31:KQ42">
    <cfRule type="cellIs" dxfId="687" priority="687" operator="lessThan">
      <formula>0</formula>
    </cfRule>
    <cfRule type="cellIs" dxfId="686" priority="688" operator="greaterThan">
      <formula>0</formula>
    </cfRule>
  </conditionalFormatting>
  <conditionalFormatting sqref="KT5:KT16 KT18:KT29 KT44:KT55 KT57:KT68 KT70:KT81 KT83:KT94 KT96:KT107 KT109:KT120 KT31:KT42">
    <cfRule type="cellIs" dxfId="685" priority="685" operator="lessThan">
      <formula>0</formula>
    </cfRule>
    <cfRule type="cellIs" dxfId="684" priority="686" operator="greaterThan">
      <formula>0</formula>
    </cfRule>
  </conditionalFormatting>
  <conditionalFormatting sqref="LO24:LO29 LO44:LO55 LO57:LO68 LO70:LO81 LO83:LO94 LO96:LO107 LO109:LO120 LO31:LO42">
    <cfRule type="cellIs" dxfId="683" priority="683" operator="lessThan">
      <formula>0</formula>
    </cfRule>
    <cfRule type="cellIs" dxfId="682" priority="684" operator="greaterThan">
      <formula>0</formula>
    </cfRule>
  </conditionalFormatting>
  <conditionalFormatting sqref="LR24:LR29 LR44:LR55 LR57:LR68 LR70:LR81 LR83:LR94 LR96:LR107 LR109:LR120 LR31:LR42">
    <cfRule type="cellIs" dxfId="681" priority="681" operator="lessThan">
      <formula>0</formula>
    </cfRule>
    <cfRule type="cellIs" dxfId="680" priority="682" operator="greaterThan">
      <formula>0</formula>
    </cfRule>
  </conditionalFormatting>
  <conditionalFormatting sqref="LU24:LU29 LU44:LU55 LU57:LU68 LU70:LU81 LU83:LU94 LU96:LU107 LU109:LU120 LU31:LU42">
    <cfRule type="cellIs" dxfId="679" priority="679" operator="lessThan">
      <formula>0</formula>
    </cfRule>
    <cfRule type="cellIs" dxfId="678" priority="680" operator="greaterThan">
      <formula>0</formula>
    </cfRule>
  </conditionalFormatting>
  <conditionalFormatting sqref="LX5:LX16 LX18:LX29 LX44:LX55 LX57:LX68 LX70:LX81 LX83:LX94 LX96:LX107 LX109:LX120 LX31:LX42">
    <cfRule type="cellIs" dxfId="677" priority="677" operator="lessThan">
      <formula>0</formula>
    </cfRule>
    <cfRule type="cellIs" dxfId="676" priority="678" operator="greaterThan">
      <formula>0</formula>
    </cfRule>
  </conditionalFormatting>
  <conditionalFormatting sqref="MD5:MD16 MD18:MD29 MD44:MD55 MD57:MD68 MD70:MD81 MD83:MD94 MD96:MD107 MD109:MD120 MD31:MD42">
    <cfRule type="cellIs" dxfId="675" priority="675" operator="lessThan">
      <formula>0</formula>
    </cfRule>
    <cfRule type="cellIs" dxfId="674" priority="676" operator="greaterThan">
      <formula>0</formula>
    </cfRule>
  </conditionalFormatting>
  <conditionalFormatting sqref="MG5:MG16 MG18:MG29 MG44:MG55 MG57:MG68 MG70:MG81 MG83:MG94 MG96:MG107 MG109:MG120 MG31:MG42">
    <cfRule type="cellIs" dxfId="673" priority="673" operator="lessThan">
      <formula>0</formula>
    </cfRule>
    <cfRule type="cellIs" dxfId="672" priority="674" operator="greaterThan">
      <formula>0</formula>
    </cfRule>
  </conditionalFormatting>
  <conditionalFormatting sqref="MJ5:MJ16 MJ18:MJ29 MJ44:MJ55 MJ57:MJ68 MJ70:MJ81 MJ83:MJ94 MJ96:MJ107 MJ109:MJ120 MJ31:MJ42">
    <cfRule type="cellIs" dxfId="671" priority="671" operator="lessThan">
      <formula>0</formula>
    </cfRule>
    <cfRule type="cellIs" dxfId="670" priority="672" operator="greaterThan">
      <formula>0</formula>
    </cfRule>
  </conditionalFormatting>
  <conditionalFormatting sqref="MM5:MM16 MM18:MM29 MM44:MM55 MM57:MM68 MM70:MM81 MM83:MM94 MM96:MM107 MM109:MM120 MM31:MM42">
    <cfRule type="cellIs" dxfId="669" priority="669" operator="lessThan">
      <formula>0</formula>
    </cfRule>
    <cfRule type="cellIs" dxfId="668" priority="670" operator="greaterThan">
      <formula>0</formula>
    </cfRule>
  </conditionalFormatting>
  <conditionalFormatting sqref="MS5:MS16 MS18:MS29 MS44:MS55 MS57:MS68 MS70:MS81 MS83:MS94 MS96:MS107 MS109:MS120 MS31:MS42">
    <cfRule type="cellIs" dxfId="667" priority="667" operator="lessThan">
      <formula>0</formula>
    </cfRule>
    <cfRule type="cellIs" dxfId="666" priority="668" operator="greaterThan">
      <formula>0</formula>
    </cfRule>
  </conditionalFormatting>
  <conditionalFormatting sqref="MV5:MV16 MV18:MV29 MV44:MV55 MV57:MV68 MV70:MV81 MV83:MV94 MV96:MV107 MV109:MV120 MV31:MV42">
    <cfRule type="cellIs" dxfId="665" priority="665" operator="lessThan">
      <formula>0</formula>
    </cfRule>
    <cfRule type="cellIs" dxfId="664" priority="666" operator="greaterThan">
      <formula>0</formula>
    </cfRule>
  </conditionalFormatting>
  <conditionalFormatting sqref="MY5:MY16 MY18:MY29 MY44:MY55 MY57:MY68 MY70:MY81 MY83:MY94 MY96:MY107 MY109:MY120 MY31:MY42">
    <cfRule type="cellIs" dxfId="663" priority="663" operator="lessThan">
      <formula>0</formula>
    </cfRule>
    <cfRule type="cellIs" dxfId="662" priority="664" operator="greaterThan">
      <formula>0</formula>
    </cfRule>
  </conditionalFormatting>
  <conditionalFormatting sqref="NB5:NB16 NB18:NB29 NB44:NB55 NB57:NB68 NB70:NB81 NB83:NB94 NB96:NB107 NB109:NB120 NB31:NB42">
    <cfRule type="cellIs" dxfId="661" priority="661" operator="lessThan">
      <formula>0</formula>
    </cfRule>
    <cfRule type="cellIs" dxfId="660" priority="662" operator="greaterThan">
      <formula>0</formula>
    </cfRule>
  </conditionalFormatting>
  <conditionalFormatting sqref="NH5:NH16 NH18:NH29 NH44:NH55 NH57:NH68 NH70:NH81 NH83:NH94 NH96:NH107 NH109:NH120 NH31:NH42">
    <cfRule type="cellIs" dxfId="659" priority="659" operator="lessThan">
      <formula>0</formula>
    </cfRule>
    <cfRule type="cellIs" dxfId="658" priority="660" operator="greaterThan">
      <formula>0</formula>
    </cfRule>
  </conditionalFormatting>
  <conditionalFormatting sqref="NK5:NK16 NK18:NK29 NK44:NK55 NK57:NK68 NK70:NK81 NK83:NK94 NK96:NK107 NK109:NK120 NK31:NK42">
    <cfRule type="cellIs" dxfId="657" priority="657" operator="lessThan">
      <formula>0</formula>
    </cfRule>
    <cfRule type="cellIs" dxfId="656" priority="658" operator="greaterThan">
      <formula>0</formula>
    </cfRule>
  </conditionalFormatting>
  <conditionalFormatting sqref="NN5:NN16 NN18:NN29 NN44:NN55 NN57:NN68 NN70:NN81 NN83:NN94 NN96:NN107 NN109:NN120 NN31:NN42">
    <cfRule type="cellIs" dxfId="655" priority="655" operator="lessThan">
      <formula>0</formula>
    </cfRule>
    <cfRule type="cellIs" dxfId="654" priority="656" operator="greaterThan">
      <formula>0</formula>
    </cfRule>
  </conditionalFormatting>
  <conditionalFormatting sqref="NQ5:NQ16 NQ18:NQ29 NQ44:NQ55 NQ57:NQ68 NQ70:NQ81 NQ83:NQ94 NQ96:NQ107 NQ109:NQ120 NQ31:NQ42">
    <cfRule type="cellIs" dxfId="653" priority="653" operator="lessThan">
      <formula>0</formula>
    </cfRule>
    <cfRule type="cellIs" dxfId="652" priority="654" operator="greaterThan">
      <formula>0</formula>
    </cfRule>
  </conditionalFormatting>
  <conditionalFormatting sqref="NW5:NW16 NW18:NW29 NW44:NW55 NW57:NW68 NW70:NW81 NW83:NW94 NW96:NW107 NW109:NW120 NW31:NW42">
    <cfRule type="cellIs" dxfId="651" priority="651" operator="lessThan">
      <formula>0</formula>
    </cfRule>
    <cfRule type="cellIs" dxfId="650" priority="652" operator="greaterThan">
      <formula>0</formula>
    </cfRule>
  </conditionalFormatting>
  <conditionalFormatting sqref="NZ5:NZ16 NZ18:NZ29 NZ44:NZ55 NZ57:NZ68 NZ70:NZ81 NZ83:NZ94 NZ96:NZ107 NZ109:NZ120 NZ31:NZ42">
    <cfRule type="cellIs" dxfId="649" priority="649" operator="lessThan">
      <formula>0</formula>
    </cfRule>
    <cfRule type="cellIs" dxfId="648" priority="650" operator="greaterThan">
      <formula>0</formula>
    </cfRule>
  </conditionalFormatting>
  <conditionalFormatting sqref="OC5:OC16 OC18:OC29 OC44:OC55 OC57:OC68 OC70:OC81 OC83:OC94 OC96:OC107 OC109:OC120 OC31:OC42">
    <cfRule type="cellIs" dxfId="647" priority="647" operator="lessThan">
      <formula>0</formula>
    </cfRule>
    <cfRule type="cellIs" dxfId="646" priority="648" operator="greaterThan">
      <formula>0</formula>
    </cfRule>
  </conditionalFormatting>
  <conditionalFormatting sqref="OF5:OF16 OF18:OF29 OF44:OF55 OF57:OF68 OF70:OF81 OF83:OF94 OF96:OF107 OF109:OF120 OF31:OF42">
    <cfRule type="cellIs" dxfId="645" priority="645" operator="lessThan">
      <formula>0</formula>
    </cfRule>
    <cfRule type="cellIs" dxfId="644" priority="646" operator="greaterThan">
      <formula>0</formula>
    </cfRule>
  </conditionalFormatting>
  <conditionalFormatting sqref="OL5:OL16 OL18:OL29 OL44:OL55 OL57:OL68 OL70:OL81 OL83:OL94 OL96:OL107 OL109:OL120 OL31:OL42">
    <cfRule type="cellIs" dxfId="643" priority="643" operator="lessThan">
      <formula>0</formula>
    </cfRule>
    <cfRule type="cellIs" dxfId="642" priority="644" operator="greaterThan">
      <formula>0</formula>
    </cfRule>
  </conditionalFormatting>
  <conditionalFormatting sqref="OO5:OO16 OO18:OO29 OO44:OO55 OO57:OO68 OO70:OO81 OO83:OO94 OO96:OO107 OO109:OO120 OO31:OO42">
    <cfRule type="cellIs" dxfId="641" priority="641" operator="lessThan">
      <formula>0</formula>
    </cfRule>
    <cfRule type="cellIs" dxfId="640" priority="642" operator="greaterThan">
      <formula>0</formula>
    </cfRule>
  </conditionalFormatting>
  <conditionalFormatting sqref="OR5:OR16 OR18:OR29 OR44:OR55 OR57:OR68 OR70:OR81 OR83:OR94 OR96:OR107 OR109:OR120 OR31:OR42">
    <cfRule type="cellIs" dxfId="639" priority="639" operator="lessThan">
      <formula>0</formula>
    </cfRule>
    <cfRule type="cellIs" dxfId="638" priority="640" operator="greaterThan">
      <formula>0</formula>
    </cfRule>
  </conditionalFormatting>
  <conditionalFormatting sqref="OU5:OU16 OU18:OU29 OU44:OU55 OU57:OU68 OU70:OU81 OU83:OU94 OU96:OU107 OU109:OU120 OU31:OU42">
    <cfRule type="cellIs" dxfId="637" priority="637" operator="lessThan">
      <formula>0</formula>
    </cfRule>
    <cfRule type="cellIs" dxfId="636" priority="638" operator="greaterThan">
      <formula>0</formula>
    </cfRule>
  </conditionalFormatting>
  <conditionalFormatting sqref="PA5:PA16 PA18:PA29 PA44:PA55 PA57:PA68 PA70:PA81 PA83:PA94 PA96:PA107 PA109:PA120 PA31:PA42">
    <cfRule type="cellIs" dxfId="635" priority="635" operator="lessThan">
      <formula>0</formula>
    </cfRule>
    <cfRule type="cellIs" dxfId="634" priority="636" operator="greaterThan">
      <formula>0</formula>
    </cfRule>
  </conditionalFormatting>
  <conditionalFormatting sqref="PD5:PD16 PD18:PD29 PD44:PD55 PD57:PD68 PD70:PD81 PD83:PD94 PD96:PD107 PD109:PD120 PD31:PD42">
    <cfRule type="cellIs" dxfId="633" priority="633" operator="lessThan">
      <formula>0</formula>
    </cfRule>
    <cfRule type="cellIs" dxfId="632" priority="634" operator="greaterThan">
      <formula>0</formula>
    </cfRule>
  </conditionalFormatting>
  <conditionalFormatting sqref="PG5:PG16 PG18:PG29 PG44:PG55 PG57:PG68 PG70:PG81 PG83:PG94 PG96:PG107 PG109:PG120 PG31:PG42">
    <cfRule type="cellIs" dxfId="631" priority="631" operator="lessThan">
      <formula>0</formula>
    </cfRule>
    <cfRule type="cellIs" dxfId="630" priority="632" operator="greaterThan">
      <formula>0</formula>
    </cfRule>
  </conditionalFormatting>
  <conditionalFormatting sqref="PJ5:PJ16 PJ18:PJ29 PJ44:PJ55 PJ57:PJ68 PJ70:PJ81 PJ83:PJ94 PJ96:PJ107 PJ109:PJ120 PJ31:PJ42">
    <cfRule type="cellIs" dxfId="629" priority="629" operator="lessThan">
      <formula>0</formula>
    </cfRule>
    <cfRule type="cellIs" dxfId="628" priority="630" operator="greaterThan">
      <formula>0</formula>
    </cfRule>
  </conditionalFormatting>
  <conditionalFormatting sqref="PP5:PP16 PP18:PP29 PP44:PP55 PP57:PP68 PP70:PP81 PP83:PP94 PP96:PP107 PP109:PP120 PP31:PP42">
    <cfRule type="cellIs" dxfId="627" priority="627" operator="lessThan">
      <formula>0</formula>
    </cfRule>
    <cfRule type="cellIs" dxfId="626" priority="628" operator="greaterThan">
      <formula>0</formula>
    </cfRule>
  </conditionalFormatting>
  <conditionalFormatting sqref="PS5:PS16 PS18:PS29 PS44:PS55 PS57:PS68 PS70:PS81 PS83:PS94 PS96:PS107 PS109:PS120 PS31:PS42">
    <cfRule type="cellIs" dxfId="625" priority="625" operator="lessThan">
      <formula>0</formula>
    </cfRule>
    <cfRule type="cellIs" dxfId="624" priority="626" operator="greaterThan">
      <formula>0</formula>
    </cfRule>
  </conditionalFormatting>
  <conditionalFormatting sqref="PV5:PV16 PV18:PV29 PV44:PV55 PV57:PV68 PV70:PV81 PV83:PV94 PV96:PV107 PV109:PV120 PV31:PV42">
    <cfRule type="cellIs" dxfId="623" priority="623" operator="lessThan">
      <formula>0</formula>
    </cfRule>
    <cfRule type="cellIs" dxfId="622" priority="624" operator="greaterThan">
      <formula>0</formula>
    </cfRule>
  </conditionalFormatting>
  <conditionalFormatting sqref="PY5:PY16 PY18:PY29 PY44:PY55 PY57:PY68 PY70:PY81 PY83:PY94 PY96:PY107 PY109:PY120 PY31:PY42">
    <cfRule type="cellIs" dxfId="621" priority="621" operator="lessThan">
      <formula>0</formula>
    </cfRule>
    <cfRule type="cellIs" dxfId="620" priority="622" operator="greaterThan">
      <formula>0</formula>
    </cfRule>
  </conditionalFormatting>
  <conditionalFormatting sqref="QE5:QE16 QE18:QE29 QE44:QE55 QE57:QE68 QE70:QE81 QE83:QE94 QE96:QE107 QE109:QE120 QE31:QE42">
    <cfRule type="cellIs" dxfId="619" priority="619" operator="lessThan">
      <formula>0</formula>
    </cfRule>
    <cfRule type="cellIs" dxfId="618" priority="620" operator="greaterThan">
      <formula>0</formula>
    </cfRule>
  </conditionalFormatting>
  <conditionalFormatting sqref="QH5:QH16 QH18:QH29 QH44:QH55 QH57:QH68 QH70:QH81 QH83:QH94 QH96:QH107 QH109:QH120 QH31:QH42">
    <cfRule type="cellIs" dxfId="617" priority="617" operator="lessThan">
      <formula>0</formula>
    </cfRule>
    <cfRule type="cellIs" dxfId="616" priority="618" operator="greaterThan">
      <formula>0</formula>
    </cfRule>
  </conditionalFormatting>
  <conditionalFormatting sqref="QK5:QK16 QK18:QK29 QK44:QK55 QK57:QK68 QK70:QK81 QK83:QK94 QK96:QK107 QK109:QK120 QK31:QK42">
    <cfRule type="cellIs" dxfId="615" priority="615" operator="lessThan">
      <formula>0</formula>
    </cfRule>
    <cfRule type="cellIs" dxfId="614" priority="616" operator="greaterThan">
      <formula>0</formula>
    </cfRule>
  </conditionalFormatting>
  <conditionalFormatting sqref="QN5:QN16 QN18:QN29 QN44:QN55 QN57:QN68 QN70:QN81 QN83:QN94 QN96:QN107 QN109:QN120 QN31:QN42">
    <cfRule type="cellIs" dxfId="613" priority="613" operator="lessThan">
      <formula>0</formula>
    </cfRule>
    <cfRule type="cellIs" dxfId="612" priority="614" operator="greaterThan">
      <formula>0</formula>
    </cfRule>
  </conditionalFormatting>
  <conditionalFormatting sqref="QT5:QT16 QT18:QT29 QT44:QT52 QT31:QT42">
    <cfRule type="cellIs" dxfId="611" priority="611" operator="lessThan">
      <formula>0</formula>
    </cfRule>
    <cfRule type="cellIs" dxfId="610" priority="612" operator="greaterThan">
      <formula>0</formula>
    </cfRule>
  </conditionalFormatting>
  <conditionalFormatting sqref="QW5:QW16 QW18:QW29 QW44:QW52 QW31:QW42">
    <cfRule type="cellIs" dxfId="609" priority="609" operator="lessThan">
      <formula>0</formula>
    </cfRule>
    <cfRule type="cellIs" dxfId="608" priority="610" operator="greaterThan">
      <formula>0</formula>
    </cfRule>
  </conditionalFormatting>
  <conditionalFormatting sqref="QZ5:QZ16 QZ18:QZ29 QZ44:QZ52 QZ31:QZ42">
    <cfRule type="cellIs" dxfId="607" priority="607" operator="lessThan">
      <formula>0</formula>
    </cfRule>
    <cfRule type="cellIs" dxfId="606" priority="608" operator="greaterThan">
      <formula>0</formula>
    </cfRule>
  </conditionalFormatting>
  <conditionalFormatting sqref="RC5:RC16 RC18:RC29 RC44:RC52 RC31:RC42">
    <cfRule type="cellIs" dxfId="605" priority="605" operator="lessThan">
      <formula>0</formula>
    </cfRule>
    <cfRule type="cellIs" dxfId="604" priority="606" operator="greaterThan">
      <formula>0</formula>
    </cfRule>
  </conditionalFormatting>
  <conditionalFormatting sqref="RI5:RI16 RI18:RI29 RI31:RI42">
    <cfRule type="cellIs" dxfId="603" priority="603" operator="lessThan">
      <formula>0</formula>
    </cfRule>
    <cfRule type="cellIs" dxfId="602" priority="604" operator="greaterThan">
      <formula>0</formula>
    </cfRule>
  </conditionalFormatting>
  <conditionalFormatting sqref="RL5:RL16 RL18:RL29 RL31:RL42">
    <cfRule type="cellIs" dxfId="601" priority="601" operator="lessThan">
      <formula>0</formula>
    </cfRule>
    <cfRule type="cellIs" dxfId="600" priority="602" operator="greaterThan">
      <formula>0</formula>
    </cfRule>
  </conditionalFormatting>
  <conditionalFormatting sqref="RO5:RO16 RO18:RO29 RO31:RO42">
    <cfRule type="cellIs" dxfId="599" priority="599" operator="lessThan">
      <formula>0</formula>
    </cfRule>
    <cfRule type="cellIs" dxfId="598" priority="600" operator="greaterThan">
      <formula>0</formula>
    </cfRule>
  </conditionalFormatting>
  <conditionalFormatting sqref="RR5:RR16 RR18:RR29 RR44:RR55 RR57:RR68 RR70:RR81 RR83:RR94 RR96:RR107 RR109:RR120 RR31:RR42">
    <cfRule type="cellIs" dxfId="597" priority="597" operator="lessThan">
      <formula>0</formula>
    </cfRule>
    <cfRule type="cellIs" dxfId="596" priority="598" operator="greaterThan">
      <formula>0</formula>
    </cfRule>
  </conditionalFormatting>
  <conditionalFormatting sqref="RX5:RX16 RX18:RX29 RX44:RX52 RX31:RX42">
    <cfRule type="cellIs" dxfId="595" priority="595" operator="lessThan">
      <formula>0</formula>
    </cfRule>
    <cfRule type="cellIs" dxfId="594" priority="596" operator="greaterThan">
      <formula>0</formula>
    </cfRule>
  </conditionalFormatting>
  <conditionalFormatting sqref="SA5:SA16 SA18:SA29 SA44:SA52 SA31:SA42">
    <cfRule type="cellIs" dxfId="593" priority="593" operator="lessThan">
      <formula>0</formula>
    </cfRule>
    <cfRule type="cellIs" dxfId="592" priority="594" operator="greaterThan">
      <formula>0</formula>
    </cfRule>
  </conditionalFormatting>
  <conditionalFormatting sqref="SD5:SD16 SD18:SD29 SD44:SD52 SD31:SD42">
    <cfRule type="cellIs" dxfId="591" priority="591" operator="lessThan">
      <formula>0</formula>
    </cfRule>
    <cfRule type="cellIs" dxfId="590" priority="592" operator="greaterThan">
      <formula>0</formula>
    </cfRule>
  </conditionalFormatting>
  <conditionalFormatting sqref="SG5:SG16 SG18:SG29 SG44:SG52 SG31:SG42">
    <cfRule type="cellIs" dxfId="589" priority="589" operator="lessThan">
      <formula>0</formula>
    </cfRule>
    <cfRule type="cellIs" dxfId="588" priority="590" operator="greaterThan">
      <formula>0</formula>
    </cfRule>
  </conditionalFormatting>
  <conditionalFormatting sqref="SM5:SM16 SM18:SM29 SM44:SM55 SM57:SM68 SM70:SM81 SM83:SM94 SM96:SM107 SM109:SM120 SM31:SM42">
    <cfRule type="cellIs" dxfId="587" priority="587" operator="lessThan">
      <formula>0</formula>
    </cfRule>
    <cfRule type="cellIs" dxfId="586" priority="588" operator="greaterThan">
      <formula>0</formula>
    </cfRule>
  </conditionalFormatting>
  <conditionalFormatting sqref="SP5:SP16 SP18:SP29 SP44:SP55 SP57:SP68 SP70:SP81 SP83:SP94 SP96:SP107 SP109:SP120 SP31:SP42">
    <cfRule type="cellIs" dxfId="585" priority="585" operator="lessThan">
      <formula>0</formula>
    </cfRule>
    <cfRule type="cellIs" dxfId="584" priority="586" operator="greaterThan">
      <formula>0</formula>
    </cfRule>
  </conditionalFormatting>
  <conditionalFormatting sqref="SS5:SS16 SS18:SS29 SS44:SS55 SS57:SS68 SS70:SS81 SS83:SS94 SS96:SS107 SS109:SS120 SS31:SS42">
    <cfRule type="cellIs" dxfId="583" priority="583" operator="lessThan">
      <formula>0</formula>
    </cfRule>
    <cfRule type="cellIs" dxfId="582" priority="584" operator="greaterThan">
      <formula>0</formula>
    </cfRule>
  </conditionalFormatting>
  <conditionalFormatting sqref="SV5:SV16 SV18:SV29 SV44:SV55 SV57:SV68 SV70:SV81 SV83:SV94 SV96:SV107 SV109:SV120 SV31:SV42">
    <cfRule type="cellIs" dxfId="581" priority="581" operator="lessThan">
      <formula>0</formula>
    </cfRule>
    <cfRule type="cellIs" dxfId="580" priority="582" operator="greaterThan">
      <formula>0</formula>
    </cfRule>
  </conditionalFormatting>
  <conditionalFormatting sqref="TB5:TB16 TB18:TB29 TB44:TB55 TB57:TB68 TB70:TB81 TB83:TB94 TB96:TB107 TB109:TB120 TB31:TB42">
    <cfRule type="cellIs" dxfId="579" priority="579" operator="lessThan">
      <formula>0</formula>
    </cfRule>
    <cfRule type="cellIs" dxfId="578" priority="580" operator="greaterThan">
      <formula>0</formula>
    </cfRule>
  </conditionalFormatting>
  <conditionalFormatting sqref="TE5:TE16 TE18:TE29 TE44:TE55 TE57:TE68 TE70:TE81 TE83:TE94 TE96:TE107 TE109:TE120 TE31:TE42">
    <cfRule type="cellIs" dxfId="577" priority="577" operator="lessThan">
      <formula>0</formula>
    </cfRule>
    <cfRule type="cellIs" dxfId="576" priority="578" operator="greaterThan">
      <formula>0</formula>
    </cfRule>
  </conditionalFormatting>
  <conditionalFormatting sqref="TH5:TH16 TH18:TH29 TH44:TH55 TH57:TH68 TH70:TH81 TH83:TH94 TH96:TH107 TH109:TH120 TH31:TH42">
    <cfRule type="cellIs" dxfId="575" priority="575" operator="lessThan">
      <formula>0</formula>
    </cfRule>
    <cfRule type="cellIs" dxfId="574" priority="576" operator="greaterThan">
      <formula>0</formula>
    </cfRule>
  </conditionalFormatting>
  <conditionalFormatting sqref="TK5:TK16 TK18:TK29 TK44:TK55 TK57:TK68 TK70:TK81 TK83:TK94 TK96:TK107 TK109:TK120 TK31:TK42">
    <cfRule type="cellIs" dxfId="573" priority="573" operator="lessThan">
      <formula>0</formula>
    </cfRule>
    <cfRule type="cellIs" dxfId="572" priority="574" operator="greaterThan">
      <formula>0</formula>
    </cfRule>
  </conditionalFormatting>
  <conditionalFormatting sqref="TQ5:TQ16 TQ18:TQ29 TQ44:TQ55 TQ57:TQ68 TQ70:TQ81 TQ83:TQ94 TQ96:TQ107 TQ109:TQ120 TQ31:TQ42">
    <cfRule type="cellIs" dxfId="571" priority="571" operator="lessThan">
      <formula>0</formula>
    </cfRule>
    <cfRule type="cellIs" dxfId="570" priority="572" operator="greaterThan">
      <formula>0</formula>
    </cfRule>
  </conditionalFormatting>
  <conditionalFormatting sqref="TT5:TT16 TT18:TT29 TT44:TT55 TT57:TT68 TT70:TT81 TT83:TT94 TT96:TT107 TT109:TT120 TT31:TT42">
    <cfRule type="cellIs" dxfId="569" priority="569" operator="lessThan">
      <formula>0</formula>
    </cfRule>
    <cfRule type="cellIs" dxfId="568" priority="570" operator="greaterThan">
      <formula>0</formula>
    </cfRule>
  </conditionalFormatting>
  <conditionalFormatting sqref="TW5:TW16 TW18:TW29 TW44:TW55 TW57:TW68 TW70:TW81 TW83:TW94 TW96:TW107 TW109:TW120 TW31:TW42">
    <cfRule type="cellIs" dxfId="567" priority="567" operator="lessThan">
      <formula>0</formula>
    </cfRule>
    <cfRule type="cellIs" dxfId="566" priority="568" operator="greaterThan">
      <formula>0</formula>
    </cfRule>
  </conditionalFormatting>
  <conditionalFormatting sqref="TZ5:TZ16 TZ18:TZ29 TZ44:TZ55 TZ57:TZ68 TZ70:TZ81 TZ83:TZ94 TZ96:TZ107 TZ109:TZ120 TZ31:TZ42">
    <cfRule type="cellIs" dxfId="565" priority="565" operator="lessThan">
      <formula>0</formula>
    </cfRule>
    <cfRule type="cellIs" dxfId="564" priority="566" operator="greaterThan">
      <formula>0</formula>
    </cfRule>
  </conditionalFormatting>
  <conditionalFormatting sqref="UF18:UF29 UF44:UF55 UF57:UF68 UF70:UF81 UF83:UF94 UF96:UF107 UF109:UF120 UF31:UF42">
    <cfRule type="cellIs" dxfId="563" priority="563" operator="lessThan">
      <formula>0</formula>
    </cfRule>
    <cfRule type="cellIs" dxfId="562" priority="564" operator="greaterThan">
      <formula>0</formula>
    </cfRule>
  </conditionalFormatting>
  <conditionalFormatting sqref="UI18:UI29 UI44:UI55 UI57:UI68 UI70:UI81 UI83:UI94 UI96:UI107 UI109:UI120 UI31:UI42">
    <cfRule type="cellIs" dxfId="561" priority="561" operator="lessThan">
      <formula>0</formula>
    </cfRule>
    <cfRule type="cellIs" dxfId="560" priority="562" operator="greaterThan">
      <formula>0</formula>
    </cfRule>
  </conditionalFormatting>
  <conditionalFormatting sqref="UL18:UL29 UL44:UL55 UL57:UL68 UL70:UL81 UL83:UL94 UL96:UL107 UL109:UL120 UL31:UL42">
    <cfRule type="cellIs" dxfId="559" priority="559" operator="lessThan">
      <formula>0</formula>
    </cfRule>
    <cfRule type="cellIs" dxfId="558" priority="560" operator="greaterThan">
      <formula>0</formula>
    </cfRule>
  </conditionalFormatting>
  <conditionalFormatting sqref="UO5:UO16 UO18:UO29 UO44:UO55 UO57:UO68 UO70:UO81 UO83:UO94 UO96:UO107 UO109:UO120 UO31:UO42">
    <cfRule type="cellIs" dxfId="557" priority="557" operator="lessThan">
      <formula>0</formula>
    </cfRule>
    <cfRule type="cellIs" dxfId="556" priority="558" operator="greaterThan">
      <formula>0</formula>
    </cfRule>
  </conditionalFormatting>
  <conditionalFormatting sqref="UU5:UU16 UU18:UU29 UU31:UU42">
    <cfRule type="cellIs" dxfId="555" priority="555" operator="lessThan">
      <formula>0</formula>
    </cfRule>
    <cfRule type="cellIs" dxfId="554" priority="556" operator="greaterThan">
      <formula>0</formula>
    </cfRule>
  </conditionalFormatting>
  <conditionalFormatting sqref="UX5:UX16 UX18:UX29 UX31:UX42">
    <cfRule type="cellIs" dxfId="553" priority="553" operator="lessThan">
      <formula>0</formula>
    </cfRule>
    <cfRule type="cellIs" dxfId="552" priority="554" operator="greaterThan">
      <formula>0</formula>
    </cfRule>
  </conditionalFormatting>
  <conditionalFormatting sqref="VA5:VA16 VA18:VA29 VA31:VA42">
    <cfRule type="cellIs" dxfId="551" priority="551" operator="lessThan">
      <formula>0</formula>
    </cfRule>
    <cfRule type="cellIs" dxfId="550" priority="552" operator="greaterThan">
      <formula>0</formula>
    </cfRule>
  </conditionalFormatting>
  <conditionalFormatting sqref="VD5:VD16 VD18:VD29 VD31:VD42">
    <cfRule type="cellIs" dxfId="549" priority="549" operator="lessThan">
      <formula>0</formula>
    </cfRule>
    <cfRule type="cellIs" dxfId="548" priority="550" operator="greaterThan">
      <formula>0</formula>
    </cfRule>
  </conditionalFormatting>
  <conditionalFormatting sqref="VJ5:VJ16 VJ18:VJ29 VJ44:VJ55 VJ57:VJ68 VJ70:VJ81 VJ83:VJ94 VJ96:VJ107 VJ109:VJ120 VJ31:VJ42">
    <cfRule type="cellIs" dxfId="547" priority="547" operator="lessThan">
      <formula>0</formula>
    </cfRule>
    <cfRule type="cellIs" dxfId="546" priority="548" operator="greaterThan">
      <formula>0</formula>
    </cfRule>
  </conditionalFormatting>
  <conditionalFormatting sqref="VM5:VM16 VM18:VM29 VM44:VM55 VM57:VM68 VM70:VM81 VM83:VM94 VM96:VM107 VM109:VM120 VM31:VM42">
    <cfRule type="cellIs" dxfId="545" priority="545" operator="lessThan">
      <formula>0</formula>
    </cfRule>
    <cfRule type="cellIs" dxfId="544" priority="546" operator="greaterThan">
      <formula>0</formula>
    </cfRule>
  </conditionalFormatting>
  <conditionalFormatting sqref="VP5:VP16 VP18:VP29 VP44:VP55 VP57:VP68 VP70:VP81 VP83:VP94 VP96:VP107 VP109:VP120 VP31:VP42">
    <cfRule type="cellIs" dxfId="543" priority="543" operator="lessThan">
      <formula>0</formula>
    </cfRule>
    <cfRule type="cellIs" dxfId="542" priority="544" operator="greaterThan">
      <formula>0</formula>
    </cfRule>
  </conditionalFormatting>
  <conditionalFormatting sqref="VS5:VS16 VS18:VS29 VS44:VS55 VS57:VS68 VS70:VS81 VS83:VS94 VS96:VS107 VS109:VS120 VS31:VS42">
    <cfRule type="cellIs" dxfId="541" priority="541" operator="lessThan">
      <formula>0</formula>
    </cfRule>
    <cfRule type="cellIs" dxfId="540" priority="542" operator="greaterThan">
      <formula>0</formula>
    </cfRule>
  </conditionalFormatting>
  <conditionalFormatting sqref="VY5:VY16 VY18:VY29">
    <cfRule type="cellIs" dxfId="539" priority="539" operator="lessThan">
      <formula>0</formula>
    </cfRule>
    <cfRule type="cellIs" dxfId="538" priority="540" operator="greaterThan">
      <formula>0</formula>
    </cfRule>
  </conditionalFormatting>
  <conditionalFormatting sqref="WB5:WB16 WB18:WB29">
    <cfRule type="cellIs" dxfId="537" priority="537" operator="lessThan">
      <formula>0</formula>
    </cfRule>
    <cfRule type="cellIs" dxfId="536" priority="538" operator="greaterThan">
      <formula>0</formula>
    </cfRule>
  </conditionalFormatting>
  <conditionalFormatting sqref="WE5:WE16 WE18:WE29">
    <cfRule type="cellIs" dxfId="535" priority="535" operator="lessThan">
      <formula>0</formula>
    </cfRule>
    <cfRule type="cellIs" dxfId="534" priority="536" operator="greaterThan">
      <formula>0</formula>
    </cfRule>
  </conditionalFormatting>
  <conditionalFormatting sqref="WH5:WH16 WH18:WH29">
    <cfRule type="cellIs" dxfId="533" priority="533" operator="lessThan">
      <formula>0</formula>
    </cfRule>
    <cfRule type="cellIs" dxfId="532" priority="534" operator="greaterThan">
      <formula>0</formula>
    </cfRule>
  </conditionalFormatting>
  <conditionalFormatting sqref="WN5:WN16 WN18:WN29 WN44:WN55 WN31:WN42">
    <cfRule type="cellIs" dxfId="531" priority="531" operator="lessThan">
      <formula>0</formula>
    </cfRule>
    <cfRule type="cellIs" dxfId="530" priority="532" operator="greaterThan">
      <formula>0</formula>
    </cfRule>
  </conditionalFormatting>
  <conditionalFormatting sqref="WQ5:WQ16 WQ18:WQ29 WQ44:WQ55 WQ31:WQ42">
    <cfRule type="cellIs" dxfId="529" priority="529" operator="lessThan">
      <formula>0</formula>
    </cfRule>
    <cfRule type="cellIs" dxfId="528" priority="530" operator="greaterThan">
      <formula>0</formula>
    </cfRule>
  </conditionalFormatting>
  <conditionalFormatting sqref="WT5:WT16 WT18:WT29 WT44:WT55 WT31:WT42">
    <cfRule type="cellIs" dxfId="527" priority="527" operator="lessThan">
      <formula>0</formula>
    </cfRule>
    <cfRule type="cellIs" dxfId="526" priority="528" operator="greaterThan">
      <formula>0</formula>
    </cfRule>
  </conditionalFormatting>
  <conditionalFormatting sqref="WW5:WW16 WW18:WW29 WW44:WW55 WW31:WW42">
    <cfRule type="cellIs" dxfId="525" priority="525" operator="lessThan">
      <formula>0</formula>
    </cfRule>
    <cfRule type="cellIs" dxfId="524" priority="526" operator="greaterThan">
      <formula>0</formula>
    </cfRule>
  </conditionalFormatting>
  <conditionalFormatting sqref="XC5:XC16 XC18:XC29 XC44:XC51 XC31:XC42">
    <cfRule type="cellIs" dxfId="523" priority="523" operator="lessThan">
      <formula>0</formula>
    </cfRule>
    <cfRule type="cellIs" dxfId="522" priority="524" operator="greaterThan">
      <formula>0</formula>
    </cfRule>
  </conditionalFormatting>
  <conditionalFormatting sqref="XF5:XF16 XF18:XF29 XF44:XF51 XF31:XF42">
    <cfRule type="cellIs" dxfId="521" priority="521" operator="lessThan">
      <formula>0</formula>
    </cfRule>
    <cfRule type="cellIs" dxfId="520" priority="522" operator="greaterThan">
      <formula>0</formula>
    </cfRule>
  </conditionalFormatting>
  <conditionalFormatting sqref="XI5:XI16 XI18:XI29 XI44:XI51 XI31:XI42">
    <cfRule type="cellIs" dxfId="519" priority="519" operator="lessThan">
      <formula>0</formula>
    </cfRule>
    <cfRule type="cellIs" dxfId="518" priority="520" operator="greaterThan">
      <formula>0</formula>
    </cfRule>
  </conditionalFormatting>
  <conditionalFormatting sqref="XL5:XL16 XL18:XL29 XL44:XL51 XL31:XL42">
    <cfRule type="cellIs" dxfId="517" priority="517" operator="lessThan">
      <formula>0</formula>
    </cfRule>
    <cfRule type="cellIs" dxfId="516" priority="518" operator="greaterThan">
      <formula>0</formula>
    </cfRule>
  </conditionalFormatting>
  <conditionalFormatting sqref="XR5:XR16 XR18:XR29 XR44:XR55 XR57:XR68 XR70:XR81 XR83:XR94 XR96:XR107 XR109:XR120 XR31:XR42">
    <cfRule type="cellIs" dxfId="515" priority="515" operator="lessThan">
      <formula>0</formula>
    </cfRule>
    <cfRule type="cellIs" dxfId="514" priority="516" operator="greaterThan">
      <formula>0</formula>
    </cfRule>
  </conditionalFormatting>
  <conditionalFormatting sqref="XU5:XU16 XU18:XU29 XU44:XU55 XU57:XU68 XU70:XU81 XU83:XU94 XU96:XU107 XU109:XU120 XU31:XU42">
    <cfRule type="cellIs" dxfId="513" priority="513" operator="lessThan">
      <formula>0</formula>
    </cfRule>
    <cfRule type="cellIs" dxfId="512" priority="514" operator="greaterThan">
      <formula>0</formula>
    </cfRule>
  </conditionalFormatting>
  <conditionalFormatting sqref="XX5:XX16 XX18:XX29 XX44:XX55 XX57:XX68 XX70:XX81 XX83:XX94 XX96:XX107 XX109:XX120 XX31:XX42">
    <cfRule type="cellIs" dxfId="511" priority="511" operator="lessThan">
      <formula>0</formula>
    </cfRule>
    <cfRule type="cellIs" dxfId="510" priority="512" operator="greaterThan">
      <formula>0</formula>
    </cfRule>
  </conditionalFormatting>
  <conditionalFormatting sqref="YA5:YA16 YA18:YA29 YA44:YA55 YA57:YA68 YA70:YA81 YA83:YA94 YA96:YA107 YA109:YA120 YA31:YA42">
    <cfRule type="cellIs" dxfId="509" priority="509" operator="lessThan">
      <formula>0</formula>
    </cfRule>
    <cfRule type="cellIs" dxfId="508" priority="510" operator="greaterThan">
      <formula>0</formula>
    </cfRule>
  </conditionalFormatting>
  <conditionalFormatting sqref="YG5:YG16 YG18:YG29 YG44:YG55 YG57:YG68 YG70:YG81 YG83:YG94 YG96:YG107 YG109:YG120 YG31:YG42">
    <cfRule type="cellIs" dxfId="507" priority="507" operator="lessThan">
      <formula>0</formula>
    </cfRule>
    <cfRule type="cellIs" dxfId="506" priority="508" operator="greaterThan">
      <formula>0</formula>
    </cfRule>
  </conditionalFormatting>
  <conditionalFormatting sqref="YJ5:YJ16 YJ18:YJ29 YJ44:YJ55 YJ57:YJ68 YJ70:YJ81 YJ83:YJ94 YJ96:YJ107 YJ109:YJ120 YJ31:YJ42">
    <cfRule type="cellIs" dxfId="505" priority="505" operator="lessThan">
      <formula>0</formula>
    </cfRule>
    <cfRule type="cellIs" dxfId="504" priority="506" operator="greaterThan">
      <formula>0</formula>
    </cfRule>
  </conditionalFormatting>
  <conditionalFormatting sqref="YM5:YM16 YM18:YM29 YM44:YM55 YM57:YM68 YM70:YM81 YM83:YM94 YM96:YM107 YM109:YM120 YM31:YM42">
    <cfRule type="cellIs" dxfId="503" priority="503" operator="lessThan">
      <formula>0</formula>
    </cfRule>
    <cfRule type="cellIs" dxfId="502" priority="504" operator="greaterThan">
      <formula>0</formula>
    </cfRule>
  </conditionalFormatting>
  <conditionalFormatting sqref="YP5:YP16 YP18:YP29 YP44:YP55 YP57:YP68 YP70:YP81 YP83:YP94 YP96:YP107 YP109:YP120 YP31:YP42">
    <cfRule type="cellIs" dxfId="501" priority="501" operator="lessThan">
      <formula>0</formula>
    </cfRule>
    <cfRule type="cellIs" dxfId="500" priority="502" operator="greaterThan">
      <formula>0</formula>
    </cfRule>
  </conditionalFormatting>
  <conditionalFormatting sqref="YV5:YV16 YV18:YV29 YV44:YV55 YV57:YV68 YV70:YV81 YV83:YV94 YV96:YV107 YV109:YV120 YV31:YV42">
    <cfRule type="cellIs" dxfId="499" priority="499" operator="lessThan">
      <formula>0</formula>
    </cfRule>
    <cfRule type="cellIs" dxfId="498" priority="500" operator="greaterThan">
      <formula>0</formula>
    </cfRule>
  </conditionalFormatting>
  <conditionalFormatting sqref="YY5:YY16 YY18:YY29 YY44:YY55 YY57:YY68 YY70:YY81 YY83:YY94 YY96:YY107 YY109:YY120 YY31:YY42">
    <cfRule type="cellIs" dxfId="497" priority="497" operator="lessThan">
      <formula>0</formula>
    </cfRule>
    <cfRule type="cellIs" dxfId="496" priority="498" operator="greaterThan">
      <formula>0</formula>
    </cfRule>
  </conditionalFormatting>
  <conditionalFormatting sqref="ZB5:ZB16 ZB18:ZB29 ZB44:ZB55 ZB57:ZB68 ZB70:ZB81 ZB83:ZB94 ZB96:ZB107 ZB109:ZB120 ZB31:ZB42">
    <cfRule type="cellIs" dxfId="495" priority="495" operator="lessThan">
      <formula>0</formula>
    </cfRule>
    <cfRule type="cellIs" dxfId="494" priority="496" operator="greaterThan">
      <formula>0</formula>
    </cfRule>
  </conditionalFormatting>
  <conditionalFormatting sqref="ZE5:ZE16 ZE18:ZE29 ZE44:ZE55 ZE57:ZE68 ZE70:ZE81 ZE83:ZE94 ZE96:ZE107 ZE109:ZE120 ZE31:ZE42">
    <cfRule type="cellIs" dxfId="493" priority="493" operator="lessThan">
      <formula>0</formula>
    </cfRule>
    <cfRule type="cellIs" dxfId="492" priority="494" operator="greaterThan">
      <formula>0</formula>
    </cfRule>
  </conditionalFormatting>
  <conditionalFormatting sqref="ZK5:ZK16 ZK18:ZK29 ZK31:ZK42">
    <cfRule type="cellIs" dxfId="491" priority="491" operator="lessThan">
      <formula>0</formula>
    </cfRule>
    <cfRule type="cellIs" dxfId="490" priority="492" operator="greaterThan">
      <formula>0</formula>
    </cfRule>
  </conditionalFormatting>
  <conditionalFormatting sqref="ZN5:ZN16 ZN18:ZN29 ZN31:ZN42">
    <cfRule type="cellIs" dxfId="489" priority="489" operator="lessThan">
      <formula>0</formula>
    </cfRule>
    <cfRule type="cellIs" dxfId="488" priority="490" operator="greaterThan">
      <formula>0</formula>
    </cfRule>
  </conditionalFormatting>
  <conditionalFormatting sqref="ZQ5:ZQ16 ZQ18:ZQ29 ZQ31:ZQ42">
    <cfRule type="cellIs" dxfId="487" priority="487" operator="lessThan">
      <formula>0</formula>
    </cfRule>
    <cfRule type="cellIs" dxfId="486" priority="488" operator="greaterThan">
      <formula>0</formula>
    </cfRule>
  </conditionalFormatting>
  <conditionalFormatting sqref="ZT5:ZT16 ZT18:ZT29 ZT31:ZT42">
    <cfRule type="cellIs" dxfId="485" priority="485" operator="lessThan">
      <formula>0</formula>
    </cfRule>
    <cfRule type="cellIs" dxfId="484" priority="486" operator="greaterThan">
      <formula>0</formula>
    </cfRule>
  </conditionalFormatting>
  <conditionalFormatting sqref="ZZ5:ZZ16 ZZ18:ZZ29 ZZ44:ZZ55 ZZ57:ZZ68 ZZ70:ZZ81 ZZ83:ZZ94 ZZ96:ZZ107 ZZ109:ZZ120 ZZ31:ZZ42">
    <cfRule type="cellIs" dxfId="483" priority="483" operator="lessThan">
      <formula>0</formula>
    </cfRule>
    <cfRule type="cellIs" dxfId="482" priority="484" operator="greaterThan">
      <formula>0</formula>
    </cfRule>
  </conditionalFormatting>
  <conditionalFormatting sqref="KK5:KK16">
    <cfRule type="cellIs" dxfId="481" priority="481" operator="lessThan">
      <formula>0</formula>
    </cfRule>
    <cfRule type="cellIs" dxfId="480" priority="482" operator="greaterThan">
      <formula>0</formula>
    </cfRule>
  </conditionalFormatting>
  <conditionalFormatting sqref="KN5:KN16">
    <cfRule type="cellIs" dxfId="479" priority="479" operator="lessThan">
      <formula>0</formula>
    </cfRule>
    <cfRule type="cellIs" dxfId="478" priority="480" operator="greaterThan">
      <formula>0</formula>
    </cfRule>
  </conditionalFormatting>
  <conditionalFormatting sqref="KQ5:KQ16">
    <cfRule type="cellIs" dxfId="477" priority="477" operator="lessThan">
      <formula>0</formula>
    </cfRule>
    <cfRule type="cellIs" dxfId="476" priority="478" operator="greaterThan">
      <formula>0</formula>
    </cfRule>
  </conditionalFormatting>
  <conditionalFormatting sqref="KK18:KK23">
    <cfRule type="cellIs" dxfId="475" priority="475" operator="lessThan">
      <formula>0</formula>
    </cfRule>
    <cfRule type="cellIs" dxfId="474" priority="476" operator="greaterThan">
      <formula>0</formula>
    </cfRule>
  </conditionalFormatting>
  <conditionalFormatting sqref="KN18:KN23">
    <cfRule type="cellIs" dxfId="473" priority="473" operator="lessThan">
      <formula>0</formula>
    </cfRule>
    <cfRule type="cellIs" dxfId="472" priority="474" operator="greaterThan">
      <formula>0</formula>
    </cfRule>
  </conditionalFormatting>
  <conditionalFormatting sqref="KQ18:KQ23">
    <cfRule type="cellIs" dxfId="471" priority="471" operator="lessThan">
      <formula>0</formula>
    </cfRule>
    <cfRule type="cellIs" dxfId="470" priority="472" operator="greaterThan">
      <formula>0</formula>
    </cfRule>
  </conditionalFormatting>
  <conditionalFormatting sqref="LO5:LO16">
    <cfRule type="cellIs" dxfId="469" priority="469" operator="lessThan">
      <formula>0</formula>
    </cfRule>
    <cfRule type="cellIs" dxfId="468" priority="470" operator="greaterThan">
      <formula>0</formula>
    </cfRule>
  </conditionalFormatting>
  <conditionalFormatting sqref="LR5:LR16">
    <cfRule type="cellIs" dxfId="467" priority="467" operator="lessThan">
      <formula>0</formula>
    </cfRule>
    <cfRule type="cellIs" dxfId="466" priority="468" operator="greaterThan">
      <formula>0</formula>
    </cfRule>
  </conditionalFormatting>
  <conditionalFormatting sqref="LU5:LU16">
    <cfRule type="cellIs" dxfId="465" priority="465" operator="lessThan">
      <formula>0</formula>
    </cfRule>
    <cfRule type="cellIs" dxfId="464" priority="466" operator="greaterThan">
      <formula>0</formula>
    </cfRule>
  </conditionalFormatting>
  <conditionalFormatting sqref="LO18:LO23">
    <cfRule type="cellIs" dxfId="463" priority="463" operator="lessThan">
      <formula>0</formula>
    </cfRule>
    <cfRule type="cellIs" dxfId="462" priority="464" operator="greaterThan">
      <formula>0</formula>
    </cfRule>
  </conditionalFormatting>
  <conditionalFormatting sqref="LR18:LR23">
    <cfRule type="cellIs" dxfId="461" priority="461" operator="lessThan">
      <formula>0</formula>
    </cfRule>
    <cfRule type="cellIs" dxfId="460" priority="462" operator="greaterThan">
      <formula>0</formula>
    </cfRule>
  </conditionalFormatting>
  <conditionalFormatting sqref="LU18:LU23">
    <cfRule type="cellIs" dxfId="459" priority="459" operator="lessThan">
      <formula>0</formula>
    </cfRule>
    <cfRule type="cellIs" dxfId="458" priority="460" operator="greaterThan">
      <formula>0</formula>
    </cfRule>
  </conditionalFormatting>
  <conditionalFormatting sqref="RI109:RI120">
    <cfRule type="cellIs" dxfId="457" priority="457" operator="lessThan">
      <formula>0</formula>
    </cfRule>
    <cfRule type="cellIs" dxfId="456" priority="458" operator="greaterThan">
      <formula>0</formula>
    </cfRule>
  </conditionalFormatting>
  <conditionalFormatting sqref="RL109:RL120">
    <cfRule type="cellIs" dxfId="455" priority="455" operator="lessThan">
      <formula>0</formula>
    </cfRule>
    <cfRule type="cellIs" dxfId="454" priority="456" operator="greaterThan">
      <formula>0</formula>
    </cfRule>
  </conditionalFormatting>
  <conditionalFormatting sqref="RO109:RO120">
    <cfRule type="cellIs" dxfId="453" priority="453" operator="lessThan">
      <formula>0</formula>
    </cfRule>
    <cfRule type="cellIs" dxfId="452" priority="454" operator="greaterThan">
      <formula>0</formula>
    </cfRule>
  </conditionalFormatting>
  <conditionalFormatting sqref="RI96:RI107">
    <cfRule type="cellIs" dxfId="451" priority="451" operator="lessThan">
      <formula>0</formula>
    </cfRule>
    <cfRule type="cellIs" dxfId="450" priority="452" operator="greaterThan">
      <formula>0</formula>
    </cfRule>
  </conditionalFormatting>
  <conditionalFormatting sqref="RL96:RL107">
    <cfRule type="cellIs" dxfId="449" priority="449" operator="lessThan">
      <formula>0</formula>
    </cfRule>
    <cfRule type="cellIs" dxfId="448" priority="450" operator="greaterThan">
      <formula>0</formula>
    </cfRule>
  </conditionalFormatting>
  <conditionalFormatting sqref="RO96:RO107">
    <cfRule type="cellIs" dxfId="447" priority="447" operator="lessThan">
      <formula>0</formula>
    </cfRule>
    <cfRule type="cellIs" dxfId="446" priority="448" operator="greaterThan">
      <formula>0</formula>
    </cfRule>
  </conditionalFormatting>
  <conditionalFormatting sqref="RI83:RI94">
    <cfRule type="cellIs" dxfId="445" priority="445" operator="lessThan">
      <formula>0</formula>
    </cfRule>
    <cfRule type="cellIs" dxfId="444" priority="446" operator="greaterThan">
      <formula>0</formula>
    </cfRule>
  </conditionalFormatting>
  <conditionalFormatting sqref="RL83:RL94">
    <cfRule type="cellIs" dxfId="443" priority="443" operator="lessThan">
      <formula>0</formula>
    </cfRule>
    <cfRule type="cellIs" dxfId="442" priority="444" operator="greaterThan">
      <formula>0</formula>
    </cfRule>
  </conditionalFormatting>
  <conditionalFormatting sqref="RO83:RO94">
    <cfRule type="cellIs" dxfId="441" priority="441" operator="lessThan">
      <formula>0</formula>
    </cfRule>
    <cfRule type="cellIs" dxfId="440" priority="442" operator="greaterThan">
      <formula>0</formula>
    </cfRule>
  </conditionalFormatting>
  <conditionalFormatting sqref="RI70:RI81">
    <cfRule type="cellIs" dxfId="439" priority="439" operator="lessThan">
      <formula>0</formula>
    </cfRule>
    <cfRule type="cellIs" dxfId="438" priority="440" operator="greaterThan">
      <formula>0</formula>
    </cfRule>
  </conditionalFormatting>
  <conditionalFormatting sqref="RL70:RL81">
    <cfRule type="cellIs" dxfId="437" priority="437" operator="lessThan">
      <formula>0</formula>
    </cfRule>
    <cfRule type="cellIs" dxfId="436" priority="438" operator="greaterThan">
      <formula>0</formula>
    </cfRule>
  </conditionalFormatting>
  <conditionalFormatting sqref="RO70:RO81">
    <cfRule type="cellIs" dxfId="435" priority="435" operator="lessThan">
      <formula>0</formula>
    </cfRule>
    <cfRule type="cellIs" dxfId="434" priority="436" operator="greaterThan">
      <formula>0</formula>
    </cfRule>
  </conditionalFormatting>
  <conditionalFormatting sqref="RI57:RI68">
    <cfRule type="cellIs" dxfId="433" priority="433" operator="lessThan">
      <formula>0</formula>
    </cfRule>
    <cfRule type="cellIs" dxfId="432" priority="434" operator="greaterThan">
      <formula>0</formula>
    </cfRule>
  </conditionalFormatting>
  <conditionalFormatting sqref="RL57:RL68">
    <cfRule type="cellIs" dxfId="431" priority="431" operator="lessThan">
      <formula>0</formula>
    </cfRule>
    <cfRule type="cellIs" dxfId="430" priority="432" operator="greaterThan">
      <formula>0</formula>
    </cfRule>
  </conditionalFormatting>
  <conditionalFormatting sqref="RO57:RO68">
    <cfRule type="cellIs" dxfId="429" priority="429" operator="lessThan">
      <formula>0</formula>
    </cfRule>
    <cfRule type="cellIs" dxfId="428" priority="430" operator="greaterThan">
      <formula>0</formula>
    </cfRule>
  </conditionalFormatting>
  <conditionalFormatting sqref="RI44:RI55">
    <cfRule type="cellIs" dxfId="427" priority="427" operator="lessThan">
      <formula>0</formula>
    </cfRule>
    <cfRule type="cellIs" dxfId="426" priority="428" operator="greaterThan">
      <formula>0</formula>
    </cfRule>
  </conditionalFormatting>
  <conditionalFormatting sqref="RL44:RL55">
    <cfRule type="cellIs" dxfId="425" priority="425" operator="lessThan">
      <formula>0</formula>
    </cfRule>
    <cfRule type="cellIs" dxfId="424" priority="426" operator="greaterThan">
      <formula>0</formula>
    </cfRule>
  </conditionalFormatting>
  <conditionalFormatting sqref="RO44:RO55">
    <cfRule type="cellIs" dxfId="423" priority="423" operator="lessThan">
      <formula>0</formula>
    </cfRule>
    <cfRule type="cellIs" dxfId="422" priority="424" operator="greaterThan">
      <formula>0</formula>
    </cfRule>
  </conditionalFormatting>
  <conditionalFormatting sqref="UF5:UF16">
    <cfRule type="cellIs" dxfId="421" priority="421" operator="lessThan">
      <formula>0</formula>
    </cfRule>
    <cfRule type="cellIs" dxfId="420" priority="422" operator="greaterThan">
      <formula>0</formula>
    </cfRule>
  </conditionalFormatting>
  <conditionalFormatting sqref="UI5:UI16">
    <cfRule type="cellIs" dxfId="419" priority="419" operator="lessThan">
      <formula>0</formula>
    </cfRule>
    <cfRule type="cellIs" dxfId="418" priority="420" operator="greaterThan">
      <formula>0</formula>
    </cfRule>
  </conditionalFormatting>
  <conditionalFormatting sqref="UL5:UL16">
    <cfRule type="cellIs" dxfId="417" priority="417" operator="lessThan">
      <formula>0</formula>
    </cfRule>
    <cfRule type="cellIs" dxfId="416" priority="418" operator="greaterThan">
      <formula>0</formula>
    </cfRule>
  </conditionalFormatting>
  <conditionalFormatting sqref="AAF5:AAF16 AAF18:AAF29 AAF44:AAF55 AAF57:AAF68 AAF70:AAF81 AAF83:AAF94 AAF96:AAF107 AAF109:AAF120 AAF31:AAF42">
    <cfRule type="cellIs" dxfId="415" priority="415" operator="lessThan">
      <formula>1</formula>
    </cfRule>
    <cfRule type="cellIs" dxfId="414" priority="416" stopIfTrue="1" operator="greaterThan">
      <formula>1</formula>
    </cfRule>
  </conditionalFormatting>
  <conditionalFormatting sqref="AAG5:AAG16 AAG18:AAG29 AAG44:AAG55 AAG57:AAG68 AAG70:AAG81 AAG83:AAG94 AAG96:AAG107 AAG109:AAG120 AAG31:AAG42">
    <cfRule type="cellIs" dxfId="413" priority="413" operator="lessThan">
      <formula>0</formula>
    </cfRule>
    <cfRule type="cellIs" dxfId="412" priority="414" operator="greaterThan">
      <formula>0</formula>
    </cfRule>
  </conditionalFormatting>
  <conditionalFormatting sqref="AAH26">
    <cfRule type="cellIs" dxfId="411" priority="411" stopIfTrue="1" operator="greaterThan">
      <formula>1</formula>
    </cfRule>
    <cfRule type="cellIs" dxfId="410" priority="412" stopIfTrue="1" operator="lessThan">
      <formula>1</formula>
    </cfRule>
  </conditionalFormatting>
  <conditionalFormatting sqref="AAH28">
    <cfRule type="cellIs" dxfId="409" priority="409" operator="greaterThan">
      <formula>0</formula>
    </cfRule>
    <cfRule type="cellIs" dxfId="408" priority="410" stopIfTrue="1" operator="lessThan">
      <formula>0</formula>
    </cfRule>
  </conditionalFormatting>
  <conditionalFormatting sqref="AAH39">
    <cfRule type="cellIs" dxfId="407" priority="407" stopIfTrue="1" operator="greaterThan">
      <formula>1</formula>
    </cfRule>
    <cfRule type="cellIs" dxfId="406" priority="408" stopIfTrue="1" operator="lessThan">
      <formula>1</formula>
    </cfRule>
  </conditionalFormatting>
  <conditionalFormatting sqref="AAH41">
    <cfRule type="cellIs" dxfId="405" priority="405" operator="greaterThan">
      <formula>0</formula>
    </cfRule>
    <cfRule type="cellIs" dxfId="404" priority="406" stopIfTrue="1" operator="lessThan">
      <formula>0</formula>
    </cfRule>
  </conditionalFormatting>
  <conditionalFormatting sqref="AAH52">
    <cfRule type="cellIs" dxfId="403" priority="403" stopIfTrue="1" operator="greaterThan">
      <formula>1</formula>
    </cfRule>
    <cfRule type="cellIs" dxfId="402" priority="404" stopIfTrue="1" operator="lessThan">
      <formula>1</formula>
    </cfRule>
  </conditionalFormatting>
  <conditionalFormatting sqref="AAH54">
    <cfRule type="cellIs" dxfId="401" priority="401" operator="greaterThan">
      <formula>0</formula>
    </cfRule>
    <cfRule type="cellIs" dxfId="400" priority="402" stopIfTrue="1" operator="lessThan">
      <formula>0</formula>
    </cfRule>
  </conditionalFormatting>
  <conditionalFormatting sqref="AAH65">
    <cfRule type="cellIs" dxfId="399" priority="399" stopIfTrue="1" operator="greaterThan">
      <formula>1</formula>
    </cfRule>
    <cfRule type="cellIs" dxfId="398" priority="400" stopIfTrue="1" operator="lessThan">
      <formula>1</formula>
    </cfRule>
  </conditionalFormatting>
  <conditionalFormatting sqref="AAH67">
    <cfRule type="cellIs" dxfId="397" priority="397" operator="greaterThan">
      <formula>0</formula>
    </cfRule>
    <cfRule type="cellIs" dxfId="396" priority="398" stopIfTrue="1" operator="lessThan">
      <formula>0</formula>
    </cfRule>
  </conditionalFormatting>
  <conditionalFormatting sqref="AAH78">
    <cfRule type="cellIs" dxfId="395" priority="395" stopIfTrue="1" operator="greaterThan">
      <formula>1</formula>
    </cfRule>
    <cfRule type="cellIs" dxfId="394" priority="396" stopIfTrue="1" operator="lessThan">
      <formula>1</formula>
    </cfRule>
  </conditionalFormatting>
  <conditionalFormatting sqref="AAH80">
    <cfRule type="cellIs" dxfId="393" priority="393" operator="greaterThan">
      <formula>0</formula>
    </cfRule>
    <cfRule type="cellIs" dxfId="392" priority="394" stopIfTrue="1" operator="lessThan">
      <formula>0</formula>
    </cfRule>
  </conditionalFormatting>
  <conditionalFormatting sqref="AAH91">
    <cfRule type="cellIs" dxfId="391" priority="391" stopIfTrue="1" operator="greaterThan">
      <formula>1</formula>
    </cfRule>
    <cfRule type="cellIs" dxfId="390" priority="392" stopIfTrue="1" operator="lessThan">
      <formula>1</formula>
    </cfRule>
  </conditionalFormatting>
  <conditionalFormatting sqref="AAH93">
    <cfRule type="cellIs" dxfId="389" priority="389" operator="greaterThan">
      <formula>0</formula>
    </cfRule>
    <cfRule type="cellIs" dxfId="388" priority="390" stopIfTrue="1" operator="lessThan">
      <formula>0</formula>
    </cfRule>
  </conditionalFormatting>
  <conditionalFormatting sqref="AAH104">
    <cfRule type="cellIs" dxfId="387" priority="387" stopIfTrue="1" operator="greaterThan">
      <formula>1</formula>
    </cfRule>
    <cfRule type="cellIs" dxfId="386" priority="388" stopIfTrue="1" operator="lessThan">
      <formula>1</formula>
    </cfRule>
  </conditionalFormatting>
  <conditionalFormatting sqref="AAH106">
    <cfRule type="cellIs" dxfId="385" priority="385" operator="greaterThan">
      <formula>0</formula>
    </cfRule>
    <cfRule type="cellIs" dxfId="384" priority="386" stopIfTrue="1" operator="lessThan">
      <formula>0</formula>
    </cfRule>
  </conditionalFormatting>
  <conditionalFormatting sqref="AAH117">
    <cfRule type="cellIs" dxfId="383" priority="383" stopIfTrue="1" operator="greaterThan">
      <formula>1</formula>
    </cfRule>
    <cfRule type="cellIs" dxfId="382" priority="384" stopIfTrue="1" operator="lessThan">
      <formula>1</formula>
    </cfRule>
  </conditionalFormatting>
  <conditionalFormatting sqref="AAH119">
    <cfRule type="cellIs" dxfId="381" priority="381" operator="greaterThan">
      <formula>0</formula>
    </cfRule>
    <cfRule type="cellIs" dxfId="380" priority="382" stopIfTrue="1" operator="lessThan">
      <formula>0</formula>
    </cfRule>
  </conditionalFormatting>
  <conditionalFormatting sqref="B117">
    <cfRule type="cellIs" dxfId="379" priority="379" stopIfTrue="1" operator="greaterThan">
      <formula>1</formula>
    </cfRule>
    <cfRule type="cellIs" dxfId="378" priority="380" stopIfTrue="1" operator="lessThan">
      <formula>1</formula>
    </cfRule>
  </conditionalFormatting>
  <conditionalFormatting sqref="B119">
    <cfRule type="cellIs" dxfId="377" priority="377" operator="greaterThan">
      <formula>0</formula>
    </cfRule>
    <cfRule type="cellIs" dxfId="376" priority="378" stopIfTrue="1" operator="lessThan">
      <formula>0</formula>
    </cfRule>
  </conditionalFormatting>
  <conditionalFormatting sqref="B104">
    <cfRule type="cellIs" dxfId="375" priority="375" stopIfTrue="1" operator="greaterThan">
      <formula>1</formula>
    </cfRule>
    <cfRule type="cellIs" dxfId="374" priority="376" stopIfTrue="1" operator="lessThan">
      <formula>1</formula>
    </cfRule>
  </conditionalFormatting>
  <conditionalFormatting sqref="B106">
    <cfRule type="cellIs" dxfId="373" priority="373" operator="greaterThan">
      <formula>0</formula>
    </cfRule>
    <cfRule type="cellIs" dxfId="372" priority="374" stopIfTrue="1" operator="lessThan">
      <formula>0</formula>
    </cfRule>
  </conditionalFormatting>
  <conditionalFormatting sqref="B91">
    <cfRule type="cellIs" dxfId="371" priority="371" stopIfTrue="1" operator="greaterThan">
      <formula>1</formula>
    </cfRule>
    <cfRule type="cellIs" dxfId="370" priority="372" stopIfTrue="1" operator="lessThan">
      <formula>1</formula>
    </cfRule>
  </conditionalFormatting>
  <conditionalFormatting sqref="B93">
    <cfRule type="cellIs" dxfId="369" priority="369" operator="greaterThan">
      <formula>0</formula>
    </cfRule>
    <cfRule type="cellIs" dxfId="368" priority="370" stopIfTrue="1" operator="lessThan">
      <formula>0</formula>
    </cfRule>
  </conditionalFormatting>
  <conditionalFormatting sqref="B78">
    <cfRule type="cellIs" dxfId="367" priority="367" stopIfTrue="1" operator="greaterThan">
      <formula>1</formula>
    </cfRule>
    <cfRule type="cellIs" dxfId="366" priority="368" stopIfTrue="1" operator="lessThan">
      <formula>1</formula>
    </cfRule>
  </conditionalFormatting>
  <conditionalFormatting sqref="B80">
    <cfRule type="cellIs" dxfId="365" priority="365" operator="greaterThan">
      <formula>0</formula>
    </cfRule>
    <cfRule type="cellIs" dxfId="364" priority="366" stopIfTrue="1" operator="lessThan">
      <formula>0</formula>
    </cfRule>
  </conditionalFormatting>
  <conditionalFormatting sqref="B65">
    <cfRule type="cellIs" dxfId="363" priority="363" stopIfTrue="1" operator="greaterThan">
      <formula>1</formula>
    </cfRule>
    <cfRule type="cellIs" dxfId="362" priority="364" stopIfTrue="1" operator="lessThan">
      <formula>1</formula>
    </cfRule>
  </conditionalFormatting>
  <conditionalFormatting sqref="B67">
    <cfRule type="cellIs" dxfId="361" priority="361" operator="greaterThan">
      <formula>0</formula>
    </cfRule>
    <cfRule type="cellIs" dxfId="360" priority="362" stopIfTrue="1" operator="lessThan">
      <formula>0</formula>
    </cfRule>
  </conditionalFormatting>
  <conditionalFormatting sqref="B52">
    <cfRule type="cellIs" dxfId="359" priority="359" stopIfTrue="1" operator="greaterThan">
      <formula>1</formula>
    </cfRule>
    <cfRule type="cellIs" dxfId="358" priority="360" stopIfTrue="1" operator="lessThan">
      <formula>1</formula>
    </cfRule>
  </conditionalFormatting>
  <conditionalFormatting sqref="B54">
    <cfRule type="cellIs" dxfId="357" priority="357" operator="greaterThan">
      <formula>0</formula>
    </cfRule>
    <cfRule type="cellIs" dxfId="356" priority="358" stopIfTrue="1" operator="lessThan">
      <formula>0</formula>
    </cfRule>
  </conditionalFormatting>
  <conditionalFormatting sqref="B39">
    <cfRule type="cellIs" dxfId="355" priority="355" stopIfTrue="1" operator="greaterThan">
      <formula>1</formula>
    </cfRule>
    <cfRule type="cellIs" dxfId="354" priority="356" stopIfTrue="1" operator="lessThan">
      <formula>1</formula>
    </cfRule>
  </conditionalFormatting>
  <conditionalFormatting sqref="B41">
    <cfRule type="cellIs" dxfId="353" priority="353" operator="greaterThan">
      <formula>0</formula>
    </cfRule>
    <cfRule type="cellIs" dxfId="352" priority="354" stopIfTrue="1" operator="lessThan">
      <formula>0</formula>
    </cfRule>
  </conditionalFormatting>
  <conditionalFormatting sqref="B26">
    <cfRule type="cellIs" dxfId="351" priority="351" stopIfTrue="1" operator="greaterThan">
      <formula>1</formula>
    </cfRule>
    <cfRule type="cellIs" dxfId="350" priority="352" stopIfTrue="1" operator="lessThan">
      <formula>1</formula>
    </cfRule>
  </conditionalFormatting>
  <conditionalFormatting sqref="B28">
    <cfRule type="cellIs" dxfId="349" priority="349" operator="greaterThan">
      <formula>0</formula>
    </cfRule>
    <cfRule type="cellIs" dxfId="348" priority="350" stopIfTrue="1" operator="lessThan">
      <formula>0</formula>
    </cfRule>
  </conditionalFormatting>
  <conditionalFormatting sqref="B13">
    <cfRule type="cellIs" dxfId="347" priority="347" stopIfTrue="1" operator="greaterThan">
      <formula>1</formula>
    </cfRule>
    <cfRule type="cellIs" dxfId="346" priority="348" stopIfTrue="1" operator="lessThan">
      <formula>1</formula>
    </cfRule>
  </conditionalFormatting>
  <conditionalFormatting sqref="B15">
    <cfRule type="cellIs" dxfId="345" priority="345" operator="greaterThan">
      <formula>0</formula>
    </cfRule>
    <cfRule type="cellIs" dxfId="344" priority="346" stopIfTrue="1" operator="lessThan">
      <formula>0</formula>
    </cfRule>
  </conditionalFormatting>
  <conditionalFormatting sqref="LI5:LI16 LI18:LI29 LI44:LI55 LI57:LI68 LI70:LI81 LI83:LI94 LI96:LI107 LI109:LI120 LI31:LI42">
    <cfRule type="cellIs" dxfId="343" priority="343" operator="lessThan">
      <formula>0</formula>
    </cfRule>
    <cfRule type="cellIs" dxfId="342" priority="344" operator="greaterThan">
      <formula>0</formula>
    </cfRule>
  </conditionalFormatting>
  <conditionalFormatting sqref="KZ5:KZ16">
    <cfRule type="cellIs" dxfId="341" priority="341" operator="lessThan">
      <formula>0</formula>
    </cfRule>
    <cfRule type="cellIs" dxfId="340" priority="342" operator="greaterThan">
      <formula>0</formula>
    </cfRule>
  </conditionalFormatting>
  <conditionalFormatting sqref="LC5:LC16">
    <cfRule type="cellIs" dxfId="339" priority="339" operator="lessThan">
      <formula>0</formula>
    </cfRule>
    <cfRule type="cellIs" dxfId="338" priority="340" operator="greaterThan">
      <formula>0</formula>
    </cfRule>
  </conditionalFormatting>
  <conditionalFormatting sqref="LF5:LF16">
    <cfRule type="cellIs" dxfId="337" priority="337" operator="lessThan">
      <formula>0</formula>
    </cfRule>
    <cfRule type="cellIs" dxfId="336" priority="338" operator="greaterThan">
      <formula>0</formula>
    </cfRule>
  </conditionalFormatting>
  <conditionalFormatting sqref="KZ18:KZ29 KZ44:KZ55 KZ57:KZ68 KZ70:KZ81 KZ83:KZ94 KZ96:KZ107 KZ109:KZ120 KZ31:KZ42">
    <cfRule type="cellIs" dxfId="335" priority="335" operator="lessThan">
      <formula>0</formula>
    </cfRule>
    <cfRule type="cellIs" dxfId="334" priority="336" operator="greaterThan">
      <formula>0</formula>
    </cfRule>
  </conditionalFormatting>
  <conditionalFormatting sqref="LC18:LC29 LC44:LC55 LC57:LC68 LC70:LC81 LC83:LC94 LC96:LC107 LC109:LC120 LC31:LC42">
    <cfRule type="cellIs" dxfId="333" priority="333" operator="lessThan">
      <formula>0</formula>
    </cfRule>
    <cfRule type="cellIs" dxfId="332" priority="334" operator="greaterThan">
      <formula>0</formula>
    </cfRule>
  </conditionalFormatting>
  <conditionalFormatting sqref="LF18:LF29 LF44:LF55 LF57:LF68 LF70:LF81 LF83:LF94 LF96:LF107 LF109:LF120 LF31:LF42">
    <cfRule type="cellIs" dxfId="331" priority="331" operator="lessThan">
      <formula>0</formula>
    </cfRule>
    <cfRule type="cellIs" dxfId="330" priority="332" operator="greaterThan">
      <formula>0</formula>
    </cfRule>
  </conditionalFormatting>
  <conditionalFormatting sqref="BT31:BT42">
    <cfRule type="cellIs" dxfId="329" priority="329" operator="lessThan">
      <formula>0</formula>
    </cfRule>
    <cfRule type="cellIs" dxfId="328" priority="330" operator="greaterThan">
      <formula>0</formula>
    </cfRule>
  </conditionalFormatting>
  <conditionalFormatting sqref="BW31:BW42">
    <cfRule type="cellIs" dxfId="327" priority="327" operator="lessThan">
      <formula>0</formula>
    </cfRule>
    <cfRule type="cellIs" dxfId="326" priority="328" operator="greaterThan">
      <formula>0</formula>
    </cfRule>
  </conditionalFormatting>
  <conditionalFormatting sqref="BZ31:BZ42">
    <cfRule type="cellIs" dxfId="325" priority="325" operator="lessThan">
      <formula>0</formula>
    </cfRule>
    <cfRule type="cellIs" dxfId="324" priority="326" operator="greaterThan">
      <formula>0</formula>
    </cfRule>
  </conditionalFormatting>
  <conditionalFormatting sqref="JG40:JG42">
    <cfRule type="cellIs" dxfId="323" priority="323" operator="lessThan">
      <formula>0</formula>
    </cfRule>
    <cfRule type="cellIs" dxfId="322" priority="324" operator="greaterThan">
      <formula>0</formula>
    </cfRule>
  </conditionalFormatting>
  <conditionalFormatting sqref="JJ40:JJ42">
    <cfRule type="cellIs" dxfId="321" priority="321" operator="lessThan">
      <formula>0</formula>
    </cfRule>
    <cfRule type="cellIs" dxfId="320" priority="322" operator="greaterThan">
      <formula>0</formula>
    </cfRule>
  </conditionalFormatting>
  <conditionalFormatting sqref="JM40:JM42">
    <cfRule type="cellIs" dxfId="319" priority="319" operator="lessThan">
      <formula>0</formula>
    </cfRule>
    <cfRule type="cellIs" dxfId="318" priority="320" operator="greaterThan">
      <formula>0</formula>
    </cfRule>
  </conditionalFormatting>
  <conditionalFormatting sqref="JG109:JG120 JG96:JG107 JG83:JG94 JG70:JG81 JG57:JG68 JG44:JG55">
    <cfRule type="cellIs" dxfId="317" priority="317" operator="lessThan">
      <formula>0</formula>
    </cfRule>
    <cfRule type="cellIs" dxfId="316" priority="318" operator="greaterThan">
      <formula>0</formula>
    </cfRule>
  </conditionalFormatting>
  <conditionalFormatting sqref="JJ109:JJ120 JJ96:JJ107 JJ83:JJ94 JJ70:JJ81 JJ57:JJ68 JJ44:JJ55">
    <cfRule type="cellIs" dxfId="315" priority="315" operator="lessThan">
      <formula>0</formula>
    </cfRule>
    <cfRule type="cellIs" dxfId="314" priority="316" operator="greaterThan">
      <formula>0</formula>
    </cfRule>
  </conditionalFormatting>
  <conditionalFormatting sqref="JM109:JM120 JM96:JM107 JM83:JM94 JM70:JM81 JM57:JM68 JM44:JM55">
    <cfRule type="cellIs" dxfId="313" priority="313" operator="lessThan">
      <formula>0</formula>
    </cfRule>
    <cfRule type="cellIs" dxfId="312" priority="314" operator="greaterThan">
      <formula>0</formula>
    </cfRule>
  </conditionalFormatting>
  <conditionalFormatting sqref="US44:US55 US57:US68 US70:US81 US83:US94 US96:US107 US109:US120">
    <cfRule type="cellIs" dxfId="311" priority="311" operator="lessThan">
      <formula>0</formula>
    </cfRule>
    <cfRule type="cellIs" dxfId="310" priority="312" operator="greaterThan">
      <formula>0</formula>
    </cfRule>
  </conditionalFormatting>
  <conditionalFormatting sqref="VE44:VE55 VE57:VE68 VE70:VE81 VE83:VE94 VE96:VE107 VE109:VE120">
    <cfRule type="cellIs" dxfId="309" priority="309" operator="lessThan">
      <formula>0</formula>
    </cfRule>
    <cfRule type="cellIs" dxfId="308" priority="310" operator="greaterThan">
      <formula>0</formula>
    </cfRule>
  </conditionalFormatting>
  <conditionalFormatting sqref="UV109:UV120">
    <cfRule type="cellIs" dxfId="307" priority="307" operator="lessThan">
      <formula>0</formula>
    </cfRule>
    <cfRule type="cellIs" dxfId="306" priority="308" operator="greaterThan">
      <formula>0</formula>
    </cfRule>
  </conditionalFormatting>
  <conditionalFormatting sqref="UY109:UY120">
    <cfRule type="cellIs" dxfId="305" priority="305" operator="lessThan">
      <formula>0</formula>
    </cfRule>
    <cfRule type="cellIs" dxfId="304" priority="306" operator="greaterThan">
      <formula>0</formula>
    </cfRule>
  </conditionalFormatting>
  <conditionalFormatting sqref="VB109:VB120">
    <cfRule type="cellIs" dxfId="303" priority="303" operator="lessThan">
      <formula>0</formula>
    </cfRule>
    <cfRule type="cellIs" dxfId="302" priority="304" operator="greaterThan">
      <formula>0</formula>
    </cfRule>
  </conditionalFormatting>
  <conditionalFormatting sqref="UV96:UV107">
    <cfRule type="cellIs" dxfId="301" priority="301" operator="lessThan">
      <formula>0</formula>
    </cfRule>
    <cfRule type="cellIs" dxfId="300" priority="302" operator="greaterThan">
      <formula>0</formula>
    </cfRule>
  </conditionalFormatting>
  <conditionalFormatting sqref="UY96:UY107">
    <cfRule type="cellIs" dxfId="299" priority="299" operator="lessThan">
      <formula>0</formula>
    </cfRule>
    <cfRule type="cellIs" dxfId="298" priority="300" operator="greaterThan">
      <formula>0</formula>
    </cfRule>
  </conditionalFormatting>
  <conditionalFormatting sqref="VB96:VB107">
    <cfRule type="cellIs" dxfId="297" priority="297" operator="lessThan">
      <formula>0</formula>
    </cfRule>
    <cfRule type="cellIs" dxfId="296" priority="298" operator="greaterThan">
      <formula>0</formula>
    </cfRule>
  </conditionalFormatting>
  <conditionalFormatting sqref="UV83:UV94">
    <cfRule type="cellIs" dxfId="295" priority="295" operator="lessThan">
      <formula>0</formula>
    </cfRule>
    <cfRule type="cellIs" dxfId="294" priority="296" operator="greaterThan">
      <formula>0</formula>
    </cfRule>
  </conditionalFormatting>
  <conditionalFormatting sqref="UY83:UY94">
    <cfRule type="cellIs" dxfId="293" priority="293" operator="lessThan">
      <formula>0</formula>
    </cfRule>
    <cfRule type="cellIs" dxfId="292" priority="294" operator="greaterThan">
      <formula>0</formula>
    </cfRule>
  </conditionalFormatting>
  <conditionalFormatting sqref="VB83:VB94">
    <cfRule type="cellIs" dxfId="291" priority="291" operator="lessThan">
      <formula>0</formula>
    </cfRule>
    <cfRule type="cellIs" dxfId="290" priority="292" operator="greaterThan">
      <formula>0</formula>
    </cfRule>
  </conditionalFormatting>
  <conditionalFormatting sqref="UV70:UV81">
    <cfRule type="cellIs" dxfId="289" priority="289" operator="lessThan">
      <formula>0</formula>
    </cfRule>
    <cfRule type="cellIs" dxfId="288" priority="290" operator="greaterThan">
      <formula>0</formula>
    </cfRule>
  </conditionalFormatting>
  <conditionalFormatting sqref="UY70:UY81">
    <cfRule type="cellIs" dxfId="287" priority="287" operator="lessThan">
      <formula>0</formula>
    </cfRule>
    <cfRule type="cellIs" dxfId="286" priority="288" operator="greaterThan">
      <formula>0</formula>
    </cfRule>
  </conditionalFormatting>
  <conditionalFormatting sqref="VB70:VB81">
    <cfRule type="cellIs" dxfId="285" priority="285" operator="lessThan">
      <formula>0</formula>
    </cfRule>
    <cfRule type="cellIs" dxfId="284" priority="286" operator="greaterThan">
      <formula>0</formula>
    </cfRule>
  </conditionalFormatting>
  <conditionalFormatting sqref="UV57:UV68">
    <cfRule type="cellIs" dxfId="283" priority="283" operator="lessThan">
      <formula>0</formula>
    </cfRule>
    <cfRule type="cellIs" dxfId="282" priority="284" operator="greaterThan">
      <formula>0</formula>
    </cfRule>
  </conditionalFormatting>
  <conditionalFormatting sqref="UY57:UY68">
    <cfRule type="cellIs" dxfId="281" priority="281" operator="lessThan">
      <formula>0</formula>
    </cfRule>
    <cfRule type="cellIs" dxfId="280" priority="282" operator="greaterThan">
      <formula>0</formula>
    </cfRule>
  </conditionalFormatting>
  <conditionalFormatting sqref="VB57:VB68">
    <cfRule type="cellIs" dxfId="279" priority="279" operator="lessThan">
      <formula>0</formula>
    </cfRule>
    <cfRule type="cellIs" dxfId="278" priority="280" operator="greaterThan">
      <formula>0</formula>
    </cfRule>
  </conditionalFormatting>
  <conditionalFormatting sqref="UV44:UV55">
    <cfRule type="cellIs" dxfId="277" priority="277" operator="lessThan">
      <formula>0</formula>
    </cfRule>
    <cfRule type="cellIs" dxfId="276" priority="278" operator="greaterThan">
      <formula>0</formula>
    </cfRule>
  </conditionalFormatting>
  <conditionalFormatting sqref="UY44:UY55">
    <cfRule type="cellIs" dxfId="275" priority="275" operator="lessThan">
      <formula>0</formula>
    </cfRule>
    <cfRule type="cellIs" dxfId="274" priority="276" operator="greaterThan">
      <formula>0</formula>
    </cfRule>
  </conditionalFormatting>
  <conditionalFormatting sqref="VB44:VB55">
    <cfRule type="cellIs" dxfId="273" priority="273" operator="lessThan">
      <formula>0</formula>
    </cfRule>
    <cfRule type="cellIs" dxfId="272" priority="274" operator="greaterThan">
      <formula>0</formula>
    </cfRule>
  </conditionalFormatting>
  <conditionalFormatting sqref="VW57:VW68 VW70:VW81 VW83:VW94 VW96:VW107 VW109:VW120 VW40:VW55">
    <cfRule type="cellIs" dxfId="271" priority="271" operator="lessThan">
      <formula>0</formula>
    </cfRule>
    <cfRule type="cellIs" dxfId="270" priority="272" operator="greaterThan">
      <formula>0</formula>
    </cfRule>
  </conditionalFormatting>
  <conditionalFormatting sqref="WI57:WI68 WI70:WI81 WI83:WI94 WI96:WI107 WI109:WI120 WI40:WI55">
    <cfRule type="cellIs" dxfId="269" priority="269" operator="lessThan">
      <formula>0</formula>
    </cfRule>
    <cfRule type="cellIs" dxfId="268" priority="270" operator="greaterThan">
      <formula>0</formula>
    </cfRule>
  </conditionalFormatting>
  <conditionalFormatting sqref="VZ109:VZ120">
    <cfRule type="cellIs" dxfId="267" priority="267" operator="lessThan">
      <formula>0</formula>
    </cfRule>
    <cfRule type="cellIs" dxfId="266" priority="268" operator="greaterThan">
      <formula>0</formula>
    </cfRule>
  </conditionalFormatting>
  <conditionalFormatting sqref="WC109:WC120">
    <cfRule type="cellIs" dxfId="265" priority="265" operator="lessThan">
      <formula>0</formula>
    </cfRule>
    <cfRule type="cellIs" dxfId="264" priority="266" operator="greaterThan">
      <formula>0</formula>
    </cfRule>
  </conditionalFormatting>
  <conditionalFormatting sqref="WF109:WF120">
    <cfRule type="cellIs" dxfId="263" priority="263" operator="lessThan">
      <formula>0</formula>
    </cfRule>
    <cfRule type="cellIs" dxfId="262" priority="264" operator="greaterThan">
      <formula>0</formula>
    </cfRule>
  </conditionalFormatting>
  <conditionalFormatting sqref="VZ96:VZ107">
    <cfRule type="cellIs" dxfId="261" priority="261" operator="lessThan">
      <formula>0</formula>
    </cfRule>
    <cfRule type="cellIs" dxfId="260" priority="262" operator="greaterThan">
      <formula>0</formula>
    </cfRule>
  </conditionalFormatting>
  <conditionalFormatting sqref="WC96:WC107">
    <cfRule type="cellIs" dxfId="259" priority="259" operator="lessThan">
      <formula>0</formula>
    </cfRule>
    <cfRule type="cellIs" dxfId="258" priority="260" operator="greaterThan">
      <formula>0</formula>
    </cfRule>
  </conditionalFormatting>
  <conditionalFormatting sqref="WF96:WF107">
    <cfRule type="cellIs" dxfId="257" priority="257" operator="lessThan">
      <formula>0</formula>
    </cfRule>
    <cfRule type="cellIs" dxfId="256" priority="258" operator="greaterThan">
      <formula>0</formula>
    </cfRule>
  </conditionalFormatting>
  <conditionalFormatting sqref="VZ83:VZ94">
    <cfRule type="cellIs" dxfId="255" priority="255" operator="lessThan">
      <formula>0</formula>
    </cfRule>
    <cfRule type="cellIs" dxfId="254" priority="256" operator="greaterThan">
      <formula>0</formula>
    </cfRule>
  </conditionalFormatting>
  <conditionalFormatting sqref="WC83:WC94">
    <cfRule type="cellIs" dxfId="253" priority="253" operator="lessThan">
      <formula>0</formula>
    </cfRule>
    <cfRule type="cellIs" dxfId="252" priority="254" operator="greaterThan">
      <formula>0</formula>
    </cfRule>
  </conditionalFormatting>
  <conditionalFormatting sqref="WF83:WF94">
    <cfRule type="cellIs" dxfId="251" priority="251" operator="lessThan">
      <formula>0</formula>
    </cfRule>
    <cfRule type="cellIs" dxfId="250" priority="252" operator="greaterThan">
      <formula>0</formula>
    </cfRule>
  </conditionalFormatting>
  <conditionalFormatting sqref="VZ70:VZ81">
    <cfRule type="cellIs" dxfId="249" priority="249" operator="lessThan">
      <formula>0</formula>
    </cfRule>
    <cfRule type="cellIs" dxfId="248" priority="250" operator="greaterThan">
      <formula>0</formula>
    </cfRule>
  </conditionalFormatting>
  <conditionalFormatting sqref="WC70:WC81">
    <cfRule type="cellIs" dxfId="247" priority="247" operator="lessThan">
      <formula>0</formula>
    </cfRule>
    <cfRule type="cellIs" dxfId="246" priority="248" operator="greaterThan">
      <formula>0</formula>
    </cfRule>
  </conditionalFormatting>
  <conditionalFormatting sqref="WF70:WF81">
    <cfRule type="cellIs" dxfId="245" priority="245" operator="lessThan">
      <formula>0</formula>
    </cfRule>
    <cfRule type="cellIs" dxfId="244" priority="246" operator="greaterThan">
      <formula>0</formula>
    </cfRule>
  </conditionalFormatting>
  <conditionalFormatting sqref="VZ57:VZ68">
    <cfRule type="cellIs" dxfId="243" priority="243" operator="lessThan">
      <formula>0</formula>
    </cfRule>
    <cfRule type="cellIs" dxfId="242" priority="244" operator="greaterThan">
      <formula>0</formula>
    </cfRule>
  </conditionalFormatting>
  <conditionalFormatting sqref="WC57:WC68">
    <cfRule type="cellIs" dxfId="241" priority="241" operator="lessThan">
      <formula>0</formula>
    </cfRule>
    <cfRule type="cellIs" dxfId="240" priority="242" operator="greaterThan">
      <formula>0</formula>
    </cfRule>
  </conditionalFormatting>
  <conditionalFormatting sqref="WF57:WF68">
    <cfRule type="cellIs" dxfId="239" priority="239" operator="lessThan">
      <formula>0</formula>
    </cfRule>
    <cfRule type="cellIs" dxfId="238" priority="240" operator="greaterThan">
      <formula>0</formula>
    </cfRule>
  </conditionalFormatting>
  <conditionalFormatting sqref="VZ40:VZ55">
    <cfRule type="cellIs" dxfId="237" priority="237" operator="lessThan">
      <formula>0</formula>
    </cfRule>
    <cfRule type="cellIs" dxfId="236" priority="238" operator="greaterThan">
      <formula>0</formula>
    </cfRule>
  </conditionalFormatting>
  <conditionalFormatting sqref="WC40:WC55">
    <cfRule type="cellIs" dxfId="235" priority="235" operator="lessThan">
      <formula>0</formula>
    </cfRule>
    <cfRule type="cellIs" dxfId="234" priority="236" operator="greaterThan">
      <formula>0</formula>
    </cfRule>
  </conditionalFormatting>
  <conditionalFormatting sqref="WF40:WF55">
    <cfRule type="cellIs" dxfId="233" priority="233" operator="lessThan">
      <formula>0</formula>
    </cfRule>
    <cfRule type="cellIs" dxfId="232" priority="234" operator="greaterThan">
      <formula>0</formula>
    </cfRule>
  </conditionalFormatting>
  <conditionalFormatting sqref="ZT44:ZT55 ZT57:ZT68 ZT70:ZT81 ZT83:ZT94 ZT96:ZT107 ZT109:ZT120">
    <cfRule type="cellIs" dxfId="231" priority="231" operator="lessThan">
      <formula>0</formula>
    </cfRule>
    <cfRule type="cellIs" dxfId="230" priority="232" operator="greaterThan">
      <formula>0</formula>
    </cfRule>
  </conditionalFormatting>
  <conditionalFormatting sqref="ZK109:ZK120">
    <cfRule type="cellIs" dxfId="229" priority="229" operator="lessThan">
      <formula>0</formula>
    </cfRule>
    <cfRule type="cellIs" dxfId="228" priority="230" operator="greaterThan">
      <formula>0</formula>
    </cfRule>
  </conditionalFormatting>
  <conditionalFormatting sqref="ZN109:ZN120">
    <cfRule type="cellIs" dxfId="227" priority="227" operator="lessThan">
      <formula>0</formula>
    </cfRule>
    <cfRule type="cellIs" dxfId="226" priority="228" operator="greaterThan">
      <formula>0</formula>
    </cfRule>
  </conditionalFormatting>
  <conditionalFormatting sqref="ZQ109:ZQ120">
    <cfRule type="cellIs" dxfId="225" priority="225" operator="lessThan">
      <formula>0</formula>
    </cfRule>
    <cfRule type="cellIs" dxfId="224" priority="226" operator="greaterThan">
      <formula>0</formula>
    </cfRule>
  </conditionalFormatting>
  <conditionalFormatting sqref="ZK96:ZK107">
    <cfRule type="cellIs" dxfId="223" priority="223" operator="lessThan">
      <formula>0</formula>
    </cfRule>
    <cfRule type="cellIs" dxfId="222" priority="224" operator="greaterThan">
      <formula>0</formula>
    </cfRule>
  </conditionalFormatting>
  <conditionalFormatting sqref="ZN96:ZN107">
    <cfRule type="cellIs" dxfId="221" priority="221" operator="lessThan">
      <formula>0</formula>
    </cfRule>
    <cfRule type="cellIs" dxfId="220" priority="222" operator="greaterThan">
      <formula>0</formula>
    </cfRule>
  </conditionalFormatting>
  <conditionalFormatting sqref="ZQ96:ZQ107">
    <cfRule type="cellIs" dxfId="219" priority="219" operator="lessThan">
      <formula>0</formula>
    </cfRule>
    <cfRule type="cellIs" dxfId="218" priority="220" operator="greaterThan">
      <formula>0</formula>
    </cfRule>
  </conditionalFormatting>
  <conditionalFormatting sqref="ZK83:ZK94">
    <cfRule type="cellIs" dxfId="217" priority="217" operator="lessThan">
      <formula>0</formula>
    </cfRule>
    <cfRule type="cellIs" dxfId="216" priority="218" operator="greaterThan">
      <formula>0</formula>
    </cfRule>
  </conditionalFormatting>
  <conditionalFormatting sqref="ZN83:ZN94">
    <cfRule type="cellIs" dxfId="215" priority="215" operator="lessThan">
      <formula>0</formula>
    </cfRule>
    <cfRule type="cellIs" dxfId="214" priority="216" operator="greaterThan">
      <formula>0</formula>
    </cfRule>
  </conditionalFormatting>
  <conditionalFormatting sqref="ZQ83:ZQ94">
    <cfRule type="cellIs" dxfId="213" priority="213" operator="lessThan">
      <formula>0</formula>
    </cfRule>
    <cfRule type="cellIs" dxfId="212" priority="214" operator="greaterThan">
      <formula>0</formula>
    </cfRule>
  </conditionalFormatting>
  <conditionalFormatting sqref="ZK70:ZK81">
    <cfRule type="cellIs" dxfId="211" priority="211" operator="lessThan">
      <formula>0</formula>
    </cfRule>
    <cfRule type="cellIs" dxfId="210" priority="212" operator="greaterThan">
      <formula>0</formula>
    </cfRule>
  </conditionalFormatting>
  <conditionalFormatting sqref="ZN70:ZN81">
    <cfRule type="cellIs" dxfId="209" priority="209" operator="lessThan">
      <formula>0</formula>
    </cfRule>
    <cfRule type="cellIs" dxfId="208" priority="210" operator="greaterThan">
      <formula>0</formula>
    </cfRule>
  </conditionalFormatting>
  <conditionalFormatting sqref="ZQ70:ZQ81">
    <cfRule type="cellIs" dxfId="207" priority="207" operator="lessThan">
      <formula>0</formula>
    </cfRule>
    <cfRule type="cellIs" dxfId="206" priority="208" operator="greaterThan">
      <formula>0</formula>
    </cfRule>
  </conditionalFormatting>
  <conditionalFormatting sqref="ZK57:ZK68">
    <cfRule type="cellIs" dxfId="205" priority="205" operator="lessThan">
      <formula>0</formula>
    </cfRule>
    <cfRule type="cellIs" dxfId="204" priority="206" operator="greaterThan">
      <formula>0</formula>
    </cfRule>
  </conditionalFormatting>
  <conditionalFormatting sqref="ZN57:ZN68">
    <cfRule type="cellIs" dxfId="203" priority="203" operator="lessThan">
      <formula>0</formula>
    </cfRule>
    <cfRule type="cellIs" dxfId="202" priority="204" operator="greaterThan">
      <formula>0</formula>
    </cfRule>
  </conditionalFormatting>
  <conditionalFormatting sqref="ZQ57:ZQ68">
    <cfRule type="cellIs" dxfId="201" priority="201" operator="lessThan">
      <formula>0</formula>
    </cfRule>
    <cfRule type="cellIs" dxfId="200" priority="202" operator="greaterThan">
      <formula>0</formula>
    </cfRule>
  </conditionalFormatting>
  <conditionalFormatting sqref="ZK44:ZK55">
    <cfRule type="cellIs" dxfId="199" priority="199" operator="lessThan">
      <formula>0</formula>
    </cfRule>
    <cfRule type="cellIs" dxfId="198" priority="200" operator="greaterThan">
      <formula>0</formula>
    </cfRule>
  </conditionalFormatting>
  <conditionalFormatting sqref="ZN44:ZN55">
    <cfRule type="cellIs" dxfId="197" priority="197" operator="lessThan">
      <formula>0</formula>
    </cfRule>
    <cfRule type="cellIs" dxfId="196" priority="198" operator="greaterThan">
      <formula>0</formula>
    </cfRule>
  </conditionalFormatting>
  <conditionalFormatting sqref="ZQ44:ZQ55">
    <cfRule type="cellIs" dxfId="195" priority="195" operator="lessThan">
      <formula>0</formula>
    </cfRule>
    <cfRule type="cellIs" dxfId="194" priority="196" operator="greaterThan">
      <formula>0</formula>
    </cfRule>
  </conditionalFormatting>
  <conditionalFormatting sqref="VW31:VW42">
    <cfRule type="cellIs" dxfId="193" priority="193" operator="lessThan">
      <formula>0</formula>
    </cfRule>
    <cfRule type="cellIs" dxfId="192" priority="194" operator="greaterThan">
      <formula>0</formula>
    </cfRule>
  </conditionalFormatting>
  <conditionalFormatting sqref="WI31:WI42">
    <cfRule type="cellIs" dxfId="191" priority="191" operator="lessThan">
      <formula>0</formula>
    </cfRule>
    <cfRule type="cellIs" dxfId="190" priority="192" operator="greaterThan">
      <formula>0</formula>
    </cfRule>
  </conditionalFormatting>
  <conditionalFormatting sqref="VZ31:VZ42">
    <cfRule type="cellIs" dxfId="189" priority="189" operator="lessThan">
      <formula>0</formula>
    </cfRule>
    <cfRule type="cellIs" dxfId="188" priority="190" operator="greaterThan">
      <formula>0</formula>
    </cfRule>
  </conditionalFormatting>
  <conditionalFormatting sqref="WC31:WC42">
    <cfRule type="cellIs" dxfId="187" priority="187" operator="lessThan">
      <formula>0</formula>
    </cfRule>
    <cfRule type="cellIs" dxfId="186" priority="188" operator="greaterThan">
      <formula>0</formula>
    </cfRule>
  </conditionalFormatting>
  <conditionalFormatting sqref="WF31:WF42">
    <cfRule type="cellIs" dxfId="185" priority="185" operator="lessThan">
      <formula>0</formula>
    </cfRule>
    <cfRule type="cellIs" dxfId="184" priority="186" operator="greaterThan">
      <formula>0</formula>
    </cfRule>
  </conditionalFormatting>
  <conditionalFormatting sqref="EQ39:EQ42">
    <cfRule type="cellIs" dxfId="183" priority="183" operator="lessThan">
      <formula>0</formula>
    </cfRule>
    <cfRule type="cellIs" dxfId="182" priority="184" operator="greaterThan">
      <formula>0</formula>
    </cfRule>
  </conditionalFormatting>
  <conditionalFormatting sqref="ET39:ET42">
    <cfRule type="cellIs" dxfId="181" priority="181" operator="lessThan">
      <formula>0</formula>
    </cfRule>
    <cfRule type="cellIs" dxfId="180" priority="182" operator="greaterThan">
      <formula>0</formula>
    </cfRule>
  </conditionalFormatting>
  <conditionalFormatting sqref="FF39:FF42">
    <cfRule type="cellIs" dxfId="179" priority="179" operator="lessThan">
      <formula>0</formula>
    </cfRule>
    <cfRule type="cellIs" dxfId="178" priority="180" operator="greaterThan">
      <formula>0</formula>
    </cfRule>
  </conditionalFormatting>
  <conditionalFormatting sqref="FI39:FI42">
    <cfRule type="cellIs" dxfId="177" priority="177" operator="lessThan">
      <formula>0</formula>
    </cfRule>
    <cfRule type="cellIs" dxfId="176" priority="178" operator="greaterThan">
      <formula>0</formula>
    </cfRule>
  </conditionalFormatting>
  <conditionalFormatting sqref="EQ45">
    <cfRule type="cellIs" dxfId="175" priority="175" operator="lessThan">
      <formula>0</formula>
    </cfRule>
    <cfRule type="cellIs" dxfId="174" priority="176" operator="greaterThan">
      <formula>0</formula>
    </cfRule>
  </conditionalFormatting>
  <conditionalFormatting sqref="ET45">
    <cfRule type="cellIs" dxfId="173" priority="173" operator="lessThan">
      <formula>0</formula>
    </cfRule>
    <cfRule type="cellIs" dxfId="172" priority="174" operator="greaterThan">
      <formula>0</formula>
    </cfRule>
  </conditionalFormatting>
  <conditionalFormatting sqref="FF45">
    <cfRule type="cellIs" dxfId="171" priority="171" operator="lessThan">
      <formula>0</formula>
    </cfRule>
    <cfRule type="cellIs" dxfId="170" priority="172" operator="greaterThan">
      <formula>0</formula>
    </cfRule>
  </conditionalFormatting>
  <conditionalFormatting sqref="FI45">
    <cfRule type="cellIs" dxfId="169" priority="169" operator="lessThan">
      <formula>0</formula>
    </cfRule>
    <cfRule type="cellIs" dxfId="168" priority="170" operator="greaterThan">
      <formula>0</formula>
    </cfRule>
  </conditionalFormatting>
  <conditionalFormatting sqref="HN45">
    <cfRule type="cellIs" dxfId="167" priority="167" operator="lessThan">
      <formula>0</formula>
    </cfRule>
    <cfRule type="cellIs" dxfId="166" priority="168" operator="greaterThan">
      <formula>0</formula>
    </cfRule>
  </conditionalFormatting>
  <conditionalFormatting sqref="HQ45">
    <cfRule type="cellIs" dxfId="165" priority="165" operator="lessThan">
      <formula>0</formula>
    </cfRule>
    <cfRule type="cellIs" dxfId="164" priority="166" operator="greaterThan">
      <formula>0</formula>
    </cfRule>
  </conditionalFormatting>
  <conditionalFormatting sqref="HN47">
    <cfRule type="cellIs" dxfId="163" priority="163" operator="lessThan">
      <formula>0</formula>
    </cfRule>
    <cfRule type="cellIs" dxfId="162" priority="164" operator="greaterThan">
      <formula>0</formula>
    </cfRule>
  </conditionalFormatting>
  <conditionalFormatting sqref="HQ47">
    <cfRule type="cellIs" dxfId="161" priority="161" operator="lessThan">
      <formula>0</formula>
    </cfRule>
    <cfRule type="cellIs" dxfId="160" priority="162" operator="greaterThan">
      <formula>0</formula>
    </cfRule>
  </conditionalFormatting>
  <conditionalFormatting sqref="QR53:QR55 QR57:QR68 QR70:QR81 QR83:QR94 QR96:QR107 QR109:QR120">
    <cfRule type="cellIs" dxfId="159" priority="159" operator="lessThan">
      <formula>0</formula>
    </cfRule>
    <cfRule type="cellIs" dxfId="158" priority="160" operator="greaterThan">
      <formula>0</formula>
    </cfRule>
  </conditionalFormatting>
  <conditionalFormatting sqref="QS53:QS55 QS57:QS68 QS70:QS81 QS83:QS94 QS96:QS107 QS109:QS120">
    <cfRule type="cellIs" dxfId="157" priority="157" operator="lessThan">
      <formula>0</formula>
    </cfRule>
    <cfRule type="cellIs" dxfId="156" priority="158" operator="greaterThan">
      <formula>0</formula>
    </cfRule>
  </conditionalFormatting>
  <conditionalFormatting sqref="RE53:RE55 RE57:RE68 RE70:RE81 RE83:RE94 RE96:RE107 RE109:RE120">
    <cfRule type="cellIs" dxfId="155" priority="155" operator="lessThan">
      <formula>0</formula>
    </cfRule>
    <cfRule type="cellIs" dxfId="154" priority="156" operator="greaterThan">
      <formula>0</formula>
    </cfRule>
  </conditionalFormatting>
  <conditionalFormatting sqref="QV109:QV120">
    <cfRule type="cellIs" dxfId="153" priority="153" operator="lessThan">
      <formula>0</formula>
    </cfRule>
    <cfRule type="cellIs" dxfId="152" priority="154" operator="greaterThan">
      <formula>0</formula>
    </cfRule>
  </conditionalFormatting>
  <conditionalFormatting sqref="QY109:QY120">
    <cfRule type="cellIs" dxfId="151" priority="151" operator="lessThan">
      <formula>0</formula>
    </cfRule>
    <cfRule type="cellIs" dxfId="150" priority="152" operator="greaterThan">
      <formula>0</formula>
    </cfRule>
  </conditionalFormatting>
  <conditionalFormatting sqref="RB109:RB120">
    <cfRule type="cellIs" dxfId="149" priority="149" operator="lessThan">
      <formula>0</formula>
    </cfRule>
    <cfRule type="cellIs" dxfId="148" priority="150" operator="greaterThan">
      <formula>0</formula>
    </cfRule>
  </conditionalFormatting>
  <conditionalFormatting sqref="QV96:QV107">
    <cfRule type="cellIs" dxfId="147" priority="147" operator="lessThan">
      <formula>0</formula>
    </cfRule>
    <cfRule type="cellIs" dxfId="146" priority="148" operator="greaterThan">
      <formula>0</formula>
    </cfRule>
  </conditionalFormatting>
  <conditionalFormatting sqref="QY96:QY107">
    <cfRule type="cellIs" dxfId="145" priority="145" operator="lessThan">
      <formula>0</formula>
    </cfRule>
    <cfRule type="cellIs" dxfId="144" priority="146" operator="greaterThan">
      <formula>0</formula>
    </cfRule>
  </conditionalFormatting>
  <conditionalFormatting sqref="RB96:RB107">
    <cfRule type="cellIs" dxfId="143" priority="143" operator="lessThan">
      <formula>0</formula>
    </cfRule>
    <cfRule type="cellIs" dxfId="142" priority="144" operator="greaterThan">
      <formula>0</formula>
    </cfRule>
  </conditionalFormatting>
  <conditionalFormatting sqref="QV83:QV94">
    <cfRule type="cellIs" dxfId="141" priority="141" operator="lessThan">
      <formula>0</formula>
    </cfRule>
    <cfRule type="cellIs" dxfId="140" priority="142" operator="greaterThan">
      <formula>0</formula>
    </cfRule>
  </conditionalFormatting>
  <conditionalFormatting sqref="QY83:QY94">
    <cfRule type="cellIs" dxfId="139" priority="139" operator="lessThan">
      <formula>0</formula>
    </cfRule>
    <cfRule type="cellIs" dxfId="138" priority="140" operator="greaterThan">
      <formula>0</formula>
    </cfRule>
  </conditionalFormatting>
  <conditionalFormatting sqref="RB83:RB94">
    <cfRule type="cellIs" dxfId="137" priority="137" operator="lessThan">
      <formula>0</formula>
    </cfRule>
    <cfRule type="cellIs" dxfId="136" priority="138" operator="greaterThan">
      <formula>0</formula>
    </cfRule>
  </conditionalFormatting>
  <conditionalFormatting sqref="QV70:QV81">
    <cfRule type="cellIs" dxfId="135" priority="135" operator="lessThan">
      <formula>0</formula>
    </cfRule>
    <cfRule type="cellIs" dxfId="134" priority="136" operator="greaterThan">
      <formula>0</formula>
    </cfRule>
  </conditionalFormatting>
  <conditionalFormatting sqref="QY70:QY81">
    <cfRule type="cellIs" dxfId="133" priority="133" operator="lessThan">
      <formula>0</formula>
    </cfRule>
    <cfRule type="cellIs" dxfId="132" priority="134" operator="greaterThan">
      <formula>0</formula>
    </cfRule>
  </conditionalFormatting>
  <conditionalFormatting sqref="RB70:RB81">
    <cfRule type="cellIs" dxfId="131" priority="131" operator="lessThan">
      <formula>0</formula>
    </cfRule>
    <cfRule type="cellIs" dxfId="130" priority="132" operator="greaterThan">
      <formula>0</formula>
    </cfRule>
  </conditionalFormatting>
  <conditionalFormatting sqref="QV57:QV68">
    <cfRule type="cellIs" dxfId="129" priority="129" operator="lessThan">
      <formula>0</formula>
    </cfRule>
    <cfRule type="cellIs" dxfId="128" priority="130" operator="greaterThan">
      <formula>0</formula>
    </cfRule>
  </conditionalFormatting>
  <conditionalFormatting sqref="QY57:QY68">
    <cfRule type="cellIs" dxfId="127" priority="127" operator="lessThan">
      <formula>0</formula>
    </cfRule>
    <cfRule type="cellIs" dxfId="126" priority="128" operator="greaterThan">
      <formula>0</formula>
    </cfRule>
  </conditionalFormatting>
  <conditionalFormatting sqref="RB57:RB68">
    <cfRule type="cellIs" dxfId="125" priority="125" operator="lessThan">
      <formula>0</formula>
    </cfRule>
    <cfRule type="cellIs" dxfId="124" priority="126" operator="greaterThan">
      <formula>0</formula>
    </cfRule>
  </conditionalFormatting>
  <conditionalFormatting sqref="QV53:QV55">
    <cfRule type="cellIs" dxfId="123" priority="123" operator="lessThan">
      <formula>0</formula>
    </cfRule>
    <cfRule type="cellIs" dxfId="122" priority="124" operator="greaterThan">
      <formula>0</formula>
    </cfRule>
  </conditionalFormatting>
  <conditionalFormatting sqref="QY53:QY55">
    <cfRule type="cellIs" dxfId="121" priority="121" operator="lessThan">
      <formula>0</formula>
    </cfRule>
    <cfRule type="cellIs" dxfId="120" priority="122" operator="greaterThan">
      <formula>0</formula>
    </cfRule>
  </conditionalFormatting>
  <conditionalFormatting sqref="RB53:RB55">
    <cfRule type="cellIs" dxfId="119" priority="119" operator="lessThan">
      <formula>0</formula>
    </cfRule>
    <cfRule type="cellIs" dxfId="118" priority="120" operator="greaterThan">
      <formula>0</formula>
    </cfRule>
  </conditionalFormatting>
  <conditionalFormatting sqref="RV53:RV55 RV57:RV68 RV70:RV81 RV83:RV94 RV96:RV107 RV109:RV120">
    <cfRule type="cellIs" dxfId="117" priority="117" operator="lessThan">
      <formula>0</formula>
    </cfRule>
    <cfRule type="cellIs" dxfId="116" priority="118" operator="greaterThan">
      <formula>0</formula>
    </cfRule>
  </conditionalFormatting>
  <conditionalFormatting sqref="SH53:SH55 SH57:SH68 SH70:SH81 SH83:SH94 SH96:SH107 SH109:SH120">
    <cfRule type="cellIs" dxfId="115" priority="115" operator="lessThan">
      <formula>0</formula>
    </cfRule>
    <cfRule type="cellIs" dxfId="114" priority="116" operator="greaterThan">
      <formula>0</formula>
    </cfRule>
  </conditionalFormatting>
  <conditionalFormatting sqref="RY109:RY120">
    <cfRule type="cellIs" dxfId="113" priority="113" operator="lessThan">
      <formula>0</formula>
    </cfRule>
    <cfRule type="cellIs" dxfId="112" priority="114" operator="greaterThan">
      <formula>0</formula>
    </cfRule>
  </conditionalFormatting>
  <conditionalFormatting sqref="SB109:SB120">
    <cfRule type="cellIs" dxfId="111" priority="111" operator="lessThan">
      <formula>0</formula>
    </cfRule>
    <cfRule type="cellIs" dxfId="110" priority="112" operator="greaterThan">
      <formula>0</formula>
    </cfRule>
  </conditionalFormatting>
  <conditionalFormatting sqref="SE109:SE120">
    <cfRule type="cellIs" dxfId="109" priority="109" operator="lessThan">
      <formula>0</formula>
    </cfRule>
    <cfRule type="cellIs" dxfId="108" priority="110" operator="greaterThan">
      <formula>0</formula>
    </cfRule>
  </conditionalFormatting>
  <conditionalFormatting sqref="RY96:RY107">
    <cfRule type="cellIs" dxfId="107" priority="107" operator="lessThan">
      <formula>0</formula>
    </cfRule>
    <cfRule type="cellIs" dxfId="106" priority="108" operator="greaterThan">
      <formula>0</formula>
    </cfRule>
  </conditionalFormatting>
  <conditionalFormatting sqref="SB96:SB107">
    <cfRule type="cellIs" dxfId="105" priority="105" operator="lessThan">
      <formula>0</formula>
    </cfRule>
    <cfRule type="cellIs" dxfId="104" priority="106" operator="greaterThan">
      <formula>0</formula>
    </cfRule>
  </conditionalFormatting>
  <conditionalFormatting sqref="SE96:SE107">
    <cfRule type="cellIs" dxfId="103" priority="103" operator="lessThan">
      <formula>0</formula>
    </cfRule>
    <cfRule type="cellIs" dxfId="102" priority="104" operator="greaterThan">
      <formula>0</formula>
    </cfRule>
  </conditionalFormatting>
  <conditionalFormatting sqref="RY83:RY94">
    <cfRule type="cellIs" dxfId="101" priority="101" operator="lessThan">
      <formula>0</formula>
    </cfRule>
    <cfRule type="cellIs" dxfId="100" priority="102" operator="greaterThan">
      <formula>0</formula>
    </cfRule>
  </conditionalFormatting>
  <conditionalFormatting sqref="SB83:SB94">
    <cfRule type="cellIs" dxfId="99" priority="99" operator="lessThan">
      <formula>0</formula>
    </cfRule>
    <cfRule type="cellIs" dxfId="98" priority="100" operator="greaterThan">
      <formula>0</formula>
    </cfRule>
  </conditionalFormatting>
  <conditionalFormatting sqref="SE83:SE94">
    <cfRule type="cellIs" dxfId="97" priority="97" operator="lessThan">
      <formula>0</formula>
    </cfRule>
    <cfRule type="cellIs" dxfId="96" priority="98" operator="greaterThan">
      <formula>0</formula>
    </cfRule>
  </conditionalFormatting>
  <conditionalFormatting sqref="RY70:RY81">
    <cfRule type="cellIs" dxfId="95" priority="95" operator="lessThan">
      <formula>0</formula>
    </cfRule>
    <cfRule type="cellIs" dxfId="94" priority="96" operator="greaterThan">
      <formula>0</formula>
    </cfRule>
  </conditionalFormatting>
  <conditionalFormatting sqref="SB70:SB81">
    <cfRule type="cellIs" dxfId="93" priority="93" operator="lessThan">
      <formula>0</formula>
    </cfRule>
    <cfRule type="cellIs" dxfId="92" priority="94" operator="greaterThan">
      <formula>0</formula>
    </cfRule>
  </conditionalFormatting>
  <conditionalFormatting sqref="SE70:SE81">
    <cfRule type="cellIs" dxfId="91" priority="91" operator="lessThan">
      <formula>0</formula>
    </cfRule>
    <cfRule type="cellIs" dxfId="90" priority="92" operator="greaterThan">
      <formula>0</formula>
    </cfRule>
  </conditionalFormatting>
  <conditionalFormatting sqref="RY57:RY68">
    <cfRule type="cellIs" dxfId="89" priority="89" operator="lessThan">
      <formula>0</formula>
    </cfRule>
    <cfRule type="cellIs" dxfId="88" priority="90" operator="greaterThan">
      <formula>0</formula>
    </cfRule>
  </conditionalFormatting>
  <conditionalFormatting sqref="SB57:SB68">
    <cfRule type="cellIs" dxfId="87" priority="87" operator="lessThan">
      <formula>0</formula>
    </cfRule>
    <cfRule type="cellIs" dxfId="86" priority="88" operator="greaterThan">
      <formula>0</formula>
    </cfRule>
  </conditionalFormatting>
  <conditionalFormatting sqref="SE57:SE68">
    <cfRule type="cellIs" dxfId="85" priority="85" operator="lessThan">
      <formula>0</formula>
    </cfRule>
    <cfRule type="cellIs" dxfId="84" priority="86" operator="greaterThan">
      <formula>0</formula>
    </cfRule>
  </conditionalFormatting>
  <conditionalFormatting sqref="RY53:RY55">
    <cfRule type="cellIs" dxfId="83" priority="83" operator="lessThan">
      <formula>0</formula>
    </cfRule>
    <cfRule type="cellIs" dxfId="82" priority="84" operator="greaterThan">
      <formula>0</formula>
    </cfRule>
  </conditionalFormatting>
  <conditionalFormatting sqref="SB53:SB55">
    <cfRule type="cellIs" dxfId="81" priority="81" operator="lessThan">
      <formula>0</formula>
    </cfRule>
    <cfRule type="cellIs" dxfId="80" priority="82" operator="greaterThan">
      <formula>0</formula>
    </cfRule>
  </conditionalFormatting>
  <conditionalFormatting sqref="SE53:SE55">
    <cfRule type="cellIs" dxfId="79" priority="79" operator="lessThan">
      <formula>0</formula>
    </cfRule>
    <cfRule type="cellIs" dxfId="78" priority="80" operator="greaterThan">
      <formula>0</formula>
    </cfRule>
  </conditionalFormatting>
  <conditionalFormatting sqref="WL57:WL68 WL70:WL81 WL83:WL94 WL96:WL107 WL109:WL120">
    <cfRule type="cellIs" dxfId="77" priority="77" operator="lessThan">
      <formula>0</formula>
    </cfRule>
    <cfRule type="cellIs" dxfId="76" priority="78" operator="greaterThan">
      <formula>0</formula>
    </cfRule>
  </conditionalFormatting>
  <conditionalFormatting sqref="WX57:WX68 WX70:WX81 WX83:WX94 WX96:WX107 WX109:WX120">
    <cfRule type="cellIs" dxfId="75" priority="75" operator="lessThan">
      <formula>0</formula>
    </cfRule>
    <cfRule type="cellIs" dxfId="74" priority="76" operator="greaterThan">
      <formula>0</formula>
    </cfRule>
  </conditionalFormatting>
  <conditionalFormatting sqref="WO109:WO120">
    <cfRule type="cellIs" dxfId="73" priority="73" operator="lessThan">
      <formula>0</formula>
    </cfRule>
    <cfRule type="cellIs" dxfId="72" priority="74" operator="greaterThan">
      <formula>0</formula>
    </cfRule>
  </conditionalFormatting>
  <conditionalFormatting sqref="WR109:WR120">
    <cfRule type="cellIs" dxfId="71" priority="71" operator="lessThan">
      <formula>0</formula>
    </cfRule>
    <cfRule type="cellIs" dxfId="70" priority="72" operator="greaterThan">
      <formula>0</formula>
    </cfRule>
  </conditionalFormatting>
  <conditionalFormatting sqref="WU109:WU120">
    <cfRule type="cellIs" dxfId="69" priority="69" operator="lessThan">
      <formula>0</formula>
    </cfRule>
    <cfRule type="cellIs" dxfId="68" priority="70" operator="greaterThan">
      <formula>0</formula>
    </cfRule>
  </conditionalFormatting>
  <conditionalFormatting sqref="WO96:WO107">
    <cfRule type="cellIs" dxfId="67" priority="67" operator="lessThan">
      <formula>0</formula>
    </cfRule>
    <cfRule type="cellIs" dxfId="66" priority="68" operator="greaterThan">
      <formula>0</formula>
    </cfRule>
  </conditionalFormatting>
  <conditionalFormatting sqref="WR96:WR107">
    <cfRule type="cellIs" dxfId="65" priority="65" operator="lessThan">
      <formula>0</formula>
    </cfRule>
    <cfRule type="cellIs" dxfId="64" priority="66" operator="greaterThan">
      <formula>0</formula>
    </cfRule>
  </conditionalFormatting>
  <conditionalFormatting sqref="WU96:WU107">
    <cfRule type="cellIs" dxfId="63" priority="63" operator="lessThan">
      <formula>0</formula>
    </cfRule>
    <cfRule type="cellIs" dxfId="62" priority="64" operator="greaterThan">
      <formula>0</formula>
    </cfRule>
  </conditionalFormatting>
  <conditionalFormatting sqref="WO83:WO94">
    <cfRule type="cellIs" dxfId="61" priority="61" operator="lessThan">
      <formula>0</formula>
    </cfRule>
    <cfRule type="cellIs" dxfId="60" priority="62" operator="greaterThan">
      <formula>0</formula>
    </cfRule>
  </conditionalFormatting>
  <conditionalFormatting sqref="WR83:WR94">
    <cfRule type="cellIs" dxfId="59" priority="59" operator="lessThan">
      <formula>0</formula>
    </cfRule>
    <cfRule type="cellIs" dxfId="58" priority="60" operator="greaterThan">
      <formula>0</formula>
    </cfRule>
  </conditionalFormatting>
  <conditionalFormatting sqref="WU83:WU94">
    <cfRule type="cellIs" dxfId="57" priority="57" operator="lessThan">
      <formula>0</formula>
    </cfRule>
    <cfRule type="cellIs" dxfId="56" priority="58" operator="greaterThan">
      <formula>0</formula>
    </cfRule>
  </conditionalFormatting>
  <conditionalFormatting sqref="WO70:WO81">
    <cfRule type="cellIs" dxfId="55" priority="55" operator="lessThan">
      <formula>0</formula>
    </cfRule>
    <cfRule type="cellIs" dxfId="54" priority="56" operator="greaterThan">
      <formula>0</formula>
    </cfRule>
  </conditionalFormatting>
  <conditionalFormatting sqref="WR70:WR81">
    <cfRule type="cellIs" dxfId="53" priority="53" operator="lessThan">
      <formula>0</formula>
    </cfRule>
    <cfRule type="cellIs" dxfId="52" priority="54" operator="greaterThan">
      <formula>0</formula>
    </cfRule>
  </conditionalFormatting>
  <conditionalFormatting sqref="WU70:WU81">
    <cfRule type="cellIs" dxfId="51" priority="51" operator="lessThan">
      <formula>0</formula>
    </cfRule>
    <cfRule type="cellIs" dxfId="50" priority="52" operator="greaterThan">
      <formula>0</formula>
    </cfRule>
  </conditionalFormatting>
  <conditionalFormatting sqref="WO57:WO68">
    <cfRule type="cellIs" dxfId="49" priority="49" operator="lessThan">
      <formula>0</formula>
    </cfRule>
    <cfRule type="cellIs" dxfId="48" priority="50" operator="greaterThan">
      <formula>0</formula>
    </cfRule>
  </conditionalFormatting>
  <conditionalFormatting sqref="WR57:WR68">
    <cfRule type="cellIs" dxfId="47" priority="47" operator="lessThan">
      <formula>0</formula>
    </cfRule>
    <cfRule type="cellIs" dxfId="46" priority="48" operator="greaterThan">
      <formula>0</formula>
    </cfRule>
  </conditionalFormatting>
  <conditionalFormatting sqref="WU57:WU68">
    <cfRule type="cellIs" dxfId="45" priority="45" operator="lessThan">
      <formula>0</formula>
    </cfRule>
    <cfRule type="cellIs" dxfId="44" priority="46" operator="greaterThan">
      <formula>0</formula>
    </cfRule>
  </conditionalFormatting>
  <conditionalFormatting sqref="XA57:XA68 XA70:XA81 XA83:XA94 XA96:XA107 XA109:XA120">
    <cfRule type="cellIs" dxfId="43" priority="43" operator="lessThan">
      <formula>0</formula>
    </cfRule>
    <cfRule type="cellIs" dxfId="42" priority="44" operator="greaterThan">
      <formula>0</formula>
    </cfRule>
  </conditionalFormatting>
  <conditionalFormatting sqref="XM57:XM68 XM70:XM81 XM83:XM94 XM96:XM107 XM109:XM120">
    <cfRule type="cellIs" dxfId="41" priority="41" operator="lessThan">
      <formula>0</formula>
    </cfRule>
    <cfRule type="cellIs" dxfId="40" priority="42" operator="greaterThan">
      <formula>0</formula>
    </cfRule>
  </conditionalFormatting>
  <conditionalFormatting sqref="XD109:XD120">
    <cfRule type="cellIs" dxfId="39" priority="39" operator="lessThan">
      <formula>0</formula>
    </cfRule>
    <cfRule type="cellIs" dxfId="38" priority="40" operator="greaterThan">
      <formula>0</formula>
    </cfRule>
  </conditionalFormatting>
  <conditionalFormatting sqref="XG109:XG120">
    <cfRule type="cellIs" dxfId="37" priority="37" operator="lessThan">
      <formula>0</formula>
    </cfRule>
    <cfRule type="cellIs" dxfId="36" priority="38" operator="greaterThan">
      <formula>0</formula>
    </cfRule>
  </conditionalFormatting>
  <conditionalFormatting sqref="XJ109:XJ120">
    <cfRule type="cellIs" dxfId="35" priority="35" operator="lessThan">
      <formula>0</formula>
    </cfRule>
    <cfRule type="cellIs" dxfId="34" priority="36" operator="greaterThan">
      <formula>0</formula>
    </cfRule>
  </conditionalFormatting>
  <conditionalFormatting sqref="XD96:XD107">
    <cfRule type="cellIs" dxfId="33" priority="33" operator="lessThan">
      <formula>0</formula>
    </cfRule>
    <cfRule type="cellIs" dxfId="32" priority="34" operator="greaterThan">
      <formula>0</formula>
    </cfRule>
  </conditionalFormatting>
  <conditionalFormatting sqref="XG96:XG107">
    <cfRule type="cellIs" dxfId="31" priority="31" operator="lessThan">
      <formula>0</formula>
    </cfRule>
    <cfRule type="cellIs" dxfId="30" priority="32" operator="greaterThan">
      <formula>0</formula>
    </cfRule>
  </conditionalFormatting>
  <conditionalFormatting sqref="XJ96:XJ107">
    <cfRule type="cellIs" dxfId="29" priority="29" operator="lessThan">
      <formula>0</formula>
    </cfRule>
    <cfRule type="cellIs" dxfId="28" priority="30" operator="greaterThan">
      <formula>0</formula>
    </cfRule>
  </conditionalFormatting>
  <conditionalFormatting sqref="XD83:XD94">
    <cfRule type="cellIs" dxfId="27" priority="27" operator="lessThan">
      <formula>0</formula>
    </cfRule>
    <cfRule type="cellIs" dxfId="26" priority="28" operator="greaterThan">
      <formula>0</formula>
    </cfRule>
  </conditionalFormatting>
  <conditionalFormatting sqref="XG83:XG94">
    <cfRule type="cellIs" dxfId="25" priority="25" operator="lessThan">
      <formula>0</formula>
    </cfRule>
    <cfRule type="cellIs" dxfId="24" priority="26" operator="greaterThan">
      <formula>0</formula>
    </cfRule>
  </conditionalFormatting>
  <conditionalFormatting sqref="XJ83:XJ94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XD70:XD81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XG70:XG81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XJ70:XJ81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XD57:XD68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XG57:XG68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XJ57:XJ68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XA52:XA55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XM52:XM55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XD52:XD55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XG52:XG5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XJ52:XJ55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A4" location="Apartamenty!B1" display="START" xr:uid="{6997E289-CF47-0947-9058-8195FF7BAFBD}"/>
    <hyperlink ref="A49" location="Apartamenty!YT1" display="SYRENKA" xr:uid="{7DA2D9BB-4FDB-C749-A208-63030FD031B3}"/>
    <hyperlink ref="A48" location="Apartamenty!YE1" display="CLASSIC 3" xr:uid="{4CF24AB4-7A0D-714B-BC66-D6FCF03B156A}"/>
    <hyperlink ref="A47" location="Apartamenty!XP1" display="CLASSIC 2" xr:uid="{8C4B29BC-259E-CF46-830E-43360CDFFAF9}"/>
    <hyperlink ref="A46" location="Apartamenty!XA1" display="CLASSIC 1" xr:uid="{D5197AEA-531E-4147-A244-FACCF519BDAA}"/>
    <hyperlink ref="A45" location="Apartamenty!WL1" display="MEDUZA" xr:uid="{578AF9B4-F7BC-0B49-9365-DCDAB75D91F4}"/>
    <hyperlink ref="A44" location="Apartamenty!VW1" display="PROMENADA" xr:uid="{557BFC63-55DB-B04F-866E-2A7B3AB463CB}"/>
    <hyperlink ref="A43" location="Apartamenty!VH1" display="MOLO" xr:uid="{C4588CC4-FC39-DB44-91A9-D9B64C8D905B}"/>
    <hyperlink ref="A42" location="Apartamenty!US1" display="IMPRESJA" xr:uid="{8EDD4B71-6385-D141-A20C-2FE2BD199982}"/>
    <hyperlink ref="A41" location="Apartamenty!UD1" display="MAGNOLIA" xr:uid="{D8EA97C3-B0CF-FD4A-A2F3-5EB35B3DDC00}"/>
    <hyperlink ref="A40" location="Apartamenty!TO1" display="RELAX" xr:uid="{32ED41AE-69BA-BF49-BE9A-D6F891230BEA}"/>
    <hyperlink ref="A39" location="Apartamenty!SZ1" display="BURSZTYN" xr:uid="{4A37D85A-6D7C-E04B-92B4-AECDD5F44242}"/>
    <hyperlink ref="A38" location="Apartamenty!SK1" display="POSEJDON" xr:uid="{EA73B5BE-C965-8749-91B2-DE96503038DD}"/>
    <hyperlink ref="A37" location="Apartamenty!RV1" display="WYDMA" xr:uid="{32EEB0B8-E4E7-3D47-8DA6-F913EDD9AD97}"/>
    <hyperlink ref="A36" location="Apartamenty!RG1" display="REJS 3" xr:uid="{00D4FF8E-D717-2249-B0DE-5773722420BB}"/>
    <hyperlink ref="A35" location="Apartamenty!QR1" display="REJS 2" xr:uid="{A89B066B-ED19-A94A-AA83-634791A3B57F}"/>
    <hyperlink ref="A34" location="Apartamenty!QC1" display="REJS" xr:uid="{373C007E-9F2E-9340-A4AA-AF026DD2271F}"/>
    <hyperlink ref="A33" location="Apartamenty!PN1" display="MALWA" xr:uid="{830670F6-391B-2643-AF42-944E2EAC175C}"/>
    <hyperlink ref="A32" location="Apartamenty!OY1" display="OCEAN" xr:uid="{256FA938-3728-F247-959E-358A7594D821}"/>
    <hyperlink ref="A31" location="Apartamenty!OJ1" display="SAMBA" xr:uid="{7EF5CACE-07AC-B747-A807-E626999792E6}"/>
    <hyperlink ref="A30" location="Apartamenty!NU1" display="RETRO" xr:uid="{7836AD9D-5E1E-6C49-BFAC-2B11AA1DC48A}"/>
    <hyperlink ref="A29" location="Apartamenty!NF1" display="GRAND" xr:uid="{97116A93-3E6D-D04E-8491-11D09F117DE7}"/>
    <hyperlink ref="A28" location="Apartamenty!MQ1" display="AMETYST" xr:uid="{35A970DB-54F2-2D47-A1C0-03C48304514A}"/>
    <hyperlink ref="A27" location="Apartamenty!MB1" display="GARDEN 2" xr:uid="{14081051-7430-1A45-89DB-D3DF72D9B9CE}"/>
    <hyperlink ref="A26" location="Apartamenty!LM1" display="GARDEN" xr:uid="{C4F2F754-F9A1-E147-8D0A-1CE8CAA6BC76}"/>
    <hyperlink ref="A25" location="Apartamenty!KX1" display="S. OAZA" xr:uid="{928C0CCB-8022-7E44-B484-534B335C7AEF}"/>
    <hyperlink ref="A24" location="Apartamenty!KI1" display="LUXURO PARK" xr:uid="{424D5A18-4337-674F-A3CB-7FD4151057B1}"/>
    <hyperlink ref="A23" location="Apartamenty!JT1" display="B. SCANIA" xr:uid="{38FA101F-70E4-7E4D-8D57-EE6ECACDF849}"/>
    <hyperlink ref="A22" location="Apartamenty!JE1" display="B. EXCLUSIVE" xr:uid="{36AB61B6-2E35-E043-BFF8-E1F7659282E2}"/>
    <hyperlink ref="A21" location="Apartamenty!IP1" display="B. ZACISZE 2" xr:uid="{68089288-E897-784B-A8C1-DF22B3078FDC}"/>
    <hyperlink ref="A20" location="Apartamenty!IA1" display="B. DELUXE" xr:uid="{17B191CD-800C-1943-AB92-87801AA59DEE}"/>
    <hyperlink ref="A19" location="Apartamenty!HL1" display="B. COMFORT" xr:uid="{3724DB31-D97C-CD4D-B2AA-0007CB02C6FC}"/>
    <hyperlink ref="A18" location="Apartamenty!GW1" display="B. 7 MÓRZ" xr:uid="{32968C6A-5E72-BD4A-8DDC-8958E5EA9DAC}"/>
    <hyperlink ref="A17" location="Apartamenty!GH1" display="B. PANORAMA 2" xr:uid="{DF2B98A8-C5CB-FE4D-9029-4001CA36A80D}"/>
    <hyperlink ref="A16" location="Apartamenty!FS1" display="B. PANORAMA" xr:uid="{57C1BE57-20F0-404C-B256-833C064B26D5}"/>
    <hyperlink ref="A15" location="Apartamenty!FD1" display="B. ELEGANCE" xr:uid="{2EBEB3F9-F179-924D-BF4B-B169590E9323}"/>
    <hyperlink ref="A14" location="Apartamenty!EO1" display="B.GLAMOUR" xr:uid="{674FA739-AFD5-FB4B-879A-E3281ABF174E}"/>
    <hyperlink ref="A13" location="Apartamenty!DZ1" display="B. MARINA" xr:uid="{00FFB691-77BC-E74E-8338-F698056D5DE2}"/>
    <hyperlink ref="A12" location="Apartamenty!DK1" display="B. SUN" xr:uid="{79FDEC5E-09C6-F84B-8907-1D9C948F22BD}"/>
    <hyperlink ref="A11" location="Apartamenty!CV1" display="B. AMBER" xr:uid="{BD199022-179B-ED44-B714-35EFD03AE232}"/>
    <hyperlink ref="A10" location="Apartamenty!CG1" display="B. ZACISZE" xr:uid="{865EBEBA-E19E-1442-82C2-60596DBDC519}"/>
    <hyperlink ref="A9" location="Apartamenty!BR1" display="B. VIP" xr:uid="{0ED7A7EE-9ED3-8A4C-AA31-9458055A34CB}"/>
    <hyperlink ref="A8" location="Apartamenty!BC1" display="B. PRESTIGE" xr:uid="{B0AADF1A-906C-8148-885B-8A1C85507C93}"/>
    <hyperlink ref="A7" location="Apartamenty!AN1" display="B. RODZINNY" xr:uid="{F3EC1BFE-7170-1D4E-B1BB-F62FA1A922F3}"/>
    <hyperlink ref="A6" location="Apartamenty!Y1" display="B. GRAND" xr:uid="{955344DE-6A2A-444B-A1B4-663E8B554218}"/>
    <hyperlink ref="A5" location="Apartamenty!G1" display="GRAND BALTIC" xr:uid="{71646791-AF62-B041-B8E2-A591B019EF0F}"/>
    <hyperlink ref="A50" location="Apartamenty!ZI1" display="CLASSIC 3" xr:uid="{106E186D-D3F9-E642-8C49-86FCE061141C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Apartamenty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2026-02-24T22:33:59Z</dcterms:created>
  <dcterms:modified xsi:type="dcterms:W3CDTF">2026-02-24T22:34:17Z</dcterms:modified>
</cp:coreProperties>
</file>